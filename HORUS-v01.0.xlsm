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drawings/drawing5.xml" ContentType="application/vnd.openxmlformats-officedocument.drawingml.chartshapes+xml"/>
  <Override PartName="/xl/comments1.xml" ContentType="application/vnd.openxmlformats-officedocument.spreadsheetml.comments+xml"/>
  <Override PartName="/xl/drawings/drawing6.xml" ContentType="application/vnd.openxmlformats-officedocument.drawing+xml"/>
  <Override PartName="/xl/comments2.xml" ContentType="application/vnd.openxmlformats-officedocument.spreadsheetml.comments+xml"/>
  <Override PartName="/xl/threadedComments/threadedComment1.xml" ContentType="application/vnd.ms-excel.threadedcomments+xml"/>
  <Override PartName="/xl/charts/chart5.xml" ContentType="application/vnd.openxmlformats-officedocument.drawingml.chart+xml"/>
  <Override PartName="/xl/drawings/drawing7.xml" ContentType="application/vnd.openxmlformats-officedocument.drawingml.chartshapes+xml"/>
  <Override PartName="/xl/charts/chart6.xml" ContentType="application/vnd.openxmlformats-officedocument.drawingml.chart+xml"/>
  <Override PartName="/xl/drawings/drawing8.xml" ContentType="application/vnd.openxmlformats-officedocument.drawingml.chartshapes+xml"/>
  <Override PartName="/xl/charts/chart7.xml" ContentType="application/vnd.openxmlformats-officedocument.drawingml.chart+xml"/>
  <Override PartName="/xl/drawings/drawing9.xml" ContentType="application/vnd.openxmlformats-officedocument.drawingml.chartshapes+xml"/>
  <Override PartName="/xl/charts/chart8.xml" ContentType="application/vnd.openxmlformats-officedocument.drawingml.chart+xml"/>
  <Override PartName="/xl/drawings/drawing10.xml" ContentType="application/vnd.openxmlformats-officedocument.drawingml.chartshapes+xml"/>
  <Override PartName="/xl/charts/chart9.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1.xml" ContentType="application/vnd.openxmlformats-officedocument.drawing+xml"/>
  <Override PartName="/xl/charts/chart10.xml" ContentType="application/vnd.openxmlformats-officedocument.drawingml.chart+xml"/>
  <Override PartName="/xl/charts/style2.xml" ContentType="application/vnd.ms-office.chartstyle+xml"/>
  <Override PartName="/xl/charts/colors2.xml" ContentType="application/vnd.ms-office.chartcolorstyle+xml"/>
  <Override PartName="/xl/comments3.xml" ContentType="application/vnd.openxmlformats-officedocument.spreadsheetml.comments+xml"/>
  <Override PartName="/xl/drawings/drawing12.xml" ContentType="application/vnd.openxmlformats-officedocument.drawing+xml"/>
  <Override PartName="/xl/comments4.xml" ContentType="application/vnd.openxmlformats-officedocument.spreadsheetml.comments+xml"/>
  <Override PartName="/xl/charts/chart11.xml" ContentType="application/vnd.openxmlformats-officedocument.drawingml.chart+xml"/>
  <Override PartName="/xl/drawings/drawing13.xml" ContentType="application/vnd.openxmlformats-officedocument.drawingml.chartshap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60716B99-48EF-4627-542C-1B4CF24DBC83}"/>
  <workbookPr codeName="ThisWorkbook"/>
  <mc:AlternateContent xmlns:mc="http://schemas.openxmlformats.org/markup-compatibility/2006">
    <mc:Choice Requires="x15">
      <x15ac:absPath xmlns:x15ac="http://schemas.microsoft.com/office/spreadsheetml/2010/11/ac" url="https://365abdn-my.sharepoint.com/personal/s03sk3_abdn_ac_uk/Documents/Uni of Aberdeen/Work-Phase-I/reveiw paper/Meetings- Jo/RothC/Global Change Biology/"/>
    </mc:Choice>
  </mc:AlternateContent>
  <xr:revisionPtr revIDLastSave="496" documentId="8_{C216BC7D-1DC4-4CA1-B3BD-2AF7316BE270}" xr6:coauthVersionLast="47" xr6:coauthVersionMax="47" xr10:uidLastSave="{FCD7DD17-16EC-4629-B75E-D272EE768D5F}"/>
  <bookViews>
    <workbookView xWindow="-120" yWindow="-120" windowWidth="29040" windowHeight="17640" activeTab="4" xr2:uid="{00000000-000D-0000-FFFF-FFFF00000000}"/>
  </bookViews>
  <sheets>
    <sheet name="Inputs - Soil characterstics" sheetId="2" r:id="rId1"/>
    <sheet name="Inputs - Weather" sheetId="4" r:id="rId2"/>
    <sheet name="Inputs - Crops and manures" sheetId="7" r:id="rId3"/>
    <sheet name="Inputs - Soil C measurements" sheetId="8" r:id="rId4"/>
    <sheet name="Simulation of changes in soil C" sheetId="9" r:id="rId5"/>
    <sheet name="H2 Uptake" sheetId="10" r:id="rId6"/>
    <sheet name="Parameters" sheetId="3" r:id="rId7"/>
    <sheet name="Calc. Weather" sheetId="6" r:id="rId8"/>
  </sheets>
  <externalReferences>
    <externalReference r:id="rId9"/>
  </externalReferences>
  <definedNames>
    <definedName name="AirPressure">'Inputs - Soil characterstics'!$E$15</definedName>
    <definedName name="BulkDensity">'Inputs - Soil characterstics'!$E$10</definedName>
    <definedName name="CStock" localSheetId="4">'Simulation of changes in soil C'!$AG$18</definedName>
    <definedName name="CStock">#REF!</definedName>
    <definedName name="DPMtoRPM">Parameters!$B$4</definedName>
    <definedName name="FC" localSheetId="4">'Simulation of changes in soil C'!$E$10</definedName>
    <definedName name="FC">#REF!</definedName>
    <definedName name="HarvDate">'Inputs - Crops and manures'!$F$3</definedName>
    <definedName name="kBIO" localSheetId="4">'Simulation of changes in soil C'!$X$10</definedName>
    <definedName name="kBIO">#REF!</definedName>
    <definedName name="kDPM" localSheetId="4">'Simulation of changes in soil C'!$V$10</definedName>
    <definedName name="kDPM">#REF!</definedName>
    <definedName name="kHUM" localSheetId="4">'Simulation of changes in soil C'!$Y$10</definedName>
    <definedName name="kHUM">#REF!</definedName>
    <definedName name="kRPM" localSheetId="4">'Simulation of changes in soil C'!$W$10</definedName>
    <definedName name="kRPM">#REF!</definedName>
    <definedName name="LandUse">'Inputs - Crops and manures'!$D$3</definedName>
    <definedName name="LandUseTypes">Parameters!$C$3:$AE$3</definedName>
    <definedName name="Latitude">'Inputs - Weather'!$C$2</definedName>
    <definedName name="MeasC">'Inputs - Soil C measurements'!$J$3</definedName>
    <definedName name="MeasMon">'Inputs - Soil C measurements'!$D$3</definedName>
    <definedName name="OrgWasteTypes">Parameters!$C$29:$AE$29</definedName>
    <definedName name="OW_DM">Parameters!$B$33</definedName>
    <definedName name="OW_DPMtoHUM">Parameters!$B$30</definedName>
    <definedName name="OW_pC">Parameters!$B$32</definedName>
    <definedName name="OW_pIOM">Parameters!$B$31</definedName>
    <definedName name="OW_Types">Parameters!$C$29:$AE$29</definedName>
    <definedName name="OWAmount">'Inputs - Crops and manures'!$J$3</definedName>
    <definedName name="OWAmount2">'Inputs - Crops and manures'!$M$3</definedName>
    <definedName name="OWAppDate">'Inputs - Crops and manures'!$I$3</definedName>
    <definedName name="OWAppDate2">'Inputs - Crops and manures'!$L$3</definedName>
    <definedName name="OWType">'Inputs - Crops and manures'!$H$3</definedName>
    <definedName name="OWType2">'Inputs - Crops and manures'!$K$3</definedName>
    <definedName name="p_CO2" localSheetId="4">'Simulation of changes in soil C'!$AB$10</definedName>
    <definedName name="p_CO2">#REF!</definedName>
    <definedName name="pBIO" localSheetId="4">'Simulation of changes in soil C'!$Z$10</definedName>
    <definedName name="pBIO">#REF!</definedName>
    <definedName name="PercentC">'Inputs - Soil characterstics'!$E$9</definedName>
    <definedName name="PercentClay">'Inputs - Soil characterstics'!$E$6</definedName>
    <definedName name="PercentSand">'Inputs - Soil characterstics'!$E$8</definedName>
    <definedName name="PercentSilt">'Inputs - Soil characterstics'!$E$7</definedName>
    <definedName name="PET">'Calc. Weather'!$M$4</definedName>
    <definedName name="pHUM" localSheetId="4">'Simulation of changes in soil C'!$AA$10</definedName>
    <definedName name="pHUM">#REF!</definedName>
    <definedName name="PI" localSheetId="4">'Simulation of changes in soil C'!$M$14</definedName>
    <definedName name="PI">#REF!</definedName>
    <definedName name="PI_Def" localSheetId="4">'Simulation of changes in soil C'!$U$10</definedName>
    <definedName name="PI_Def">#REF!</definedName>
    <definedName name="PI_DPMtoRPM" localSheetId="4">'Simulation of changes in soil C'!$T$10</definedName>
    <definedName name="PI_DPMtoRPM">#REF!</definedName>
    <definedName name="PI_Month">Parameters!$B$9</definedName>
    <definedName name="PWP" localSheetId="4">'Simulation of changes in soil C'!$D$10</definedName>
    <definedName name="PWP">#REF!</definedName>
    <definedName name="Rainfall">'Calc. Weather'!$E$4</definedName>
    <definedName name="Rel_PI" localSheetId="4">'Simulation of changes in soil C'!#REF!</definedName>
    <definedName name="Rel_PI">#REF!</definedName>
    <definedName name="Rel_PI2" localSheetId="4">'Simulation of changes in soil C'!#REF!</definedName>
    <definedName name="Rel_PI2">#REF!</definedName>
    <definedName name="RM_PWP" localSheetId="4">'Simulation of changes in soil C'!$G$10</definedName>
    <definedName name="RM_PWP">#REF!</definedName>
    <definedName name="SoilDepth">'Inputs - Soil characterstics'!$E$5</definedName>
    <definedName name="SoilpH">'Inputs - Soil characterstics'!$E$11</definedName>
    <definedName name="SoilPores">'Inputs - Soil characterstics'!$E$12</definedName>
    <definedName name="SoilSal">'Inputs - Soil characterstics'!$E$17</definedName>
    <definedName name="SowDate">'Inputs - Crops and manures'!$E$3</definedName>
    <definedName name="SumRelPI" localSheetId="4">'Simulation of changes in soil C'!#REF!</definedName>
    <definedName name="SumRelPI">#REF!</definedName>
    <definedName name="Temperature">'Calc. Weather'!$D$4</definedName>
    <definedName name="TotDefPI">Parameters!$B$22</definedName>
    <definedName name="Wat1bar" localSheetId="4">'Simulation of changes in soil C'!$F$10</definedName>
    <definedName name="Wat1bar">#REF!</definedName>
    <definedName name="WSAT">'Simulation of changes in soil C'!$H$10</definedName>
    <definedName name="Yield">'Inputs - Crops and manures'!$G$3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63" i="9" l="1"/>
  <c r="G235" i="9" s="1"/>
  <c r="G307" i="9" s="1"/>
  <c r="G379" i="9" s="1"/>
  <c r="G451" i="9" s="1"/>
  <c r="G523" i="9" s="1"/>
  <c r="G595" i="9" s="1"/>
  <c r="G667" i="9" s="1"/>
  <c r="G739" i="9" s="1"/>
  <c r="G811" i="9" s="1"/>
  <c r="G883" i="9" s="1"/>
  <c r="G955" i="9" s="1"/>
  <c r="G1027" i="9" s="1"/>
  <c r="G1099" i="9" s="1"/>
  <c r="G1171" i="9" s="1"/>
  <c r="G1243" i="9" s="1"/>
  <c r="G164" i="9"/>
  <c r="G236" i="9" s="1"/>
  <c r="G308" i="9" s="1"/>
  <c r="G380" i="9" s="1"/>
  <c r="G452" i="9" s="1"/>
  <c r="G524" i="9" s="1"/>
  <c r="G596" i="9" s="1"/>
  <c r="G668" i="9" s="1"/>
  <c r="G740" i="9" s="1"/>
  <c r="G812" i="9" s="1"/>
  <c r="G884" i="9" s="1"/>
  <c r="G956" i="9" s="1"/>
  <c r="G1028" i="9" s="1"/>
  <c r="G1100" i="9" s="1"/>
  <c r="G1172" i="9" s="1"/>
  <c r="G1244" i="9" s="1"/>
  <c r="G165" i="9"/>
  <c r="G166" i="9"/>
  <c r="G167" i="9"/>
  <c r="G168" i="9"/>
  <c r="G169" i="9"/>
  <c r="G170" i="9"/>
  <c r="G171" i="9"/>
  <c r="G172" i="9"/>
  <c r="G173" i="9"/>
  <c r="G174" i="9"/>
  <c r="G175" i="9"/>
  <c r="G247" i="9" s="1"/>
  <c r="G319" i="9" s="1"/>
  <c r="G391" i="9" s="1"/>
  <c r="G463" i="9" s="1"/>
  <c r="G535" i="9" s="1"/>
  <c r="G607" i="9" s="1"/>
  <c r="G679" i="9" s="1"/>
  <c r="G751" i="9" s="1"/>
  <c r="G823" i="9" s="1"/>
  <c r="G895" i="9" s="1"/>
  <c r="G967" i="9" s="1"/>
  <c r="G1039" i="9" s="1"/>
  <c r="G1111" i="9" s="1"/>
  <c r="G1183" i="9" s="1"/>
  <c r="G1255" i="9" s="1"/>
  <c r="G176" i="9"/>
  <c r="G248" i="9" s="1"/>
  <c r="G320" i="9" s="1"/>
  <c r="G392" i="9" s="1"/>
  <c r="G464" i="9" s="1"/>
  <c r="G536" i="9" s="1"/>
  <c r="G608" i="9" s="1"/>
  <c r="G680" i="9" s="1"/>
  <c r="G752" i="9" s="1"/>
  <c r="G824" i="9" s="1"/>
  <c r="G896" i="9" s="1"/>
  <c r="G968" i="9" s="1"/>
  <c r="G1040" i="9" s="1"/>
  <c r="G1112" i="9" s="1"/>
  <c r="G1184" i="9" s="1"/>
  <c r="G1256" i="9" s="1"/>
  <c r="G237" i="9"/>
  <c r="G238" i="9"/>
  <c r="G239" i="9"/>
  <c r="G240" i="9"/>
  <c r="G241" i="9"/>
  <c r="G242" i="9"/>
  <c r="G243" i="9"/>
  <c r="G244" i="9"/>
  <c r="G245" i="9"/>
  <c r="G246" i="9"/>
  <c r="G318" i="9" s="1"/>
  <c r="G390" i="9" s="1"/>
  <c r="G462" i="9" s="1"/>
  <c r="G534" i="9" s="1"/>
  <c r="G606" i="9" s="1"/>
  <c r="G678" i="9" s="1"/>
  <c r="G750" i="9" s="1"/>
  <c r="G822" i="9" s="1"/>
  <c r="G894" i="9" s="1"/>
  <c r="G966" i="9" s="1"/>
  <c r="G1038" i="9" s="1"/>
  <c r="G1110" i="9" s="1"/>
  <c r="G1182" i="9" s="1"/>
  <c r="G1254" i="9" s="1"/>
  <c r="G309" i="9"/>
  <c r="G310" i="9"/>
  <c r="G311" i="9"/>
  <c r="G312" i="9"/>
  <c r="G313" i="9"/>
  <c r="G314" i="9"/>
  <c r="G315" i="9"/>
  <c r="G316" i="9"/>
  <c r="G317" i="9"/>
  <c r="G389" i="9" s="1"/>
  <c r="G461" i="9" s="1"/>
  <c r="G533" i="9" s="1"/>
  <c r="G605" i="9" s="1"/>
  <c r="G677" i="9" s="1"/>
  <c r="G749" i="9" s="1"/>
  <c r="G821" i="9" s="1"/>
  <c r="G893" i="9" s="1"/>
  <c r="G965" i="9" s="1"/>
  <c r="G1037" i="9" s="1"/>
  <c r="G1109" i="9" s="1"/>
  <c r="G1181" i="9" s="1"/>
  <c r="G1253" i="9" s="1"/>
  <c r="G381" i="9"/>
  <c r="G382" i="9"/>
  <c r="G383" i="9"/>
  <c r="G384" i="9"/>
  <c r="G385" i="9"/>
  <c r="G386" i="9"/>
  <c r="G387" i="9"/>
  <c r="G388" i="9"/>
  <c r="G453" i="9"/>
  <c r="G454" i="9"/>
  <c r="G455" i="9"/>
  <c r="G456" i="9"/>
  <c r="G457" i="9"/>
  <c r="G458" i="9"/>
  <c r="G459" i="9"/>
  <c r="G460" i="9"/>
  <c r="G525" i="9"/>
  <c r="G526" i="9"/>
  <c r="G527" i="9"/>
  <c r="G528" i="9"/>
  <c r="G529" i="9"/>
  <c r="G530" i="9"/>
  <c r="G531" i="9"/>
  <c r="G532" i="9"/>
  <c r="G597" i="9"/>
  <c r="G598" i="9"/>
  <c r="G599" i="9"/>
  <c r="G600" i="9"/>
  <c r="G601" i="9"/>
  <c r="G602" i="9"/>
  <c r="G603" i="9"/>
  <c r="G604" i="9"/>
  <c r="G669" i="9"/>
  <c r="G670" i="9"/>
  <c r="G671" i="9"/>
  <c r="G672" i="9"/>
  <c r="G673" i="9"/>
  <c r="G674" i="9"/>
  <c r="G675" i="9"/>
  <c r="G676" i="9"/>
  <c r="G741" i="9"/>
  <c r="G742" i="9"/>
  <c r="G743" i="9"/>
  <c r="G744" i="9"/>
  <c r="G745" i="9"/>
  <c r="G746" i="9"/>
  <c r="G747" i="9"/>
  <c r="G748" i="9"/>
  <c r="G813" i="9"/>
  <c r="G814" i="9"/>
  <c r="G815" i="9"/>
  <c r="G816" i="9"/>
  <c r="G817" i="9"/>
  <c r="G818" i="9"/>
  <c r="G819" i="9"/>
  <c r="G820" i="9"/>
  <c r="G885" i="9"/>
  <c r="G886" i="9"/>
  <c r="G887" i="9"/>
  <c r="G888" i="9"/>
  <c r="G889" i="9"/>
  <c r="G890" i="9"/>
  <c r="G891" i="9"/>
  <c r="G892" i="9"/>
  <c r="G957" i="9"/>
  <c r="G958" i="9"/>
  <c r="G959" i="9"/>
  <c r="G960" i="9"/>
  <c r="G961" i="9"/>
  <c r="G962" i="9"/>
  <c r="G963" i="9"/>
  <c r="G964" i="9"/>
  <c r="G1029" i="9"/>
  <c r="G1030" i="9"/>
  <c r="G1031" i="9"/>
  <c r="G1032" i="9"/>
  <c r="G1033" i="9"/>
  <c r="G1034" i="9"/>
  <c r="G1035" i="9"/>
  <c r="G1036" i="9"/>
  <c r="G1101" i="9"/>
  <c r="G1102" i="9"/>
  <c r="G1103" i="9"/>
  <c r="G1175" i="9" s="1"/>
  <c r="G1247" i="9" s="1"/>
  <c r="G1104" i="9"/>
  <c r="G1105" i="9"/>
  <c r="G1106" i="9"/>
  <c r="G1107" i="9"/>
  <c r="G1108" i="9"/>
  <c r="G1173" i="9"/>
  <c r="G1174" i="9"/>
  <c r="G1176" i="9"/>
  <c r="G1177" i="9"/>
  <c r="G1178" i="9"/>
  <c r="G1179" i="9"/>
  <c r="G1180" i="9"/>
  <c r="G1245" i="9"/>
  <c r="G1246" i="9"/>
  <c r="G1248" i="9"/>
  <c r="G1249" i="9"/>
  <c r="G1250" i="9"/>
  <c r="G1251" i="9"/>
  <c r="G1252" i="9"/>
  <c r="K9" i="9"/>
  <c r="W10" i="9"/>
  <c r="K8" i="9"/>
  <c r="J8" i="9"/>
  <c r="N8" i="9" l="1"/>
  <c r="J9" i="9" l="1"/>
  <c r="N9" i="9" l="1"/>
  <c r="H10" i="9"/>
  <c r="P22" i="3" l="1"/>
  <c r="O22" i="3"/>
  <c r="E13" i="2" l="1"/>
  <c r="E14" i="2"/>
  <c r="H14" i="8" l="1"/>
  <c r="N19" i="9" l="1"/>
  <c r="V10" i="9"/>
  <c r="U10" i="9" l="1"/>
  <c r="M19" i="9" s="1"/>
  <c r="E22" i="3"/>
  <c r="D22" i="3"/>
  <c r="C22" i="3"/>
  <c r="T10" i="9"/>
  <c r="M18" i="9" l="1"/>
  <c r="D20" i="9"/>
  <c r="AE19" i="9"/>
  <c r="AA19" i="9"/>
  <c r="X19" i="9"/>
  <c r="U19" i="9"/>
  <c r="R19" i="9"/>
  <c r="O19" i="9"/>
  <c r="AB19" i="9" s="1"/>
  <c r="E19" i="9"/>
  <c r="O18" i="9"/>
  <c r="N18" i="9"/>
  <c r="AA10" i="9"/>
  <c r="Z10" i="9" s="1"/>
  <c r="Y10" i="9"/>
  <c r="X10" i="9"/>
  <c r="S10" i="9"/>
  <c r="P10" i="9"/>
  <c r="O10" i="9"/>
  <c r="D12" i="8"/>
  <c r="D13" i="8" s="1"/>
  <c r="D14" i="8" s="1"/>
  <c r="D15" i="8" s="1"/>
  <c r="D11" i="8"/>
  <c r="D6" i="8"/>
  <c r="D7" i="8" s="1"/>
  <c r="D8" i="8" s="1"/>
  <c r="AI19" i="9" l="1"/>
  <c r="D21" i="9"/>
  <c r="AB18" i="9"/>
  <c r="AG19" i="9"/>
  <c r="Q19" i="9"/>
  <c r="AF18" i="9"/>
  <c r="P18" i="9"/>
  <c r="Q18" i="9"/>
  <c r="AF19" i="9"/>
  <c r="S18" i="9"/>
  <c r="V18" i="9"/>
  <c r="AB10" i="9"/>
  <c r="M13" i="9"/>
  <c r="P19" i="9"/>
  <c r="C20" i="9"/>
  <c r="I5" i="8"/>
  <c r="I6" i="8"/>
  <c r="I7" i="8"/>
  <c r="I8" i="8"/>
  <c r="I9" i="8"/>
  <c r="I10" i="8"/>
  <c r="I11" i="8"/>
  <c r="I12" i="8"/>
  <c r="I13" i="8"/>
  <c r="I14" i="8"/>
  <c r="J14" i="8" s="1"/>
  <c r="I15" i="8"/>
  <c r="H5" i="8"/>
  <c r="H6" i="8"/>
  <c r="H7" i="8"/>
  <c r="H8" i="8"/>
  <c r="H9" i="8"/>
  <c r="H10" i="8"/>
  <c r="H11" i="8"/>
  <c r="H12" i="8"/>
  <c r="H13" i="8"/>
  <c r="H15" i="8"/>
  <c r="H4" i="8"/>
  <c r="G4" i="4"/>
  <c r="H4" i="4" s="1"/>
  <c r="I4" i="4" s="1"/>
  <c r="J4" i="4" s="1"/>
  <c r="D22" i="9" l="1"/>
  <c r="D23" i="9" s="1"/>
  <c r="M20" i="9"/>
  <c r="O20" i="9"/>
  <c r="J11" i="8"/>
  <c r="J7" i="8"/>
  <c r="V19" i="9"/>
  <c r="S19" i="9"/>
  <c r="J9" i="8"/>
  <c r="E20" i="9"/>
  <c r="N20" i="9"/>
  <c r="C21" i="9"/>
  <c r="M21" i="9" s="1"/>
  <c r="J13" i="8"/>
  <c r="J5" i="8"/>
  <c r="J10" i="8"/>
  <c r="J6" i="8"/>
  <c r="J12" i="8"/>
  <c r="J8" i="8"/>
  <c r="J15" i="8"/>
  <c r="C4" i="7"/>
  <c r="F18" i="4"/>
  <c r="G18" i="4" s="1"/>
  <c r="H18" i="4" s="1"/>
  <c r="I18" i="4" s="1"/>
  <c r="J18" i="4" s="1"/>
  <c r="K18" i="4" s="1"/>
  <c r="C5" i="7"/>
  <c r="P20" i="9" l="1"/>
  <c r="AB20" i="9"/>
  <c r="Q20" i="9"/>
  <c r="AF20" i="9"/>
  <c r="AE20" i="9" s="1"/>
  <c r="V20" i="9"/>
  <c r="S20" i="9"/>
  <c r="N21" i="9"/>
  <c r="E21" i="9"/>
  <c r="O21" i="9"/>
  <c r="D24" i="9"/>
  <c r="C22" i="9"/>
  <c r="C23" i="9" s="1"/>
  <c r="M23" i="9" s="1"/>
  <c r="F47" i="4"/>
  <c r="G47" i="4" s="1"/>
  <c r="H47" i="4" s="1"/>
  <c r="I47" i="4" s="1"/>
  <c r="J47" i="4" s="1"/>
  <c r="K47" i="4" s="1"/>
  <c r="G33" i="4"/>
  <c r="H33" i="4" s="1"/>
  <c r="I33" i="4" s="1"/>
  <c r="J33" i="4" s="1"/>
  <c r="K33" i="4" s="1"/>
  <c r="M22" i="9" l="1"/>
  <c r="V21" i="9"/>
  <c r="S21" i="9"/>
  <c r="N23" i="9"/>
  <c r="E23" i="9"/>
  <c r="AB21" i="9"/>
  <c r="P21" i="9"/>
  <c r="AF21" i="9"/>
  <c r="AE21" i="9" s="1"/>
  <c r="Q21" i="9"/>
  <c r="E22" i="9"/>
  <c r="N22" i="9"/>
  <c r="O22" i="9"/>
  <c r="O23" i="9"/>
  <c r="D25" i="9"/>
  <c r="C24" i="9"/>
  <c r="O24" i="9" s="1"/>
  <c r="C11" i="7"/>
  <c r="C6" i="7"/>
  <c r="C10" i="7"/>
  <c r="S23" i="9" l="1"/>
  <c r="M24" i="9"/>
  <c r="AF24" i="9"/>
  <c r="Q24" i="9"/>
  <c r="AB24" i="9"/>
  <c r="P24" i="9"/>
  <c r="Q23" i="9"/>
  <c r="AB23" i="9"/>
  <c r="P23" i="9"/>
  <c r="AF23" i="9"/>
  <c r="E24" i="9"/>
  <c r="N24" i="9"/>
  <c r="C25" i="9"/>
  <c r="M25" i="9" s="1"/>
  <c r="D26" i="9"/>
  <c r="AF22" i="9"/>
  <c r="AE22" i="9" s="1"/>
  <c r="Q22" i="9"/>
  <c r="AB22" i="9"/>
  <c r="P22" i="9"/>
  <c r="S22" i="9"/>
  <c r="V22" i="9"/>
  <c r="V23" i="9"/>
  <c r="C7" i="7"/>
  <c r="C12" i="7"/>
  <c r="O25" i="9" l="1"/>
  <c r="AB25" i="9" s="1"/>
  <c r="AE23" i="9"/>
  <c r="AE24" i="9" s="1"/>
  <c r="C26" i="9"/>
  <c r="M26" i="9" s="1"/>
  <c r="D27" i="9"/>
  <c r="N25" i="9"/>
  <c r="E25" i="9"/>
  <c r="S24" i="9"/>
  <c r="V24" i="9"/>
  <c r="C13" i="7"/>
  <c r="K4" i="4"/>
  <c r="C9" i="7" s="1"/>
  <c r="C8" i="7"/>
  <c r="P25" i="9" l="1"/>
  <c r="AF25" i="9"/>
  <c r="AE25" i="9" s="1"/>
  <c r="Q25" i="9"/>
  <c r="V25" i="9"/>
  <c r="S25" i="9"/>
  <c r="D28" i="9"/>
  <c r="C27" i="9"/>
  <c r="M27" i="9" s="1"/>
  <c r="N26" i="9"/>
  <c r="O26" i="9"/>
  <c r="C15" i="7"/>
  <c r="C14" i="7"/>
  <c r="I4" i="8"/>
  <c r="J4" i="8" s="1"/>
  <c r="E26" i="9" s="1"/>
  <c r="I2" i="8"/>
  <c r="J2" i="8"/>
  <c r="G2" i="8"/>
  <c r="F2" i="8"/>
  <c r="E15" i="8"/>
  <c r="E14" i="8"/>
  <c r="E13" i="8"/>
  <c r="E12" i="8"/>
  <c r="E11" i="8"/>
  <c r="E10" i="8"/>
  <c r="E9" i="8"/>
  <c r="E8" i="8"/>
  <c r="E7" i="8"/>
  <c r="E6" i="8"/>
  <c r="E5" i="8"/>
  <c r="E4" i="8"/>
  <c r="E10" i="9" l="1"/>
  <c r="D29" i="9"/>
  <c r="C28" i="9"/>
  <c r="O28" i="9" s="1"/>
  <c r="AF26" i="9"/>
  <c r="AE26" i="9" s="1"/>
  <c r="Q26" i="9"/>
  <c r="AB26" i="9"/>
  <c r="P26" i="9"/>
  <c r="S26" i="9"/>
  <c r="V26" i="9"/>
  <c r="N27" i="9"/>
  <c r="E27" i="9"/>
  <c r="O27" i="9"/>
  <c r="M28" i="9" l="1"/>
  <c r="Q10" i="9"/>
  <c r="R10" i="9" s="1"/>
  <c r="AE13" i="9" s="1"/>
  <c r="AG13" i="9" s="1"/>
  <c r="D10" i="9"/>
  <c r="F10" i="9" s="1"/>
  <c r="G19" i="9"/>
  <c r="AF28" i="9"/>
  <c r="Q28" i="9"/>
  <c r="P28" i="9"/>
  <c r="AB28" i="9"/>
  <c r="AF27" i="9"/>
  <c r="AE27" i="9" s="1"/>
  <c r="AB27" i="9"/>
  <c r="P27" i="9"/>
  <c r="Q27" i="9"/>
  <c r="V27" i="9"/>
  <c r="S27" i="9"/>
  <c r="C29" i="9"/>
  <c r="M29" i="9" s="1"/>
  <c r="D30" i="9"/>
  <c r="E28" i="9"/>
  <c r="N28" i="9"/>
  <c r="J19" i="9" l="1"/>
  <c r="AE28" i="9"/>
  <c r="N29" i="9"/>
  <c r="E29" i="9"/>
  <c r="O29" i="9"/>
  <c r="S28" i="9"/>
  <c r="V28" i="9"/>
  <c r="C30" i="9"/>
  <c r="O30" i="9" s="1"/>
  <c r="D31" i="9"/>
  <c r="M30" i="9" l="1"/>
  <c r="V29" i="9"/>
  <c r="S29" i="9"/>
  <c r="D32" i="9"/>
  <c r="C31" i="9"/>
  <c r="O31" i="9" s="1"/>
  <c r="E30" i="9"/>
  <c r="N30" i="9"/>
  <c r="AF30" i="9"/>
  <c r="Q30" i="9"/>
  <c r="AB30" i="9"/>
  <c r="P30" i="9"/>
  <c r="AB29" i="9"/>
  <c r="P29" i="9"/>
  <c r="AF29" i="9"/>
  <c r="AE29" i="9" s="1"/>
  <c r="Q29" i="9"/>
  <c r="M31" i="9" l="1"/>
  <c r="AE30" i="9"/>
  <c r="AB31" i="9"/>
  <c r="P31" i="9"/>
  <c r="Q31" i="9"/>
  <c r="AF31" i="9"/>
  <c r="D33" i="9"/>
  <c r="C32" i="9"/>
  <c r="M32" i="9" s="1"/>
  <c r="S30" i="9"/>
  <c r="V30" i="9"/>
  <c r="N31" i="9"/>
  <c r="E31" i="9"/>
  <c r="E148" i="6"/>
  <c r="E220" i="6" s="1"/>
  <c r="E147" i="6"/>
  <c r="E219" i="6" s="1"/>
  <c r="E146" i="6"/>
  <c r="E218" i="6" s="1"/>
  <c r="E145" i="6"/>
  <c r="E217" i="6" s="1"/>
  <c r="E144" i="6"/>
  <c r="E216" i="6" s="1"/>
  <c r="E143" i="6"/>
  <c r="E215" i="6" s="1"/>
  <c r="E142" i="6"/>
  <c r="E214" i="6" s="1"/>
  <c r="E141" i="6"/>
  <c r="E213" i="6" s="1"/>
  <c r="E140" i="6"/>
  <c r="E212" i="6" s="1"/>
  <c r="E139" i="6"/>
  <c r="E211" i="6" s="1"/>
  <c r="E138" i="6"/>
  <c r="E210" i="6" s="1"/>
  <c r="E137" i="6"/>
  <c r="E209" i="6" s="1"/>
  <c r="E136" i="6"/>
  <c r="E208" i="6" s="1"/>
  <c r="E135" i="6"/>
  <c r="E207" i="6" s="1"/>
  <c r="E134" i="6"/>
  <c r="E206" i="6" s="1"/>
  <c r="E133" i="6"/>
  <c r="E205" i="6" s="1"/>
  <c r="E132" i="6"/>
  <c r="E204" i="6" s="1"/>
  <c r="E131" i="6"/>
  <c r="E203" i="6" s="1"/>
  <c r="E130" i="6"/>
  <c r="E202" i="6" s="1"/>
  <c r="E129" i="6"/>
  <c r="E201" i="6" s="1"/>
  <c r="E128" i="6"/>
  <c r="E200" i="6" s="1"/>
  <c r="E127" i="6"/>
  <c r="E199" i="6" s="1"/>
  <c r="E126" i="6"/>
  <c r="E198" i="6" s="1"/>
  <c r="E125" i="6"/>
  <c r="E197" i="6" s="1"/>
  <c r="E124" i="6"/>
  <c r="E196" i="6" s="1"/>
  <c r="E123" i="6"/>
  <c r="E195" i="6" s="1"/>
  <c r="E122" i="6"/>
  <c r="E194" i="6" s="1"/>
  <c r="E121" i="6"/>
  <c r="E193" i="6" s="1"/>
  <c r="E120" i="6"/>
  <c r="E192" i="6" s="1"/>
  <c r="E119" i="6"/>
  <c r="E191" i="6" s="1"/>
  <c r="E118" i="6"/>
  <c r="E190" i="6" s="1"/>
  <c r="E117" i="6"/>
  <c r="E189" i="6" s="1"/>
  <c r="E116" i="6"/>
  <c r="E188" i="6" s="1"/>
  <c r="E115" i="6"/>
  <c r="E187" i="6" s="1"/>
  <c r="E114" i="6"/>
  <c r="E186" i="6" s="1"/>
  <c r="E113" i="6"/>
  <c r="E185" i="6" s="1"/>
  <c r="E112" i="6"/>
  <c r="E184" i="6" s="1"/>
  <c r="E111" i="6"/>
  <c r="E183" i="6" s="1"/>
  <c r="E110" i="6"/>
  <c r="E182" i="6" s="1"/>
  <c r="E109" i="6"/>
  <c r="E181" i="6" s="1"/>
  <c r="E108" i="6"/>
  <c r="E180" i="6" s="1"/>
  <c r="E107" i="6"/>
  <c r="E179" i="6" s="1"/>
  <c r="E106" i="6"/>
  <c r="E178" i="6" s="1"/>
  <c r="E105" i="6"/>
  <c r="E177" i="6" s="1"/>
  <c r="E104" i="6"/>
  <c r="E176" i="6" s="1"/>
  <c r="E103" i="6"/>
  <c r="E175" i="6" s="1"/>
  <c r="E102" i="6"/>
  <c r="E174" i="6" s="1"/>
  <c r="E101" i="6"/>
  <c r="E173" i="6" s="1"/>
  <c r="E100" i="6"/>
  <c r="E172" i="6" s="1"/>
  <c r="E244" i="6" s="1"/>
  <c r="E99" i="6"/>
  <c r="E171" i="6" s="1"/>
  <c r="E243" i="6" s="1"/>
  <c r="E98" i="6"/>
  <c r="E170" i="6" s="1"/>
  <c r="E242" i="6" s="1"/>
  <c r="E97" i="6"/>
  <c r="E169" i="6" s="1"/>
  <c r="E241" i="6" s="1"/>
  <c r="E96" i="6"/>
  <c r="E168" i="6" s="1"/>
  <c r="E240" i="6" s="1"/>
  <c r="E95" i="6"/>
  <c r="E167" i="6" s="1"/>
  <c r="E239" i="6" s="1"/>
  <c r="E94" i="6"/>
  <c r="E166" i="6" s="1"/>
  <c r="E238" i="6" s="1"/>
  <c r="E93" i="6"/>
  <c r="E165" i="6" s="1"/>
  <c r="E237" i="6" s="1"/>
  <c r="E92" i="6"/>
  <c r="E164" i="6" s="1"/>
  <c r="E236" i="6" s="1"/>
  <c r="E91" i="6"/>
  <c r="E90" i="6"/>
  <c r="E162" i="6" s="1"/>
  <c r="E234" i="6" s="1"/>
  <c r="E89" i="6"/>
  <c r="E161" i="6" s="1"/>
  <c r="E233" i="6" s="1"/>
  <c r="E88" i="6"/>
  <c r="E160" i="6" s="1"/>
  <c r="E232" i="6" s="1"/>
  <c r="E87" i="6"/>
  <c r="E159" i="6" s="1"/>
  <c r="E231" i="6" s="1"/>
  <c r="E86" i="6"/>
  <c r="E158" i="6" s="1"/>
  <c r="E230" i="6" s="1"/>
  <c r="E85" i="6"/>
  <c r="E157" i="6" s="1"/>
  <c r="E229" i="6" s="1"/>
  <c r="E84" i="6"/>
  <c r="E156" i="6" s="1"/>
  <c r="E228" i="6" s="1"/>
  <c r="E83" i="6"/>
  <c r="E155" i="6" s="1"/>
  <c r="E227" i="6" s="1"/>
  <c r="E82" i="6"/>
  <c r="E154" i="6" s="1"/>
  <c r="E226" i="6" s="1"/>
  <c r="E81" i="6"/>
  <c r="E153" i="6" s="1"/>
  <c r="E225" i="6" s="1"/>
  <c r="E80" i="6"/>
  <c r="E152" i="6" s="1"/>
  <c r="E224" i="6" s="1"/>
  <c r="E79" i="6"/>
  <c r="E151" i="6" s="1"/>
  <c r="E223" i="6" s="1"/>
  <c r="E78" i="6"/>
  <c r="E150" i="6" s="1"/>
  <c r="E222" i="6" s="1"/>
  <c r="E77" i="6"/>
  <c r="E149" i="6" s="1"/>
  <c r="E221" i="6" s="1"/>
  <c r="E76" i="6"/>
  <c r="E75" i="6"/>
  <c r="E74" i="6"/>
  <c r="E73" i="6"/>
  <c r="E72" i="6"/>
  <c r="E71" i="6"/>
  <c r="E70" i="6"/>
  <c r="E69" i="6"/>
  <c r="E68" i="6"/>
  <c r="E67" i="6"/>
  <c r="E66" i="6"/>
  <c r="E65" i="6"/>
  <c r="E64" i="6"/>
  <c r="E63" i="6"/>
  <c r="E62" i="6"/>
  <c r="E61" i="6"/>
  <c r="E60" i="6"/>
  <c r="E59" i="6"/>
  <c r="E58" i="6"/>
  <c r="E57" i="6"/>
  <c r="E56" i="6"/>
  <c r="E55" i="6"/>
  <c r="E54" i="6"/>
  <c r="E53" i="6"/>
  <c r="E52" i="6"/>
  <c r="E51" i="6"/>
  <c r="E50" i="6"/>
  <c r="E49" i="6"/>
  <c r="E48" i="6"/>
  <c r="E47" i="6"/>
  <c r="E46" i="6"/>
  <c r="E45" i="6"/>
  <c r="E44" i="6"/>
  <c r="E43" i="6"/>
  <c r="E42" i="6"/>
  <c r="E41" i="6"/>
  <c r="E40" i="6"/>
  <c r="E39" i="6"/>
  <c r="E38" i="6"/>
  <c r="E37" i="6"/>
  <c r="E36" i="6"/>
  <c r="E35" i="6"/>
  <c r="E34" i="6"/>
  <c r="E33" i="6"/>
  <c r="E32" i="6"/>
  <c r="E31" i="6"/>
  <c r="E30" i="6"/>
  <c r="E29" i="6"/>
  <c r="E28" i="6"/>
  <c r="E27" i="6"/>
  <c r="E26" i="6"/>
  <c r="E25" i="6"/>
  <c r="E24" i="6"/>
  <c r="E23" i="6"/>
  <c r="E22" i="6"/>
  <c r="E21" i="6"/>
  <c r="E20" i="6"/>
  <c r="E19" i="6"/>
  <c r="E18" i="6"/>
  <c r="E17" i="6"/>
  <c r="E16" i="6"/>
  <c r="E15" i="6"/>
  <c r="E14" i="6"/>
  <c r="E13" i="6"/>
  <c r="E12" i="6"/>
  <c r="E11" i="6"/>
  <c r="E10" i="6"/>
  <c r="E9" i="6"/>
  <c r="E8" i="6"/>
  <c r="E7" i="6"/>
  <c r="E6" i="6"/>
  <c r="E5" i="6"/>
  <c r="D148" i="6"/>
  <c r="D147" i="6"/>
  <c r="D146" i="6"/>
  <c r="D145" i="6"/>
  <c r="D144" i="6"/>
  <c r="D143" i="6"/>
  <c r="D142" i="6"/>
  <c r="D141" i="6"/>
  <c r="D140" i="6"/>
  <c r="D139" i="6"/>
  <c r="D138" i="6"/>
  <c r="D137" i="6"/>
  <c r="D136" i="6"/>
  <c r="D135" i="6"/>
  <c r="D134" i="6"/>
  <c r="D133" i="6"/>
  <c r="D132" i="6"/>
  <c r="D131" i="6"/>
  <c r="D130" i="6"/>
  <c r="D129" i="6"/>
  <c r="D128" i="6"/>
  <c r="D127" i="6"/>
  <c r="D126" i="6"/>
  <c r="D125" i="6"/>
  <c r="D124" i="6"/>
  <c r="D123" i="6"/>
  <c r="D122" i="6"/>
  <c r="D121" i="6"/>
  <c r="D120" i="6"/>
  <c r="D119" i="6"/>
  <c r="D118" i="6"/>
  <c r="D117" i="6"/>
  <c r="D116" i="6"/>
  <c r="D115" i="6"/>
  <c r="D114" i="6"/>
  <c r="D113" i="6"/>
  <c r="D112" i="6"/>
  <c r="D111" i="6"/>
  <c r="D110" i="6"/>
  <c r="D109" i="6"/>
  <c r="D108" i="6"/>
  <c r="D107" i="6"/>
  <c r="D106" i="6"/>
  <c r="D105" i="6"/>
  <c r="D104" i="6"/>
  <c r="D103" i="6"/>
  <c r="D102" i="6"/>
  <c r="D101" i="6"/>
  <c r="D100" i="6"/>
  <c r="D99" i="6"/>
  <c r="D98" i="6"/>
  <c r="D97" i="6"/>
  <c r="D96" i="6"/>
  <c r="D95" i="6"/>
  <c r="D94" i="6"/>
  <c r="D93" i="6"/>
  <c r="D92" i="6"/>
  <c r="D91" i="6"/>
  <c r="D90" i="6"/>
  <c r="D89" i="6"/>
  <c r="D88" i="6"/>
  <c r="D87" i="6"/>
  <c r="D86" i="6"/>
  <c r="D85" i="6"/>
  <c r="D84" i="6"/>
  <c r="D83" i="6"/>
  <c r="D82" i="6"/>
  <c r="D81" i="6"/>
  <c r="D80" i="6"/>
  <c r="D79" i="6"/>
  <c r="D78" i="6"/>
  <c r="D77" i="6"/>
  <c r="B125" i="6"/>
  <c r="D76" i="6"/>
  <c r="D75" i="6"/>
  <c r="D74" i="6"/>
  <c r="D73" i="6"/>
  <c r="D72" i="6"/>
  <c r="D71" i="6"/>
  <c r="D70" i="6"/>
  <c r="D69" i="6"/>
  <c r="D68" i="6"/>
  <c r="D67" i="6"/>
  <c r="D66" i="6"/>
  <c r="D65" i="6"/>
  <c r="D64" i="6"/>
  <c r="D63" i="6"/>
  <c r="D62" i="6"/>
  <c r="D61" i="6"/>
  <c r="D60" i="6"/>
  <c r="D59" i="6"/>
  <c r="D58" i="6"/>
  <c r="D57" i="6"/>
  <c r="D56" i="6"/>
  <c r="D55" i="6"/>
  <c r="D54" i="6"/>
  <c r="D53" i="6"/>
  <c r="D52" i="6"/>
  <c r="D51" i="6"/>
  <c r="D50" i="6"/>
  <c r="D49" i="6"/>
  <c r="D48" i="6"/>
  <c r="D47" i="6"/>
  <c r="D46" i="6"/>
  <c r="D45" i="6"/>
  <c r="D44" i="6"/>
  <c r="D43" i="6"/>
  <c r="D42" i="6"/>
  <c r="D41" i="6"/>
  <c r="D40" i="6"/>
  <c r="D39" i="6"/>
  <c r="D38" i="6"/>
  <c r="D37" i="6"/>
  <c r="D36" i="6"/>
  <c r="D35" i="6"/>
  <c r="D34" i="6"/>
  <c r="D33" i="6"/>
  <c r="D32" i="6"/>
  <c r="D31" i="6"/>
  <c r="D30" i="6"/>
  <c r="D29" i="6"/>
  <c r="D28" i="6"/>
  <c r="D27" i="6"/>
  <c r="D26" i="6"/>
  <c r="D25" i="6"/>
  <c r="D24" i="6"/>
  <c r="D23" i="6"/>
  <c r="D22" i="6"/>
  <c r="D21" i="6"/>
  <c r="D20" i="6"/>
  <c r="D19" i="6"/>
  <c r="D18" i="6"/>
  <c r="D17" i="6"/>
  <c r="D16" i="6"/>
  <c r="D15" i="6"/>
  <c r="D14" i="6"/>
  <c r="D13" i="6"/>
  <c r="D12" i="6"/>
  <c r="D11" i="6"/>
  <c r="D10" i="6"/>
  <c r="D9" i="6"/>
  <c r="D8" i="6"/>
  <c r="D7" i="6"/>
  <c r="D6" i="6"/>
  <c r="D5" i="6"/>
  <c r="F18" i="9" s="1"/>
  <c r="L18" i="9" s="1"/>
  <c r="N8" i="3"/>
  <c r="M8" i="3"/>
  <c r="L8" i="3"/>
  <c r="K8" i="3"/>
  <c r="J8" i="3"/>
  <c r="I8" i="3"/>
  <c r="H8" i="3"/>
  <c r="G8" i="3"/>
  <c r="G7" i="3"/>
  <c r="F8" i="3"/>
  <c r="N7" i="3"/>
  <c r="M7" i="3"/>
  <c r="L7" i="3"/>
  <c r="K7" i="3"/>
  <c r="J7" i="3"/>
  <c r="I7" i="3"/>
  <c r="H7" i="3"/>
  <c r="F7" i="3"/>
  <c r="E163" i="6" l="1"/>
  <c r="E235" i="6" s="1"/>
  <c r="AE31" i="9"/>
  <c r="F31" i="9"/>
  <c r="F23" i="9"/>
  <c r="F20" i="9"/>
  <c r="F24" i="9"/>
  <c r="F28" i="9"/>
  <c r="F21" i="9"/>
  <c r="F25" i="9"/>
  <c r="F29" i="9"/>
  <c r="F27" i="9"/>
  <c r="F22" i="9"/>
  <c r="F26" i="9"/>
  <c r="F30" i="9"/>
  <c r="E32" i="9"/>
  <c r="N32" i="9"/>
  <c r="F32" i="9"/>
  <c r="O32" i="9"/>
  <c r="V31" i="9"/>
  <c r="S31" i="9"/>
  <c r="C33" i="9"/>
  <c r="M33" i="9" s="1"/>
  <c r="D34" i="9"/>
  <c r="F19" i="9"/>
  <c r="D220" i="6"/>
  <c r="D149" i="6"/>
  <c r="D153" i="6"/>
  <c r="D225" i="6" s="1"/>
  <c r="D164" i="6"/>
  <c r="D236" i="6" s="1"/>
  <c r="D151" i="6"/>
  <c r="D223" i="6" s="1"/>
  <c r="D159" i="6"/>
  <c r="D231" i="6" s="1"/>
  <c r="D167" i="6"/>
  <c r="D239" i="6" s="1"/>
  <c r="D179" i="6"/>
  <c r="D187" i="6"/>
  <c r="D195" i="6"/>
  <c r="D207" i="6"/>
  <c r="D215" i="6"/>
  <c r="D155" i="6"/>
  <c r="D227" i="6" s="1"/>
  <c r="D163" i="6"/>
  <c r="D235" i="6" s="1"/>
  <c r="D171" i="6"/>
  <c r="D243" i="6" s="1"/>
  <c r="D175" i="6"/>
  <c r="D183" i="6"/>
  <c r="D191" i="6"/>
  <c r="D199" i="6"/>
  <c r="D203" i="6"/>
  <c r="D211" i="6"/>
  <c r="D219" i="6"/>
  <c r="D150" i="6"/>
  <c r="D154" i="6"/>
  <c r="D226" i="6" s="1"/>
  <c r="D158" i="6"/>
  <c r="D230" i="6" s="1"/>
  <c r="D162" i="6"/>
  <c r="D234" i="6" s="1"/>
  <c r="D166" i="6"/>
  <c r="D238" i="6" s="1"/>
  <c r="D170" i="6"/>
  <c r="D242" i="6" s="1"/>
  <c r="D174" i="6"/>
  <c r="D178" i="6"/>
  <c r="D182" i="6"/>
  <c r="D186" i="6"/>
  <c r="D190" i="6"/>
  <c r="D194" i="6"/>
  <c r="D198" i="6"/>
  <c r="D202" i="6"/>
  <c r="D206" i="6"/>
  <c r="D210" i="6"/>
  <c r="D214" i="6"/>
  <c r="D218" i="6"/>
  <c r="D152" i="6"/>
  <c r="D224" i="6" s="1"/>
  <c r="D176" i="6"/>
  <c r="D188" i="6"/>
  <c r="D196" i="6"/>
  <c r="D208" i="6"/>
  <c r="D216" i="6"/>
  <c r="D156" i="6"/>
  <c r="D228" i="6" s="1"/>
  <c r="D160" i="6"/>
  <c r="D232" i="6" s="1"/>
  <c r="D168" i="6"/>
  <c r="D240" i="6" s="1"/>
  <c r="D172" i="6"/>
  <c r="D244" i="6" s="1"/>
  <c r="D180" i="6"/>
  <c r="D184" i="6"/>
  <c r="D192" i="6"/>
  <c r="D200" i="6"/>
  <c r="D204" i="6"/>
  <c r="D212" i="6"/>
  <c r="D157" i="6"/>
  <c r="D229" i="6" s="1"/>
  <c r="D161" i="6"/>
  <c r="D233" i="6" s="1"/>
  <c r="D165" i="6"/>
  <c r="D237" i="6" s="1"/>
  <c r="D169" i="6"/>
  <c r="D241" i="6" s="1"/>
  <c r="D173" i="6"/>
  <c r="D177" i="6"/>
  <c r="D181" i="6"/>
  <c r="D185" i="6"/>
  <c r="D189" i="6"/>
  <c r="D193" i="6"/>
  <c r="D197" i="6"/>
  <c r="D201" i="6"/>
  <c r="D205" i="6"/>
  <c r="D209" i="6"/>
  <c r="D213" i="6"/>
  <c r="D217" i="6"/>
  <c r="I20" i="9" l="1"/>
  <c r="I19" i="9"/>
  <c r="L32" i="9"/>
  <c r="L20" i="9"/>
  <c r="L22" i="9"/>
  <c r="L27" i="9"/>
  <c r="L29" i="9"/>
  <c r="L25" i="9"/>
  <c r="L21" i="9"/>
  <c r="L24" i="9"/>
  <c r="L23" i="9"/>
  <c r="L31" i="9"/>
  <c r="L30" i="9"/>
  <c r="L26" i="9"/>
  <c r="L28" i="9"/>
  <c r="L19" i="9"/>
  <c r="S32" i="9"/>
  <c r="V32" i="9"/>
  <c r="C34" i="9"/>
  <c r="O34" i="9" s="1"/>
  <c r="D35" i="9"/>
  <c r="N33" i="9"/>
  <c r="F33" i="9"/>
  <c r="E33" i="9"/>
  <c r="AF32" i="9"/>
  <c r="AE32" i="9" s="1"/>
  <c r="Q32" i="9"/>
  <c r="AB32" i="9"/>
  <c r="P32" i="9"/>
  <c r="D222" i="6"/>
  <c r="D221" i="6"/>
  <c r="F244" i="6"/>
  <c r="F243" i="6"/>
  <c r="F242" i="6"/>
  <c r="F241" i="6"/>
  <c r="F240" i="6"/>
  <c r="F239" i="6"/>
  <c r="F238" i="6"/>
  <c r="F237" i="6"/>
  <c r="F236" i="6"/>
  <c r="F235" i="6"/>
  <c r="F234" i="6"/>
  <c r="F233" i="6"/>
  <c r="F232" i="6"/>
  <c r="F231" i="6"/>
  <c r="F230" i="6"/>
  <c r="F229" i="6"/>
  <c r="F228" i="6"/>
  <c r="F227" i="6"/>
  <c r="F226" i="6"/>
  <c r="F225" i="6"/>
  <c r="F224" i="6"/>
  <c r="F223" i="6"/>
  <c r="F222" i="6"/>
  <c r="F221" i="6"/>
  <c r="F220" i="6"/>
  <c r="F219" i="6"/>
  <c r="F218" i="6"/>
  <c r="F217" i="6"/>
  <c r="F216" i="6"/>
  <c r="F215" i="6"/>
  <c r="F214" i="6"/>
  <c r="F213" i="6"/>
  <c r="F212" i="6"/>
  <c r="F211" i="6"/>
  <c r="F210" i="6"/>
  <c r="F209" i="6"/>
  <c r="H209" i="6" s="1"/>
  <c r="F208" i="6"/>
  <c r="F207" i="6"/>
  <c r="F206" i="6"/>
  <c r="F205" i="6"/>
  <c r="F204" i="6"/>
  <c r="F203" i="6"/>
  <c r="F202" i="6"/>
  <c r="F201" i="6"/>
  <c r="F200" i="6"/>
  <c r="F199" i="6"/>
  <c r="F198" i="6"/>
  <c r="F197" i="6"/>
  <c r="F196" i="6"/>
  <c r="F195" i="6"/>
  <c r="F194" i="6"/>
  <c r="F193" i="6"/>
  <c r="F192" i="6"/>
  <c r="F191" i="6"/>
  <c r="F190" i="6"/>
  <c r="F189" i="6"/>
  <c r="F188" i="6"/>
  <c r="F187" i="6"/>
  <c r="F186" i="6"/>
  <c r="F185" i="6"/>
  <c r="H185" i="6" s="1"/>
  <c r="F184" i="6"/>
  <c r="F183" i="6"/>
  <c r="F182" i="6"/>
  <c r="F181" i="6"/>
  <c r="F180" i="6"/>
  <c r="F179" i="6"/>
  <c r="F178" i="6"/>
  <c r="F177" i="6"/>
  <c r="F176" i="6"/>
  <c r="F175" i="6"/>
  <c r="F174" i="6"/>
  <c r="F173" i="6"/>
  <c r="F172" i="6"/>
  <c r="F171" i="6"/>
  <c r="F170" i="6"/>
  <c r="F169" i="6"/>
  <c r="F168" i="6"/>
  <c r="F167" i="6"/>
  <c r="F166" i="6"/>
  <c r="F165" i="6"/>
  <c r="F164" i="6"/>
  <c r="F163" i="6"/>
  <c r="F162" i="6"/>
  <c r="F161" i="6"/>
  <c r="H161" i="6" s="1"/>
  <c r="F160" i="6"/>
  <c r="F159" i="6"/>
  <c r="F158" i="6"/>
  <c r="F157" i="6"/>
  <c r="F156" i="6"/>
  <c r="F155" i="6"/>
  <c r="F154" i="6"/>
  <c r="F153" i="6"/>
  <c r="F152" i="6"/>
  <c r="F151" i="6"/>
  <c r="F150" i="6"/>
  <c r="F149" i="6"/>
  <c r="F148" i="6"/>
  <c r="F147" i="6"/>
  <c r="F146" i="6"/>
  <c r="F145" i="6"/>
  <c r="F144" i="6"/>
  <c r="F143" i="6"/>
  <c r="F142" i="6"/>
  <c r="F141" i="6"/>
  <c r="F140" i="6"/>
  <c r="F139" i="6"/>
  <c r="F138" i="6"/>
  <c r="F137" i="6"/>
  <c r="G137" i="6" s="1"/>
  <c r="F136" i="6"/>
  <c r="F135" i="6"/>
  <c r="F134" i="6"/>
  <c r="F133" i="6"/>
  <c r="F132" i="6"/>
  <c r="F131" i="6"/>
  <c r="F130" i="6"/>
  <c r="F129" i="6"/>
  <c r="F128" i="6"/>
  <c r="F127" i="6"/>
  <c r="F126" i="6"/>
  <c r="F125" i="6"/>
  <c r="H125" i="6" s="1"/>
  <c r="F124" i="6"/>
  <c r="F123" i="6"/>
  <c r="F122" i="6"/>
  <c r="F121" i="6"/>
  <c r="F120" i="6"/>
  <c r="F119" i="6"/>
  <c r="F118" i="6"/>
  <c r="F117" i="6"/>
  <c r="F116" i="6"/>
  <c r="F115" i="6"/>
  <c r="F114" i="6"/>
  <c r="F113" i="6"/>
  <c r="F112" i="6"/>
  <c r="F111" i="6"/>
  <c r="F110" i="6"/>
  <c r="F109" i="6"/>
  <c r="F108" i="6"/>
  <c r="F107" i="6"/>
  <c r="F106" i="6"/>
  <c r="F105" i="6"/>
  <c r="F104" i="6"/>
  <c r="F103" i="6"/>
  <c r="F102" i="6"/>
  <c r="F101" i="6"/>
  <c r="F100" i="6"/>
  <c r="F99" i="6"/>
  <c r="F98" i="6"/>
  <c r="F97" i="6"/>
  <c r="F96" i="6"/>
  <c r="F95" i="6"/>
  <c r="F94" i="6"/>
  <c r="F93" i="6"/>
  <c r="F92" i="6"/>
  <c r="F91" i="6"/>
  <c r="F90" i="6"/>
  <c r="F89" i="6"/>
  <c r="F88" i="6"/>
  <c r="F87" i="6"/>
  <c r="F86" i="6"/>
  <c r="F85" i="6"/>
  <c r="F84" i="6"/>
  <c r="F83" i="6"/>
  <c r="F82" i="6"/>
  <c r="F81" i="6"/>
  <c r="F80" i="6"/>
  <c r="F79" i="6"/>
  <c r="F78" i="6"/>
  <c r="F77" i="6"/>
  <c r="F76" i="6"/>
  <c r="F75" i="6"/>
  <c r="F74" i="6"/>
  <c r="F73" i="6"/>
  <c r="F72" i="6"/>
  <c r="F71" i="6"/>
  <c r="F70" i="6"/>
  <c r="F69" i="6"/>
  <c r="F68" i="6"/>
  <c r="F67" i="6"/>
  <c r="F66" i="6"/>
  <c r="F65" i="6"/>
  <c r="F64" i="6"/>
  <c r="F63" i="6"/>
  <c r="F62" i="6"/>
  <c r="F61" i="6"/>
  <c r="F60" i="6"/>
  <c r="F59" i="6"/>
  <c r="F58" i="6"/>
  <c r="F57" i="6"/>
  <c r="F56" i="6"/>
  <c r="F55" i="6"/>
  <c r="F54" i="6"/>
  <c r="F53" i="6"/>
  <c r="F52" i="6"/>
  <c r="F51" i="6"/>
  <c r="F50" i="6"/>
  <c r="F49" i="6"/>
  <c r="F48" i="6"/>
  <c r="F47" i="6"/>
  <c r="F46" i="6"/>
  <c r="F45" i="6"/>
  <c r="F44" i="6"/>
  <c r="F43" i="6"/>
  <c r="F42" i="6"/>
  <c r="F41" i="6"/>
  <c r="F40" i="6"/>
  <c r="F39" i="6"/>
  <c r="F38" i="6"/>
  <c r="F37" i="6"/>
  <c r="F36" i="6"/>
  <c r="F35" i="6"/>
  <c r="F34" i="6"/>
  <c r="F33" i="6"/>
  <c r="F32" i="6"/>
  <c r="F31" i="6"/>
  <c r="F30" i="6"/>
  <c r="F29" i="6"/>
  <c r="F28" i="6"/>
  <c r="F27" i="6"/>
  <c r="F26" i="6"/>
  <c r="F25" i="6"/>
  <c r="F24" i="6"/>
  <c r="F23" i="6"/>
  <c r="F22" i="6"/>
  <c r="F21" i="6"/>
  <c r="F20" i="6"/>
  <c r="F19" i="6"/>
  <c r="F18" i="6"/>
  <c r="F17" i="6"/>
  <c r="F16" i="6"/>
  <c r="F15" i="6"/>
  <c r="F14" i="6"/>
  <c r="F13" i="6"/>
  <c r="F12" i="6"/>
  <c r="F11" i="6"/>
  <c r="F10" i="6"/>
  <c r="F9" i="6"/>
  <c r="F8" i="6"/>
  <c r="F7" i="6"/>
  <c r="F6" i="6"/>
  <c r="F5" i="6"/>
  <c r="G3" i="6"/>
  <c r="K3" i="6" s="1"/>
  <c r="C234" i="6"/>
  <c r="C235" i="6" s="1"/>
  <c r="C222" i="6"/>
  <c r="H221" i="6"/>
  <c r="C210" i="6"/>
  <c r="C198" i="6"/>
  <c r="H197" i="6"/>
  <c r="C186" i="6"/>
  <c r="C175" i="6"/>
  <c r="C174" i="6"/>
  <c r="C162" i="6"/>
  <c r="C150" i="6"/>
  <c r="C151" i="6" s="1"/>
  <c r="C138" i="6"/>
  <c r="C126" i="6"/>
  <c r="C6" i="6"/>
  <c r="G5" i="6"/>
  <c r="E50" i="4"/>
  <c r="E51" i="4" s="1"/>
  <c r="E52" i="4" s="1"/>
  <c r="E53" i="4" s="1"/>
  <c r="E54" i="4" s="1"/>
  <c r="E55" i="4" s="1"/>
  <c r="E56" i="4" s="1"/>
  <c r="E57" i="4" s="1"/>
  <c r="E58" i="4" s="1"/>
  <c r="E59" i="4" s="1"/>
  <c r="E60" i="4" s="1"/>
  <c r="E36" i="4"/>
  <c r="E37" i="4" s="1"/>
  <c r="E38" i="4" s="1"/>
  <c r="E39" i="4" s="1"/>
  <c r="E40" i="4" s="1"/>
  <c r="E41" i="4" s="1"/>
  <c r="E42" i="4" s="1"/>
  <c r="E43" i="4" s="1"/>
  <c r="E44" i="4" s="1"/>
  <c r="E45" i="4" s="1"/>
  <c r="E46" i="4" s="1"/>
  <c r="E21" i="4"/>
  <c r="E22" i="4" s="1"/>
  <c r="E23" i="4" s="1"/>
  <c r="E24" i="4" s="1"/>
  <c r="E25" i="4" s="1"/>
  <c r="E26" i="4" s="1"/>
  <c r="E27" i="4" s="1"/>
  <c r="E28" i="4" s="1"/>
  <c r="E29" i="4" s="1"/>
  <c r="E30" i="4" s="1"/>
  <c r="E31" i="4" s="1"/>
  <c r="E7" i="4"/>
  <c r="E8" i="4" s="1"/>
  <c r="E9" i="4" s="1"/>
  <c r="E10" i="4" s="1"/>
  <c r="E11" i="4" s="1"/>
  <c r="E12" i="4" s="1"/>
  <c r="E13" i="4" s="1"/>
  <c r="E14" i="4" s="1"/>
  <c r="E15" i="4" s="1"/>
  <c r="E16" i="4" s="1"/>
  <c r="E17" i="4" s="1"/>
  <c r="L21" i="3"/>
  <c r="K21" i="3"/>
  <c r="C21" i="3"/>
  <c r="N20" i="3"/>
  <c r="L20" i="3"/>
  <c r="K20" i="3"/>
  <c r="C20" i="3"/>
  <c r="C19" i="3"/>
  <c r="C18" i="3"/>
  <c r="C17" i="3"/>
  <c r="C16" i="3"/>
  <c r="C15" i="3"/>
  <c r="C14" i="3"/>
  <c r="C13" i="3"/>
  <c r="C12" i="3"/>
  <c r="N11" i="3"/>
  <c r="L11" i="3"/>
  <c r="K11" i="3"/>
  <c r="C11" i="3"/>
  <c r="L10" i="3"/>
  <c r="K10" i="3"/>
  <c r="C10" i="3"/>
  <c r="N25" i="3"/>
  <c r="G21" i="3" s="1"/>
  <c r="L33" i="9" l="1"/>
  <c r="M34" i="9"/>
  <c r="N21" i="3"/>
  <c r="N19" i="3"/>
  <c r="N10" i="3"/>
  <c r="V33" i="9"/>
  <c r="D36" i="9"/>
  <c r="C35" i="9"/>
  <c r="O35" i="9" s="1"/>
  <c r="N34" i="9"/>
  <c r="E34" i="9"/>
  <c r="F34" i="9"/>
  <c r="AF34" i="9"/>
  <c r="Q34" i="9"/>
  <c r="AB34" i="9"/>
  <c r="P34" i="9"/>
  <c r="O33" i="9"/>
  <c r="F10" i="3"/>
  <c r="L13" i="3"/>
  <c r="H11" i="3"/>
  <c r="N12" i="3"/>
  <c r="F16" i="3"/>
  <c r="H17" i="3"/>
  <c r="J18" i="3"/>
  <c r="L19" i="3"/>
  <c r="J20" i="3"/>
  <c r="I10" i="3"/>
  <c r="F12" i="3"/>
  <c r="H13" i="3"/>
  <c r="J14" i="3"/>
  <c r="L15" i="3"/>
  <c r="N16" i="3"/>
  <c r="J10" i="3"/>
  <c r="J12" i="3"/>
  <c r="N14" i="3"/>
  <c r="F18" i="3"/>
  <c r="H19" i="3"/>
  <c r="F20" i="3"/>
  <c r="G10" i="3"/>
  <c r="I11" i="3"/>
  <c r="F14" i="3"/>
  <c r="H15" i="3"/>
  <c r="J16" i="3"/>
  <c r="L17" i="3"/>
  <c r="N18" i="3"/>
  <c r="H21" i="3"/>
  <c r="M11" i="3"/>
  <c r="G12" i="3"/>
  <c r="K12" i="3"/>
  <c r="I13" i="3"/>
  <c r="M13" i="3"/>
  <c r="G14" i="3"/>
  <c r="K14" i="3"/>
  <c r="I15" i="3"/>
  <c r="M15" i="3"/>
  <c r="G16" i="3"/>
  <c r="K16" i="3"/>
  <c r="I17" i="3"/>
  <c r="M17" i="3"/>
  <c r="G18" i="3"/>
  <c r="K18" i="3"/>
  <c r="I19" i="3"/>
  <c r="M19" i="3"/>
  <c r="G20" i="3"/>
  <c r="I21" i="3"/>
  <c r="M21" i="3"/>
  <c r="H10" i="3"/>
  <c r="F11" i="3"/>
  <c r="J11" i="3"/>
  <c r="H12" i="3"/>
  <c r="L12" i="3"/>
  <c r="F13" i="3"/>
  <c r="J13" i="3"/>
  <c r="N13" i="3"/>
  <c r="H14" i="3"/>
  <c r="L14" i="3"/>
  <c r="F15" i="3"/>
  <c r="J15" i="3"/>
  <c r="N15" i="3"/>
  <c r="H16" i="3"/>
  <c r="L16" i="3"/>
  <c r="F17" i="3"/>
  <c r="J17" i="3"/>
  <c r="N17" i="3"/>
  <c r="H18" i="3"/>
  <c r="L18" i="3"/>
  <c r="F19" i="3"/>
  <c r="J19" i="3"/>
  <c r="H20" i="3"/>
  <c r="F21" i="3"/>
  <c r="J21" i="3"/>
  <c r="M10" i="3"/>
  <c r="G11" i="3"/>
  <c r="I12" i="3"/>
  <c r="M12" i="3"/>
  <c r="G13" i="3"/>
  <c r="K13" i="3"/>
  <c r="I14" i="3"/>
  <c r="M14" i="3"/>
  <c r="G15" i="3"/>
  <c r="K15" i="3"/>
  <c r="I16" i="3"/>
  <c r="M16" i="3"/>
  <c r="G17" i="3"/>
  <c r="K17" i="3"/>
  <c r="I18" i="3"/>
  <c r="M18" i="3"/>
  <c r="G19" i="3"/>
  <c r="K19" i="3"/>
  <c r="I20" i="3"/>
  <c r="M20" i="3"/>
  <c r="J125" i="6"/>
  <c r="C187" i="6"/>
  <c r="C199" i="6"/>
  <c r="C152" i="6"/>
  <c r="C236" i="6"/>
  <c r="C176" i="6"/>
  <c r="G221" i="6"/>
  <c r="B126" i="6"/>
  <c r="G209" i="6"/>
  <c r="H210" i="6" s="1"/>
  <c r="G125" i="6"/>
  <c r="H126" i="6" s="1"/>
  <c r="H137" i="6"/>
  <c r="I3" i="6"/>
  <c r="I161" i="6" s="1"/>
  <c r="H5" i="6"/>
  <c r="G185" i="6"/>
  <c r="H186" i="6" s="1"/>
  <c r="G197" i="6"/>
  <c r="G198" i="6" s="1"/>
  <c r="J5" i="6"/>
  <c r="B6" i="6"/>
  <c r="C7" i="6"/>
  <c r="C163" i="6"/>
  <c r="H138" i="6"/>
  <c r="C139" i="6"/>
  <c r="C153" i="6"/>
  <c r="H222" i="6"/>
  <c r="C223" i="6"/>
  <c r="C127" i="6"/>
  <c r="G161" i="6"/>
  <c r="H149" i="6"/>
  <c r="G149" i="6"/>
  <c r="H173" i="6"/>
  <c r="G173" i="6"/>
  <c r="H174" i="6" s="1"/>
  <c r="C177" i="6"/>
  <c r="C188" i="6"/>
  <c r="C211" i="6"/>
  <c r="C237" i="6"/>
  <c r="H233" i="6"/>
  <c r="G233" i="6"/>
  <c r="H234" i="6" s="1"/>
  <c r="L34" i="9" l="1"/>
  <c r="M35" i="9"/>
  <c r="L22" i="3"/>
  <c r="M22" i="3"/>
  <c r="K22" i="3"/>
  <c r="H22" i="3"/>
  <c r="I22" i="3"/>
  <c r="F22" i="3"/>
  <c r="N22" i="3"/>
  <c r="G22" i="3"/>
  <c r="J22" i="3"/>
  <c r="D37" i="9"/>
  <c r="C36" i="9"/>
  <c r="M36" i="9" s="1"/>
  <c r="P33" i="9"/>
  <c r="Q33" i="9"/>
  <c r="S34" i="9"/>
  <c r="V34" i="9"/>
  <c r="AB35" i="9"/>
  <c r="P35" i="9"/>
  <c r="AF35" i="9"/>
  <c r="Q35" i="9"/>
  <c r="N35" i="9"/>
  <c r="F35" i="9"/>
  <c r="E35" i="9"/>
  <c r="I125" i="6"/>
  <c r="I138" i="6"/>
  <c r="G186" i="6"/>
  <c r="H187" i="6" s="1"/>
  <c r="I187" i="6" s="1"/>
  <c r="J126" i="6"/>
  <c r="I126" i="6"/>
  <c r="C200" i="6"/>
  <c r="I234" i="6"/>
  <c r="I174" i="6"/>
  <c r="I149" i="6"/>
  <c r="I233" i="6"/>
  <c r="I221" i="6"/>
  <c r="I197" i="6"/>
  <c r="I173" i="6"/>
  <c r="I222" i="6"/>
  <c r="I186" i="6"/>
  <c r="I209" i="6"/>
  <c r="I185" i="6"/>
  <c r="I5" i="6"/>
  <c r="G126" i="6"/>
  <c r="G210" i="6"/>
  <c r="I210" i="6"/>
  <c r="I137" i="6"/>
  <c r="H198" i="6"/>
  <c r="I198" i="6" s="1"/>
  <c r="G199" i="6"/>
  <c r="G174" i="6"/>
  <c r="H175" i="6" s="1"/>
  <c r="I175" i="6" s="1"/>
  <c r="G138" i="6"/>
  <c r="G162" i="6"/>
  <c r="H150" i="6"/>
  <c r="I150" i="6" s="1"/>
  <c r="G222" i="6"/>
  <c r="C128" i="6"/>
  <c r="B127" i="6"/>
  <c r="C224" i="6"/>
  <c r="G234" i="6"/>
  <c r="G235" i="6" s="1"/>
  <c r="G236" i="6" s="1"/>
  <c r="C238" i="6"/>
  <c r="C212" i="6"/>
  <c r="H199" i="6"/>
  <c r="I199" i="6" s="1"/>
  <c r="G187" i="6"/>
  <c r="C178" i="6"/>
  <c r="C154" i="6"/>
  <c r="C140" i="6"/>
  <c r="C164" i="6"/>
  <c r="J6" i="6"/>
  <c r="C8" i="6"/>
  <c r="B7" i="6"/>
  <c r="H6" i="6"/>
  <c r="I6" i="6" s="1"/>
  <c r="G6" i="6"/>
  <c r="C189" i="6"/>
  <c r="G150" i="6"/>
  <c r="G151" i="6" s="1"/>
  <c r="H162" i="6"/>
  <c r="I162" i="6" s="1"/>
  <c r="L35" i="9" l="1"/>
  <c r="AF33" i="9"/>
  <c r="AE33" i="9" s="1"/>
  <c r="AE34" i="9" s="1"/>
  <c r="AE35" i="9" s="1"/>
  <c r="S33" i="9"/>
  <c r="V35" i="9"/>
  <c r="S35" i="9"/>
  <c r="D38" i="9"/>
  <c r="C37" i="9"/>
  <c r="M37" i="9" s="1"/>
  <c r="AB33" i="9"/>
  <c r="E36" i="9"/>
  <c r="N36" i="9"/>
  <c r="F36" i="9"/>
  <c r="O36" i="9"/>
  <c r="J127" i="6"/>
  <c r="H163" i="6"/>
  <c r="I163" i="6" s="1"/>
  <c r="H127" i="6"/>
  <c r="I127" i="6" s="1"/>
  <c r="H200" i="6"/>
  <c r="I200" i="6" s="1"/>
  <c r="C201" i="6"/>
  <c r="G175" i="6"/>
  <c r="H176" i="6" s="1"/>
  <c r="I176" i="6" s="1"/>
  <c r="H223" i="6"/>
  <c r="I223" i="6" s="1"/>
  <c r="H139" i="6"/>
  <c r="I139" i="6" s="1"/>
  <c r="H211" i="6"/>
  <c r="I211" i="6" s="1"/>
  <c r="H7" i="6"/>
  <c r="I7" i="6" s="1"/>
  <c r="G237" i="6"/>
  <c r="G188" i="6"/>
  <c r="H188" i="6"/>
  <c r="I188" i="6" s="1"/>
  <c r="H236" i="6"/>
  <c r="I236" i="6" s="1"/>
  <c r="H235" i="6"/>
  <c r="I235" i="6" s="1"/>
  <c r="H151" i="6"/>
  <c r="I151" i="6" s="1"/>
  <c r="G163" i="6"/>
  <c r="G127" i="6"/>
  <c r="G152" i="6"/>
  <c r="G153" i="6" s="1"/>
  <c r="H152" i="6"/>
  <c r="I152" i="6" s="1"/>
  <c r="C165" i="6"/>
  <c r="C9" i="6"/>
  <c r="B8" i="6"/>
  <c r="G139" i="6"/>
  <c r="G211" i="6"/>
  <c r="G212" i="6" s="1"/>
  <c r="G223" i="6"/>
  <c r="C190" i="6"/>
  <c r="C239" i="6"/>
  <c r="G7" i="6"/>
  <c r="C141" i="6"/>
  <c r="C213" i="6"/>
  <c r="H237" i="6"/>
  <c r="I237" i="6" s="1"/>
  <c r="C225" i="6"/>
  <c r="C155" i="6"/>
  <c r="C179" i="6"/>
  <c r="B128" i="6"/>
  <c r="C129" i="6"/>
  <c r="L36" i="9" l="1"/>
  <c r="S36" i="9"/>
  <c r="V36" i="9"/>
  <c r="N37" i="9"/>
  <c r="F37" i="9"/>
  <c r="E37" i="9"/>
  <c r="AF36" i="9"/>
  <c r="AE36" i="9" s="1"/>
  <c r="Q36" i="9"/>
  <c r="P36" i="9"/>
  <c r="AB36" i="9"/>
  <c r="C38" i="9"/>
  <c r="O38" i="9" s="1"/>
  <c r="D39" i="9"/>
  <c r="J7" i="6"/>
  <c r="G176" i="6"/>
  <c r="G200" i="6"/>
  <c r="C202" i="6"/>
  <c r="H189" i="6"/>
  <c r="I189" i="6" s="1"/>
  <c r="H224" i="6"/>
  <c r="I224" i="6" s="1"/>
  <c r="H128" i="6"/>
  <c r="I128" i="6" s="1"/>
  <c r="H238" i="6"/>
  <c r="I238" i="6" s="1"/>
  <c r="G224" i="6"/>
  <c r="J128" i="6"/>
  <c r="H140" i="6"/>
  <c r="I140" i="6" s="1"/>
  <c r="H164" i="6"/>
  <c r="I164" i="6" s="1"/>
  <c r="G189" i="6"/>
  <c r="H8" i="6"/>
  <c r="I8" i="6" s="1"/>
  <c r="H154" i="6"/>
  <c r="I154" i="6" s="1"/>
  <c r="G238" i="6"/>
  <c r="H153" i="6"/>
  <c r="I153" i="6" s="1"/>
  <c r="B129" i="6"/>
  <c r="C130" i="6"/>
  <c r="G128" i="6"/>
  <c r="C180" i="6"/>
  <c r="G154" i="6"/>
  <c r="C214" i="6"/>
  <c r="H213" i="6"/>
  <c r="I213" i="6" s="1"/>
  <c r="H212" i="6"/>
  <c r="I212" i="6" s="1"/>
  <c r="C142" i="6"/>
  <c r="B9" i="6"/>
  <c r="C10" i="6"/>
  <c r="C240" i="6"/>
  <c r="C166" i="6"/>
  <c r="C226" i="6"/>
  <c r="G140" i="6"/>
  <c r="C191" i="6"/>
  <c r="G8" i="6"/>
  <c r="G164" i="6"/>
  <c r="C156" i="6"/>
  <c r="J8" i="6"/>
  <c r="L37" i="9" l="1"/>
  <c r="M38" i="9"/>
  <c r="V37" i="9"/>
  <c r="C39" i="9"/>
  <c r="M39" i="9" s="1"/>
  <c r="D40" i="9"/>
  <c r="E38" i="9"/>
  <c r="N38" i="9"/>
  <c r="F38" i="9"/>
  <c r="AF38" i="9"/>
  <c r="Q38" i="9"/>
  <c r="AB38" i="9"/>
  <c r="P38" i="9"/>
  <c r="O37" i="9"/>
  <c r="G201" i="6"/>
  <c r="G177" i="6"/>
  <c r="H177" i="6"/>
  <c r="I177" i="6" s="1"/>
  <c r="H190" i="6"/>
  <c r="I190" i="6" s="1"/>
  <c r="H201" i="6"/>
  <c r="I201" i="6" s="1"/>
  <c r="C203" i="6"/>
  <c r="H155" i="6"/>
  <c r="I155" i="6" s="1"/>
  <c r="G239" i="6"/>
  <c r="G165" i="6"/>
  <c r="H225" i="6"/>
  <c r="I225" i="6" s="1"/>
  <c r="H141" i="6"/>
  <c r="I141" i="6" s="1"/>
  <c r="J129" i="6"/>
  <c r="H129" i="6"/>
  <c r="I129" i="6" s="1"/>
  <c r="H9" i="6"/>
  <c r="I9" i="6" s="1"/>
  <c r="G225" i="6"/>
  <c r="H239" i="6"/>
  <c r="I239" i="6" s="1"/>
  <c r="J9" i="6"/>
  <c r="G190" i="6"/>
  <c r="C241" i="6"/>
  <c r="G9" i="6"/>
  <c r="G141" i="6"/>
  <c r="G213" i="6"/>
  <c r="G129" i="6"/>
  <c r="G155" i="6"/>
  <c r="C157" i="6"/>
  <c r="C227" i="6"/>
  <c r="C167" i="6"/>
  <c r="C181" i="6"/>
  <c r="C192" i="6"/>
  <c r="C131" i="6"/>
  <c r="B130" i="6"/>
  <c r="H165" i="6"/>
  <c r="I165" i="6" s="1"/>
  <c r="B10" i="6"/>
  <c r="C11" i="6"/>
  <c r="C143" i="6"/>
  <c r="C215" i="6"/>
  <c r="L38" i="9" l="1"/>
  <c r="P37" i="9"/>
  <c r="Q37" i="9"/>
  <c r="N39" i="9"/>
  <c r="F39" i="9"/>
  <c r="E39" i="9"/>
  <c r="O39" i="9"/>
  <c r="S38" i="9"/>
  <c r="V38" i="9"/>
  <c r="D41" i="9"/>
  <c r="C40" i="9"/>
  <c r="M40" i="9" s="1"/>
  <c r="H10" i="6"/>
  <c r="I10" i="6" s="1"/>
  <c r="G226" i="6"/>
  <c r="H178" i="6"/>
  <c r="I178" i="6" s="1"/>
  <c r="G178" i="6"/>
  <c r="H130" i="6"/>
  <c r="I130" i="6" s="1"/>
  <c r="H240" i="6"/>
  <c r="I240" i="6" s="1"/>
  <c r="J130" i="6"/>
  <c r="H202" i="6"/>
  <c r="I202" i="6" s="1"/>
  <c r="G202" i="6"/>
  <c r="C204" i="6"/>
  <c r="H191" i="6"/>
  <c r="I191" i="6" s="1"/>
  <c r="H166" i="6"/>
  <c r="I166" i="6" s="1"/>
  <c r="H142" i="6"/>
  <c r="I142" i="6" s="1"/>
  <c r="H214" i="6"/>
  <c r="I214" i="6" s="1"/>
  <c r="J10" i="6"/>
  <c r="G142" i="6"/>
  <c r="G166" i="6"/>
  <c r="H226" i="6"/>
  <c r="I226" i="6" s="1"/>
  <c r="H156" i="6"/>
  <c r="I156" i="6" s="1"/>
  <c r="G240" i="6"/>
  <c r="G130" i="6"/>
  <c r="G156" i="6"/>
  <c r="C158" i="6"/>
  <c r="C242" i="6"/>
  <c r="C144" i="6"/>
  <c r="C216" i="6"/>
  <c r="G10" i="6"/>
  <c r="C132" i="6"/>
  <c r="B131" i="6"/>
  <c r="C193" i="6"/>
  <c r="H227" i="6"/>
  <c r="I227" i="6" s="1"/>
  <c r="C228" i="6"/>
  <c r="C182" i="6"/>
  <c r="G214" i="6"/>
  <c r="C12" i="6"/>
  <c r="B11" i="6"/>
  <c r="G191" i="6"/>
  <c r="C168" i="6"/>
  <c r="L39" i="9" l="1"/>
  <c r="AB37" i="9"/>
  <c r="S37" i="9"/>
  <c r="E40" i="9"/>
  <c r="N40" i="9"/>
  <c r="F40" i="9"/>
  <c r="V39" i="9"/>
  <c r="S39" i="9"/>
  <c r="O40" i="9"/>
  <c r="AF37" i="9"/>
  <c r="AE37" i="9" s="1"/>
  <c r="AE38" i="9" s="1"/>
  <c r="AF39" i="9"/>
  <c r="AB39" i="9"/>
  <c r="P39" i="9"/>
  <c r="Q39" i="9"/>
  <c r="C41" i="9"/>
  <c r="M41" i="9" s="1"/>
  <c r="D42" i="9"/>
  <c r="H179" i="6"/>
  <c r="I179" i="6" s="1"/>
  <c r="G179" i="6"/>
  <c r="H143" i="6"/>
  <c r="I143" i="6" s="1"/>
  <c r="H203" i="6"/>
  <c r="I203" i="6" s="1"/>
  <c r="G203" i="6"/>
  <c r="J131" i="6"/>
  <c r="C205" i="6"/>
  <c r="H167" i="6"/>
  <c r="I167" i="6" s="1"/>
  <c r="G11" i="6"/>
  <c r="H241" i="6"/>
  <c r="I241" i="6" s="1"/>
  <c r="G143" i="6"/>
  <c r="H131" i="6"/>
  <c r="I131" i="6" s="1"/>
  <c r="G192" i="6"/>
  <c r="G167" i="6"/>
  <c r="C229" i="6"/>
  <c r="G227" i="6"/>
  <c r="C194" i="6"/>
  <c r="H192" i="6"/>
  <c r="I192" i="6" s="1"/>
  <c r="B132" i="6"/>
  <c r="C133" i="6"/>
  <c r="C145" i="6"/>
  <c r="C159" i="6"/>
  <c r="C217" i="6"/>
  <c r="H215" i="6"/>
  <c r="I215" i="6" s="1"/>
  <c r="G241" i="6"/>
  <c r="C183" i="6"/>
  <c r="C169" i="6"/>
  <c r="H11" i="6"/>
  <c r="I11" i="6" s="1"/>
  <c r="C13" i="6"/>
  <c r="B12" i="6"/>
  <c r="G131" i="6"/>
  <c r="G215" i="6"/>
  <c r="H157" i="6"/>
  <c r="I157" i="6" s="1"/>
  <c r="G157" i="6"/>
  <c r="C243" i="6"/>
  <c r="L40" i="9" l="1"/>
  <c r="C42" i="9"/>
  <c r="M42" i="9" s="1"/>
  <c r="D43" i="9"/>
  <c r="S40" i="9"/>
  <c r="V40" i="9"/>
  <c r="N41" i="9"/>
  <c r="F41" i="9"/>
  <c r="E41" i="9"/>
  <c r="AF40" i="9"/>
  <c r="Q40" i="9"/>
  <c r="AB40" i="9"/>
  <c r="P40" i="9"/>
  <c r="O41" i="9"/>
  <c r="AE39" i="9"/>
  <c r="J12" i="6"/>
  <c r="J11" i="6"/>
  <c r="H12" i="6"/>
  <c r="I12" i="6" s="1"/>
  <c r="H180" i="6"/>
  <c r="I180" i="6" s="1"/>
  <c r="G180" i="6"/>
  <c r="J132" i="6"/>
  <c r="G204" i="6"/>
  <c r="H204" i="6"/>
  <c r="I204" i="6" s="1"/>
  <c r="C206" i="6"/>
  <c r="H193" i="6"/>
  <c r="I193" i="6" s="1"/>
  <c r="H144" i="6"/>
  <c r="I144" i="6" s="1"/>
  <c r="G193" i="6"/>
  <c r="H194" i="6" s="1"/>
  <c r="I194" i="6" s="1"/>
  <c r="H242" i="6"/>
  <c r="I242" i="6" s="1"/>
  <c r="G216" i="6"/>
  <c r="G158" i="6"/>
  <c r="G132" i="6"/>
  <c r="G144" i="6"/>
  <c r="H228" i="6"/>
  <c r="I228" i="6" s="1"/>
  <c r="H168" i="6"/>
  <c r="I168" i="6" s="1"/>
  <c r="C244" i="6"/>
  <c r="B13" i="6"/>
  <c r="C14" i="6"/>
  <c r="C170" i="6"/>
  <c r="H216" i="6"/>
  <c r="I216" i="6" s="1"/>
  <c r="C160" i="6"/>
  <c r="C146" i="6"/>
  <c r="C195" i="6"/>
  <c r="C230" i="6"/>
  <c r="G242" i="6"/>
  <c r="G12" i="6"/>
  <c r="G168" i="6"/>
  <c r="H158" i="6"/>
  <c r="I158" i="6" s="1"/>
  <c r="G228" i="6"/>
  <c r="C184" i="6"/>
  <c r="C218" i="6"/>
  <c r="B133" i="6"/>
  <c r="C134" i="6"/>
  <c r="H132" i="6"/>
  <c r="I132" i="6" s="1"/>
  <c r="L41" i="9" l="1"/>
  <c r="AE40" i="9"/>
  <c r="AB41" i="9"/>
  <c r="P41" i="9"/>
  <c r="AF41" i="9"/>
  <c r="Q41" i="9"/>
  <c r="D44" i="9"/>
  <c r="C43" i="9"/>
  <c r="O43" i="9" s="1"/>
  <c r="N42" i="9"/>
  <c r="F42" i="9"/>
  <c r="E42" i="9"/>
  <c r="V41" i="9"/>
  <c r="S41" i="9"/>
  <c r="O42" i="9"/>
  <c r="H217" i="6"/>
  <c r="I217" i="6" s="1"/>
  <c r="H181" i="6"/>
  <c r="I181" i="6" s="1"/>
  <c r="G181" i="6"/>
  <c r="J133" i="6"/>
  <c r="H205" i="6"/>
  <c r="I205" i="6" s="1"/>
  <c r="G205" i="6"/>
  <c r="C207" i="6"/>
  <c r="H159" i="6"/>
  <c r="I159" i="6" s="1"/>
  <c r="G145" i="6"/>
  <c r="H133" i="6"/>
  <c r="I133" i="6" s="1"/>
  <c r="G243" i="6"/>
  <c r="H169" i="6"/>
  <c r="I169" i="6" s="1"/>
  <c r="H229" i="6"/>
  <c r="I229" i="6" s="1"/>
  <c r="G217" i="6"/>
  <c r="H145" i="6"/>
  <c r="I145" i="6" s="1"/>
  <c r="G159" i="6"/>
  <c r="C219" i="6"/>
  <c r="H218" i="6"/>
  <c r="I218" i="6" s="1"/>
  <c r="C231" i="6"/>
  <c r="G194" i="6"/>
  <c r="G169" i="6"/>
  <c r="G13" i="6"/>
  <c r="G133" i="6"/>
  <c r="G229" i="6"/>
  <c r="C196" i="6"/>
  <c r="C147" i="6"/>
  <c r="J13" i="6"/>
  <c r="C135" i="6"/>
  <c r="B134" i="6"/>
  <c r="C171" i="6"/>
  <c r="B14" i="6"/>
  <c r="C15" i="6"/>
  <c r="H13" i="6"/>
  <c r="I13" i="6" s="1"/>
  <c r="H243" i="6"/>
  <c r="I243" i="6" s="1"/>
  <c r="L42" i="9" l="1"/>
  <c r="M43" i="9"/>
  <c r="AE41" i="9"/>
  <c r="AF43" i="9"/>
  <c r="Q43" i="9"/>
  <c r="AB43" i="9"/>
  <c r="P43" i="9"/>
  <c r="AF42" i="9"/>
  <c r="Q42" i="9"/>
  <c r="AB42" i="9"/>
  <c r="P42" i="9"/>
  <c r="D45" i="9"/>
  <c r="C44" i="9"/>
  <c r="O44" i="9" s="1"/>
  <c r="S42" i="9"/>
  <c r="V42" i="9"/>
  <c r="N43" i="9"/>
  <c r="F43" i="9"/>
  <c r="E43" i="9"/>
  <c r="H170" i="6"/>
  <c r="I170" i="6" s="1"/>
  <c r="H160" i="6"/>
  <c r="I160" i="6" s="1"/>
  <c r="H182" i="6"/>
  <c r="I182" i="6" s="1"/>
  <c r="G182" i="6"/>
  <c r="H146" i="6"/>
  <c r="I146" i="6" s="1"/>
  <c r="C208" i="6"/>
  <c r="J134" i="6"/>
  <c r="G206" i="6"/>
  <c r="H206" i="6"/>
  <c r="I206" i="6" s="1"/>
  <c r="H14" i="6"/>
  <c r="I14" i="6" s="1"/>
  <c r="H244" i="6"/>
  <c r="I244" i="6" s="1"/>
  <c r="G170" i="6"/>
  <c r="G195" i="6"/>
  <c r="H134" i="6"/>
  <c r="I134" i="6" s="1"/>
  <c r="G146" i="6"/>
  <c r="G230" i="6"/>
  <c r="G160" i="6"/>
  <c r="G14" i="6"/>
  <c r="G134" i="6"/>
  <c r="C232" i="6"/>
  <c r="H230" i="6"/>
  <c r="I230" i="6" s="1"/>
  <c r="G218" i="6"/>
  <c r="C16" i="6"/>
  <c r="B15" i="6"/>
  <c r="G244" i="6"/>
  <c r="C172" i="6"/>
  <c r="C148" i="6"/>
  <c r="H195" i="6"/>
  <c r="I195" i="6" s="1"/>
  <c r="C220" i="6"/>
  <c r="C136" i="6"/>
  <c r="B135" i="6"/>
  <c r="L43" i="9" l="1"/>
  <c r="M44" i="9"/>
  <c r="AE42" i="9"/>
  <c r="AE43" i="9" s="1"/>
  <c r="AF44" i="9"/>
  <c r="Q44" i="9"/>
  <c r="AB44" i="9"/>
  <c r="P44" i="9"/>
  <c r="E44" i="9"/>
  <c r="N44" i="9"/>
  <c r="F44" i="9"/>
  <c r="V43" i="9"/>
  <c r="S43" i="9"/>
  <c r="D46" i="9"/>
  <c r="C45" i="9"/>
  <c r="O45" i="9" s="1"/>
  <c r="J14" i="6"/>
  <c r="H171" i="6"/>
  <c r="I171" i="6" s="1"/>
  <c r="H183" i="6"/>
  <c r="I183" i="6" s="1"/>
  <c r="G183" i="6"/>
  <c r="H219" i="6"/>
  <c r="I219" i="6" s="1"/>
  <c r="H15" i="6"/>
  <c r="I15" i="6" s="1"/>
  <c r="G207" i="6"/>
  <c r="H207" i="6"/>
  <c r="I207" i="6" s="1"/>
  <c r="H135" i="6"/>
  <c r="I135" i="6" s="1"/>
  <c r="H147" i="6"/>
  <c r="I147" i="6" s="1"/>
  <c r="H196" i="6"/>
  <c r="I196" i="6" s="1"/>
  <c r="G147" i="6"/>
  <c r="H231" i="6"/>
  <c r="I231" i="6" s="1"/>
  <c r="G231" i="6"/>
  <c r="J15" i="6"/>
  <c r="G135" i="6"/>
  <c r="G219" i="6"/>
  <c r="J135" i="6"/>
  <c r="H220" i="6"/>
  <c r="I220" i="6" s="1"/>
  <c r="G171" i="6"/>
  <c r="C17" i="6"/>
  <c r="B16" i="6"/>
  <c r="B136" i="6"/>
  <c r="H136" i="6"/>
  <c r="I136" i="6" s="1"/>
  <c r="G15" i="6"/>
  <c r="G196" i="6"/>
  <c r="L44" i="9" l="1"/>
  <c r="M45" i="9"/>
  <c r="AE44" i="9"/>
  <c r="AB45" i="9"/>
  <c r="P45" i="9"/>
  <c r="AF45" i="9"/>
  <c r="Q45" i="9"/>
  <c r="N45" i="9"/>
  <c r="F45" i="9"/>
  <c r="E45" i="9"/>
  <c r="C46" i="9"/>
  <c r="O46" i="9" s="1"/>
  <c r="D47" i="9"/>
  <c r="S44" i="9"/>
  <c r="V44" i="9"/>
  <c r="H184" i="6"/>
  <c r="I184" i="6" s="1"/>
  <c r="G184" i="6"/>
  <c r="H232" i="6"/>
  <c r="I232" i="6" s="1"/>
  <c r="G208" i="6"/>
  <c r="H208" i="6"/>
  <c r="I208" i="6" s="1"/>
  <c r="H172" i="6"/>
  <c r="I172" i="6" s="1"/>
  <c r="H148" i="6"/>
  <c r="I148" i="6" s="1"/>
  <c r="J16" i="6"/>
  <c r="K5" i="6" s="1"/>
  <c r="B137" i="6"/>
  <c r="G148" i="6"/>
  <c r="J136" i="6"/>
  <c r="K125" i="6" s="1"/>
  <c r="B17" i="6"/>
  <c r="C18" i="6"/>
  <c r="G136" i="6"/>
  <c r="H16" i="6"/>
  <c r="I16" i="6" s="1"/>
  <c r="G232" i="6"/>
  <c r="G16" i="6"/>
  <c r="G172" i="6"/>
  <c r="G220" i="6"/>
  <c r="L45" i="9" l="1"/>
  <c r="M46" i="9"/>
  <c r="AE45" i="9"/>
  <c r="D48" i="9"/>
  <c r="C47" i="9"/>
  <c r="M47" i="9" s="1"/>
  <c r="N46" i="9"/>
  <c r="F46" i="9"/>
  <c r="E46" i="9"/>
  <c r="AF46" i="9"/>
  <c r="Q46" i="9"/>
  <c r="AB46" i="9"/>
  <c r="P46" i="9"/>
  <c r="S45" i="9"/>
  <c r="V45" i="9"/>
  <c r="H17" i="6"/>
  <c r="I17" i="6" s="1"/>
  <c r="B18" i="6"/>
  <c r="C19" i="6"/>
  <c r="K126" i="6"/>
  <c r="L125" i="6"/>
  <c r="M125" i="6" s="1"/>
  <c r="G17" i="6"/>
  <c r="K6" i="6"/>
  <c r="L5" i="6"/>
  <c r="M5" i="6" s="1"/>
  <c r="J137" i="6"/>
  <c r="B138" i="6"/>
  <c r="L46" i="9" l="1"/>
  <c r="AE46" i="9"/>
  <c r="S46" i="9"/>
  <c r="V46" i="9"/>
  <c r="N47" i="9"/>
  <c r="F47" i="9"/>
  <c r="E47" i="9"/>
  <c r="O47" i="9"/>
  <c r="D49" i="9"/>
  <c r="C48" i="9"/>
  <c r="M48" i="9" s="1"/>
  <c r="J18" i="6"/>
  <c r="J17" i="6"/>
  <c r="H18" i="6"/>
  <c r="I18" i="6" s="1"/>
  <c r="K127" i="6"/>
  <c r="L126" i="6"/>
  <c r="M126" i="6" s="1"/>
  <c r="G18" i="6"/>
  <c r="J138" i="6"/>
  <c r="B139" i="6"/>
  <c r="K7" i="6"/>
  <c r="L6" i="6"/>
  <c r="M6" i="6" s="1"/>
  <c r="G20" i="9" s="1"/>
  <c r="C20" i="6"/>
  <c r="B19" i="6"/>
  <c r="J20" i="9" l="1"/>
  <c r="L47" i="9"/>
  <c r="E48" i="9"/>
  <c r="N48" i="9"/>
  <c r="F48" i="9"/>
  <c r="O48" i="9"/>
  <c r="V47" i="9"/>
  <c r="S47" i="9"/>
  <c r="C49" i="9"/>
  <c r="O49" i="9" s="1"/>
  <c r="D50" i="9"/>
  <c r="Q47" i="9"/>
  <c r="AB47" i="9"/>
  <c r="P47" i="9"/>
  <c r="AF47" i="9"/>
  <c r="AE47" i="9" s="1"/>
  <c r="J139" i="6"/>
  <c r="H19" i="6"/>
  <c r="I19" i="6" s="1"/>
  <c r="G19" i="6"/>
  <c r="J19" i="6"/>
  <c r="K8" i="6"/>
  <c r="L7" i="6"/>
  <c r="M7" i="6" s="1"/>
  <c r="G21" i="9" s="1"/>
  <c r="B140" i="6"/>
  <c r="C21" i="6"/>
  <c r="B20" i="6"/>
  <c r="K128" i="6"/>
  <c r="L127" i="6"/>
  <c r="M127" i="6" s="1"/>
  <c r="L48" i="9" l="1"/>
  <c r="M49" i="9"/>
  <c r="S48" i="9"/>
  <c r="V48" i="9"/>
  <c r="AB49" i="9"/>
  <c r="P49" i="9"/>
  <c r="AF49" i="9"/>
  <c r="Q49" i="9"/>
  <c r="C50" i="9"/>
  <c r="M50" i="9" s="1"/>
  <c r="D51" i="9"/>
  <c r="N49" i="9"/>
  <c r="F49" i="9"/>
  <c r="E49" i="9"/>
  <c r="J21" i="9"/>
  <c r="AF48" i="9"/>
  <c r="AE48" i="9" s="1"/>
  <c r="Q48" i="9"/>
  <c r="AB48" i="9"/>
  <c r="P48" i="9"/>
  <c r="H20" i="6"/>
  <c r="I20" i="6" s="1"/>
  <c r="J20" i="6"/>
  <c r="B21" i="6"/>
  <c r="C22" i="6"/>
  <c r="K9" i="6"/>
  <c r="L8" i="6"/>
  <c r="M8" i="6" s="1"/>
  <c r="G22" i="9" s="1"/>
  <c r="K129" i="6"/>
  <c r="L128" i="6"/>
  <c r="M128" i="6" s="1"/>
  <c r="G20" i="6"/>
  <c r="J140" i="6"/>
  <c r="B141" i="6"/>
  <c r="H21" i="9" l="1"/>
  <c r="I21" i="9" s="1"/>
  <c r="L49" i="9"/>
  <c r="AE49" i="9"/>
  <c r="F50" i="9"/>
  <c r="E50" i="9"/>
  <c r="N50" i="9"/>
  <c r="J22" i="9"/>
  <c r="V49" i="9"/>
  <c r="S49" i="9"/>
  <c r="O50" i="9"/>
  <c r="C51" i="9"/>
  <c r="O51" i="9" s="1"/>
  <c r="D52" i="9"/>
  <c r="J21" i="6"/>
  <c r="H21" i="6"/>
  <c r="I21" i="6" s="1"/>
  <c r="G21" i="6"/>
  <c r="L9" i="6"/>
  <c r="M9" i="6" s="1"/>
  <c r="K10" i="6"/>
  <c r="J141" i="6"/>
  <c r="B142" i="6"/>
  <c r="K130" i="6"/>
  <c r="L129" i="6"/>
  <c r="M129" i="6" s="1"/>
  <c r="B22" i="6"/>
  <c r="C23" i="6"/>
  <c r="H22" i="9" l="1"/>
  <c r="I22" i="9" s="1"/>
  <c r="L50" i="9"/>
  <c r="M51" i="9"/>
  <c r="AF51" i="9"/>
  <c r="AB51" i="9"/>
  <c r="P51" i="9"/>
  <c r="Q51" i="9"/>
  <c r="D53" i="9"/>
  <c r="C52" i="9"/>
  <c r="O52" i="9" s="1"/>
  <c r="AF50" i="9"/>
  <c r="AE50" i="9" s="1"/>
  <c r="Q50" i="9"/>
  <c r="AB50" i="9"/>
  <c r="P50" i="9"/>
  <c r="G23" i="9"/>
  <c r="J23" i="9" s="1"/>
  <c r="N51" i="9"/>
  <c r="F51" i="9"/>
  <c r="E51" i="9"/>
  <c r="S50" i="9"/>
  <c r="V50" i="9"/>
  <c r="H22" i="6"/>
  <c r="I22" i="6" s="1"/>
  <c r="G22" i="6"/>
  <c r="H23" i="6" s="1"/>
  <c r="I23" i="6" s="1"/>
  <c r="K11" i="6"/>
  <c r="L10" i="6"/>
  <c r="M10" i="6" s="1"/>
  <c r="C24" i="6"/>
  <c r="B23" i="6"/>
  <c r="K131" i="6"/>
  <c r="L130" i="6"/>
  <c r="M130" i="6" s="1"/>
  <c r="J142" i="6"/>
  <c r="B143" i="6"/>
  <c r="H23" i="9" l="1"/>
  <c r="I23" i="9" s="1"/>
  <c r="L51" i="9"/>
  <c r="M52" i="9"/>
  <c r="AE51" i="9"/>
  <c r="AF52" i="9"/>
  <c r="Q52" i="9"/>
  <c r="P52" i="9"/>
  <c r="AB52" i="9"/>
  <c r="V51" i="9"/>
  <c r="S51" i="9"/>
  <c r="C53" i="9"/>
  <c r="M53" i="9" s="1"/>
  <c r="D54" i="9"/>
  <c r="G24" i="9"/>
  <c r="E52" i="9"/>
  <c r="N52" i="9"/>
  <c r="F52" i="9"/>
  <c r="J22" i="6"/>
  <c r="J143" i="6"/>
  <c r="J23" i="6"/>
  <c r="K132" i="6"/>
  <c r="L131" i="6"/>
  <c r="M131" i="6" s="1"/>
  <c r="B144" i="6"/>
  <c r="C25" i="6"/>
  <c r="B24" i="6"/>
  <c r="K12" i="6"/>
  <c r="L11" i="6"/>
  <c r="M11" i="6" s="1"/>
  <c r="G23" i="6"/>
  <c r="J24" i="9" l="1"/>
  <c r="G25" i="9"/>
  <c r="J25" i="9" s="1"/>
  <c r="H24" i="9"/>
  <c r="I24" i="9" s="1"/>
  <c r="L52" i="9"/>
  <c r="O53" i="9"/>
  <c r="AF53" i="9" s="1"/>
  <c r="AE52" i="9"/>
  <c r="N53" i="9"/>
  <c r="F53" i="9"/>
  <c r="E53" i="9"/>
  <c r="S52" i="9"/>
  <c r="V52" i="9"/>
  <c r="C54" i="9"/>
  <c r="M54" i="9" s="1"/>
  <c r="D55" i="9"/>
  <c r="H24" i="6"/>
  <c r="I24" i="6" s="1"/>
  <c r="G24" i="6"/>
  <c r="J144" i="6"/>
  <c r="B145" i="6"/>
  <c r="K13" i="6"/>
  <c r="L12" i="6"/>
  <c r="M12" i="6" s="1"/>
  <c r="B25" i="6"/>
  <c r="C26" i="6"/>
  <c r="K133" i="6"/>
  <c r="L132" i="6"/>
  <c r="M132" i="6" s="1"/>
  <c r="H25" i="9" l="1"/>
  <c r="I25" i="9" s="1"/>
  <c r="L53" i="9"/>
  <c r="AB53" i="9"/>
  <c r="P53" i="9"/>
  <c r="Q53" i="9"/>
  <c r="AE53" i="9"/>
  <c r="S53" i="9"/>
  <c r="V53" i="9"/>
  <c r="D56" i="9"/>
  <c r="C55" i="9"/>
  <c r="O55" i="9" s="1"/>
  <c r="N54" i="9"/>
  <c r="F54" i="9"/>
  <c r="E54" i="9"/>
  <c r="G26" i="9"/>
  <c r="J26" i="9" s="1"/>
  <c r="O54" i="9"/>
  <c r="J24" i="6"/>
  <c r="J145" i="6"/>
  <c r="H25" i="6"/>
  <c r="I25" i="6" s="1"/>
  <c r="B26" i="6"/>
  <c r="C27" i="6"/>
  <c r="G25" i="6"/>
  <c r="K14" i="6"/>
  <c r="L13" i="6"/>
  <c r="M13" i="6" s="1"/>
  <c r="K134" i="6"/>
  <c r="L133" i="6"/>
  <c r="M133" i="6" s="1"/>
  <c r="B146" i="6"/>
  <c r="H26" i="9" l="1"/>
  <c r="I26" i="9" s="1"/>
  <c r="L54" i="9"/>
  <c r="M55" i="9"/>
  <c r="AF54" i="9"/>
  <c r="AE54" i="9" s="1"/>
  <c r="Q54" i="9"/>
  <c r="AB54" i="9"/>
  <c r="P54" i="9"/>
  <c r="AF55" i="9"/>
  <c r="Q55" i="9"/>
  <c r="AB55" i="9"/>
  <c r="P55" i="9"/>
  <c r="D57" i="9"/>
  <c r="C56" i="9"/>
  <c r="O56" i="9" s="1"/>
  <c r="G27" i="9"/>
  <c r="J27" i="9" s="1"/>
  <c r="S54" i="9"/>
  <c r="V54" i="9"/>
  <c r="N55" i="9"/>
  <c r="F55" i="9"/>
  <c r="E55" i="9"/>
  <c r="J25" i="6"/>
  <c r="J146" i="6"/>
  <c r="H26" i="6"/>
  <c r="I26" i="6" s="1"/>
  <c r="B147" i="6"/>
  <c r="L134" i="6"/>
  <c r="M134" i="6" s="1"/>
  <c r="K135" i="6"/>
  <c r="G26" i="6"/>
  <c r="K15" i="6"/>
  <c r="L14" i="6"/>
  <c r="M14" i="6" s="1"/>
  <c r="C28" i="6"/>
  <c r="B27" i="6"/>
  <c r="H27" i="9" l="1"/>
  <c r="I27" i="9" s="1"/>
  <c r="L55" i="9"/>
  <c r="M56" i="9"/>
  <c r="AF56" i="9"/>
  <c r="Q56" i="9"/>
  <c r="P56" i="9"/>
  <c r="AB56" i="9"/>
  <c r="G28" i="9"/>
  <c r="J28" i="9" s="1"/>
  <c r="V55" i="9"/>
  <c r="S55" i="9"/>
  <c r="E56" i="9"/>
  <c r="N56" i="9"/>
  <c r="F56" i="9"/>
  <c r="D58" i="9"/>
  <c r="C57" i="9"/>
  <c r="M57" i="9" s="1"/>
  <c r="AE55" i="9"/>
  <c r="J26" i="6"/>
  <c r="J147" i="6"/>
  <c r="H27" i="6"/>
  <c r="I27" i="6" s="1"/>
  <c r="C29" i="6"/>
  <c r="B28" i="6"/>
  <c r="B148" i="6"/>
  <c r="K16" i="6"/>
  <c r="L15" i="6"/>
  <c r="M15" i="6" s="1"/>
  <c r="G27" i="6"/>
  <c r="K136" i="6"/>
  <c r="L135" i="6"/>
  <c r="M135" i="6" s="1"/>
  <c r="H28" i="9" l="1"/>
  <c r="I28" i="9" s="1"/>
  <c r="L56" i="9"/>
  <c r="AE56" i="9"/>
  <c r="N57" i="9"/>
  <c r="F57" i="9"/>
  <c r="E57" i="9"/>
  <c r="S56" i="9"/>
  <c r="V56" i="9"/>
  <c r="C58" i="9"/>
  <c r="O58" i="9" s="1"/>
  <c r="D59" i="9"/>
  <c r="G29" i="9"/>
  <c r="J29" i="9" s="1"/>
  <c r="J27" i="6"/>
  <c r="H28" i="6"/>
  <c r="I28" i="6" s="1"/>
  <c r="L136" i="6"/>
  <c r="M136" i="6" s="1"/>
  <c r="B149" i="6"/>
  <c r="J148" i="6"/>
  <c r="K137" i="6" s="1"/>
  <c r="G28" i="6"/>
  <c r="L16" i="6"/>
  <c r="M16" i="6" s="1"/>
  <c r="B29" i="6"/>
  <c r="C30" i="6"/>
  <c r="H29" i="9" l="1"/>
  <c r="I29" i="9" s="1"/>
  <c r="L57" i="9"/>
  <c r="M58" i="9"/>
  <c r="G30" i="9"/>
  <c r="J30" i="9" s="1"/>
  <c r="V57" i="9"/>
  <c r="D60" i="9"/>
  <c r="C59" i="9"/>
  <c r="M59" i="9" s="1"/>
  <c r="AF58" i="9"/>
  <c r="Q58" i="9"/>
  <c r="AB58" i="9"/>
  <c r="P58" i="9"/>
  <c r="E58" i="9"/>
  <c r="F58" i="9"/>
  <c r="N58" i="9"/>
  <c r="O57" i="9"/>
  <c r="J28" i="6"/>
  <c r="K17" i="6" s="1"/>
  <c r="J149" i="6"/>
  <c r="H29" i="6"/>
  <c r="I29" i="6" s="1"/>
  <c r="G29" i="6"/>
  <c r="K138" i="6"/>
  <c r="L137" i="6"/>
  <c r="M137" i="6" s="1"/>
  <c r="B30" i="6"/>
  <c r="C31" i="6"/>
  <c r="B150" i="6"/>
  <c r="H30" i="9" l="1"/>
  <c r="I30" i="9" s="1"/>
  <c r="L58" i="9"/>
  <c r="P57" i="9"/>
  <c r="Q57" i="9"/>
  <c r="N59" i="9"/>
  <c r="F59" i="9"/>
  <c r="E59" i="9"/>
  <c r="O59" i="9"/>
  <c r="S58" i="9"/>
  <c r="V58" i="9"/>
  <c r="D61" i="9"/>
  <c r="C60" i="9"/>
  <c r="O60" i="9" s="1"/>
  <c r="L17" i="6"/>
  <c r="M17" i="6" s="1"/>
  <c r="J29" i="6"/>
  <c r="J30" i="6"/>
  <c r="K18" i="6"/>
  <c r="H30" i="6"/>
  <c r="I30" i="6" s="1"/>
  <c r="K139" i="6"/>
  <c r="L138" i="6"/>
  <c r="M138" i="6" s="1"/>
  <c r="C32" i="6"/>
  <c r="B31" i="6"/>
  <c r="J150" i="6"/>
  <c r="B151" i="6"/>
  <c r="G30" i="6"/>
  <c r="L59" i="9" l="1"/>
  <c r="M60" i="9"/>
  <c r="AB57" i="9"/>
  <c r="AF57" i="9"/>
  <c r="AE57" i="9" s="1"/>
  <c r="AE58" i="9" s="1"/>
  <c r="S57" i="9"/>
  <c r="C61" i="9"/>
  <c r="M61" i="9" s="1"/>
  <c r="D62" i="9"/>
  <c r="AF60" i="9"/>
  <c r="Q60" i="9"/>
  <c r="AB60" i="9"/>
  <c r="P60" i="9"/>
  <c r="G31" i="9"/>
  <c r="J31" i="9" s="1"/>
  <c r="Q59" i="9"/>
  <c r="AB59" i="9"/>
  <c r="P59" i="9"/>
  <c r="AF59" i="9"/>
  <c r="E60" i="9"/>
  <c r="N60" i="9"/>
  <c r="F60" i="9"/>
  <c r="V59" i="9"/>
  <c r="S59" i="9"/>
  <c r="K19" i="6"/>
  <c r="L18" i="6"/>
  <c r="M18" i="6" s="1"/>
  <c r="H31" i="6"/>
  <c r="I31" i="6" s="1"/>
  <c r="K140" i="6"/>
  <c r="L139" i="6"/>
  <c r="M139" i="6" s="1"/>
  <c r="G31" i="6"/>
  <c r="J151" i="6"/>
  <c r="B152" i="6"/>
  <c r="C33" i="6"/>
  <c r="B32" i="6"/>
  <c r="H31" i="9" l="1"/>
  <c r="I31" i="9" s="1"/>
  <c r="L60" i="9"/>
  <c r="AE59" i="9"/>
  <c r="AE60" i="9" s="1"/>
  <c r="N61" i="9"/>
  <c r="F61" i="9"/>
  <c r="E61" i="9"/>
  <c r="S60" i="9"/>
  <c r="V60" i="9"/>
  <c r="O61" i="9"/>
  <c r="G32" i="9"/>
  <c r="J32" i="9" s="1"/>
  <c r="C62" i="9"/>
  <c r="M62" i="9" s="1"/>
  <c r="D63" i="9"/>
  <c r="K20" i="6"/>
  <c r="L19" i="6"/>
  <c r="M19" i="6" s="1"/>
  <c r="J31" i="6"/>
  <c r="J152" i="6"/>
  <c r="H32" i="6"/>
  <c r="I32" i="6" s="1"/>
  <c r="G32" i="6"/>
  <c r="K141" i="6"/>
  <c r="L140" i="6"/>
  <c r="M140" i="6" s="1"/>
  <c r="B153" i="6"/>
  <c r="H33" i="6"/>
  <c r="I33" i="6" s="1"/>
  <c r="B33" i="6"/>
  <c r="C34" i="6"/>
  <c r="H32" i="9" l="1"/>
  <c r="I32" i="9" s="1"/>
  <c r="L61" i="9"/>
  <c r="G33" i="9"/>
  <c r="J33" i="9" s="1"/>
  <c r="E62" i="9"/>
  <c r="F62" i="9"/>
  <c r="N62" i="9"/>
  <c r="AB61" i="9"/>
  <c r="P61" i="9"/>
  <c r="AF61" i="9"/>
  <c r="AE61" i="9" s="1"/>
  <c r="Q61" i="9"/>
  <c r="D64" i="9"/>
  <c r="C63" i="9"/>
  <c r="M63" i="9" s="1"/>
  <c r="O62" i="9"/>
  <c r="V61" i="9"/>
  <c r="S61" i="9"/>
  <c r="J32" i="6"/>
  <c r="L20" i="6"/>
  <c r="M20" i="6" s="1"/>
  <c r="K21" i="6"/>
  <c r="B34" i="6"/>
  <c r="C35" i="6"/>
  <c r="G33" i="6"/>
  <c r="K142" i="6"/>
  <c r="L141" i="6"/>
  <c r="M141" i="6" s="1"/>
  <c r="J153" i="6"/>
  <c r="B154" i="6"/>
  <c r="H33" i="9" l="1"/>
  <c r="I33" i="9" s="1"/>
  <c r="L62" i="9"/>
  <c r="AF62" i="9"/>
  <c r="AE62" i="9" s="1"/>
  <c r="Q62" i="9"/>
  <c r="AB62" i="9"/>
  <c r="P62" i="9"/>
  <c r="G34" i="9"/>
  <c r="J34" i="9" s="1"/>
  <c r="D65" i="9"/>
  <c r="C64" i="9"/>
  <c r="M64" i="9" s="1"/>
  <c r="N63" i="9"/>
  <c r="F63" i="9"/>
  <c r="E63" i="9"/>
  <c r="S62" i="9"/>
  <c r="V62" i="9"/>
  <c r="O63" i="9"/>
  <c r="J33" i="6"/>
  <c r="K22" i="6"/>
  <c r="L21" i="6"/>
  <c r="M21" i="6" s="1"/>
  <c r="H34" i="6"/>
  <c r="I34" i="6" s="1"/>
  <c r="J154" i="6"/>
  <c r="B155" i="6"/>
  <c r="G34" i="6"/>
  <c r="K143" i="6"/>
  <c r="L142" i="6"/>
  <c r="M142" i="6" s="1"/>
  <c r="C36" i="6"/>
  <c r="B35" i="6"/>
  <c r="H34" i="9" l="1"/>
  <c r="I34" i="9" s="1"/>
  <c r="L63" i="9"/>
  <c r="E64" i="9"/>
  <c r="N64" i="9"/>
  <c r="F64" i="9"/>
  <c r="G35" i="9"/>
  <c r="J35" i="9" s="1"/>
  <c r="O64" i="9"/>
  <c r="AF63" i="9"/>
  <c r="AE63" i="9" s="1"/>
  <c r="Q63" i="9"/>
  <c r="AB63" i="9"/>
  <c r="P63" i="9"/>
  <c r="V63" i="9"/>
  <c r="S63" i="9"/>
  <c r="C65" i="9"/>
  <c r="O65" i="9" s="1"/>
  <c r="D66" i="9"/>
  <c r="J34" i="6"/>
  <c r="K23" i="6"/>
  <c r="L22" i="6"/>
  <c r="M22" i="6" s="1"/>
  <c r="J35" i="6"/>
  <c r="H35" i="6"/>
  <c r="I35" i="6" s="1"/>
  <c r="C37" i="6"/>
  <c r="B36" i="6"/>
  <c r="J155" i="6"/>
  <c r="B156" i="6"/>
  <c r="K144" i="6"/>
  <c r="L143" i="6"/>
  <c r="M143" i="6" s="1"/>
  <c r="G35" i="6"/>
  <c r="H35" i="9" l="1"/>
  <c r="I35" i="9" s="1"/>
  <c r="L64" i="9"/>
  <c r="M65" i="9"/>
  <c r="S64" i="9"/>
  <c r="V64" i="9"/>
  <c r="N65" i="9"/>
  <c r="F65" i="9"/>
  <c r="E65" i="9"/>
  <c r="AF64" i="9"/>
  <c r="AE64" i="9" s="1"/>
  <c r="Q64" i="9"/>
  <c r="AB64" i="9"/>
  <c r="P64" i="9"/>
  <c r="AB65" i="9"/>
  <c r="P65" i="9"/>
  <c r="AF65" i="9"/>
  <c r="Q65" i="9"/>
  <c r="C66" i="9"/>
  <c r="O66" i="9" s="1"/>
  <c r="D67" i="9"/>
  <c r="G36" i="9"/>
  <c r="J36" i="9" s="1"/>
  <c r="K24" i="6"/>
  <c r="L23" i="6"/>
  <c r="M23" i="6" s="1"/>
  <c r="G36" i="6"/>
  <c r="K145" i="6"/>
  <c r="L144" i="6"/>
  <c r="M144" i="6" s="1"/>
  <c r="J156" i="6"/>
  <c r="B157" i="6"/>
  <c r="B37" i="6"/>
  <c r="C38" i="6"/>
  <c r="H36" i="6"/>
  <c r="I36" i="6" s="1"/>
  <c r="H36" i="9" l="1"/>
  <c r="I36" i="9" s="1"/>
  <c r="L65" i="9"/>
  <c r="M66" i="9"/>
  <c r="AF66" i="9"/>
  <c r="Q66" i="9"/>
  <c r="AB66" i="9"/>
  <c r="P66" i="9"/>
  <c r="D68" i="9"/>
  <c r="C67" i="9"/>
  <c r="O67" i="9" s="1"/>
  <c r="AE65" i="9"/>
  <c r="S65" i="9"/>
  <c r="V65" i="9"/>
  <c r="F66" i="9"/>
  <c r="N66" i="9"/>
  <c r="E66" i="9"/>
  <c r="G37" i="9"/>
  <c r="J37" i="9" s="1"/>
  <c r="K25" i="6"/>
  <c r="L24" i="6"/>
  <c r="M24" i="6" s="1"/>
  <c r="J36" i="6"/>
  <c r="H37" i="6"/>
  <c r="I37" i="6" s="1"/>
  <c r="J157" i="6"/>
  <c r="B158" i="6"/>
  <c r="G37" i="6"/>
  <c r="B38" i="6"/>
  <c r="C39" i="6"/>
  <c r="K146" i="6"/>
  <c r="L145" i="6"/>
  <c r="M145" i="6" s="1"/>
  <c r="H37" i="9" l="1"/>
  <c r="I37" i="9" s="1"/>
  <c r="L66" i="9"/>
  <c r="M67" i="9"/>
  <c r="AE66" i="9"/>
  <c r="G38" i="9"/>
  <c r="J38" i="9" s="1"/>
  <c r="Q67" i="9"/>
  <c r="AB67" i="9"/>
  <c r="P67" i="9"/>
  <c r="AF67" i="9"/>
  <c r="D69" i="9"/>
  <c r="C68" i="9"/>
  <c r="M68" i="9" s="1"/>
  <c r="S66" i="9"/>
  <c r="V66" i="9"/>
  <c r="N67" i="9"/>
  <c r="F67" i="9"/>
  <c r="E67" i="9"/>
  <c r="J37" i="6"/>
  <c r="K26" i="6"/>
  <c r="L25" i="6"/>
  <c r="M25" i="6" s="1"/>
  <c r="J158" i="6"/>
  <c r="H38" i="6"/>
  <c r="I38" i="6" s="1"/>
  <c r="C40" i="6"/>
  <c r="B39" i="6"/>
  <c r="K147" i="6"/>
  <c r="L146" i="6"/>
  <c r="M146" i="6" s="1"/>
  <c r="G38" i="6"/>
  <c r="B159" i="6"/>
  <c r="H38" i="9" l="1"/>
  <c r="I38" i="9" s="1"/>
  <c r="L67" i="9"/>
  <c r="AE67" i="9"/>
  <c r="G39" i="9"/>
  <c r="J39" i="9" s="1"/>
  <c r="E68" i="9"/>
  <c r="N68" i="9"/>
  <c r="F68" i="9"/>
  <c r="V67" i="9"/>
  <c r="S67" i="9"/>
  <c r="C69" i="9"/>
  <c r="M69" i="9" s="1"/>
  <c r="D70" i="9"/>
  <c r="J38" i="6"/>
  <c r="K27" i="6"/>
  <c r="L26" i="6"/>
  <c r="M26" i="6" s="1"/>
  <c r="K148" i="6"/>
  <c r="L147" i="6"/>
  <c r="M147" i="6" s="1"/>
  <c r="J159" i="6"/>
  <c r="B160" i="6"/>
  <c r="C41" i="6"/>
  <c r="B40" i="6"/>
  <c r="H39" i="6"/>
  <c r="I39" i="6" s="1"/>
  <c r="G39" i="6"/>
  <c r="H39" i="9" l="1"/>
  <c r="I39" i="9" s="1"/>
  <c r="L68" i="9"/>
  <c r="O68" i="9"/>
  <c r="P68" i="9" s="1"/>
  <c r="V68" i="9"/>
  <c r="C70" i="9"/>
  <c r="O70" i="9" s="1"/>
  <c r="D71" i="9"/>
  <c r="G40" i="9"/>
  <c r="J40" i="9" s="1"/>
  <c r="N69" i="9"/>
  <c r="F69" i="9"/>
  <c r="E69" i="9"/>
  <c r="O69" i="9"/>
  <c r="J39" i="6"/>
  <c r="K28" i="6"/>
  <c r="L27" i="6"/>
  <c r="M27" i="6" s="1"/>
  <c r="H40" i="6"/>
  <c r="I40" i="6" s="1"/>
  <c r="B41" i="6"/>
  <c r="C42" i="6"/>
  <c r="B161" i="6"/>
  <c r="J160" i="6"/>
  <c r="K149" i="6" s="1"/>
  <c r="G40" i="6"/>
  <c r="L148" i="6"/>
  <c r="M148" i="6" s="1"/>
  <c r="H40" i="9" l="1"/>
  <c r="I40" i="9" s="1"/>
  <c r="L69" i="9"/>
  <c r="Q68" i="9"/>
  <c r="AF68" i="9" s="1"/>
  <c r="AE68" i="9" s="1"/>
  <c r="M70" i="9"/>
  <c r="AB69" i="9"/>
  <c r="P69" i="9"/>
  <c r="AF69" i="9"/>
  <c r="Q69" i="9"/>
  <c r="D72" i="9"/>
  <c r="C71" i="9"/>
  <c r="M71" i="9" s="1"/>
  <c r="S69" i="9"/>
  <c r="V69" i="9"/>
  <c r="AF70" i="9"/>
  <c r="Q70" i="9"/>
  <c r="AB70" i="9"/>
  <c r="P70" i="9"/>
  <c r="G41" i="9"/>
  <c r="J41" i="9" s="1"/>
  <c r="N70" i="9"/>
  <c r="F70" i="9"/>
  <c r="E70" i="9"/>
  <c r="J40" i="6"/>
  <c r="K29" i="6" s="1"/>
  <c r="K30" i="6" s="1"/>
  <c r="L28" i="6"/>
  <c r="M28" i="6" s="1"/>
  <c r="H41" i="6"/>
  <c r="I41" i="6" s="1"/>
  <c r="K150" i="6"/>
  <c r="L149" i="6"/>
  <c r="M149" i="6" s="1"/>
  <c r="B42" i="6"/>
  <c r="C43" i="6"/>
  <c r="J161" i="6"/>
  <c r="B162" i="6"/>
  <c r="G41" i="6"/>
  <c r="H41" i="9" l="1"/>
  <c r="I41" i="9" s="1"/>
  <c r="L70" i="9"/>
  <c r="S68" i="9"/>
  <c r="AB68" i="9"/>
  <c r="AE69" i="9"/>
  <c r="AE70" i="9" s="1"/>
  <c r="S70" i="9"/>
  <c r="V70" i="9"/>
  <c r="D73" i="9"/>
  <c r="C72" i="9"/>
  <c r="O72" i="9" s="1"/>
  <c r="N71" i="9"/>
  <c r="F71" i="9"/>
  <c r="E71" i="9"/>
  <c r="G42" i="9"/>
  <c r="J42" i="9" s="1"/>
  <c r="O71" i="9"/>
  <c r="L30" i="6"/>
  <c r="M30" i="6" s="1"/>
  <c r="K31" i="6"/>
  <c r="L29" i="6"/>
  <c r="M29" i="6" s="1"/>
  <c r="J41" i="6"/>
  <c r="J42" i="6"/>
  <c r="J162" i="6"/>
  <c r="B163" i="6"/>
  <c r="G42" i="6"/>
  <c r="K151" i="6"/>
  <c r="L150" i="6"/>
  <c r="M150" i="6" s="1"/>
  <c r="C44" i="6"/>
  <c r="B43" i="6"/>
  <c r="H42" i="6"/>
  <c r="I42" i="6" s="1"/>
  <c r="H42" i="9" l="1"/>
  <c r="I42" i="9" s="1"/>
  <c r="L71" i="9"/>
  <c r="M72" i="9"/>
  <c r="AF72" i="9"/>
  <c r="Q72" i="9"/>
  <c r="AB72" i="9"/>
  <c r="P72" i="9"/>
  <c r="G43" i="9"/>
  <c r="J43" i="9" s="1"/>
  <c r="AF71" i="9"/>
  <c r="AE71" i="9" s="1"/>
  <c r="Q71" i="9"/>
  <c r="AB71" i="9"/>
  <c r="P71" i="9"/>
  <c r="V71" i="9"/>
  <c r="S71" i="9"/>
  <c r="E72" i="9"/>
  <c r="N72" i="9"/>
  <c r="F72" i="9"/>
  <c r="C73" i="9"/>
  <c r="O73" i="9" s="1"/>
  <c r="D74" i="9"/>
  <c r="L31" i="6"/>
  <c r="M31" i="6" s="1"/>
  <c r="K32" i="6"/>
  <c r="K33" i="6" s="1"/>
  <c r="J43" i="6"/>
  <c r="H43" i="6"/>
  <c r="I43" i="6" s="1"/>
  <c r="G43" i="6"/>
  <c r="H44" i="6" s="1"/>
  <c r="I44" i="6" s="1"/>
  <c r="C45" i="6"/>
  <c r="B44" i="6"/>
  <c r="K152" i="6"/>
  <c r="L151" i="6"/>
  <c r="M151" i="6" s="1"/>
  <c r="J163" i="6"/>
  <c r="B164" i="6"/>
  <c r="H43" i="9" l="1"/>
  <c r="I43" i="9" s="1"/>
  <c r="L72" i="9"/>
  <c r="AE72" i="9"/>
  <c r="M73" i="9"/>
  <c r="AB73" i="9"/>
  <c r="P73" i="9"/>
  <c r="AF73" i="9"/>
  <c r="Q73" i="9"/>
  <c r="G44" i="9"/>
  <c r="J44" i="9" s="1"/>
  <c r="N73" i="9"/>
  <c r="F73" i="9"/>
  <c r="E73" i="9"/>
  <c r="S72" i="9"/>
  <c r="V72" i="9"/>
  <c r="C74" i="9"/>
  <c r="O74" i="9" s="1"/>
  <c r="D75" i="9"/>
  <c r="L32" i="6"/>
  <c r="M32" i="6" s="1"/>
  <c r="J164" i="6"/>
  <c r="B165" i="6"/>
  <c r="K153" i="6"/>
  <c r="L152" i="6"/>
  <c r="M152" i="6" s="1"/>
  <c r="B45" i="6"/>
  <c r="C46" i="6"/>
  <c r="K34" i="6"/>
  <c r="L33" i="6"/>
  <c r="M33" i="6" s="1"/>
  <c r="G44" i="6"/>
  <c r="H44" i="9" l="1"/>
  <c r="I44" i="9" s="1"/>
  <c r="L73" i="9"/>
  <c r="AE73" i="9"/>
  <c r="M74" i="9"/>
  <c r="G45" i="9"/>
  <c r="J45" i="9" s="1"/>
  <c r="D76" i="9"/>
  <c r="C75" i="9"/>
  <c r="O75" i="9" s="1"/>
  <c r="AF74" i="9"/>
  <c r="Q74" i="9"/>
  <c r="AB74" i="9"/>
  <c r="P74" i="9"/>
  <c r="S73" i="9"/>
  <c r="V73" i="9"/>
  <c r="N74" i="9"/>
  <c r="F74" i="9"/>
  <c r="E74" i="9"/>
  <c r="J44" i="6"/>
  <c r="J165" i="6"/>
  <c r="H45" i="6"/>
  <c r="I45" i="6" s="1"/>
  <c r="K154" i="6"/>
  <c r="L153" i="6"/>
  <c r="M153" i="6" s="1"/>
  <c r="K35" i="6"/>
  <c r="L34" i="6"/>
  <c r="M34" i="6" s="1"/>
  <c r="G45" i="6"/>
  <c r="B166" i="6"/>
  <c r="B46" i="6"/>
  <c r="C47" i="6"/>
  <c r="H45" i="9" l="1"/>
  <c r="I45" i="9" s="1"/>
  <c r="L74" i="9"/>
  <c r="AE74" i="9"/>
  <c r="M75" i="9"/>
  <c r="AF75" i="9"/>
  <c r="Q75" i="9"/>
  <c r="AB75" i="9"/>
  <c r="P75" i="9"/>
  <c r="S74" i="9"/>
  <c r="V74" i="9"/>
  <c r="D77" i="9"/>
  <c r="C76" i="9"/>
  <c r="M76" i="9" s="1"/>
  <c r="N75" i="9"/>
  <c r="F75" i="9"/>
  <c r="E75" i="9"/>
  <c r="G46" i="9"/>
  <c r="J46" i="9" s="1"/>
  <c r="J45" i="6"/>
  <c r="J46" i="6"/>
  <c r="H46" i="6"/>
  <c r="I46" i="6" s="1"/>
  <c r="G46" i="6"/>
  <c r="C48" i="6"/>
  <c r="B47" i="6"/>
  <c r="K155" i="6"/>
  <c r="L154" i="6"/>
  <c r="M154" i="6" s="1"/>
  <c r="K36" i="6"/>
  <c r="L35" i="6"/>
  <c r="M35" i="6" s="1"/>
  <c r="J166" i="6"/>
  <c r="B167" i="6"/>
  <c r="H46" i="9" l="1"/>
  <c r="I46" i="9" s="1"/>
  <c r="L75" i="9"/>
  <c r="AE75" i="9"/>
  <c r="G47" i="9"/>
  <c r="J47" i="9" s="1"/>
  <c r="E76" i="9"/>
  <c r="N76" i="9"/>
  <c r="F76" i="9"/>
  <c r="O76" i="9"/>
  <c r="V75" i="9"/>
  <c r="S75" i="9"/>
  <c r="C77" i="9"/>
  <c r="O77" i="9" s="1"/>
  <c r="D78" i="9"/>
  <c r="J167" i="6"/>
  <c r="H47" i="6"/>
  <c r="I47" i="6" s="1"/>
  <c r="G47" i="6"/>
  <c r="J47" i="6"/>
  <c r="B48" i="6"/>
  <c r="C49" i="6"/>
  <c r="H48" i="6"/>
  <c r="I48" i="6" s="1"/>
  <c r="B168" i="6"/>
  <c r="K37" i="6"/>
  <c r="L36" i="6"/>
  <c r="M36" i="6" s="1"/>
  <c r="K156" i="6"/>
  <c r="L155" i="6"/>
  <c r="M155" i="6" s="1"/>
  <c r="H47" i="9" l="1"/>
  <c r="I47" i="9" s="1"/>
  <c r="L76" i="9"/>
  <c r="M77" i="9"/>
  <c r="AB77" i="9"/>
  <c r="P77" i="9"/>
  <c r="AF77" i="9"/>
  <c r="Q77" i="9"/>
  <c r="AF76" i="9"/>
  <c r="AE76" i="9" s="1"/>
  <c r="Q76" i="9"/>
  <c r="AB76" i="9"/>
  <c r="P76" i="9"/>
  <c r="S76" i="9"/>
  <c r="V76" i="9"/>
  <c r="G48" i="9"/>
  <c r="J48" i="9" s="1"/>
  <c r="N77" i="9"/>
  <c r="F77" i="9"/>
  <c r="E77" i="9"/>
  <c r="C78" i="9"/>
  <c r="M78" i="9" s="1"/>
  <c r="D79" i="9"/>
  <c r="J168" i="6"/>
  <c r="K38" i="6"/>
  <c r="L37" i="6"/>
  <c r="M37" i="6" s="1"/>
  <c r="K157" i="6"/>
  <c r="L156" i="6"/>
  <c r="M156" i="6" s="1"/>
  <c r="B169" i="6"/>
  <c r="B49" i="6"/>
  <c r="C50" i="6"/>
  <c r="G48" i="6"/>
  <c r="H48" i="9" l="1"/>
  <c r="I48" i="9" s="1"/>
  <c r="L77" i="9"/>
  <c r="AE77" i="9"/>
  <c r="G49" i="9"/>
  <c r="J49" i="9" s="1"/>
  <c r="N78" i="9"/>
  <c r="F78" i="9"/>
  <c r="E78" i="9"/>
  <c r="O78" i="9"/>
  <c r="D80" i="9"/>
  <c r="C79" i="9"/>
  <c r="O79" i="9" s="1"/>
  <c r="S77" i="9"/>
  <c r="V77" i="9"/>
  <c r="J48" i="6"/>
  <c r="J169" i="6"/>
  <c r="G49" i="6"/>
  <c r="J49" i="6"/>
  <c r="H49" i="6"/>
  <c r="I49" i="6" s="1"/>
  <c r="B170" i="6"/>
  <c r="C51" i="6"/>
  <c r="H50" i="6"/>
  <c r="I50" i="6" s="1"/>
  <c r="B50" i="6"/>
  <c r="K158" i="6"/>
  <c r="L157" i="6"/>
  <c r="M157" i="6" s="1"/>
  <c r="K39" i="6"/>
  <c r="L38" i="6"/>
  <c r="M38" i="6" s="1"/>
  <c r="H49" i="9" l="1"/>
  <c r="I49" i="9" s="1"/>
  <c r="L78" i="9"/>
  <c r="M79" i="9"/>
  <c r="S78" i="9"/>
  <c r="V78" i="9"/>
  <c r="D81" i="9"/>
  <c r="C80" i="9"/>
  <c r="M80" i="9" s="1"/>
  <c r="AF78" i="9"/>
  <c r="AE78" i="9" s="1"/>
  <c r="Q78" i="9"/>
  <c r="AB78" i="9"/>
  <c r="P78" i="9"/>
  <c r="G50" i="9"/>
  <c r="J50" i="9" s="1"/>
  <c r="AF79" i="9"/>
  <c r="Q79" i="9"/>
  <c r="AB79" i="9"/>
  <c r="P79" i="9"/>
  <c r="N79" i="9"/>
  <c r="F79" i="9"/>
  <c r="E79" i="9"/>
  <c r="J170" i="6"/>
  <c r="K159" i="6"/>
  <c r="L158" i="6"/>
  <c r="M158" i="6" s="1"/>
  <c r="G50" i="6"/>
  <c r="K40" i="6"/>
  <c r="L39" i="6"/>
  <c r="M39" i="6" s="1"/>
  <c r="C52" i="6"/>
  <c r="B51" i="6"/>
  <c r="B171" i="6"/>
  <c r="H50" i="9" l="1"/>
  <c r="I50" i="9" s="1"/>
  <c r="L79" i="9"/>
  <c r="AE79" i="9"/>
  <c r="G51" i="9"/>
  <c r="J51" i="9" s="1"/>
  <c r="E80" i="9"/>
  <c r="N80" i="9"/>
  <c r="F80" i="9"/>
  <c r="V79" i="9"/>
  <c r="S79" i="9"/>
  <c r="C81" i="9"/>
  <c r="M81" i="9" s="1"/>
  <c r="D82" i="9"/>
  <c r="J50" i="6"/>
  <c r="J51" i="6"/>
  <c r="H51" i="6"/>
  <c r="I51" i="6" s="1"/>
  <c r="J171" i="6"/>
  <c r="B172" i="6"/>
  <c r="G51" i="6"/>
  <c r="C53" i="6"/>
  <c r="B52" i="6"/>
  <c r="L40" i="6"/>
  <c r="M40" i="6" s="1"/>
  <c r="L159" i="6"/>
  <c r="M159" i="6" s="1"/>
  <c r="K160" i="6"/>
  <c r="H51" i="9" l="1"/>
  <c r="I51" i="9" s="1"/>
  <c r="L80" i="9"/>
  <c r="N81" i="9"/>
  <c r="F81" i="9"/>
  <c r="E81" i="9"/>
  <c r="O80" i="9"/>
  <c r="G52" i="9"/>
  <c r="J52" i="9" s="1"/>
  <c r="V80" i="9"/>
  <c r="O81" i="9"/>
  <c r="C82" i="9"/>
  <c r="M82" i="9" s="1"/>
  <c r="D83" i="9"/>
  <c r="J52" i="6"/>
  <c r="K41" i="6" s="1"/>
  <c r="J172" i="6"/>
  <c r="K161" i="6" s="1"/>
  <c r="H52" i="6"/>
  <c r="I52" i="6" s="1"/>
  <c r="B53" i="6"/>
  <c r="C54" i="6"/>
  <c r="B173" i="6"/>
  <c r="L160" i="6"/>
  <c r="M160" i="6" s="1"/>
  <c r="G52" i="6"/>
  <c r="H52" i="9" l="1"/>
  <c r="I52" i="9" s="1"/>
  <c r="L81" i="9"/>
  <c r="N82" i="9"/>
  <c r="F82" i="9"/>
  <c r="E82" i="9"/>
  <c r="Q80" i="9"/>
  <c r="P80" i="9"/>
  <c r="D84" i="9"/>
  <c r="C83" i="9"/>
  <c r="O83" i="9" s="1"/>
  <c r="O82" i="9"/>
  <c r="S81" i="9"/>
  <c r="V81" i="9"/>
  <c r="AB81" i="9"/>
  <c r="P81" i="9"/>
  <c r="AF81" i="9"/>
  <c r="Q81" i="9"/>
  <c r="G53" i="9"/>
  <c r="J53" i="9" s="1"/>
  <c r="L41" i="6"/>
  <c r="M41" i="6" s="1"/>
  <c r="K42" i="6"/>
  <c r="J173" i="6"/>
  <c r="K162" i="6"/>
  <c r="L161" i="6"/>
  <c r="M161" i="6" s="1"/>
  <c r="B54" i="6"/>
  <c r="C55" i="6"/>
  <c r="H53" i="6"/>
  <c r="I53" i="6" s="1"/>
  <c r="B174" i="6"/>
  <c r="G53" i="6"/>
  <c r="H53" i="9" l="1"/>
  <c r="I53" i="9" s="1"/>
  <c r="L82" i="9"/>
  <c r="M83" i="9"/>
  <c r="AB80" i="9"/>
  <c r="AF82" i="9"/>
  <c r="Q82" i="9"/>
  <c r="AB82" i="9"/>
  <c r="P82" i="9"/>
  <c r="D85" i="9"/>
  <c r="C84" i="9"/>
  <c r="O84" i="9" s="1"/>
  <c r="AF80" i="9"/>
  <c r="AE80" i="9" s="1"/>
  <c r="AE81" i="9" s="1"/>
  <c r="G54" i="9"/>
  <c r="J54" i="9" s="1"/>
  <c r="S80" i="9"/>
  <c r="S82" i="9"/>
  <c r="V82" i="9"/>
  <c r="AF83" i="9"/>
  <c r="Q83" i="9"/>
  <c r="AB83" i="9"/>
  <c r="P83" i="9"/>
  <c r="N83" i="9"/>
  <c r="F83" i="9"/>
  <c r="E83" i="9"/>
  <c r="K43" i="6"/>
  <c r="J53" i="6"/>
  <c r="L42" i="6"/>
  <c r="M42" i="6" s="1"/>
  <c r="J174" i="6"/>
  <c r="B175" i="6"/>
  <c r="C56" i="6"/>
  <c r="B55" i="6"/>
  <c r="H54" i="6"/>
  <c r="I54" i="6" s="1"/>
  <c r="L162" i="6"/>
  <c r="M162" i="6" s="1"/>
  <c r="K163" i="6"/>
  <c r="G54" i="6"/>
  <c r="H54" i="9" l="1"/>
  <c r="I54" i="9" s="1"/>
  <c r="L83" i="9"/>
  <c r="M84" i="9"/>
  <c r="V83" i="9"/>
  <c r="S83" i="9"/>
  <c r="C85" i="9"/>
  <c r="M85" i="9" s="1"/>
  <c r="D86" i="9"/>
  <c r="G55" i="9"/>
  <c r="J55" i="9" s="1"/>
  <c r="AE82" i="9"/>
  <c r="AE83" i="9" s="1"/>
  <c r="AF84" i="9"/>
  <c r="Q84" i="9"/>
  <c r="AB84" i="9"/>
  <c r="P84" i="9"/>
  <c r="E84" i="9"/>
  <c r="N84" i="9"/>
  <c r="F84" i="9"/>
  <c r="K44" i="6"/>
  <c r="K45" i="6" s="1"/>
  <c r="L43" i="6"/>
  <c r="M43" i="6" s="1"/>
  <c r="J54" i="6"/>
  <c r="J175" i="6"/>
  <c r="J55" i="6"/>
  <c r="H55" i="6"/>
  <c r="I55" i="6" s="1"/>
  <c r="G55" i="6"/>
  <c r="L163" i="6"/>
  <c r="M163" i="6" s="1"/>
  <c r="K164" i="6"/>
  <c r="B176" i="6"/>
  <c r="C57" i="6"/>
  <c r="B56" i="6"/>
  <c r="H55" i="9" l="1"/>
  <c r="I55" i="9" s="1"/>
  <c r="L84" i="9"/>
  <c r="AE84" i="9"/>
  <c r="C86" i="9"/>
  <c r="O86" i="9" s="1"/>
  <c r="D87" i="9"/>
  <c r="G56" i="9"/>
  <c r="J56" i="9" s="1"/>
  <c r="N85" i="9"/>
  <c r="F85" i="9"/>
  <c r="E85" i="9"/>
  <c r="S84" i="9"/>
  <c r="V84" i="9"/>
  <c r="O85" i="9"/>
  <c r="L44" i="6"/>
  <c r="M44" i="6" s="1"/>
  <c r="J176" i="6"/>
  <c r="H56" i="6"/>
  <c r="I56" i="6" s="1"/>
  <c r="B57" i="6"/>
  <c r="C58" i="6"/>
  <c r="K46" i="6"/>
  <c r="L45" i="6"/>
  <c r="M45" i="6" s="1"/>
  <c r="G56" i="6"/>
  <c r="B177" i="6"/>
  <c r="K165" i="6"/>
  <c r="L164" i="6"/>
  <c r="M164" i="6" s="1"/>
  <c r="H56" i="9" l="1"/>
  <c r="I56" i="9" s="1"/>
  <c r="L85" i="9"/>
  <c r="M86" i="9"/>
  <c r="AF86" i="9"/>
  <c r="Q86" i="9"/>
  <c r="AB86" i="9"/>
  <c r="P86" i="9"/>
  <c r="S85" i="9"/>
  <c r="V85" i="9"/>
  <c r="G57" i="9"/>
  <c r="J57" i="9" s="1"/>
  <c r="N86" i="9"/>
  <c r="F86" i="9"/>
  <c r="E86" i="9"/>
  <c r="AB85" i="9"/>
  <c r="P85" i="9"/>
  <c r="AF85" i="9"/>
  <c r="AE85" i="9" s="1"/>
  <c r="Q85" i="9"/>
  <c r="D88" i="9"/>
  <c r="C87" i="9"/>
  <c r="M87" i="9" s="1"/>
  <c r="J56" i="6"/>
  <c r="J57" i="6"/>
  <c r="J177" i="6"/>
  <c r="H57" i="6"/>
  <c r="I57" i="6" s="1"/>
  <c r="L165" i="6"/>
  <c r="M165" i="6" s="1"/>
  <c r="K166" i="6"/>
  <c r="B58" i="6"/>
  <c r="C59" i="6"/>
  <c r="B178" i="6"/>
  <c r="G57" i="6"/>
  <c r="K47" i="6"/>
  <c r="L46" i="6"/>
  <c r="M46" i="6" s="1"/>
  <c r="H57" i="9" l="1"/>
  <c r="I57" i="9" s="1"/>
  <c r="L86" i="9"/>
  <c r="AE86" i="9"/>
  <c r="D89" i="9"/>
  <c r="C88" i="9"/>
  <c r="O88" i="9" s="1"/>
  <c r="G58" i="9"/>
  <c r="J58" i="9" s="1"/>
  <c r="N87" i="9"/>
  <c r="F87" i="9"/>
  <c r="E87" i="9"/>
  <c r="S86" i="9"/>
  <c r="V86" i="9"/>
  <c r="O87" i="9"/>
  <c r="J178" i="6"/>
  <c r="B179" i="6"/>
  <c r="G58" i="6"/>
  <c r="L166" i="6"/>
  <c r="M166" i="6" s="1"/>
  <c r="K167" i="6"/>
  <c r="K48" i="6"/>
  <c r="L47" i="6"/>
  <c r="M47" i="6" s="1"/>
  <c r="C60" i="6"/>
  <c r="B59" i="6"/>
  <c r="H58" i="6"/>
  <c r="I58" i="6" s="1"/>
  <c r="H58" i="9" l="1"/>
  <c r="I58" i="9" s="1"/>
  <c r="L87" i="9"/>
  <c r="M88" i="9"/>
  <c r="AF87" i="9"/>
  <c r="AE87" i="9" s="1"/>
  <c r="Q87" i="9"/>
  <c r="AB87" i="9"/>
  <c r="P87" i="9"/>
  <c r="C89" i="9"/>
  <c r="M89" i="9" s="1"/>
  <c r="D90" i="9"/>
  <c r="AF88" i="9"/>
  <c r="Q88" i="9"/>
  <c r="AB88" i="9"/>
  <c r="P88" i="9"/>
  <c r="V87" i="9"/>
  <c r="S87" i="9"/>
  <c r="G59" i="9"/>
  <c r="J59" i="9" s="1"/>
  <c r="E88" i="9"/>
  <c r="N88" i="9"/>
  <c r="F88" i="9"/>
  <c r="J58" i="6"/>
  <c r="H59" i="6"/>
  <c r="I59" i="6" s="1"/>
  <c r="C61" i="6"/>
  <c r="B60" i="6"/>
  <c r="K168" i="6"/>
  <c r="L167" i="6"/>
  <c r="M167" i="6" s="1"/>
  <c r="K49" i="6"/>
  <c r="L48" i="6"/>
  <c r="M48" i="6" s="1"/>
  <c r="G59" i="6"/>
  <c r="J179" i="6"/>
  <c r="B180" i="6"/>
  <c r="H59" i="9" l="1"/>
  <c r="I59" i="9" s="1"/>
  <c r="L88" i="9"/>
  <c r="C90" i="9"/>
  <c r="O90" i="9" s="1"/>
  <c r="D91" i="9"/>
  <c r="AE88" i="9"/>
  <c r="N89" i="9"/>
  <c r="F89" i="9"/>
  <c r="E89" i="9"/>
  <c r="S88" i="9"/>
  <c r="V88" i="9"/>
  <c r="G60" i="9"/>
  <c r="J60" i="9" s="1"/>
  <c r="O89" i="9"/>
  <c r="J59" i="6"/>
  <c r="H60" i="6"/>
  <c r="I60" i="6" s="1"/>
  <c r="B61" i="6"/>
  <c r="C62" i="6"/>
  <c r="K169" i="6"/>
  <c r="L168" i="6"/>
  <c r="M168" i="6" s="1"/>
  <c r="J180" i="6"/>
  <c r="B181" i="6"/>
  <c r="K50" i="6"/>
  <c r="L49" i="6"/>
  <c r="M49" i="6" s="1"/>
  <c r="G60" i="6"/>
  <c r="H60" i="9" l="1"/>
  <c r="I60" i="9" s="1"/>
  <c r="L89" i="9"/>
  <c r="M90" i="9"/>
  <c r="AF90" i="9"/>
  <c r="Q90" i="9"/>
  <c r="AB90" i="9"/>
  <c r="P90" i="9"/>
  <c r="AB89" i="9"/>
  <c r="P89" i="9"/>
  <c r="AF89" i="9"/>
  <c r="AE89" i="9" s="1"/>
  <c r="Q89" i="9"/>
  <c r="S89" i="9"/>
  <c r="V89" i="9"/>
  <c r="N90" i="9"/>
  <c r="E90" i="9"/>
  <c r="G61" i="9"/>
  <c r="J61" i="9" s="1"/>
  <c r="D92" i="9"/>
  <c r="C91" i="9"/>
  <c r="J60" i="6"/>
  <c r="J181" i="6"/>
  <c r="B182" i="6"/>
  <c r="K51" i="6"/>
  <c r="L50" i="6"/>
  <c r="M50" i="6" s="1"/>
  <c r="B62" i="6"/>
  <c r="C63" i="6"/>
  <c r="H61" i="6"/>
  <c r="I61" i="6" s="1"/>
  <c r="G61" i="6"/>
  <c r="K170" i="6"/>
  <c r="L169" i="6"/>
  <c r="M169" i="6" s="1"/>
  <c r="H61" i="9" l="1"/>
  <c r="I61" i="9" s="1"/>
  <c r="L90" i="9"/>
  <c r="N91" i="9"/>
  <c r="N163" i="9" s="1"/>
  <c r="N235" i="9" s="1"/>
  <c r="N307" i="9" s="1"/>
  <c r="N379" i="9" s="1"/>
  <c r="N451" i="9" s="1"/>
  <c r="N523" i="9" s="1"/>
  <c r="N595" i="9" s="1"/>
  <c r="N667" i="9" s="1"/>
  <c r="N739" i="9" s="1"/>
  <c r="N811" i="9" s="1"/>
  <c r="N883" i="9" s="1"/>
  <c r="N955" i="9" s="1"/>
  <c r="N1027" i="9" s="1"/>
  <c r="N1099" i="9" s="1"/>
  <c r="N1171" i="9" s="1"/>
  <c r="N1243" i="9" s="1"/>
  <c r="M91" i="9"/>
  <c r="M163" i="9" s="1"/>
  <c r="M235" i="9" s="1"/>
  <c r="M307" i="9" s="1"/>
  <c r="M379" i="9" s="1"/>
  <c r="M451" i="9" s="1"/>
  <c r="M523" i="9" s="1"/>
  <c r="M595" i="9" s="1"/>
  <c r="M667" i="9" s="1"/>
  <c r="M739" i="9" s="1"/>
  <c r="M811" i="9" s="1"/>
  <c r="M883" i="9" s="1"/>
  <c r="M955" i="9" s="1"/>
  <c r="M1027" i="9" s="1"/>
  <c r="M1099" i="9" s="1"/>
  <c r="M1171" i="9" s="1"/>
  <c r="M1243" i="9" s="1"/>
  <c r="O91" i="9"/>
  <c r="AE90" i="9"/>
  <c r="G62" i="9"/>
  <c r="J62" i="9" s="1"/>
  <c r="S90" i="9"/>
  <c r="V90" i="9"/>
  <c r="D93" i="9"/>
  <c r="C92" i="9"/>
  <c r="O92" i="9" s="1"/>
  <c r="J61" i="6"/>
  <c r="J182" i="6"/>
  <c r="G62" i="6"/>
  <c r="H63" i="6" s="1"/>
  <c r="I63" i="6" s="1"/>
  <c r="B183" i="6"/>
  <c r="K171" i="6"/>
  <c r="L170" i="6"/>
  <c r="M170" i="6" s="1"/>
  <c r="C64" i="6"/>
  <c r="B63" i="6"/>
  <c r="H62" i="6"/>
  <c r="I62" i="6" s="1"/>
  <c r="K52" i="6"/>
  <c r="L51" i="6"/>
  <c r="M51" i="6" s="1"/>
  <c r="H62" i="9" l="1"/>
  <c r="I62" i="9" s="1"/>
  <c r="L91" i="9"/>
  <c r="F163" i="9"/>
  <c r="Q92" i="9"/>
  <c r="Q164" i="9" s="1"/>
  <c r="Q236" i="9" s="1"/>
  <c r="Q308" i="9" s="1"/>
  <c r="Q380" i="9" s="1"/>
  <c r="Q452" i="9" s="1"/>
  <c r="Q524" i="9" s="1"/>
  <c r="Q596" i="9" s="1"/>
  <c r="Q668" i="9" s="1"/>
  <c r="Q740" i="9" s="1"/>
  <c r="Q812" i="9" s="1"/>
  <c r="Q884" i="9" s="1"/>
  <c r="Q956" i="9" s="1"/>
  <c r="Q1028" i="9" s="1"/>
  <c r="Q1100" i="9" s="1"/>
  <c r="Q1172" i="9" s="1"/>
  <c r="Q1244" i="9" s="1"/>
  <c r="P92" i="9"/>
  <c r="P164" i="9" s="1"/>
  <c r="P236" i="9" s="1"/>
  <c r="P308" i="9" s="1"/>
  <c r="P380" i="9" s="1"/>
  <c r="P452" i="9" s="1"/>
  <c r="P524" i="9" s="1"/>
  <c r="P596" i="9" s="1"/>
  <c r="P668" i="9" s="1"/>
  <c r="P740" i="9" s="1"/>
  <c r="P812" i="9" s="1"/>
  <c r="P884" i="9" s="1"/>
  <c r="P956" i="9" s="1"/>
  <c r="P1028" i="9" s="1"/>
  <c r="P1100" i="9" s="1"/>
  <c r="P1172" i="9" s="1"/>
  <c r="P1244" i="9" s="1"/>
  <c r="O164" i="9"/>
  <c r="O236" i="9" s="1"/>
  <c r="O308" i="9" s="1"/>
  <c r="O380" i="9" s="1"/>
  <c r="O452" i="9" s="1"/>
  <c r="O524" i="9" s="1"/>
  <c r="O596" i="9" s="1"/>
  <c r="O668" i="9" s="1"/>
  <c r="O740" i="9" s="1"/>
  <c r="O812" i="9" s="1"/>
  <c r="O884" i="9" s="1"/>
  <c r="O956" i="9" s="1"/>
  <c r="O1028" i="9" s="1"/>
  <c r="O1100" i="9" s="1"/>
  <c r="O1172" i="9" s="1"/>
  <c r="O1244" i="9" s="1"/>
  <c r="Q91" i="9"/>
  <c r="Q163" i="9" s="1"/>
  <c r="Q235" i="9" s="1"/>
  <c r="Q307" i="9" s="1"/>
  <c r="Q379" i="9" s="1"/>
  <c r="Q451" i="9" s="1"/>
  <c r="Q523" i="9" s="1"/>
  <c r="Q595" i="9" s="1"/>
  <c r="Q667" i="9" s="1"/>
  <c r="Q739" i="9" s="1"/>
  <c r="Q811" i="9" s="1"/>
  <c r="Q883" i="9" s="1"/>
  <c r="Q955" i="9" s="1"/>
  <c r="Q1027" i="9" s="1"/>
  <c r="Q1099" i="9" s="1"/>
  <c r="Q1171" i="9" s="1"/>
  <c r="Q1243" i="9" s="1"/>
  <c r="P91" i="9"/>
  <c r="P163" i="9" s="1"/>
  <c r="P235" i="9" s="1"/>
  <c r="P307" i="9" s="1"/>
  <c r="P379" i="9" s="1"/>
  <c r="P451" i="9" s="1"/>
  <c r="P523" i="9" s="1"/>
  <c r="P595" i="9" s="1"/>
  <c r="P667" i="9" s="1"/>
  <c r="P739" i="9" s="1"/>
  <c r="P811" i="9" s="1"/>
  <c r="P883" i="9" s="1"/>
  <c r="P955" i="9" s="1"/>
  <c r="P1027" i="9" s="1"/>
  <c r="P1099" i="9" s="1"/>
  <c r="P1171" i="9" s="1"/>
  <c r="P1243" i="9" s="1"/>
  <c r="O163" i="9"/>
  <c r="O235" i="9" s="1"/>
  <c r="O307" i="9" s="1"/>
  <c r="O379" i="9" s="1"/>
  <c r="O451" i="9" s="1"/>
  <c r="O523" i="9" s="1"/>
  <c r="O595" i="9" s="1"/>
  <c r="O667" i="9" s="1"/>
  <c r="O739" i="9" s="1"/>
  <c r="O811" i="9" s="1"/>
  <c r="O883" i="9" s="1"/>
  <c r="O955" i="9" s="1"/>
  <c r="O1027" i="9" s="1"/>
  <c r="O1099" i="9" s="1"/>
  <c r="O1171" i="9" s="1"/>
  <c r="O1243" i="9" s="1"/>
  <c r="N92" i="9"/>
  <c r="N164" i="9" s="1"/>
  <c r="N236" i="9" s="1"/>
  <c r="N308" i="9" s="1"/>
  <c r="N380" i="9" s="1"/>
  <c r="N452" i="9" s="1"/>
  <c r="N524" i="9" s="1"/>
  <c r="N596" i="9" s="1"/>
  <c r="N668" i="9" s="1"/>
  <c r="N740" i="9" s="1"/>
  <c r="N812" i="9" s="1"/>
  <c r="N884" i="9" s="1"/>
  <c r="N956" i="9" s="1"/>
  <c r="N1028" i="9" s="1"/>
  <c r="N1100" i="9" s="1"/>
  <c r="N1172" i="9" s="1"/>
  <c r="N1244" i="9" s="1"/>
  <c r="M92" i="9"/>
  <c r="M164" i="9" s="1"/>
  <c r="M236" i="9" s="1"/>
  <c r="M308" i="9" s="1"/>
  <c r="M380" i="9" s="1"/>
  <c r="M452" i="9" s="1"/>
  <c r="M524" i="9" s="1"/>
  <c r="M596" i="9" s="1"/>
  <c r="M668" i="9" s="1"/>
  <c r="M740" i="9" s="1"/>
  <c r="M812" i="9" s="1"/>
  <c r="M884" i="9" s="1"/>
  <c r="M956" i="9" s="1"/>
  <c r="M1028" i="9" s="1"/>
  <c r="M1100" i="9" s="1"/>
  <c r="M1172" i="9" s="1"/>
  <c r="M1244" i="9" s="1"/>
  <c r="AF91" i="9"/>
  <c r="AE91" i="9" s="1"/>
  <c r="AB91" i="9"/>
  <c r="G63" i="9"/>
  <c r="J63" i="9" s="1"/>
  <c r="C93" i="9"/>
  <c r="D94" i="9"/>
  <c r="V91" i="9"/>
  <c r="S91" i="9"/>
  <c r="J62" i="6"/>
  <c r="J183" i="6"/>
  <c r="B184" i="6"/>
  <c r="C65" i="6"/>
  <c r="B64" i="6"/>
  <c r="L52" i="6"/>
  <c r="M52" i="6" s="1"/>
  <c r="G63" i="6"/>
  <c r="K172" i="6"/>
  <c r="L171" i="6"/>
  <c r="M171" i="6" s="1"/>
  <c r="H63" i="9" l="1"/>
  <c r="I63" i="9" s="1"/>
  <c r="L163" i="9"/>
  <c r="L92" i="9"/>
  <c r="F164" i="9"/>
  <c r="F235" i="9"/>
  <c r="N93" i="9"/>
  <c r="N165" i="9" s="1"/>
  <c r="N237" i="9" s="1"/>
  <c r="N309" i="9" s="1"/>
  <c r="N381" i="9" s="1"/>
  <c r="N453" i="9" s="1"/>
  <c r="N525" i="9" s="1"/>
  <c r="N597" i="9" s="1"/>
  <c r="N669" i="9" s="1"/>
  <c r="N741" i="9" s="1"/>
  <c r="N813" i="9" s="1"/>
  <c r="N885" i="9" s="1"/>
  <c r="N957" i="9" s="1"/>
  <c r="N1029" i="9" s="1"/>
  <c r="N1101" i="9" s="1"/>
  <c r="N1173" i="9" s="1"/>
  <c r="N1245" i="9" s="1"/>
  <c r="M93" i="9"/>
  <c r="M165" i="9" s="1"/>
  <c r="M237" i="9" s="1"/>
  <c r="M309" i="9" s="1"/>
  <c r="M381" i="9" s="1"/>
  <c r="M453" i="9" s="1"/>
  <c r="M525" i="9" s="1"/>
  <c r="M597" i="9" s="1"/>
  <c r="M669" i="9" s="1"/>
  <c r="M741" i="9" s="1"/>
  <c r="M813" i="9" s="1"/>
  <c r="M885" i="9" s="1"/>
  <c r="M957" i="9" s="1"/>
  <c r="M1029" i="9" s="1"/>
  <c r="M1101" i="9" s="1"/>
  <c r="M1173" i="9" s="1"/>
  <c r="M1245" i="9" s="1"/>
  <c r="O93" i="9"/>
  <c r="C94" i="9"/>
  <c r="D95" i="9"/>
  <c r="V163" i="9"/>
  <c r="S163" i="9"/>
  <c r="G64" i="9"/>
  <c r="J64" i="9" s="1"/>
  <c r="S92" i="9"/>
  <c r="V92" i="9"/>
  <c r="AF163" i="9"/>
  <c r="AB163" i="9"/>
  <c r="AF92" i="9"/>
  <c r="AE92" i="9" s="1"/>
  <c r="AB92" i="9"/>
  <c r="J63" i="6"/>
  <c r="J184" i="6"/>
  <c r="K173" i="6" s="1"/>
  <c r="G64" i="6"/>
  <c r="H65" i="6" s="1"/>
  <c r="I65" i="6" s="1"/>
  <c r="L172" i="6"/>
  <c r="M172" i="6" s="1"/>
  <c r="B65" i="6"/>
  <c r="C66" i="6"/>
  <c r="H64" i="6"/>
  <c r="I64" i="6" s="1"/>
  <c r="B185" i="6"/>
  <c r="H64" i="9" l="1"/>
  <c r="I64" i="9" s="1"/>
  <c r="L164" i="9"/>
  <c r="L235" i="9"/>
  <c r="L93" i="9"/>
  <c r="F165" i="9"/>
  <c r="F307" i="9"/>
  <c r="F236" i="9"/>
  <c r="N94" i="9"/>
  <c r="N166" i="9" s="1"/>
  <c r="N238" i="9" s="1"/>
  <c r="N310" i="9" s="1"/>
  <c r="N382" i="9" s="1"/>
  <c r="N454" i="9" s="1"/>
  <c r="N526" i="9" s="1"/>
  <c r="N598" i="9" s="1"/>
  <c r="N670" i="9" s="1"/>
  <c r="N742" i="9" s="1"/>
  <c r="N814" i="9" s="1"/>
  <c r="N886" i="9" s="1"/>
  <c r="N958" i="9" s="1"/>
  <c r="N1030" i="9" s="1"/>
  <c r="N1102" i="9" s="1"/>
  <c r="N1174" i="9" s="1"/>
  <c r="N1246" i="9" s="1"/>
  <c r="M94" i="9"/>
  <c r="M166" i="9" s="1"/>
  <c r="M238" i="9" s="1"/>
  <c r="M310" i="9" s="1"/>
  <c r="M382" i="9" s="1"/>
  <c r="M454" i="9" s="1"/>
  <c r="M526" i="9" s="1"/>
  <c r="M598" i="9" s="1"/>
  <c r="M670" i="9" s="1"/>
  <c r="M742" i="9" s="1"/>
  <c r="M814" i="9" s="1"/>
  <c r="M886" i="9" s="1"/>
  <c r="M958" i="9" s="1"/>
  <c r="M1030" i="9" s="1"/>
  <c r="M1102" i="9" s="1"/>
  <c r="M1174" i="9" s="1"/>
  <c r="M1246" i="9" s="1"/>
  <c r="O94" i="9"/>
  <c r="Q93" i="9"/>
  <c r="Q165" i="9" s="1"/>
  <c r="Q237" i="9" s="1"/>
  <c r="Q309" i="9" s="1"/>
  <c r="Q381" i="9" s="1"/>
  <c r="Q453" i="9" s="1"/>
  <c r="Q525" i="9" s="1"/>
  <c r="Q597" i="9" s="1"/>
  <c r="Q669" i="9" s="1"/>
  <c r="Q741" i="9" s="1"/>
  <c r="Q813" i="9" s="1"/>
  <c r="Q885" i="9" s="1"/>
  <c r="Q957" i="9" s="1"/>
  <c r="Q1029" i="9" s="1"/>
  <c r="Q1101" i="9" s="1"/>
  <c r="Q1173" i="9" s="1"/>
  <c r="Q1245" i="9" s="1"/>
  <c r="P93" i="9"/>
  <c r="P165" i="9" s="1"/>
  <c r="P237" i="9" s="1"/>
  <c r="P309" i="9" s="1"/>
  <c r="P381" i="9" s="1"/>
  <c r="P453" i="9" s="1"/>
  <c r="P525" i="9" s="1"/>
  <c r="P597" i="9" s="1"/>
  <c r="P669" i="9" s="1"/>
  <c r="P741" i="9" s="1"/>
  <c r="P813" i="9" s="1"/>
  <c r="P885" i="9" s="1"/>
  <c r="P957" i="9" s="1"/>
  <c r="P1029" i="9" s="1"/>
  <c r="P1101" i="9" s="1"/>
  <c r="P1173" i="9" s="1"/>
  <c r="P1245" i="9" s="1"/>
  <c r="O165" i="9"/>
  <c r="O237" i="9" s="1"/>
  <c r="O309" i="9" s="1"/>
  <c r="O381" i="9" s="1"/>
  <c r="O453" i="9" s="1"/>
  <c r="O525" i="9" s="1"/>
  <c r="O597" i="9" s="1"/>
  <c r="O669" i="9" s="1"/>
  <c r="O741" i="9" s="1"/>
  <c r="O813" i="9" s="1"/>
  <c r="O885" i="9" s="1"/>
  <c r="O957" i="9" s="1"/>
  <c r="O1029" i="9" s="1"/>
  <c r="O1101" i="9" s="1"/>
  <c r="O1173" i="9" s="1"/>
  <c r="O1245" i="9" s="1"/>
  <c r="AF235" i="9"/>
  <c r="AB235" i="9"/>
  <c r="S93" i="9"/>
  <c r="V93" i="9"/>
  <c r="AF164" i="9"/>
  <c r="AB164" i="9"/>
  <c r="S164" i="9"/>
  <c r="V164" i="9"/>
  <c r="V235" i="9"/>
  <c r="S235" i="9"/>
  <c r="AB93" i="9"/>
  <c r="AF93" i="9"/>
  <c r="AE93" i="9" s="1"/>
  <c r="G65" i="9"/>
  <c r="J65" i="9" s="1"/>
  <c r="D96" i="9"/>
  <c r="C95" i="9"/>
  <c r="J64" i="6"/>
  <c r="K53" i="6" s="1"/>
  <c r="L53" i="6" s="1"/>
  <c r="J185" i="6"/>
  <c r="K174" i="6"/>
  <c r="L173" i="6"/>
  <c r="M173" i="6" s="1"/>
  <c r="B66" i="6"/>
  <c r="C67" i="6"/>
  <c r="B186" i="6"/>
  <c r="G65" i="6"/>
  <c r="H65" i="9" l="1"/>
  <c r="I65" i="9" s="1"/>
  <c r="L307" i="9"/>
  <c r="L94" i="9"/>
  <c r="L165" i="9"/>
  <c r="L236" i="9"/>
  <c r="F379" i="9"/>
  <c r="F166" i="9"/>
  <c r="F237" i="9"/>
  <c r="F308" i="9"/>
  <c r="Q94" i="9"/>
  <c r="Q166" i="9" s="1"/>
  <c r="Q238" i="9" s="1"/>
  <c r="Q310" i="9" s="1"/>
  <c r="Q382" i="9" s="1"/>
  <c r="Q454" i="9" s="1"/>
  <c r="Q526" i="9" s="1"/>
  <c r="Q598" i="9" s="1"/>
  <c r="Q670" i="9" s="1"/>
  <c r="Q742" i="9" s="1"/>
  <c r="Q814" i="9" s="1"/>
  <c r="Q886" i="9" s="1"/>
  <c r="Q958" i="9" s="1"/>
  <c r="Q1030" i="9" s="1"/>
  <c r="Q1102" i="9" s="1"/>
  <c r="Q1174" i="9" s="1"/>
  <c r="Q1246" i="9" s="1"/>
  <c r="P94" i="9"/>
  <c r="P166" i="9" s="1"/>
  <c r="P238" i="9" s="1"/>
  <c r="P310" i="9" s="1"/>
  <c r="P382" i="9" s="1"/>
  <c r="P454" i="9" s="1"/>
  <c r="P526" i="9" s="1"/>
  <c r="P598" i="9" s="1"/>
  <c r="P670" i="9" s="1"/>
  <c r="P742" i="9" s="1"/>
  <c r="P814" i="9" s="1"/>
  <c r="P886" i="9" s="1"/>
  <c r="P958" i="9" s="1"/>
  <c r="P1030" i="9" s="1"/>
  <c r="P1102" i="9" s="1"/>
  <c r="P1174" i="9" s="1"/>
  <c r="P1246" i="9" s="1"/>
  <c r="O166" i="9"/>
  <c r="O238" i="9" s="1"/>
  <c r="O310" i="9" s="1"/>
  <c r="O382" i="9" s="1"/>
  <c r="O454" i="9" s="1"/>
  <c r="O526" i="9" s="1"/>
  <c r="O598" i="9" s="1"/>
  <c r="O670" i="9" s="1"/>
  <c r="O742" i="9" s="1"/>
  <c r="O814" i="9" s="1"/>
  <c r="O886" i="9" s="1"/>
  <c r="O958" i="9" s="1"/>
  <c r="O1030" i="9" s="1"/>
  <c r="O1102" i="9" s="1"/>
  <c r="O1174" i="9" s="1"/>
  <c r="O1246" i="9" s="1"/>
  <c r="N95" i="9"/>
  <c r="N167" i="9" s="1"/>
  <c r="N239" i="9" s="1"/>
  <c r="N311" i="9" s="1"/>
  <c r="N383" i="9" s="1"/>
  <c r="N455" i="9" s="1"/>
  <c r="N527" i="9" s="1"/>
  <c r="N599" i="9" s="1"/>
  <c r="N671" i="9" s="1"/>
  <c r="N743" i="9" s="1"/>
  <c r="N815" i="9" s="1"/>
  <c r="N887" i="9" s="1"/>
  <c r="N959" i="9" s="1"/>
  <c r="N1031" i="9" s="1"/>
  <c r="N1103" i="9" s="1"/>
  <c r="N1175" i="9" s="1"/>
  <c r="N1247" i="9" s="1"/>
  <c r="M95" i="9"/>
  <c r="M167" i="9" s="1"/>
  <c r="M239" i="9" s="1"/>
  <c r="M311" i="9" s="1"/>
  <c r="M383" i="9" s="1"/>
  <c r="M455" i="9" s="1"/>
  <c r="M527" i="9" s="1"/>
  <c r="M599" i="9" s="1"/>
  <c r="M671" i="9" s="1"/>
  <c r="M743" i="9" s="1"/>
  <c r="M815" i="9" s="1"/>
  <c r="M887" i="9" s="1"/>
  <c r="M959" i="9" s="1"/>
  <c r="M1031" i="9" s="1"/>
  <c r="M1103" i="9" s="1"/>
  <c r="M1175" i="9" s="1"/>
  <c r="M1247" i="9" s="1"/>
  <c r="O95" i="9"/>
  <c r="AF95" i="9" s="1"/>
  <c r="AF94" i="9"/>
  <c r="AE94" i="9" s="1"/>
  <c r="AB94" i="9"/>
  <c r="S94" i="9"/>
  <c r="V94" i="9"/>
  <c r="S165" i="9"/>
  <c r="V165" i="9"/>
  <c r="D97" i="9"/>
  <c r="C96" i="9"/>
  <c r="M96" i="9" s="1"/>
  <c r="M168" i="9" s="1"/>
  <c r="M240" i="9" s="1"/>
  <c r="M312" i="9" s="1"/>
  <c r="M384" i="9" s="1"/>
  <c r="M456" i="9" s="1"/>
  <c r="M528" i="9" s="1"/>
  <c r="M600" i="9" s="1"/>
  <c r="M672" i="9" s="1"/>
  <c r="M744" i="9" s="1"/>
  <c r="M816" i="9" s="1"/>
  <c r="M888" i="9" s="1"/>
  <c r="M960" i="9" s="1"/>
  <c r="M1032" i="9" s="1"/>
  <c r="M1104" i="9" s="1"/>
  <c r="M1176" i="9" s="1"/>
  <c r="M1248" i="9" s="1"/>
  <c r="G66" i="9"/>
  <c r="J66" i="9" s="1"/>
  <c r="S236" i="9"/>
  <c r="V236" i="9"/>
  <c r="AF236" i="9"/>
  <c r="AB236" i="9"/>
  <c r="AF307" i="9"/>
  <c r="AB307" i="9"/>
  <c r="AB165" i="9"/>
  <c r="AF165" i="9"/>
  <c r="S307" i="9"/>
  <c r="V307" i="9"/>
  <c r="K54" i="6"/>
  <c r="K55" i="6" s="1"/>
  <c r="K56" i="6" s="1"/>
  <c r="M53" i="6"/>
  <c r="J66" i="6"/>
  <c r="J65" i="6"/>
  <c r="B187" i="6"/>
  <c r="J186" i="6"/>
  <c r="C68" i="6"/>
  <c r="B67" i="6"/>
  <c r="H66" i="6"/>
  <c r="I66" i="6" s="1"/>
  <c r="K175" i="6"/>
  <c r="L174" i="6"/>
  <c r="M174" i="6" s="1"/>
  <c r="G66" i="6"/>
  <c r="H66" i="9" l="1"/>
  <c r="I66" i="9" s="1"/>
  <c r="L308" i="9"/>
  <c r="L95" i="9"/>
  <c r="L237" i="9"/>
  <c r="L166" i="9"/>
  <c r="L379" i="9"/>
  <c r="F309" i="9"/>
  <c r="F451" i="9"/>
  <c r="F167" i="9"/>
  <c r="F380" i="9"/>
  <c r="F238" i="9"/>
  <c r="O96" i="9"/>
  <c r="Q96" i="9" s="1"/>
  <c r="Q168" i="9" s="1"/>
  <c r="Q240" i="9" s="1"/>
  <c r="Q312" i="9" s="1"/>
  <c r="Q384" i="9" s="1"/>
  <c r="Q456" i="9" s="1"/>
  <c r="Q528" i="9" s="1"/>
  <c r="Q600" i="9" s="1"/>
  <c r="Q672" i="9" s="1"/>
  <c r="Q744" i="9" s="1"/>
  <c r="Q816" i="9" s="1"/>
  <c r="Q888" i="9" s="1"/>
  <c r="Q960" i="9" s="1"/>
  <c r="Q1032" i="9" s="1"/>
  <c r="Q1104" i="9" s="1"/>
  <c r="Q1176" i="9" s="1"/>
  <c r="Q1248" i="9" s="1"/>
  <c r="AB95" i="9"/>
  <c r="N96" i="9"/>
  <c r="N168" i="9" s="1"/>
  <c r="N240" i="9" s="1"/>
  <c r="N312" i="9" s="1"/>
  <c r="N384" i="9" s="1"/>
  <c r="N456" i="9" s="1"/>
  <c r="N528" i="9" s="1"/>
  <c r="N600" i="9" s="1"/>
  <c r="N672" i="9" s="1"/>
  <c r="N744" i="9" s="1"/>
  <c r="N816" i="9" s="1"/>
  <c r="N888" i="9" s="1"/>
  <c r="N960" i="9" s="1"/>
  <c r="N1032" i="9" s="1"/>
  <c r="N1104" i="9" s="1"/>
  <c r="N1176" i="9" s="1"/>
  <c r="N1248" i="9" s="1"/>
  <c r="Q95" i="9"/>
  <c r="Q167" i="9" s="1"/>
  <c r="Q239" i="9" s="1"/>
  <c r="Q311" i="9" s="1"/>
  <c r="Q383" i="9" s="1"/>
  <c r="Q455" i="9" s="1"/>
  <c r="Q527" i="9" s="1"/>
  <c r="Q599" i="9" s="1"/>
  <c r="Q671" i="9" s="1"/>
  <c r="Q743" i="9" s="1"/>
  <c r="Q815" i="9" s="1"/>
  <c r="Q887" i="9" s="1"/>
  <c r="Q959" i="9" s="1"/>
  <c r="Q1031" i="9" s="1"/>
  <c r="Q1103" i="9" s="1"/>
  <c r="Q1175" i="9" s="1"/>
  <c r="Q1247" i="9" s="1"/>
  <c r="P95" i="9"/>
  <c r="P167" i="9" s="1"/>
  <c r="P239" i="9" s="1"/>
  <c r="P311" i="9" s="1"/>
  <c r="P383" i="9" s="1"/>
  <c r="P455" i="9" s="1"/>
  <c r="P527" i="9" s="1"/>
  <c r="P599" i="9" s="1"/>
  <c r="P671" i="9" s="1"/>
  <c r="P743" i="9" s="1"/>
  <c r="P815" i="9" s="1"/>
  <c r="P887" i="9" s="1"/>
  <c r="P959" i="9" s="1"/>
  <c r="P1031" i="9" s="1"/>
  <c r="P1103" i="9" s="1"/>
  <c r="P1175" i="9" s="1"/>
  <c r="P1247" i="9" s="1"/>
  <c r="O167" i="9"/>
  <c r="O239" i="9" s="1"/>
  <c r="O311" i="9" s="1"/>
  <c r="O383" i="9" s="1"/>
  <c r="O455" i="9" s="1"/>
  <c r="O527" i="9" s="1"/>
  <c r="O599" i="9" s="1"/>
  <c r="O671" i="9" s="1"/>
  <c r="O743" i="9" s="1"/>
  <c r="O815" i="9" s="1"/>
  <c r="O887" i="9" s="1"/>
  <c r="O959" i="9" s="1"/>
  <c r="O1031" i="9" s="1"/>
  <c r="O1103" i="9" s="1"/>
  <c r="O1175" i="9" s="1"/>
  <c r="O1247" i="9" s="1"/>
  <c r="AE95" i="9"/>
  <c r="S379" i="9"/>
  <c r="V379" i="9"/>
  <c r="V308" i="9"/>
  <c r="S308" i="9"/>
  <c r="AF237" i="9"/>
  <c r="AB237" i="9"/>
  <c r="AF308" i="9"/>
  <c r="AB308" i="9"/>
  <c r="C97" i="9"/>
  <c r="M97" i="9" s="1"/>
  <c r="M169" i="9" s="1"/>
  <c r="M241" i="9" s="1"/>
  <c r="M313" i="9" s="1"/>
  <c r="M385" i="9" s="1"/>
  <c r="M457" i="9" s="1"/>
  <c r="M529" i="9" s="1"/>
  <c r="M601" i="9" s="1"/>
  <c r="M673" i="9" s="1"/>
  <c r="M745" i="9" s="1"/>
  <c r="M817" i="9" s="1"/>
  <c r="M889" i="9" s="1"/>
  <c r="M961" i="9" s="1"/>
  <c r="M1033" i="9" s="1"/>
  <c r="M1105" i="9" s="1"/>
  <c r="M1177" i="9" s="1"/>
  <c r="M1249" i="9" s="1"/>
  <c r="D98" i="9"/>
  <c r="G67" i="9"/>
  <c r="J67" i="9" s="1"/>
  <c r="AF166" i="9"/>
  <c r="AB166" i="9"/>
  <c r="AF379" i="9"/>
  <c r="AB379" i="9"/>
  <c r="V95" i="9"/>
  <c r="S95" i="9"/>
  <c r="S237" i="9"/>
  <c r="V237" i="9"/>
  <c r="S166" i="9"/>
  <c r="V166" i="9"/>
  <c r="L54" i="6"/>
  <c r="M54" i="6" s="1"/>
  <c r="L55" i="6"/>
  <c r="M55" i="6" s="1"/>
  <c r="J67" i="6"/>
  <c r="J187" i="6"/>
  <c r="H67" i="6"/>
  <c r="I67" i="6" s="1"/>
  <c r="G67" i="6"/>
  <c r="B188" i="6"/>
  <c r="K57" i="6"/>
  <c r="L56" i="6"/>
  <c r="M56" i="6" s="1"/>
  <c r="K176" i="6"/>
  <c r="L175" i="6"/>
  <c r="M175" i="6" s="1"/>
  <c r="C69" i="6"/>
  <c r="B68" i="6"/>
  <c r="H67" i="9" l="1"/>
  <c r="I67" i="9" s="1"/>
  <c r="L238" i="9"/>
  <c r="L96" i="9"/>
  <c r="L380" i="9"/>
  <c r="L167" i="9"/>
  <c r="L451" i="9"/>
  <c r="L309" i="9"/>
  <c r="F310" i="9"/>
  <c r="F381" i="9"/>
  <c r="F452" i="9"/>
  <c r="F168" i="9"/>
  <c r="F523" i="9"/>
  <c r="F239" i="9"/>
  <c r="AF96" i="9"/>
  <c r="AE96" i="9" s="1"/>
  <c r="AB96" i="9"/>
  <c r="O168" i="9"/>
  <c r="O240" i="9" s="1"/>
  <c r="O312" i="9" s="1"/>
  <c r="O384" i="9" s="1"/>
  <c r="O456" i="9" s="1"/>
  <c r="O528" i="9" s="1"/>
  <c r="O600" i="9" s="1"/>
  <c r="O672" i="9" s="1"/>
  <c r="O744" i="9" s="1"/>
  <c r="O816" i="9" s="1"/>
  <c r="O888" i="9" s="1"/>
  <c r="O960" i="9" s="1"/>
  <c r="O1032" i="9" s="1"/>
  <c r="O1104" i="9" s="1"/>
  <c r="O1176" i="9" s="1"/>
  <c r="O1248" i="9" s="1"/>
  <c r="P96" i="9"/>
  <c r="P168" i="9" s="1"/>
  <c r="P240" i="9" s="1"/>
  <c r="P312" i="9" s="1"/>
  <c r="P384" i="9" s="1"/>
  <c r="P456" i="9" s="1"/>
  <c r="P528" i="9" s="1"/>
  <c r="P600" i="9" s="1"/>
  <c r="P672" i="9" s="1"/>
  <c r="P744" i="9" s="1"/>
  <c r="P816" i="9" s="1"/>
  <c r="P888" i="9" s="1"/>
  <c r="P960" i="9" s="1"/>
  <c r="P1032" i="9" s="1"/>
  <c r="P1104" i="9" s="1"/>
  <c r="P1176" i="9" s="1"/>
  <c r="P1248" i="9" s="1"/>
  <c r="AB167" i="9"/>
  <c r="AF167" i="9"/>
  <c r="N97" i="9"/>
  <c r="N169" i="9" s="1"/>
  <c r="N241" i="9" s="1"/>
  <c r="N313" i="9" s="1"/>
  <c r="N385" i="9" s="1"/>
  <c r="N457" i="9" s="1"/>
  <c r="N529" i="9" s="1"/>
  <c r="N601" i="9" s="1"/>
  <c r="N673" i="9" s="1"/>
  <c r="N745" i="9" s="1"/>
  <c r="N817" i="9" s="1"/>
  <c r="N889" i="9" s="1"/>
  <c r="N961" i="9" s="1"/>
  <c r="N1033" i="9" s="1"/>
  <c r="N1105" i="9" s="1"/>
  <c r="N1177" i="9" s="1"/>
  <c r="N1249" i="9" s="1"/>
  <c r="O97" i="9"/>
  <c r="AF97" i="9" s="1"/>
  <c r="S309" i="9"/>
  <c r="V309" i="9"/>
  <c r="AF451" i="9"/>
  <c r="AB451" i="9"/>
  <c r="S238" i="9"/>
  <c r="V238" i="9"/>
  <c r="S96" i="9"/>
  <c r="V96" i="9"/>
  <c r="AB238" i="9"/>
  <c r="AF238" i="9"/>
  <c r="AB380" i="9"/>
  <c r="AF380" i="9"/>
  <c r="S380" i="9"/>
  <c r="V380" i="9"/>
  <c r="S451" i="9"/>
  <c r="V451" i="9"/>
  <c r="V167" i="9"/>
  <c r="S167" i="9"/>
  <c r="AF239" i="9"/>
  <c r="AB239" i="9"/>
  <c r="C98" i="9"/>
  <c r="M98" i="9" s="1"/>
  <c r="M170" i="9" s="1"/>
  <c r="M242" i="9" s="1"/>
  <c r="M314" i="9" s="1"/>
  <c r="M386" i="9" s="1"/>
  <c r="M458" i="9" s="1"/>
  <c r="M530" i="9" s="1"/>
  <c r="M602" i="9" s="1"/>
  <c r="M674" i="9" s="1"/>
  <c r="M746" i="9" s="1"/>
  <c r="M818" i="9" s="1"/>
  <c r="M890" i="9" s="1"/>
  <c r="M962" i="9" s="1"/>
  <c r="M1034" i="9" s="1"/>
  <c r="M1106" i="9" s="1"/>
  <c r="M1178" i="9" s="1"/>
  <c r="M1250" i="9" s="1"/>
  <c r="D99" i="9"/>
  <c r="AF309" i="9"/>
  <c r="AB309" i="9"/>
  <c r="G68" i="9"/>
  <c r="J68" i="9" s="1"/>
  <c r="J188" i="6"/>
  <c r="J68" i="6"/>
  <c r="H68" i="6"/>
  <c r="I68" i="6" s="1"/>
  <c r="B69" i="6"/>
  <c r="C70" i="6"/>
  <c r="K177" i="6"/>
  <c r="L176" i="6"/>
  <c r="M176" i="6" s="1"/>
  <c r="B189" i="6"/>
  <c r="G68" i="6"/>
  <c r="K58" i="6"/>
  <c r="L57" i="6"/>
  <c r="M57" i="6" s="1"/>
  <c r="H68" i="9" l="1"/>
  <c r="I68" i="9" s="1"/>
  <c r="L452" i="9"/>
  <c r="L239" i="9"/>
  <c r="L381" i="9"/>
  <c r="L310" i="9"/>
  <c r="L97" i="9"/>
  <c r="L523" i="9"/>
  <c r="L168" i="9"/>
  <c r="F311" i="9"/>
  <c r="F524" i="9"/>
  <c r="F453" i="9"/>
  <c r="F382" i="9"/>
  <c r="F240" i="9"/>
  <c r="F169" i="9"/>
  <c r="F595" i="9"/>
  <c r="AB168" i="9"/>
  <c r="AF168" i="9"/>
  <c r="AB97" i="9"/>
  <c r="N98" i="9"/>
  <c r="N170" i="9" s="1"/>
  <c r="N242" i="9" s="1"/>
  <c r="N314" i="9" s="1"/>
  <c r="N386" i="9" s="1"/>
  <c r="N458" i="9" s="1"/>
  <c r="N530" i="9" s="1"/>
  <c r="N602" i="9" s="1"/>
  <c r="N674" i="9" s="1"/>
  <c r="N746" i="9" s="1"/>
  <c r="N818" i="9" s="1"/>
  <c r="N890" i="9" s="1"/>
  <c r="N962" i="9" s="1"/>
  <c r="N1034" i="9" s="1"/>
  <c r="N1106" i="9" s="1"/>
  <c r="N1178" i="9" s="1"/>
  <c r="N1250" i="9" s="1"/>
  <c r="O98" i="9"/>
  <c r="AF98" i="9" s="1"/>
  <c r="Q97" i="9"/>
  <c r="Q169" i="9" s="1"/>
  <c r="Q241" i="9" s="1"/>
  <c r="Q313" i="9" s="1"/>
  <c r="Q385" i="9" s="1"/>
  <c r="Q457" i="9" s="1"/>
  <c r="Q529" i="9" s="1"/>
  <c r="Q601" i="9" s="1"/>
  <c r="Q673" i="9" s="1"/>
  <c r="Q745" i="9" s="1"/>
  <c r="Q817" i="9" s="1"/>
  <c r="Q889" i="9" s="1"/>
  <c r="Q961" i="9" s="1"/>
  <c r="Q1033" i="9" s="1"/>
  <c r="Q1105" i="9" s="1"/>
  <c r="Q1177" i="9" s="1"/>
  <c r="Q1249" i="9" s="1"/>
  <c r="P97" i="9"/>
  <c r="P169" i="9" s="1"/>
  <c r="P241" i="9" s="1"/>
  <c r="P313" i="9" s="1"/>
  <c r="P385" i="9" s="1"/>
  <c r="P457" i="9" s="1"/>
  <c r="P529" i="9" s="1"/>
  <c r="P601" i="9" s="1"/>
  <c r="P673" i="9" s="1"/>
  <c r="P745" i="9" s="1"/>
  <c r="P817" i="9" s="1"/>
  <c r="P889" i="9" s="1"/>
  <c r="P961" i="9" s="1"/>
  <c r="P1033" i="9" s="1"/>
  <c r="P1105" i="9" s="1"/>
  <c r="P1177" i="9" s="1"/>
  <c r="P1249" i="9" s="1"/>
  <c r="O169" i="9"/>
  <c r="O241" i="9" s="1"/>
  <c r="O313" i="9" s="1"/>
  <c r="O385" i="9" s="1"/>
  <c r="O457" i="9" s="1"/>
  <c r="O529" i="9" s="1"/>
  <c r="O601" i="9" s="1"/>
  <c r="O673" i="9" s="1"/>
  <c r="O745" i="9" s="1"/>
  <c r="O817" i="9" s="1"/>
  <c r="O889" i="9" s="1"/>
  <c r="O961" i="9" s="1"/>
  <c r="O1033" i="9" s="1"/>
  <c r="O1105" i="9" s="1"/>
  <c r="O1177" i="9" s="1"/>
  <c r="O1249" i="9" s="1"/>
  <c r="AE97" i="9"/>
  <c r="G69" i="9"/>
  <c r="J69" i="9" s="1"/>
  <c r="D100" i="9"/>
  <c r="C99" i="9"/>
  <c r="M99" i="9" s="1"/>
  <c r="M171" i="9" s="1"/>
  <c r="M243" i="9" s="1"/>
  <c r="M315" i="9" s="1"/>
  <c r="M387" i="9" s="1"/>
  <c r="M459" i="9" s="1"/>
  <c r="M531" i="9" s="1"/>
  <c r="M603" i="9" s="1"/>
  <c r="M675" i="9" s="1"/>
  <c r="M747" i="9" s="1"/>
  <c r="M819" i="9" s="1"/>
  <c r="M891" i="9" s="1"/>
  <c r="M963" i="9" s="1"/>
  <c r="M1035" i="9" s="1"/>
  <c r="M1107" i="9" s="1"/>
  <c r="M1179" i="9" s="1"/>
  <c r="M1251" i="9" s="1"/>
  <c r="S239" i="9"/>
  <c r="V239" i="9"/>
  <c r="AF240" i="9"/>
  <c r="AB240" i="9"/>
  <c r="AF523" i="9"/>
  <c r="AB523" i="9"/>
  <c r="AF311" i="9"/>
  <c r="AB311" i="9"/>
  <c r="V523" i="9"/>
  <c r="S523" i="9"/>
  <c r="AB310" i="9"/>
  <c r="AF310" i="9"/>
  <c r="S168" i="9"/>
  <c r="V168" i="9"/>
  <c r="S310" i="9"/>
  <c r="V310" i="9"/>
  <c r="S381" i="9"/>
  <c r="V381" i="9"/>
  <c r="S97" i="9"/>
  <c r="V97" i="9"/>
  <c r="AF381" i="9"/>
  <c r="AB381" i="9"/>
  <c r="S452" i="9"/>
  <c r="V452" i="9"/>
  <c r="AB452" i="9"/>
  <c r="AF452" i="9"/>
  <c r="J69" i="6"/>
  <c r="J189" i="6"/>
  <c r="B190" i="6"/>
  <c r="B70" i="6"/>
  <c r="C71" i="6"/>
  <c r="H69" i="6"/>
  <c r="I69" i="6" s="1"/>
  <c r="K59" i="6"/>
  <c r="L58" i="6"/>
  <c r="M58" i="6" s="1"/>
  <c r="G69" i="6"/>
  <c r="K178" i="6"/>
  <c r="L177" i="6"/>
  <c r="M177" i="6" s="1"/>
  <c r="H69" i="9" l="1"/>
  <c r="I69" i="9" s="1"/>
  <c r="L240" i="9"/>
  <c r="L453" i="9"/>
  <c r="L524" i="9"/>
  <c r="L382" i="9"/>
  <c r="L98" i="9"/>
  <c r="L311" i="9"/>
  <c r="L169" i="9"/>
  <c r="L595" i="9"/>
  <c r="F596" i="9"/>
  <c r="F383" i="9"/>
  <c r="F241" i="9"/>
  <c r="F170" i="9"/>
  <c r="F312" i="9"/>
  <c r="F454" i="9"/>
  <c r="F667" i="9"/>
  <c r="F525" i="9"/>
  <c r="Q98" i="9"/>
  <c r="Q170" i="9" s="1"/>
  <c r="Q242" i="9" s="1"/>
  <c r="Q314" i="9" s="1"/>
  <c r="Q386" i="9" s="1"/>
  <c r="Q458" i="9" s="1"/>
  <c r="Q530" i="9" s="1"/>
  <c r="Q602" i="9" s="1"/>
  <c r="Q674" i="9" s="1"/>
  <c r="Q746" i="9" s="1"/>
  <c r="Q818" i="9" s="1"/>
  <c r="Q890" i="9" s="1"/>
  <c r="Q962" i="9" s="1"/>
  <c r="Q1034" i="9" s="1"/>
  <c r="Q1106" i="9" s="1"/>
  <c r="Q1178" i="9" s="1"/>
  <c r="Q1250" i="9" s="1"/>
  <c r="P98" i="9"/>
  <c r="P170" i="9" s="1"/>
  <c r="P242" i="9" s="1"/>
  <c r="P314" i="9" s="1"/>
  <c r="P386" i="9" s="1"/>
  <c r="P458" i="9" s="1"/>
  <c r="P530" i="9" s="1"/>
  <c r="P602" i="9" s="1"/>
  <c r="P674" i="9" s="1"/>
  <c r="P746" i="9" s="1"/>
  <c r="P818" i="9" s="1"/>
  <c r="P890" i="9" s="1"/>
  <c r="P962" i="9" s="1"/>
  <c r="P1034" i="9" s="1"/>
  <c r="P1106" i="9" s="1"/>
  <c r="P1178" i="9" s="1"/>
  <c r="P1250" i="9" s="1"/>
  <c r="O170" i="9"/>
  <c r="O242" i="9" s="1"/>
  <c r="O314" i="9" s="1"/>
  <c r="O386" i="9" s="1"/>
  <c r="O458" i="9" s="1"/>
  <c r="O530" i="9" s="1"/>
  <c r="O602" i="9" s="1"/>
  <c r="O674" i="9" s="1"/>
  <c r="O746" i="9" s="1"/>
  <c r="O818" i="9" s="1"/>
  <c r="O890" i="9" s="1"/>
  <c r="O962" i="9" s="1"/>
  <c r="O1034" i="9" s="1"/>
  <c r="O1106" i="9" s="1"/>
  <c r="O1178" i="9" s="1"/>
  <c r="O1250" i="9" s="1"/>
  <c r="AB169" i="9"/>
  <c r="AF169" i="9"/>
  <c r="N99" i="9"/>
  <c r="N171" i="9" s="1"/>
  <c r="N243" i="9" s="1"/>
  <c r="N315" i="9" s="1"/>
  <c r="N387" i="9" s="1"/>
  <c r="N459" i="9" s="1"/>
  <c r="N531" i="9" s="1"/>
  <c r="N603" i="9" s="1"/>
  <c r="N675" i="9" s="1"/>
  <c r="N747" i="9" s="1"/>
  <c r="N819" i="9" s="1"/>
  <c r="N891" i="9" s="1"/>
  <c r="N963" i="9" s="1"/>
  <c r="N1035" i="9" s="1"/>
  <c r="N1107" i="9" s="1"/>
  <c r="N1179" i="9" s="1"/>
  <c r="N1251" i="9" s="1"/>
  <c r="AB98" i="9"/>
  <c r="O99" i="9"/>
  <c r="AE98" i="9"/>
  <c r="AF524" i="9"/>
  <c r="AB524" i="9"/>
  <c r="S524" i="9"/>
  <c r="V524" i="9"/>
  <c r="AF453" i="9"/>
  <c r="AB453" i="9"/>
  <c r="S453" i="9"/>
  <c r="V453" i="9"/>
  <c r="S98" i="9"/>
  <c r="V98" i="9"/>
  <c r="D101" i="9"/>
  <c r="C100" i="9"/>
  <c r="M100" i="9" s="1"/>
  <c r="M172" i="9" s="1"/>
  <c r="M244" i="9" s="1"/>
  <c r="M316" i="9" s="1"/>
  <c r="M388" i="9" s="1"/>
  <c r="M460" i="9" s="1"/>
  <c r="M532" i="9" s="1"/>
  <c r="M604" i="9" s="1"/>
  <c r="M676" i="9" s="1"/>
  <c r="M748" i="9" s="1"/>
  <c r="M820" i="9" s="1"/>
  <c r="M892" i="9" s="1"/>
  <c r="M964" i="9" s="1"/>
  <c r="M1036" i="9" s="1"/>
  <c r="M1108" i="9" s="1"/>
  <c r="M1180" i="9" s="1"/>
  <c r="M1252" i="9" s="1"/>
  <c r="S169" i="9"/>
  <c r="V169" i="9"/>
  <c r="AF241" i="9"/>
  <c r="AB241" i="9"/>
  <c r="V240" i="9"/>
  <c r="S240" i="9"/>
  <c r="S311" i="9"/>
  <c r="V311" i="9"/>
  <c r="V382" i="9"/>
  <c r="S382" i="9"/>
  <c r="AF383" i="9"/>
  <c r="AB383" i="9"/>
  <c r="AF595" i="9"/>
  <c r="AB595" i="9"/>
  <c r="AF312" i="9"/>
  <c r="AB312" i="9"/>
  <c r="G70" i="9"/>
  <c r="J70" i="9" s="1"/>
  <c r="AF382" i="9"/>
  <c r="AB382" i="9"/>
  <c r="S595" i="9"/>
  <c r="V595" i="9"/>
  <c r="J70" i="6"/>
  <c r="H70" i="6"/>
  <c r="I70" i="6" s="1"/>
  <c r="J190" i="6"/>
  <c r="B191" i="6"/>
  <c r="G70" i="6"/>
  <c r="K179" i="6"/>
  <c r="L178" i="6"/>
  <c r="M178" i="6" s="1"/>
  <c r="K60" i="6"/>
  <c r="L59" i="6"/>
  <c r="M59" i="6" s="1"/>
  <c r="C72" i="6"/>
  <c r="B71" i="6"/>
  <c r="H70" i="9" l="1"/>
  <c r="I70" i="9" s="1"/>
  <c r="L596" i="9"/>
  <c r="L170" i="9"/>
  <c r="L241" i="9"/>
  <c r="L525" i="9"/>
  <c r="L99" i="9"/>
  <c r="L383" i="9"/>
  <c r="L667" i="9"/>
  <c r="L454" i="9"/>
  <c r="L312" i="9"/>
  <c r="F526" i="9"/>
  <c r="F171" i="9"/>
  <c r="F242" i="9"/>
  <c r="F313" i="9"/>
  <c r="F384" i="9"/>
  <c r="F597" i="9"/>
  <c r="F455" i="9"/>
  <c r="F739" i="9"/>
  <c r="F668" i="9"/>
  <c r="AF170" i="9"/>
  <c r="AB170" i="9"/>
  <c r="Q99" i="9"/>
  <c r="Q171" i="9" s="1"/>
  <c r="Q243" i="9" s="1"/>
  <c r="Q315" i="9" s="1"/>
  <c r="Q387" i="9" s="1"/>
  <c r="Q459" i="9" s="1"/>
  <c r="Q531" i="9" s="1"/>
  <c r="Q603" i="9" s="1"/>
  <c r="Q675" i="9" s="1"/>
  <c r="Q747" i="9" s="1"/>
  <c r="Q819" i="9" s="1"/>
  <c r="Q891" i="9" s="1"/>
  <c r="Q963" i="9" s="1"/>
  <c r="Q1035" i="9" s="1"/>
  <c r="Q1107" i="9" s="1"/>
  <c r="Q1179" i="9" s="1"/>
  <c r="Q1251" i="9" s="1"/>
  <c r="P99" i="9"/>
  <c r="P171" i="9" s="1"/>
  <c r="P243" i="9" s="1"/>
  <c r="P315" i="9" s="1"/>
  <c r="P387" i="9" s="1"/>
  <c r="P459" i="9" s="1"/>
  <c r="P531" i="9" s="1"/>
  <c r="P603" i="9" s="1"/>
  <c r="P675" i="9" s="1"/>
  <c r="P747" i="9" s="1"/>
  <c r="P819" i="9" s="1"/>
  <c r="P891" i="9" s="1"/>
  <c r="P963" i="9" s="1"/>
  <c r="P1035" i="9" s="1"/>
  <c r="P1107" i="9" s="1"/>
  <c r="P1179" i="9" s="1"/>
  <c r="P1251" i="9" s="1"/>
  <c r="O171" i="9"/>
  <c r="O243" i="9" s="1"/>
  <c r="O315" i="9" s="1"/>
  <c r="O387" i="9" s="1"/>
  <c r="O459" i="9" s="1"/>
  <c r="O531" i="9" s="1"/>
  <c r="O603" i="9" s="1"/>
  <c r="O675" i="9" s="1"/>
  <c r="O747" i="9" s="1"/>
  <c r="O819" i="9" s="1"/>
  <c r="O891" i="9" s="1"/>
  <c r="O963" i="9" s="1"/>
  <c r="O1035" i="9" s="1"/>
  <c r="O1107" i="9" s="1"/>
  <c r="O1179" i="9" s="1"/>
  <c r="O1251" i="9" s="1"/>
  <c r="N100" i="9"/>
  <c r="N172" i="9" s="1"/>
  <c r="N244" i="9" s="1"/>
  <c r="N316" i="9" s="1"/>
  <c r="N388" i="9" s="1"/>
  <c r="N460" i="9" s="1"/>
  <c r="N532" i="9" s="1"/>
  <c r="N604" i="9" s="1"/>
  <c r="N676" i="9" s="1"/>
  <c r="N748" i="9" s="1"/>
  <c r="N820" i="9" s="1"/>
  <c r="N892" i="9" s="1"/>
  <c r="N964" i="9" s="1"/>
  <c r="N1036" i="9" s="1"/>
  <c r="N1108" i="9" s="1"/>
  <c r="N1180" i="9" s="1"/>
  <c r="N1252" i="9" s="1"/>
  <c r="O100" i="9"/>
  <c r="V312" i="9"/>
  <c r="S312" i="9"/>
  <c r="AF596" i="9"/>
  <c r="AB596" i="9"/>
  <c r="AB242" i="9"/>
  <c r="AF242" i="9"/>
  <c r="G71" i="9"/>
  <c r="J71" i="9" s="1"/>
  <c r="AF667" i="9"/>
  <c r="AB667" i="9"/>
  <c r="AF313" i="9"/>
  <c r="AB313" i="9"/>
  <c r="C101" i="9"/>
  <c r="M101" i="9" s="1"/>
  <c r="M173" i="9" s="1"/>
  <c r="M245" i="9" s="1"/>
  <c r="M317" i="9" s="1"/>
  <c r="M389" i="9" s="1"/>
  <c r="M461" i="9" s="1"/>
  <c r="M533" i="9" s="1"/>
  <c r="M605" i="9" s="1"/>
  <c r="M677" i="9" s="1"/>
  <c r="M749" i="9" s="1"/>
  <c r="M821" i="9" s="1"/>
  <c r="M893" i="9" s="1"/>
  <c r="M965" i="9" s="1"/>
  <c r="M1037" i="9" s="1"/>
  <c r="M1109" i="9" s="1"/>
  <c r="M1181" i="9" s="1"/>
  <c r="M1253" i="9" s="1"/>
  <c r="D102" i="9"/>
  <c r="S525" i="9"/>
  <c r="V525" i="9"/>
  <c r="V596" i="9"/>
  <c r="S596" i="9"/>
  <c r="AF99" i="9"/>
  <c r="AE99" i="9" s="1"/>
  <c r="AB99" i="9"/>
  <c r="S667" i="9"/>
  <c r="V667" i="9"/>
  <c r="AF454" i="9"/>
  <c r="AB454" i="9"/>
  <c r="V99" i="9"/>
  <c r="S99" i="9"/>
  <c r="AB384" i="9"/>
  <c r="AF384" i="9"/>
  <c r="AF455" i="9"/>
  <c r="AB455" i="9"/>
  <c r="V454" i="9"/>
  <c r="S454" i="9"/>
  <c r="V383" i="9"/>
  <c r="S383" i="9"/>
  <c r="S241" i="9"/>
  <c r="V241" i="9"/>
  <c r="S170" i="9"/>
  <c r="V170" i="9"/>
  <c r="AB525" i="9"/>
  <c r="AF525" i="9"/>
  <c r="J71" i="6"/>
  <c r="H71" i="6"/>
  <c r="I71" i="6" s="1"/>
  <c r="C73" i="6"/>
  <c r="B72" i="6"/>
  <c r="K180" i="6"/>
  <c r="L179" i="6"/>
  <c r="M179" i="6" s="1"/>
  <c r="J191" i="6"/>
  <c r="B192" i="6"/>
  <c r="K61" i="6"/>
  <c r="L60" i="6"/>
  <c r="M60" i="6" s="1"/>
  <c r="G71" i="6"/>
  <c r="H71" i="9" l="1"/>
  <c r="I71" i="9" s="1"/>
  <c r="L171" i="9"/>
  <c r="L526" i="9"/>
  <c r="L668" i="9"/>
  <c r="L242" i="9"/>
  <c r="L739" i="9"/>
  <c r="L455" i="9"/>
  <c r="L597" i="9"/>
  <c r="L100" i="9"/>
  <c r="L384" i="9"/>
  <c r="L313" i="9"/>
  <c r="F172" i="9"/>
  <c r="F811" i="9"/>
  <c r="F243" i="9"/>
  <c r="F456" i="9"/>
  <c r="F385" i="9"/>
  <c r="F740" i="9"/>
  <c r="F314" i="9"/>
  <c r="F669" i="9"/>
  <c r="F527" i="9"/>
  <c r="F598" i="9"/>
  <c r="Q100" i="9"/>
  <c r="Q172" i="9" s="1"/>
  <c r="Q244" i="9" s="1"/>
  <c r="Q316" i="9" s="1"/>
  <c r="Q388" i="9" s="1"/>
  <c r="Q460" i="9" s="1"/>
  <c r="Q532" i="9" s="1"/>
  <c r="Q604" i="9" s="1"/>
  <c r="Q676" i="9" s="1"/>
  <c r="Q748" i="9" s="1"/>
  <c r="Q820" i="9" s="1"/>
  <c r="Q892" i="9" s="1"/>
  <c r="Q964" i="9" s="1"/>
  <c r="Q1036" i="9" s="1"/>
  <c r="Q1108" i="9" s="1"/>
  <c r="Q1180" i="9" s="1"/>
  <c r="Q1252" i="9" s="1"/>
  <c r="P100" i="9"/>
  <c r="P172" i="9" s="1"/>
  <c r="P244" i="9" s="1"/>
  <c r="P316" i="9" s="1"/>
  <c r="P388" i="9" s="1"/>
  <c r="P460" i="9" s="1"/>
  <c r="P532" i="9" s="1"/>
  <c r="P604" i="9" s="1"/>
  <c r="P676" i="9" s="1"/>
  <c r="P748" i="9" s="1"/>
  <c r="P820" i="9" s="1"/>
  <c r="P892" i="9" s="1"/>
  <c r="P964" i="9" s="1"/>
  <c r="P1036" i="9" s="1"/>
  <c r="P1108" i="9" s="1"/>
  <c r="P1180" i="9" s="1"/>
  <c r="P1252" i="9" s="1"/>
  <c r="O172" i="9"/>
  <c r="O244" i="9" s="1"/>
  <c r="O316" i="9" s="1"/>
  <c r="O388" i="9" s="1"/>
  <c r="O460" i="9" s="1"/>
  <c r="O532" i="9" s="1"/>
  <c r="O604" i="9" s="1"/>
  <c r="O676" i="9" s="1"/>
  <c r="O748" i="9" s="1"/>
  <c r="O820" i="9" s="1"/>
  <c r="O892" i="9" s="1"/>
  <c r="O964" i="9" s="1"/>
  <c r="O1036" i="9" s="1"/>
  <c r="O1108" i="9" s="1"/>
  <c r="O1180" i="9" s="1"/>
  <c r="O1252" i="9" s="1"/>
  <c r="N101" i="9"/>
  <c r="N173" i="9" s="1"/>
  <c r="N245" i="9" s="1"/>
  <c r="N317" i="9" s="1"/>
  <c r="N389" i="9" s="1"/>
  <c r="N461" i="9" s="1"/>
  <c r="N533" i="9" s="1"/>
  <c r="N605" i="9" s="1"/>
  <c r="N677" i="9" s="1"/>
  <c r="N749" i="9" s="1"/>
  <c r="N821" i="9" s="1"/>
  <c r="N893" i="9" s="1"/>
  <c r="N965" i="9" s="1"/>
  <c r="N1037" i="9" s="1"/>
  <c r="N1109" i="9" s="1"/>
  <c r="N1181" i="9" s="1"/>
  <c r="N1253" i="9" s="1"/>
  <c r="O101" i="9"/>
  <c r="AF597" i="9"/>
  <c r="AB597" i="9"/>
  <c r="V171" i="9"/>
  <c r="S171" i="9"/>
  <c r="AF526" i="9"/>
  <c r="AB526" i="9"/>
  <c r="AF171" i="9"/>
  <c r="AB171" i="9"/>
  <c r="AB385" i="9"/>
  <c r="AF385" i="9"/>
  <c r="G72" i="9"/>
  <c r="J72" i="9" s="1"/>
  <c r="S242" i="9"/>
  <c r="V242" i="9"/>
  <c r="S526" i="9"/>
  <c r="V526" i="9"/>
  <c r="AF527" i="9"/>
  <c r="AB527" i="9"/>
  <c r="AB456" i="9"/>
  <c r="AF456" i="9"/>
  <c r="S739" i="9"/>
  <c r="V739" i="9"/>
  <c r="S100" i="9"/>
  <c r="V100" i="9"/>
  <c r="S455" i="9"/>
  <c r="V455" i="9"/>
  <c r="S313" i="9"/>
  <c r="V313" i="9"/>
  <c r="V668" i="9"/>
  <c r="S668" i="9"/>
  <c r="S597" i="9"/>
  <c r="V597" i="9"/>
  <c r="AF739" i="9"/>
  <c r="AB739" i="9"/>
  <c r="AB314" i="9"/>
  <c r="AF314" i="9"/>
  <c r="AF100" i="9"/>
  <c r="AE100" i="9" s="1"/>
  <c r="AB100" i="9"/>
  <c r="S384" i="9"/>
  <c r="V384" i="9"/>
  <c r="C102" i="9"/>
  <c r="O102" i="9" s="1"/>
  <c r="D103" i="9"/>
  <c r="AF668" i="9"/>
  <c r="AB668" i="9"/>
  <c r="H72" i="6"/>
  <c r="I72" i="6" s="1"/>
  <c r="K62" i="6"/>
  <c r="L61" i="6"/>
  <c r="M61" i="6" s="1"/>
  <c r="G72" i="6"/>
  <c r="J192" i="6"/>
  <c r="B193" i="6"/>
  <c r="H73" i="6"/>
  <c r="I73" i="6" s="1"/>
  <c r="B73" i="6"/>
  <c r="C74" i="6"/>
  <c r="K181" i="6"/>
  <c r="L180" i="6"/>
  <c r="M180" i="6" s="1"/>
  <c r="H72" i="9" l="1"/>
  <c r="I72" i="9" s="1"/>
  <c r="L598" i="9"/>
  <c r="L669" i="9"/>
  <c r="L314" i="9"/>
  <c r="L527" i="9"/>
  <c r="L740" i="9"/>
  <c r="L385" i="9"/>
  <c r="L456" i="9"/>
  <c r="L101" i="9"/>
  <c r="L243" i="9"/>
  <c r="L811" i="9"/>
  <c r="L172" i="9"/>
  <c r="F741" i="9"/>
  <c r="F315" i="9"/>
  <c r="F812" i="9"/>
  <c r="F457" i="9"/>
  <c r="F670" i="9"/>
  <c r="F528" i="9"/>
  <c r="F599" i="9"/>
  <c r="F883" i="9"/>
  <c r="F173" i="9"/>
  <c r="F386" i="9"/>
  <c r="F244" i="9"/>
  <c r="Q102" i="9"/>
  <c r="Q174" i="9" s="1"/>
  <c r="Q246" i="9" s="1"/>
  <c r="Q318" i="9" s="1"/>
  <c r="Q390" i="9" s="1"/>
  <c r="Q462" i="9" s="1"/>
  <c r="Q534" i="9" s="1"/>
  <c r="Q606" i="9" s="1"/>
  <c r="Q678" i="9" s="1"/>
  <c r="Q750" i="9" s="1"/>
  <c r="Q822" i="9" s="1"/>
  <c r="Q894" i="9" s="1"/>
  <c r="Q966" i="9" s="1"/>
  <c r="Q1038" i="9" s="1"/>
  <c r="Q1110" i="9" s="1"/>
  <c r="Q1182" i="9" s="1"/>
  <c r="Q1254" i="9" s="1"/>
  <c r="P102" i="9"/>
  <c r="P174" i="9" s="1"/>
  <c r="P246" i="9" s="1"/>
  <c r="P318" i="9" s="1"/>
  <c r="P390" i="9" s="1"/>
  <c r="P462" i="9" s="1"/>
  <c r="P534" i="9" s="1"/>
  <c r="P606" i="9" s="1"/>
  <c r="P678" i="9" s="1"/>
  <c r="P750" i="9" s="1"/>
  <c r="P822" i="9" s="1"/>
  <c r="P894" i="9" s="1"/>
  <c r="P966" i="9" s="1"/>
  <c r="P1038" i="9" s="1"/>
  <c r="P1110" i="9" s="1"/>
  <c r="P1182" i="9" s="1"/>
  <c r="P1254" i="9" s="1"/>
  <c r="O174" i="9"/>
  <c r="O246" i="9" s="1"/>
  <c r="O318" i="9" s="1"/>
  <c r="O390" i="9" s="1"/>
  <c r="O462" i="9" s="1"/>
  <c r="O534" i="9" s="1"/>
  <c r="O606" i="9" s="1"/>
  <c r="O678" i="9" s="1"/>
  <c r="O750" i="9" s="1"/>
  <c r="O822" i="9" s="1"/>
  <c r="O894" i="9" s="1"/>
  <c r="O966" i="9" s="1"/>
  <c r="O1038" i="9" s="1"/>
  <c r="O1110" i="9" s="1"/>
  <c r="O1182" i="9" s="1"/>
  <c r="O1254" i="9" s="1"/>
  <c r="Q101" i="9"/>
  <c r="Q173" i="9" s="1"/>
  <c r="Q245" i="9" s="1"/>
  <c r="Q317" i="9" s="1"/>
  <c r="Q389" i="9" s="1"/>
  <c r="Q461" i="9" s="1"/>
  <c r="Q533" i="9" s="1"/>
  <c r="Q605" i="9" s="1"/>
  <c r="Q677" i="9" s="1"/>
  <c r="Q749" i="9" s="1"/>
  <c r="Q821" i="9" s="1"/>
  <c r="Q893" i="9" s="1"/>
  <c r="Q965" i="9" s="1"/>
  <c r="Q1037" i="9" s="1"/>
  <c r="Q1109" i="9" s="1"/>
  <c r="Q1181" i="9" s="1"/>
  <c r="Q1253" i="9" s="1"/>
  <c r="P101" i="9"/>
  <c r="P173" i="9" s="1"/>
  <c r="P245" i="9" s="1"/>
  <c r="P317" i="9" s="1"/>
  <c r="P389" i="9" s="1"/>
  <c r="P461" i="9" s="1"/>
  <c r="P533" i="9" s="1"/>
  <c r="P605" i="9" s="1"/>
  <c r="P677" i="9" s="1"/>
  <c r="P749" i="9" s="1"/>
  <c r="P821" i="9" s="1"/>
  <c r="P893" i="9" s="1"/>
  <c r="P965" i="9" s="1"/>
  <c r="P1037" i="9" s="1"/>
  <c r="P1109" i="9" s="1"/>
  <c r="P1181" i="9" s="1"/>
  <c r="P1253" i="9" s="1"/>
  <c r="O173" i="9"/>
  <c r="O245" i="9" s="1"/>
  <c r="O317" i="9" s="1"/>
  <c r="O389" i="9" s="1"/>
  <c r="O461" i="9" s="1"/>
  <c r="O533" i="9" s="1"/>
  <c r="O605" i="9" s="1"/>
  <c r="O677" i="9" s="1"/>
  <c r="O749" i="9" s="1"/>
  <c r="O821" i="9" s="1"/>
  <c r="O893" i="9" s="1"/>
  <c r="O965" i="9" s="1"/>
  <c r="O1037" i="9" s="1"/>
  <c r="O1109" i="9" s="1"/>
  <c r="O1181" i="9" s="1"/>
  <c r="O1253" i="9" s="1"/>
  <c r="M102" i="9"/>
  <c r="M174" i="9" s="1"/>
  <c r="M246" i="9" s="1"/>
  <c r="M318" i="9" s="1"/>
  <c r="M390" i="9" s="1"/>
  <c r="M462" i="9" s="1"/>
  <c r="M534" i="9" s="1"/>
  <c r="M606" i="9" s="1"/>
  <c r="M678" i="9" s="1"/>
  <c r="M750" i="9" s="1"/>
  <c r="M822" i="9" s="1"/>
  <c r="M894" i="9" s="1"/>
  <c r="M966" i="9" s="1"/>
  <c r="M1038" i="9" s="1"/>
  <c r="M1110" i="9" s="1"/>
  <c r="M1182" i="9" s="1"/>
  <c r="M1254" i="9" s="1"/>
  <c r="N102" i="9"/>
  <c r="N174" i="9" s="1"/>
  <c r="N246" i="9" s="1"/>
  <c r="N318" i="9" s="1"/>
  <c r="N390" i="9" s="1"/>
  <c r="N462" i="9" s="1"/>
  <c r="N534" i="9" s="1"/>
  <c r="N606" i="9" s="1"/>
  <c r="N678" i="9" s="1"/>
  <c r="N750" i="9" s="1"/>
  <c r="N822" i="9" s="1"/>
  <c r="N894" i="9" s="1"/>
  <c r="N966" i="9" s="1"/>
  <c r="N1038" i="9" s="1"/>
  <c r="N1110" i="9" s="1"/>
  <c r="N1182" i="9" s="1"/>
  <c r="N1254" i="9" s="1"/>
  <c r="S669" i="9"/>
  <c r="V669" i="9"/>
  <c r="S172" i="9"/>
  <c r="V172" i="9"/>
  <c r="AB101" i="9"/>
  <c r="AF101" i="9"/>
  <c r="AE101" i="9" s="1"/>
  <c r="S598" i="9"/>
  <c r="V598" i="9"/>
  <c r="AF457" i="9"/>
  <c r="AB457" i="9"/>
  <c r="AF243" i="9"/>
  <c r="AB243" i="9"/>
  <c r="D104" i="9"/>
  <c r="C103" i="9"/>
  <c r="M103" i="9" s="1"/>
  <c r="M175" i="9" s="1"/>
  <c r="M247" i="9" s="1"/>
  <c r="M319" i="9" s="1"/>
  <c r="M391" i="9" s="1"/>
  <c r="M463" i="9" s="1"/>
  <c r="M535" i="9" s="1"/>
  <c r="M607" i="9" s="1"/>
  <c r="M679" i="9" s="1"/>
  <c r="M751" i="9" s="1"/>
  <c r="M823" i="9" s="1"/>
  <c r="M895" i="9" s="1"/>
  <c r="M967" i="9" s="1"/>
  <c r="M1039" i="9" s="1"/>
  <c r="M1111" i="9" s="1"/>
  <c r="M1183" i="9" s="1"/>
  <c r="M1255" i="9" s="1"/>
  <c r="S456" i="9"/>
  <c r="V456" i="9"/>
  <c r="AF172" i="9"/>
  <c r="AB172" i="9"/>
  <c r="V527" i="9"/>
  <c r="S527" i="9"/>
  <c r="AF528" i="9"/>
  <c r="AB528" i="9"/>
  <c r="AF599" i="9"/>
  <c r="AB599" i="9"/>
  <c r="S314" i="9"/>
  <c r="V314" i="9"/>
  <c r="G73" i="9"/>
  <c r="J73" i="9" s="1"/>
  <c r="S101" i="9"/>
  <c r="V101" i="9"/>
  <c r="AF740" i="9"/>
  <c r="AB740" i="9"/>
  <c r="AF386" i="9"/>
  <c r="AB386" i="9"/>
  <c r="AF811" i="9"/>
  <c r="AB811" i="9"/>
  <c r="V740" i="9"/>
  <c r="S740" i="9"/>
  <c r="S385" i="9"/>
  <c r="V385" i="9"/>
  <c r="S243" i="9"/>
  <c r="V243" i="9"/>
  <c r="S811" i="9"/>
  <c r="V811" i="9"/>
  <c r="AB598" i="9"/>
  <c r="AF598" i="9"/>
  <c r="AF669" i="9"/>
  <c r="AB669" i="9"/>
  <c r="J72" i="6"/>
  <c r="J193" i="6"/>
  <c r="G73" i="6"/>
  <c r="H74" i="6"/>
  <c r="I74" i="6" s="1"/>
  <c r="B74" i="6"/>
  <c r="C75" i="6"/>
  <c r="K182" i="6"/>
  <c r="L181" i="6"/>
  <c r="M181" i="6" s="1"/>
  <c r="B194" i="6"/>
  <c r="K63" i="6"/>
  <c r="L62" i="6"/>
  <c r="M62" i="6" s="1"/>
  <c r="H73" i="9" l="1"/>
  <c r="I73" i="9" s="1"/>
  <c r="L386" i="9"/>
  <c r="L599" i="9"/>
  <c r="L528" i="9"/>
  <c r="L670" i="9"/>
  <c r="L457" i="9"/>
  <c r="L102" i="9"/>
  <c r="L883" i="9"/>
  <c r="L812" i="9"/>
  <c r="L173" i="9"/>
  <c r="L315" i="9"/>
  <c r="L741" i="9"/>
  <c r="L244" i="9"/>
  <c r="F600" i="9"/>
  <c r="F174" i="9"/>
  <c r="F316" i="9"/>
  <c r="F742" i="9"/>
  <c r="F458" i="9"/>
  <c r="F529" i="9"/>
  <c r="F245" i="9"/>
  <c r="F884" i="9"/>
  <c r="F955" i="9"/>
  <c r="F387" i="9"/>
  <c r="F671" i="9"/>
  <c r="F813" i="9"/>
  <c r="N103" i="9"/>
  <c r="N175" i="9" s="1"/>
  <c r="N247" i="9" s="1"/>
  <c r="N319" i="9" s="1"/>
  <c r="N391" i="9" s="1"/>
  <c r="N463" i="9" s="1"/>
  <c r="N535" i="9" s="1"/>
  <c r="N607" i="9" s="1"/>
  <c r="N679" i="9" s="1"/>
  <c r="N751" i="9" s="1"/>
  <c r="N823" i="9" s="1"/>
  <c r="N895" i="9" s="1"/>
  <c r="N967" i="9" s="1"/>
  <c r="N1039" i="9" s="1"/>
  <c r="N1111" i="9" s="1"/>
  <c r="N1183" i="9" s="1"/>
  <c r="N1255" i="9" s="1"/>
  <c r="AB670" i="9"/>
  <c r="AF670" i="9"/>
  <c r="V883" i="9"/>
  <c r="S883" i="9"/>
  <c r="S315" i="9"/>
  <c r="V315" i="9"/>
  <c r="S812" i="9"/>
  <c r="V812" i="9"/>
  <c r="AF458" i="9"/>
  <c r="AB458" i="9"/>
  <c r="AF671" i="9"/>
  <c r="AB671" i="9"/>
  <c r="AF315" i="9"/>
  <c r="AB315" i="9"/>
  <c r="S670" i="9"/>
  <c r="V670" i="9"/>
  <c r="AF741" i="9"/>
  <c r="AB741" i="9"/>
  <c r="AF102" i="9"/>
  <c r="AE102" i="9" s="1"/>
  <c r="AB102" i="9"/>
  <c r="S457" i="9"/>
  <c r="V457" i="9"/>
  <c r="AB883" i="9"/>
  <c r="AF883" i="9"/>
  <c r="AB812" i="9"/>
  <c r="AF812" i="9"/>
  <c r="V386" i="9"/>
  <c r="S386" i="9"/>
  <c r="D105" i="9"/>
  <c r="C104" i="9"/>
  <c r="AB173" i="9"/>
  <c r="AF173" i="9"/>
  <c r="S741" i="9"/>
  <c r="V741" i="9"/>
  <c r="S173" i="9"/>
  <c r="V173" i="9"/>
  <c r="G74" i="9"/>
  <c r="J74" i="9" s="1"/>
  <c r="S599" i="9"/>
  <c r="V599" i="9"/>
  <c r="S528" i="9"/>
  <c r="V528" i="9"/>
  <c r="V244" i="9"/>
  <c r="S244" i="9"/>
  <c r="S102" i="9"/>
  <c r="V102" i="9"/>
  <c r="AF600" i="9"/>
  <c r="AB600" i="9"/>
  <c r="AF244" i="9"/>
  <c r="AB244" i="9"/>
  <c r="AB529" i="9"/>
  <c r="AF529" i="9"/>
  <c r="J73" i="6"/>
  <c r="J194" i="6"/>
  <c r="G74" i="6"/>
  <c r="C76" i="6"/>
  <c r="B75" i="6"/>
  <c r="K64" i="6"/>
  <c r="L63" i="6"/>
  <c r="M63" i="6" s="1"/>
  <c r="B195" i="6"/>
  <c r="K183" i="6"/>
  <c r="L182" i="6"/>
  <c r="M182" i="6" s="1"/>
  <c r="H74" i="9" l="1"/>
  <c r="I74" i="9" s="1"/>
  <c r="L458" i="9"/>
  <c r="L742" i="9"/>
  <c r="L316" i="9"/>
  <c r="L245" i="9"/>
  <c r="L103" i="9"/>
  <c r="L174" i="9"/>
  <c r="L600" i="9"/>
  <c r="L813" i="9"/>
  <c r="L884" i="9"/>
  <c r="L671" i="9"/>
  <c r="L387" i="9"/>
  <c r="L529" i="9"/>
  <c r="L955" i="9"/>
  <c r="F885" i="9"/>
  <c r="F601" i="9"/>
  <c r="F956" i="9"/>
  <c r="F814" i="9"/>
  <c r="F1027" i="9"/>
  <c r="F388" i="9"/>
  <c r="F743" i="9"/>
  <c r="F530" i="9"/>
  <c r="F459" i="9"/>
  <c r="F175" i="9"/>
  <c r="F246" i="9"/>
  <c r="F317" i="9"/>
  <c r="F672" i="9"/>
  <c r="N104" i="9"/>
  <c r="N176" i="9" s="1"/>
  <c r="N248" i="9" s="1"/>
  <c r="N320" i="9" s="1"/>
  <c r="N392" i="9" s="1"/>
  <c r="N464" i="9" s="1"/>
  <c r="N536" i="9" s="1"/>
  <c r="N608" i="9" s="1"/>
  <c r="N680" i="9" s="1"/>
  <c r="N752" i="9" s="1"/>
  <c r="N824" i="9" s="1"/>
  <c r="N896" i="9" s="1"/>
  <c r="N968" i="9" s="1"/>
  <c r="N1040" i="9" s="1"/>
  <c r="N1112" i="9" s="1"/>
  <c r="N1184" i="9" s="1"/>
  <c r="N1256" i="9" s="1"/>
  <c r="M104" i="9"/>
  <c r="M176" i="9" s="1"/>
  <c r="M248" i="9" s="1"/>
  <c r="M320" i="9" s="1"/>
  <c r="M392" i="9" s="1"/>
  <c r="M464" i="9" s="1"/>
  <c r="M536" i="9" s="1"/>
  <c r="M608" i="9" s="1"/>
  <c r="M680" i="9" s="1"/>
  <c r="M752" i="9" s="1"/>
  <c r="M824" i="9" s="1"/>
  <c r="M896" i="9" s="1"/>
  <c r="M968" i="9" s="1"/>
  <c r="M1040" i="9" s="1"/>
  <c r="M1112" i="9" s="1"/>
  <c r="M1184" i="9" s="1"/>
  <c r="M1256" i="9" s="1"/>
  <c r="O104" i="9"/>
  <c r="AB104" i="9" s="1"/>
  <c r="O103" i="9"/>
  <c r="AF601" i="9"/>
  <c r="AB601" i="9"/>
  <c r="V316" i="9"/>
  <c r="S316" i="9"/>
  <c r="AF245" i="9"/>
  <c r="AB245" i="9"/>
  <c r="AF530" i="9"/>
  <c r="AB530" i="9"/>
  <c r="S174" i="9"/>
  <c r="V174" i="9"/>
  <c r="S813" i="9"/>
  <c r="V813" i="9"/>
  <c r="V458" i="9"/>
  <c r="S458" i="9"/>
  <c r="AF884" i="9"/>
  <c r="AB884" i="9"/>
  <c r="AF813" i="9"/>
  <c r="AB813" i="9"/>
  <c r="S742" i="9"/>
  <c r="V742" i="9"/>
  <c r="AF743" i="9"/>
  <c r="AB743" i="9"/>
  <c r="S955" i="9"/>
  <c r="V955" i="9"/>
  <c r="S245" i="9"/>
  <c r="V245" i="9"/>
  <c r="AF955" i="9"/>
  <c r="AB955" i="9"/>
  <c r="AF174" i="9"/>
  <c r="AB174" i="9"/>
  <c r="AF387" i="9"/>
  <c r="AB387" i="9"/>
  <c r="S387" i="9"/>
  <c r="V387" i="9"/>
  <c r="AB742" i="9"/>
  <c r="AF742" i="9"/>
  <c r="AF672" i="9"/>
  <c r="AB672" i="9"/>
  <c r="V600" i="9"/>
  <c r="S600" i="9"/>
  <c r="V103" i="9"/>
  <c r="AF316" i="9"/>
  <c r="AB316" i="9"/>
  <c r="S671" i="9"/>
  <c r="V671" i="9"/>
  <c r="G75" i="9"/>
  <c r="J75" i="9" s="1"/>
  <c r="C105" i="9"/>
  <c r="D106" i="9"/>
  <c r="S529" i="9"/>
  <c r="V529" i="9"/>
  <c r="S884" i="9"/>
  <c r="V884" i="9"/>
  <c r="J74" i="6"/>
  <c r="H75" i="6"/>
  <c r="I75" i="6" s="1"/>
  <c r="G75" i="6"/>
  <c r="H76" i="6" s="1"/>
  <c r="I76" i="6" s="1"/>
  <c r="L64" i="6"/>
  <c r="M64" i="6" s="1"/>
  <c r="K184" i="6"/>
  <c r="L183" i="6"/>
  <c r="M183" i="6" s="1"/>
  <c r="C77" i="6"/>
  <c r="B76" i="6"/>
  <c r="J195" i="6"/>
  <c r="B196" i="6"/>
  <c r="H75" i="9" l="1"/>
  <c r="I75" i="9" s="1"/>
  <c r="L388" i="9"/>
  <c r="L956" i="9"/>
  <c r="L814" i="9"/>
  <c r="L601" i="9"/>
  <c r="L672" i="9"/>
  <c r="L885" i="9"/>
  <c r="L743" i="9"/>
  <c r="L317" i="9"/>
  <c r="L104" i="9"/>
  <c r="L246" i="9"/>
  <c r="L175" i="9"/>
  <c r="L1027" i="9"/>
  <c r="L459" i="9"/>
  <c r="L530" i="9"/>
  <c r="F744" i="9"/>
  <c r="F389" i="9"/>
  <c r="F602" i="9"/>
  <c r="F815" i="9"/>
  <c r="F460" i="9"/>
  <c r="F318" i="9"/>
  <c r="F1099" i="9"/>
  <c r="F673" i="9"/>
  <c r="F247" i="9"/>
  <c r="F886" i="9"/>
  <c r="F176" i="9"/>
  <c r="F957" i="9"/>
  <c r="F531" i="9"/>
  <c r="F1028" i="9"/>
  <c r="Q103" i="9"/>
  <c r="Q175" i="9" s="1"/>
  <c r="Q247" i="9" s="1"/>
  <c r="Q319" i="9" s="1"/>
  <c r="Q391" i="9" s="1"/>
  <c r="Q463" i="9" s="1"/>
  <c r="Q535" i="9" s="1"/>
  <c r="Q607" i="9" s="1"/>
  <c r="Q679" i="9" s="1"/>
  <c r="Q751" i="9" s="1"/>
  <c r="Q823" i="9" s="1"/>
  <c r="Q895" i="9" s="1"/>
  <c r="Q967" i="9" s="1"/>
  <c r="Q1039" i="9" s="1"/>
  <c r="Q1111" i="9" s="1"/>
  <c r="Q1183" i="9" s="1"/>
  <c r="Q1255" i="9" s="1"/>
  <c r="P103" i="9"/>
  <c r="P175" i="9" s="1"/>
  <c r="P247" i="9" s="1"/>
  <c r="P319" i="9" s="1"/>
  <c r="P391" i="9" s="1"/>
  <c r="P463" i="9" s="1"/>
  <c r="P535" i="9" s="1"/>
  <c r="P607" i="9" s="1"/>
  <c r="P679" i="9" s="1"/>
  <c r="P751" i="9" s="1"/>
  <c r="P823" i="9" s="1"/>
  <c r="P895" i="9" s="1"/>
  <c r="P967" i="9" s="1"/>
  <c r="P1039" i="9" s="1"/>
  <c r="P1111" i="9" s="1"/>
  <c r="P1183" i="9" s="1"/>
  <c r="P1255" i="9" s="1"/>
  <c r="O175" i="9"/>
  <c r="O247" i="9" s="1"/>
  <c r="O319" i="9" s="1"/>
  <c r="O391" i="9" s="1"/>
  <c r="O463" i="9" s="1"/>
  <c r="O535" i="9" s="1"/>
  <c r="O607" i="9" s="1"/>
  <c r="O679" i="9" s="1"/>
  <c r="O751" i="9" s="1"/>
  <c r="O823" i="9" s="1"/>
  <c r="O895" i="9" s="1"/>
  <c r="O967" i="9" s="1"/>
  <c r="O1039" i="9" s="1"/>
  <c r="O1111" i="9" s="1"/>
  <c r="O1183" i="9" s="1"/>
  <c r="O1255" i="9" s="1"/>
  <c r="N105" i="9"/>
  <c r="N177" i="9" s="1"/>
  <c r="N249" i="9" s="1"/>
  <c r="N321" i="9" s="1"/>
  <c r="N393" i="9" s="1"/>
  <c r="N465" i="9" s="1"/>
  <c r="N537" i="9" s="1"/>
  <c r="N609" i="9" s="1"/>
  <c r="N681" i="9" s="1"/>
  <c r="N753" i="9" s="1"/>
  <c r="N825" i="9" s="1"/>
  <c r="N897" i="9" s="1"/>
  <c r="N969" i="9" s="1"/>
  <c r="N1041" i="9" s="1"/>
  <c r="N1113" i="9" s="1"/>
  <c r="N1185" i="9" s="1"/>
  <c r="N1257" i="9" s="1"/>
  <c r="F105" i="9"/>
  <c r="M105" i="9"/>
  <c r="M177" i="9" s="1"/>
  <c r="M249" i="9" s="1"/>
  <c r="M321" i="9" s="1"/>
  <c r="M393" i="9" s="1"/>
  <c r="M465" i="9" s="1"/>
  <c r="M537" i="9" s="1"/>
  <c r="M609" i="9" s="1"/>
  <c r="M681" i="9" s="1"/>
  <c r="M753" i="9" s="1"/>
  <c r="M825" i="9" s="1"/>
  <c r="M897" i="9" s="1"/>
  <c r="M969" i="9" s="1"/>
  <c r="M1041" i="9" s="1"/>
  <c r="M1113" i="9" s="1"/>
  <c r="M1185" i="9" s="1"/>
  <c r="M1257" i="9" s="1"/>
  <c r="Q104" i="9"/>
  <c r="Q176" i="9" s="1"/>
  <c r="Q248" i="9" s="1"/>
  <c r="Q320" i="9" s="1"/>
  <c r="Q392" i="9" s="1"/>
  <c r="Q464" i="9" s="1"/>
  <c r="Q536" i="9" s="1"/>
  <c r="Q608" i="9" s="1"/>
  <c r="Q680" i="9" s="1"/>
  <c r="Q752" i="9" s="1"/>
  <c r="Q824" i="9" s="1"/>
  <c r="Q896" i="9" s="1"/>
  <c r="Q968" i="9" s="1"/>
  <c r="Q1040" i="9" s="1"/>
  <c r="Q1112" i="9" s="1"/>
  <c r="Q1184" i="9" s="1"/>
  <c r="Q1256" i="9" s="1"/>
  <c r="P104" i="9"/>
  <c r="P176" i="9" s="1"/>
  <c r="P248" i="9" s="1"/>
  <c r="P320" i="9" s="1"/>
  <c r="P392" i="9" s="1"/>
  <c r="P464" i="9" s="1"/>
  <c r="P536" i="9" s="1"/>
  <c r="P608" i="9" s="1"/>
  <c r="P680" i="9" s="1"/>
  <c r="P752" i="9" s="1"/>
  <c r="P824" i="9" s="1"/>
  <c r="P896" i="9" s="1"/>
  <c r="P968" i="9" s="1"/>
  <c r="P1040" i="9" s="1"/>
  <c r="P1112" i="9" s="1"/>
  <c r="P1184" i="9" s="1"/>
  <c r="P1256" i="9" s="1"/>
  <c r="O176" i="9"/>
  <c r="O248" i="9" s="1"/>
  <c r="O320" i="9" s="1"/>
  <c r="O392" i="9" s="1"/>
  <c r="O464" i="9" s="1"/>
  <c r="O536" i="9" s="1"/>
  <c r="O608" i="9" s="1"/>
  <c r="O680" i="9" s="1"/>
  <c r="O752" i="9" s="1"/>
  <c r="O824" i="9" s="1"/>
  <c r="O896" i="9" s="1"/>
  <c r="O968" i="9" s="1"/>
  <c r="O1040" i="9" s="1"/>
  <c r="O1112" i="9" s="1"/>
  <c r="O1184" i="9" s="1"/>
  <c r="O1256" i="9" s="1"/>
  <c r="AF104" i="9"/>
  <c r="O105" i="9"/>
  <c r="AB105" i="9" s="1"/>
  <c r="AB388" i="9"/>
  <c r="AF388" i="9"/>
  <c r="AF814" i="9"/>
  <c r="AB814" i="9"/>
  <c r="AF459" i="9"/>
  <c r="AB459" i="9"/>
  <c r="AF1027" i="9"/>
  <c r="AB1027" i="9"/>
  <c r="S317" i="9"/>
  <c r="V317" i="9"/>
  <c r="V1027" i="9"/>
  <c r="S1027" i="9"/>
  <c r="AB956" i="9"/>
  <c r="AF956" i="9"/>
  <c r="S104" i="9"/>
  <c r="V104" i="9"/>
  <c r="AB602" i="9"/>
  <c r="AF602" i="9"/>
  <c r="S388" i="9"/>
  <c r="V388" i="9"/>
  <c r="S601" i="9"/>
  <c r="V601" i="9"/>
  <c r="V672" i="9"/>
  <c r="S672" i="9"/>
  <c r="AB246" i="9"/>
  <c r="AF246" i="9"/>
  <c r="AB885" i="9"/>
  <c r="AF885" i="9"/>
  <c r="S246" i="9"/>
  <c r="V246" i="9"/>
  <c r="AF317" i="9"/>
  <c r="AB317" i="9"/>
  <c r="G76" i="9"/>
  <c r="J76" i="9" s="1"/>
  <c r="V175" i="9"/>
  <c r="V814" i="9"/>
  <c r="S814" i="9"/>
  <c r="S530" i="9"/>
  <c r="V530" i="9"/>
  <c r="V885" i="9"/>
  <c r="S885" i="9"/>
  <c r="AF673" i="9"/>
  <c r="AB673" i="9"/>
  <c r="V956" i="9"/>
  <c r="S956" i="9"/>
  <c r="C106" i="9"/>
  <c r="O106" i="9" s="1"/>
  <c r="D107" i="9"/>
  <c r="S743" i="9"/>
  <c r="V743" i="9"/>
  <c r="AF744" i="9"/>
  <c r="AB744" i="9"/>
  <c r="S459" i="9"/>
  <c r="V459" i="9"/>
  <c r="AF815" i="9"/>
  <c r="AB815" i="9"/>
  <c r="J75" i="6"/>
  <c r="B197" i="6"/>
  <c r="J196" i="6"/>
  <c r="K185" i="6" s="1"/>
  <c r="G76" i="6"/>
  <c r="B77" i="6"/>
  <c r="C78" i="6"/>
  <c r="L184" i="6"/>
  <c r="M184" i="6" s="1"/>
  <c r="H76" i="9" l="1"/>
  <c r="I76" i="9" s="1"/>
  <c r="L957" i="9"/>
  <c r="L176" i="9"/>
  <c r="L1028" i="9"/>
  <c r="L886" i="9"/>
  <c r="L744" i="9"/>
  <c r="L247" i="9"/>
  <c r="L389" i="9"/>
  <c r="L673" i="9"/>
  <c r="L105" i="9"/>
  <c r="L1099" i="9"/>
  <c r="L602" i="9"/>
  <c r="L318" i="9"/>
  <c r="L531" i="9"/>
  <c r="L460" i="9"/>
  <c r="L815" i="9"/>
  <c r="F177" i="9"/>
  <c r="F887" i="9"/>
  <c r="F319" i="9"/>
  <c r="F674" i="9"/>
  <c r="F1029" i="9"/>
  <c r="F958" i="9"/>
  <c r="F1100" i="9"/>
  <c r="F461" i="9"/>
  <c r="F390" i="9"/>
  <c r="F248" i="9"/>
  <c r="F532" i="9"/>
  <c r="F745" i="9"/>
  <c r="F603" i="9"/>
  <c r="F1171" i="9"/>
  <c r="F816" i="9"/>
  <c r="AB176" i="9"/>
  <c r="AF176" i="9"/>
  <c r="AF105" i="9"/>
  <c r="Q106" i="9"/>
  <c r="Q178" i="9" s="1"/>
  <c r="Q250" i="9" s="1"/>
  <c r="Q322" i="9" s="1"/>
  <c r="Q394" i="9" s="1"/>
  <c r="Q466" i="9" s="1"/>
  <c r="Q538" i="9" s="1"/>
  <c r="Q610" i="9" s="1"/>
  <c r="Q682" i="9" s="1"/>
  <c r="Q754" i="9" s="1"/>
  <c r="Q826" i="9" s="1"/>
  <c r="Q898" i="9" s="1"/>
  <c r="Q970" i="9" s="1"/>
  <c r="Q1042" i="9" s="1"/>
  <c r="Q1114" i="9" s="1"/>
  <c r="Q1186" i="9" s="1"/>
  <c r="Q1258" i="9" s="1"/>
  <c r="P106" i="9"/>
  <c r="P178" i="9" s="1"/>
  <c r="P250" i="9" s="1"/>
  <c r="P322" i="9" s="1"/>
  <c r="P394" i="9" s="1"/>
  <c r="P466" i="9" s="1"/>
  <c r="P538" i="9" s="1"/>
  <c r="P610" i="9" s="1"/>
  <c r="P682" i="9" s="1"/>
  <c r="P754" i="9" s="1"/>
  <c r="P826" i="9" s="1"/>
  <c r="P898" i="9" s="1"/>
  <c r="P970" i="9" s="1"/>
  <c r="P1042" i="9" s="1"/>
  <c r="P1114" i="9" s="1"/>
  <c r="P1186" i="9" s="1"/>
  <c r="P1258" i="9" s="1"/>
  <c r="O178" i="9"/>
  <c r="O250" i="9" s="1"/>
  <c r="O322" i="9" s="1"/>
  <c r="O394" i="9" s="1"/>
  <c r="O466" i="9" s="1"/>
  <c r="O538" i="9" s="1"/>
  <c r="O610" i="9" s="1"/>
  <c r="O682" i="9" s="1"/>
  <c r="O754" i="9" s="1"/>
  <c r="O826" i="9" s="1"/>
  <c r="O898" i="9" s="1"/>
  <c r="O970" i="9" s="1"/>
  <c r="O1042" i="9" s="1"/>
  <c r="O1114" i="9" s="1"/>
  <c r="O1186" i="9" s="1"/>
  <c r="O1258" i="9" s="1"/>
  <c r="Q105" i="9"/>
  <c r="Q177" i="9" s="1"/>
  <c r="Q249" i="9" s="1"/>
  <c r="Q321" i="9" s="1"/>
  <c r="Q393" i="9" s="1"/>
  <c r="Q465" i="9" s="1"/>
  <c r="Q537" i="9" s="1"/>
  <c r="Q609" i="9" s="1"/>
  <c r="Q681" i="9" s="1"/>
  <c r="Q753" i="9" s="1"/>
  <c r="Q825" i="9" s="1"/>
  <c r="Q897" i="9" s="1"/>
  <c r="Q969" i="9" s="1"/>
  <c r="Q1041" i="9" s="1"/>
  <c r="Q1113" i="9" s="1"/>
  <c r="Q1185" i="9" s="1"/>
  <c r="Q1257" i="9" s="1"/>
  <c r="P105" i="9"/>
  <c r="P177" i="9" s="1"/>
  <c r="P249" i="9" s="1"/>
  <c r="P321" i="9" s="1"/>
  <c r="P393" i="9" s="1"/>
  <c r="P465" i="9" s="1"/>
  <c r="P537" i="9" s="1"/>
  <c r="P609" i="9" s="1"/>
  <c r="P681" i="9" s="1"/>
  <c r="P753" i="9" s="1"/>
  <c r="P825" i="9" s="1"/>
  <c r="P897" i="9" s="1"/>
  <c r="P969" i="9" s="1"/>
  <c r="P1041" i="9" s="1"/>
  <c r="P1113" i="9" s="1"/>
  <c r="P1185" i="9" s="1"/>
  <c r="P1257" i="9" s="1"/>
  <c r="O177" i="9"/>
  <c r="O249" i="9" s="1"/>
  <c r="O321" i="9" s="1"/>
  <c r="O393" i="9" s="1"/>
  <c r="O465" i="9" s="1"/>
  <c r="O537" i="9" s="1"/>
  <c r="O609" i="9" s="1"/>
  <c r="O681" i="9" s="1"/>
  <c r="O753" i="9" s="1"/>
  <c r="O825" i="9" s="1"/>
  <c r="O897" i="9" s="1"/>
  <c r="O969" i="9" s="1"/>
  <c r="O1041" i="9" s="1"/>
  <c r="O1113" i="9" s="1"/>
  <c r="O1185" i="9" s="1"/>
  <c r="O1257" i="9" s="1"/>
  <c r="M106" i="9"/>
  <c r="M178" i="9" s="1"/>
  <c r="M250" i="9" s="1"/>
  <c r="M322" i="9" s="1"/>
  <c r="M394" i="9" s="1"/>
  <c r="M466" i="9" s="1"/>
  <c r="M538" i="9" s="1"/>
  <c r="M610" i="9" s="1"/>
  <c r="M682" i="9" s="1"/>
  <c r="M754" i="9" s="1"/>
  <c r="M826" i="9" s="1"/>
  <c r="M898" i="9" s="1"/>
  <c r="M970" i="9" s="1"/>
  <c r="M1042" i="9" s="1"/>
  <c r="M1114" i="9" s="1"/>
  <c r="M1186" i="9" s="1"/>
  <c r="M1258" i="9" s="1"/>
  <c r="N106" i="9"/>
  <c r="N178" i="9" s="1"/>
  <c r="N250" i="9" s="1"/>
  <c r="N322" i="9" s="1"/>
  <c r="N394" i="9" s="1"/>
  <c r="N466" i="9" s="1"/>
  <c r="N538" i="9" s="1"/>
  <c r="N610" i="9" s="1"/>
  <c r="N682" i="9" s="1"/>
  <c r="N754" i="9" s="1"/>
  <c r="N826" i="9" s="1"/>
  <c r="N898" i="9" s="1"/>
  <c r="N970" i="9" s="1"/>
  <c r="N1042" i="9" s="1"/>
  <c r="N1114" i="9" s="1"/>
  <c r="N1186" i="9" s="1"/>
  <c r="N1258" i="9" s="1"/>
  <c r="F106" i="9"/>
  <c r="AF106" i="9"/>
  <c r="AB106" i="9"/>
  <c r="S389" i="9"/>
  <c r="V389" i="9"/>
  <c r="AF531" i="9"/>
  <c r="AB531" i="9"/>
  <c r="V531" i="9"/>
  <c r="S531" i="9"/>
  <c r="G77" i="9"/>
  <c r="J77" i="9" s="1"/>
  <c r="S103" i="9"/>
  <c r="AB318" i="9"/>
  <c r="AF318" i="9"/>
  <c r="S460" i="9"/>
  <c r="V460" i="9"/>
  <c r="AB887" i="9"/>
  <c r="AF887" i="9"/>
  <c r="S957" i="9"/>
  <c r="V957" i="9"/>
  <c r="AB103" i="9"/>
  <c r="V1099" i="9"/>
  <c r="S1099" i="9"/>
  <c r="AF886" i="9"/>
  <c r="AB886" i="9"/>
  <c r="AF745" i="9"/>
  <c r="AB745" i="9"/>
  <c r="V247" i="9"/>
  <c r="AF389" i="9"/>
  <c r="AB389" i="9"/>
  <c r="AF957" i="9"/>
  <c r="AB957" i="9"/>
  <c r="AF248" i="9"/>
  <c r="AB248" i="9"/>
  <c r="AF1028" i="9"/>
  <c r="AB1028" i="9"/>
  <c r="S1028" i="9"/>
  <c r="V1028" i="9"/>
  <c r="S602" i="9"/>
  <c r="V602" i="9"/>
  <c r="S815" i="9"/>
  <c r="V815" i="9"/>
  <c r="AB816" i="9"/>
  <c r="AF816" i="9"/>
  <c r="S105" i="9"/>
  <c r="V105" i="9"/>
  <c r="D108" i="9"/>
  <c r="C107" i="9"/>
  <c r="O107" i="9" s="1"/>
  <c r="S886" i="9"/>
  <c r="V886" i="9"/>
  <c r="S318" i="9"/>
  <c r="V318" i="9"/>
  <c r="AF175" i="9"/>
  <c r="AB175" i="9"/>
  <c r="AF103" i="9"/>
  <c r="AE103" i="9" s="1"/>
  <c r="AE104" i="9" s="1"/>
  <c r="V744" i="9"/>
  <c r="S744" i="9"/>
  <c r="S673" i="9"/>
  <c r="V673" i="9"/>
  <c r="AB674" i="9"/>
  <c r="AF674" i="9"/>
  <c r="S176" i="9"/>
  <c r="V176" i="9"/>
  <c r="AF1099" i="9"/>
  <c r="AB1099" i="9"/>
  <c r="AB460" i="9"/>
  <c r="AF460" i="9"/>
  <c r="J76" i="6"/>
  <c r="K65" i="6" s="1"/>
  <c r="J197" i="6"/>
  <c r="H77" i="6"/>
  <c r="I77" i="6" s="1"/>
  <c r="J77" i="6"/>
  <c r="B78" i="6"/>
  <c r="C79" i="6"/>
  <c r="B198" i="6"/>
  <c r="G77" i="6"/>
  <c r="K186" i="6"/>
  <c r="L185" i="6"/>
  <c r="M185" i="6" s="1"/>
  <c r="H77" i="9" l="1"/>
  <c r="I77" i="9" s="1"/>
  <c r="L887" i="9"/>
  <c r="L177" i="9"/>
  <c r="L532" i="9"/>
  <c r="L248" i="9"/>
  <c r="L390" i="9"/>
  <c r="L461" i="9"/>
  <c r="L603" i="9"/>
  <c r="L1100" i="9"/>
  <c r="L958" i="9"/>
  <c r="L816" i="9"/>
  <c r="L1171" i="9"/>
  <c r="L745" i="9"/>
  <c r="L1029" i="9"/>
  <c r="L319" i="9"/>
  <c r="L106" i="9"/>
  <c r="L674" i="9"/>
  <c r="F1030" i="9"/>
  <c r="F817" i="9"/>
  <c r="F604" i="9"/>
  <c r="F1101" i="9"/>
  <c r="F178" i="9"/>
  <c r="F746" i="9"/>
  <c r="F888" i="9"/>
  <c r="F462" i="9"/>
  <c r="F391" i="9"/>
  <c r="F320" i="9"/>
  <c r="F1243" i="9"/>
  <c r="F533" i="9"/>
  <c r="F959" i="9"/>
  <c r="F675" i="9"/>
  <c r="F1172" i="9"/>
  <c r="F249" i="9"/>
  <c r="AE105" i="9"/>
  <c r="AE106" i="9" s="1"/>
  <c r="Q107" i="9"/>
  <c r="Q179" i="9" s="1"/>
  <c r="Q251" i="9" s="1"/>
  <c r="Q323" i="9" s="1"/>
  <c r="Q395" i="9" s="1"/>
  <c r="Q467" i="9" s="1"/>
  <c r="Q539" i="9" s="1"/>
  <c r="Q611" i="9" s="1"/>
  <c r="Q683" i="9" s="1"/>
  <c r="Q755" i="9" s="1"/>
  <c r="Q827" i="9" s="1"/>
  <c r="Q899" i="9" s="1"/>
  <c r="Q971" i="9" s="1"/>
  <c r="Q1043" i="9" s="1"/>
  <c r="Q1115" i="9" s="1"/>
  <c r="Q1187" i="9" s="1"/>
  <c r="Q1259" i="9" s="1"/>
  <c r="P107" i="9"/>
  <c r="P179" i="9" s="1"/>
  <c r="P251" i="9" s="1"/>
  <c r="P323" i="9" s="1"/>
  <c r="P395" i="9" s="1"/>
  <c r="P467" i="9" s="1"/>
  <c r="P539" i="9" s="1"/>
  <c r="P611" i="9" s="1"/>
  <c r="P683" i="9" s="1"/>
  <c r="P755" i="9" s="1"/>
  <c r="P827" i="9" s="1"/>
  <c r="P899" i="9" s="1"/>
  <c r="P971" i="9" s="1"/>
  <c r="P1043" i="9" s="1"/>
  <c r="P1115" i="9" s="1"/>
  <c r="P1187" i="9" s="1"/>
  <c r="P1259" i="9" s="1"/>
  <c r="O179" i="9"/>
  <c r="O251" i="9" s="1"/>
  <c r="O323" i="9" s="1"/>
  <c r="O395" i="9" s="1"/>
  <c r="O467" i="9" s="1"/>
  <c r="O539" i="9" s="1"/>
  <c r="O611" i="9" s="1"/>
  <c r="O683" i="9" s="1"/>
  <c r="O755" i="9" s="1"/>
  <c r="O827" i="9" s="1"/>
  <c r="O899" i="9" s="1"/>
  <c r="O971" i="9" s="1"/>
  <c r="O1043" i="9" s="1"/>
  <c r="O1115" i="9" s="1"/>
  <c r="O1187" i="9" s="1"/>
  <c r="O1259" i="9" s="1"/>
  <c r="M107" i="9"/>
  <c r="M179" i="9" s="1"/>
  <c r="M251" i="9" s="1"/>
  <c r="M323" i="9" s="1"/>
  <c r="M395" i="9" s="1"/>
  <c r="M467" i="9" s="1"/>
  <c r="M539" i="9" s="1"/>
  <c r="M611" i="9" s="1"/>
  <c r="M683" i="9" s="1"/>
  <c r="M755" i="9" s="1"/>
  <c r="M827" i="9" s="1"/>
  <c r="M899" i="9" s="1"/>
  <c r="M971" i="9" s="1"/>
  <c r="M1043" i="9" s="1"/>
  <c r="M1115" i="9" s="1"/>
  <c r="M1187" i="9" s="1"/>
  <c r="M1259" i="9" s="1"/>
  <c r="AF177" i="9"/>
  <c r="N107" i="9"/>
  <c r="N179" i="9" s="1"/>
  <c r="N251" i="9" s="1"/>
  <c r="N323" i="9" s="1"/>
  <c r="N395" i="9" s="1"/>
  <c r="N467" i="9" s="1"/>
  <c r="N539" i="9" s="1"/>
  <c r="N611" i="9" s="1"/>
  <c r="N683" i="9" s="1"/>
  <c r="N755" i="9" s="1"/>
  <c r="N827" i="9" s="1"/>
  <c r="N899" i="9" s="1"/>
  <c r="N971" i="9" s="1"/>
  <c r="N1043" i="9" s="1"/>
  <c r="N1115" i="9" s="1"/>
  <c r="N1187" i="9" s="1"/>
  <c r="N1259" i="9" s="1"/>
  <c r="F107" i="9"/>
  <c r="AB177" i="9"/>
  <c r="AB746" i="9"/>
  <c r="AF746" i="9"/>
  <c r="S745" i="9"/>
  <c r="V745" i="9"/>
  <c r="S674" i="9"/>
  <c r="V674" i="9"/>
  <c r="AF1100" i="9"/>
  <c r="AB1100" i="9"/>
  <c r="S1171" i="9"/>
  <c r="V1171" i="9"/>
  <c r="AF249" i="9"/>
  <c r="AB249" i="9"/>
  <c r="V958" i="9"/>
  <c r="S958" i="9"/>
  <c r="S1100" i="9"/>
  <c r="V1100" i="9"/>
  <c r="AF320" i="9"/>
  <c r="AB320" i="9"/>
  <c r="AF461" i="9"/>
  <c r="AB461" i="9"/>
  <c r="S1029" i="9"/>
  <c r="V1029" i="9"/>
  <c r="S175" i="9"/>
  <c r="AF603" i="9"/>
  <c r="AB603" i="9"/>
  <c r="AF888" i="9"/>
  <c r="AB888" i="9"/>
  <c r="AB958" i="9"/>
  <c r="AF958" i="9"/>
  <c r="S532" i="9"/>
  <c r="V532" i="9"/>
  <c r="V248" i="9"/>
  <c r="S248" i="9"/>
  <c r="V390" i="9"/>
  <c r="S390" i="9"/>
  <c r="D109" i="9"/>
  <c r="C108" i="9"/>
  <c r="V887" i="9"/>
  <c r="S887" i="9"/>
  <c r="AB1029" i="9"/>
  <c r="AF1029" i="9"/>
  <c r="V319" i="9"/>
  <c r="AF817" i="9"/>
  <c r="AB817" i="9"/>
  <c r="AF959" i="9"/>
  <c r="AB959" i="9"/>
  <c r="AF390" i="9"/>
  <c r="AB390" i="9"/>
  <c r="S603" i="9"/>
  <c r="V603" i="9"/>
  <c r="S461" i="9"/>
  <c r="V461" i="9"/>
  <c r="AF532" i="9"/>
  <c r="AB532" i="9"/>
  <c r="AB1171" i="9"/>
  <c r="AF1171" i="9"/>
  <c r="S816" i="9"/>
  <c r="V816" i="9"/>
  <c r="AF247" i="9"/>
  <c r="AB247" i="9"/>
  <c r="S177" i="9"/>
  <c r="V177" i="9"/>
  <c r="S106" i="9"/>
  <c r="V106" i="9"/>
  <c r="G78" i="9"/>
  <c r="J78" i="9" s="1"/>
  <c r="AF178" i="9"/>
  <c r="AB178" i="9"/>
  <c r="K66" i="6"/>
  <c r="L66" i="6" s="1"/>
  <c r="J78" i="6"/>
  <c r="L65" i="6"/>
  <c r="M65" i="6" s="1"/>
  <c r="K187" i="6"/>
  <c r="L186" i="6"/>
  <c r="M186" i="6" s="1"/>
  <c r="G78" i="6"/>
  <c r="J198" i="6"/>
  <c r="B199" i="6"/>
  <c r="C80" i="6"/>
  <c r="B79" i="6"/>
  <c r="H78" i="6"/>
  <c r="I78" i="6" s="1"/>
  <c r="H78" i="9" l="1"/>
  <c r="I78" i="9" s="1"/>
  <c r="L391" i="9"/>
  <c r="L462" i="9"/>
  <c r="L533" i="9"/>
  <c r="L888" i="9"/>
  <c r="L746" i="9"/>
  <c r="L178" i="9"/>
  <c r="L249" i="9"/>
  <c r="L1101" i="9"/>
  <c r="L1243" i="9"/>
  <c r="L320" i="9"/>
  <c r="L1172" i="9"/>
  <c r="L604" i="9"/>
  <c r="L107" i="9"/>
  <c r="L675" i="9"/>
  <c r="L817" i="9"/>
  <c r="L959" i="9"/>
  <c r="L1030" i="9"/>
  <c r="F605" i="9"/>
  <c r="F250" i="9"/>
  <c r="F321" i="9"/>
  <c r="F392" i="9"/>
  <c r="F1173" i="9"/>
  <c r="F818" i="9"/>
  <c r="F463" i="9"/>
  <c r="F179" i="9"/>
  <c r="F1244" i="9"/>
  <c r="F676" i="9"/>
  <c r="F747" i="9"/>
  <c r="F534" i="9"/>
  <c r="F889" i="9"/>
  <c r="F1031" i="9"/>
  <c r="F960" i="9"/>
  <c r="F1102" i="9"/>
  <c r="M108" i="9"/>
  <c r="M180" i="9" s="1"/>
  <c r="M252" i="9" s="1"/>
  <c r="M324" i="9" s="1"/>
  <c r="M396" i="9" s="1"/>
  <c r="M468" i="9" s="1"/>
  <c r="M540" i="9" s="1"/>
  <c r="M612" i="9" s="1"/>
  <c r="M684" i="9" s="1"/>
  <c r="M756" i="9" s="1"/>
  <c r="M828" i="9" s="1"/>
  <c r="M900" i="9" s="1"/>
  <c r="M972" i="9" s="1"/>
  <c r="M1044" i="9" s="1"/>
  <c r="M1116" i="9" s="1"/>
  <c r="M1188" i="9" s="1"/>
  <c r="M1260" i="9" s="1"/>
  <c r="N108" i="9"/>
  <c r="N180" i="9" s="1"/>
  <c r="N252" i="9" s="1"/>
  <c r="N324" i="9" s="1"/>
  <c r="N396" i="9" s="1"/>
  <c r="N468" i="9" s="1"/>
  <c r="N540" i="9" s="1"/>
  <c r="N612" i="9" s="1"/>
  <c r="N684" i="9" s="1"/>
  <c r="N756" i="9" s="1"/>
  <c r="N828" i="9" s="1"/>
  <c r="N900" i="9" s="1"/>
  <c r="N972" i="9" s="1"/>
  <c r="N1044" i="9" s="1"/>
  <c r="N1116" i="9" s="1"/>
  <c r="N1188" i="9" s="1"/>
  <c r="N1260" i="9" s="1"/>
  <c r="F108" i="9"/>
  <c r="S888" i="9"/>
  <c r="V888" i="9"/>
  <c r="AF675" i="9"/>
  <c r="AB675" i="9"/>
  <c r="AB392" i="9"/>
  <c r="AF392" i="9"/>
  <c r="AF321" i="9"/>
  <c r="AB321" i="9"/>
  <c r="AF1172" i="9"/>
  <c r="AB1172" i="9"/>
  <c r="G79" i="9"/>
  <c r="J79" i="9" s="1"/>
  <c r="AF319" i="9"/>
  <c r="AF462" i="9"/>
  <c r="AB462" i="9"/>
  <c r="AB889" i="9"/>
  <c r="AF889" i="9"/>
  <c r="C109" i="9"/>
  <c r="M109" i="9" s="1"/>
  <c r="M181" i="9" s="1"/>
  <c r="M253" i="9" s="1"/>
  <c r="M325" i="9" s="1"/>
  <c r="M397" i="9" s="1"/>
  <c r="M469" i="9" s="1"/>
  <c r="M541" i="9" s="1"/>
  <c r="M613" i="9" s="1"/>
  <c r="M685" i="9" s="1"/>
  <c r="M757" i="9" s="1"/>
  <c r="M829" i="9" s="1"/>
  <c r="M901" i="9" s="1"/>
  <c r="M973" i="9" s="1"/>
  <c r="M1045" i="9" s="1"/>
  <c r="M1117" i="9" s="1"/>
  <c r="M1189" i="9" s="1"/>
  <c r="M1261" i="9" s="1"/>
  <c r="D110" i="9"/>
  <c r="AF1030" i="9"/>
  <c r="AB1030" i="9"/>
  <c r="S1101" i="9"/>
  <c r="V1101" i="9"/>
  <c r="AB533" i="9"/>
  <c r="AF533" i="9"/>
  <c r="V1243" i="9"/>
  <c r="S1243" i="9"/>
  <c r="S746" i="9"/>
  <c r="V746" i="9"/>
  <c r="AF818" i="9"/>
  <c r="AB818" i="9"/>
  <c r="V391" i="9"/>
  <c r="AB960" i="9"/>
  <c r="AF960" i="9"/>
  <c r="V107" i="9"/>
  <c r="S107" i="9"/>
  <c r="S178" i="9"/>
  <c r="V178" i="9"/>
  <c r="S249" i="9"/>
  <c r="V249" i="9"/>
  <c r="AF604" i="9"/>
  <c r="AB604" i="9"/>
  <c r="S675" i="9"/>
  <c r="V675" i="9"/>
  <c r="AF1031" i="9"/>
  <c r="AB1031" i="9"/>
  <c r="S959" i="9"/>
  <c r="V959" i="9"/>
  <c r="V320" i="9"/>
  <c r="S320" i="9"/>
  <c r="V604" i="9"/>
  <c r="S604" i="9"/>
  <c r="S247" i="9"/>
  <c r="S817" i="9"/>
  <c r="V817" i="9"/>
  <c r="AF107" i="9"/>
  <c r="AE107" i="9" s="1"/>
  <c r="AB107" i="9"/>
  <c r="AB250" i="9"/>
  <c r="AF250" i="9"/>
  <c r="AF1243" i="9"/>
  <c r="AB1243" i="9"/>
  <c r="S533" i="9"/>
  <c r="V533" i="9"/>
  <c r="AB1101" i="9"/>
  <c r="AF1101" i="9"/>
  <c r="V462" i="9"/>
  <c r="S462" i="9"/>
  <c r="S1172" i="9"/>
  <c r="V1172" i="9"/>
  <c r="S1030" i="9"/>
  <c r="V1030" i="9"/>
  <c r="K67" i="6"/>
  <c r="K68" i="6" s="1"/>
  <c r="L68" i="6" s="1"/>
  <c r="M66" i="6"/>
  <c r="H79" i="6"/>
  <c r="I79" i="6" s="1"/>
  <c r="G79" i="6"/>
  <c r="H80" i="6" s="1"/>
  <c r="I80" i="6" s="1"/>
  <c r="K188" i="6"/>
  <c r="L187" i="6"/>
  <c r="M187" i="6" s="1"/>
  <c r="C81" i="6"/>
  <c r="B80" i="6"/>
  <c r="J199" i="6"/>
  <c r="B200" i="6"/>
  <c r="H79" i="9" l="1"/>
  <c r="I79" i="9" s="1"/>
  <c r="L463" i="9"/>
  <c r="L818" i="9"/>
  <c r="L179" i="9"/>
  <c r="L1173" i="9"/>
  <c r="L1244" i="9"/>
  <c r="L1102" i="9"/>
  <c r="L392" i="9"/>
  <c r="L960" i="9"/>
  <c r="L321" i="9"/>
  <c r="L1031" i="9"/>
  <c r="L250" i="9"/>
  <c r="L108" i="9"/>
  <c r="L889" i="9"/>
  <c r="L605" i="9"/>
  <c r="L747" i="9"/>
  <c r="L676" i="9"/>
  <c r="L534" i="9"/>
  <c r="F606" i="9"/>
  <c r="F890" i="9"/>
  <c r="F961" i="9"/>
  <c r="F677" i="9"/>
  <c r="F180" i="9"/>
  <c r="F535" i="9"/>
  <c r="F464" i="9"/>
  <c r="F1032" i="9"/>
  <c r="F393" i="9"/>
  <c r="F819" i="9"/>
  <c r="F1174" i="9"/>
  <c r="F1245" i="9"/>
  <c r="F748" i="9"/>
  <c r="F1103" i="9"/>
  <c r="F251" i="9"/>
  <c r="F322" i="9"/>
  <c r="O109" i="9"/>
  <c r="Q109" i="9" s="1"/>
  <c r="Q181" i="9" s="1"/>
  <c r="Q253" i="9" s="1"/>
  <c r="Q325" i="9" s="1"/>
  <c r="Q397" i="9" s="1"/>
  <c r="Q469" i="9" s="1"/>
  <c r="Q541" i="9" s="1"/>
  <c r="Q613" i="9" s="1"/>
  <c r="Q685" i="9" s="1"/>
  <c r="Q757" i="9" s="1"/>
  <c r="Q829" i="9" s="1"/>
  <c r="Q901" i="9" s="1"/>
  <c r="Q973" i="9" s="1"/>
  <c r="Q1045" i="9" s="1"/>
  <c r="Q1117" i="9" s="1"/>
  <c r="Q1189" i="9" s="1"/>
  <c r="Q1261" i="9" s="1"/>
  <c r="N109" i="9"/>
  <c r="N181" i="9" s="1"/>
  <c r="N253" i="9" s="1"/>
  <c r="N325" i="9" s="1"/>
  <c r="N397" i="9" s="1"/>
  <c r="N469" i="9" s="1"/>
  <c r="N541" i="9" s="1"/>
  <c r="N613" i="9" s="1"/>
  <c r="N685" i="9" s="1"/>
  <c r="N757" i="9" s="1"/>
  <c r="N829" i="9" s="1"/>
  <c r="N901" i="9" s="1"/>
  <c r="N973" i="9" s="1"/>
  <c r="N1045" i="9" s="1"/>
  <c r="N1117" i="9" s="1"/>
  <c r="N1189" i="9" s="1"/>
  <c r="N1261" i="9" s="1"/>
  <c r="F109" i="9"/>
  <c r="O108" i="9"/>
  <c r="S1102" i="9"/>
  <c r="V1102" i="9"/>
  <c r="S605" i="9"/>
  <c r="V605" i="9"/>
  <c r="V889" i="9"/>
  <c r="S889" i="9"/>
  <c r="AB391" i="9"/>
  <c r="S319" i="9"/>
  <c r="AF1103" i="9"/>
  <c r="AB1103" i="9"/>
  <c r="AF676" i="9"/>
  <c r="AB676" i="9"/>
  <c r="V179" i="9"/>
  <c r="S179" i="9"/>
  <c r="AF1032" i="9"/>
  <c r="AB1032" i="9"/>
  <c r="AF1102" i="9"/>
  <c r="AB1102" i="9"/>
  <c r="AF391" i="9"/>
  <c r="AB393" i="9"/>
  <c r="AF393" i="9"/>
  <c r="V960" i="9"/>
  <c r="S960" i="9"/>
  <c r="S534" i="9"/>
  <c r="V534" i="9"/>
  <c r="AF1173" i="9"/>
  <c r="AB1173" i="9"/>
  <c r="AF179" i="9"/>
  <c r="AB179" i="9"/>
  <c r="S392" i="9"/>
  <c r="V392" i="9"/>
  <c r="V1031" i="9"/>
  <c r="S1031" i="9"/>
  <c r="S747" i="9"/>
  <c r="V747" i="9"/>
  <c r="S321" i="9"/>
  <c r="V321" i="9"/>
  <c r="V818" i="9"/>
  <c r="S818" i="9"/>
  <c r="V1173" i="9"/>
  <c r="S1173" i="9"/>
  <c r="C110" i="9"/>
  <c r="M110" i="9" s="1"/>
  <c r="M182" i="9" s="1"/>
  <c r="M254" i="9" s="1"/>
  <c r="M326" i="9" s="1"/>
  <c r="M398" i="9" s="1"/>
  <c r="M470" i="9" s="1"/>
  <c r="M542" i="9" s="1"/>
  <c r="M614" i="9" s="1"/>
  <c r="M686" i="9" s="1"/>
  <c r="M758" i="9" s="1"/>
  <c r="M830" i="9" s="1"/>
  <c r="M902" i="9" s="1"/>
  <c r="M974" i="9" s="1"/>
  <c r="M1046" i="9" s="1"/>
  <c r="M1118" i="9" s="1"/>
  <c r="M1190" i="9" s="1"/>
  <c r="M1262" i="9" s="1"/>
  <c r="D111" i="9"/>
  <c r="AF534" i="9"/>
  <c r="AB534" i="9"/>
  <c r="AF1244" i="9"/>
  <c r="AB1244" i="9"/>
  <c r="AF747" i="9"/>
  <c r="AB747" i="9"/>
  <c r="V108" i="9"/>
  <c r="AB322" i="9"/>
  <c r="AF322" i="9"/>
  <c r="V463" i="9"/>
  <c r="V1244" i="9"/>
  <c r="S1244" i="9"/>
  <c r="V676" i="9"/>
  <c r="S676" i="9"/>
  <c r="S250" i="9"/>
  <c r="V250" i="9"/>
  <c r="AF890" i="9"/>
  <c r="AB890" i="9"/>
  <c r="AF605" i="9"/>
  <c r="AB605" i="9"/>
  <c r="AF961" i="9"/>
  <c r="AB961" i="9"/>
  <c r="AB319" i="9"/>
  <c r="G80" i="9"/>
  <c r="J80" i="9" s="1"/>
  <c r="AB464" i="9"/>
  <c r="AF464" i="9"/>
  <c r="J200" i="6"/>
  <c r="L67" i="6"/>
  <c r="M67" i="6" s="1"/>
  <c r="M68" i="6"/>
  <c r="K69" i="6"/>
  <c r="L69" i="6" s="1"/>
  <c r="J79" i="6"/>
  <c r="G80" i="6"/>
  <c r="B201" i="6"/>
  <c r="K189" i="6"/>
  <c r="L188" i="6"/>
  <c r="M188" i="6" s="1"/>
  <c r="B81" i="6"/>
  <c r="C82" i="6"/>
  <c r="H80" i="9" l="1"/>
  <c r="I80" i="9" s="1"/>
  <c r="L1032" i="9"/>
  <c r="L109" i="9"/>
  <c r="L464" i="9"/>
  <c r="L535" i="9"/>
  <c r="L180" i="9"/>
  <c r="L322" i="9"/>
  <c r="L677" i="9"/>
  <c r="L251" i="9"/>
  <c r="L961" i="9"/>
  <c r="L819" i="9"/>
  <c r="L393" i="9"/>
  <c r="L1103" i="9"/>
  <c r="L890" i="9"/>
  <c r="L748" i="9"/>
  <c r="L606" i="9"/>
  <c r="L1245" i="9"/>
  <c r="L1174" i="9"/>
  <c r="F1246" i="9"/>
  <c r="F252" i="9"/>
  <c r="F394" i="9"/>
  <c r="F891" i="9"/>
  <c r="F749" i="9"/>
  <c r="F323" i="9"/>
  <c r="F465" i="9"/>
  <c r="F1033" i="9"/>
  <c r="F181" i="9"/>
  <c r="F607" i="9"/>
  <c r="F1175" i="9"/>
  <c r="F1104" i="9"/>
  <c r="F962" i="9"/>
  <c r="F820" i="9"/>
  <c r="F536" i="9"/>
  <c r="F678" i="9"/>
  <c r="AF109" i="9"/>
  <c r="AB109" i="9"/>
  <c r="P109" i="9"/>
  <c r="P181" i="9" s="1"/>
  <c r="P253" i="9" s="1"/>
  <c r="P325" i="9" s="1"/>
  <c r="P397" i="9" s="1"/>
  <c r="P469" i="9" s="1"/>
  <c r="P541" i="9" s="1"/>
  <c r="P613" i="9" s="1"/>
  <c r="P685" i="9" s="1"/>
  <c r="P757" i="9" s="1"/>
  <c r="P829" i="9" s="1"/>
  <c r="P901" i="9" s="1"/>
  <c r="P973" i="9" s="1"/>
  <c r="P1045" i="9" s="1"/>
  <c r="P1117" i="9" s="1"/>
  <c r="P1189" i="9" s="1"/>
  <c r="P1261" i="9" s="1"/>
  <c r="O181" i="9"/>
  <c r="O253" i="9" s="1"/>
  <c r="O325" i="9" s="1"/>
  <c r="O397" i="9" s="1"/>
  <c r="O469" i="9" s="1"/>
  <c r="O541" i="9" s="1"/>
  <c r="O613" i="9" s="1"/>
  <c r="O685" i="9" s="1"/>
  <c r="O757" i="9" s="1"/>
  <c r="O829" i="9" s="1"/>
  <c r="O901" i="9" s="1"/>
  <c r="O973" i="9" s="1"/>
  <c r="O1045" i="9" s="1"/>
  <c r="O1117" i="9" s="1"/>
  <c r="O1189" i="9" s="1"/>
  <c r="O1261" i="9" s="1"/>
  <c r="Q108" i="9"/>
  <c r="Q180" i="9" s="1"/>
  <c r="Q252" i="9" s="1"/>
  <c r="Q324" i="9" s="1"/>
  <c r="Q396" i="9" s="1"/>
  <c r="Q468" i="9" s="1"/>
  <c r="Q540" i="9" s="1"/>
  <c r="Q612" i="9" s="1"/>
  <c r="Q684" i="9" s="1"/>
  <c r="Q756" i="9" s="1"/>
  <c r="Q828" i="9" s="1"/>
  <c r="Q900" i="9" s="1"/>
  <c r="Q972" i="9" s="1"/>
  <c r="Q1044" i="9" s="1"/>
  <c r="Q1116" i="9" s="1"/>
  <c r="Q1188" i="9" s="1"/>
  <c r="Q1260" i="9" s="1"/>
  <c r="P108" i="9"/>
  <c r="P180" i="9" s="1"/>
  <c r="P252" i="9" s="1"/>
  <c r="P324" i="9" s="1"/>
  <c r="P396" i="9" s="1"/>
  <c r="P468" i="9" s="1"/>
  <c r="P540" i="9" s="1"/>
  <c r="P612" i="9" s="1"/>
  <c r="P684" i="9" s="1"/>
  <c r="P756" i="9" s="1"/>
  <c r="P828" i="9" s="1"/>
  <c r="P900" i="9" s="1"/>
  <c r="P972" i="9" s="1"/>
  <c r="P1044" i="9" s="1"/>
  <c r="P1116" i="9" s="1"/>
  <c r="P1188" i="9" s="1"/>
  <c r="P1260" i="9" s="1"/>
  <c r="O180" i="9"/>
  <c r="O252" i="9" s="1"/>
  <c r="O324" i="9" s="1"/>
  <c r="O396" i="9" s="1"/>
  <c r="O468" i="9" s="1"/>
  <c r="O540" i="9" s="1"/>
  <c r="O612" i="9" s="1"/>
  <c r="O684" i="9" s="1"/>
  <c r="O756" i="9" s="1"/>
  <c r="O828" i="9" s="1"/>
  <c r="O900" i="9" s="1"/>
  <c r="O972" i="9" s="1"/>
  <c r="O1044" i="9" s="1"/>
  <c r="O1116" i="9" s="1"/>
  <c r="O1188" i="9" s="1"/>
  <c r="O1260" i="9" s="1"/>
  <c r="N110" i="9"/>
  <c r="N182" i="9" s="1"/>
  <c r="N254" i="9" s="1"/>
  <c r="N326" i="9" s="1"/>
  <c r="N398" i="9" s="1"/>
  <c r="N470" i="9" s="1"/>
  <c r="N542" i="9" s="1"/>
  <c r="N614" i="9" s="1"/>
  <c r="N686" i="9" s="1"/>
  <c r="N758" i="9" s="1"/>
  <c r="N830" i="9" s="1"/>
  <c r="N902" i="9" s="1"/>
  <c r="N974" i="9" s="1"/>
  <c r="N1046" i="9" s="1"/>
  <c r="N1118" i="9" s="1"/>
  <c r="N1190" i="9" s="1"/>
  <c r="N1262" i="9" s="1"/>
  <c r="F110" i="9"/>
  <c r="O110" i="9"/>
  <c r="AF394" i="9"/>
  <c r="AB394" i="9"/>
  <c r="AB606" i="9"/>
  <c r="AF606" i="9"/>
  <c r="S393" i="9"/>
  <c r="V393" i="9"/>
  <c r="S464" i="9"/>
  <c r="V464" i="9"/>
  <c r="AF463" i="9"/>
  <c r="AF1104" i="9"/>
  <c r="AB1104" i="9"/>
  <c r="S109" i="9"/>
  <c r="V109" i="9"/>
  <c r="AF677" i="9"/>
  <c r="AB677" i="9"/>
  <c r="D112" i="9"/>
  <c r="C111" i="9"/>
  <c r="S890" i="9"/>
  <c r="V890" i="9"/>
  <c r="AF251" i="9"/>
  <c r="AB251" i="9"/>
  <c r="AF1174" i="9"/>
  <c r="AB1174" i="9"/>
  <c r="AB1175" i="9"/>
  <c r="AF1175" i="9"/>
  <c r="S677" i="9"/>
  <c r="V677" i="9"/>
  <c r="S1174" i="9"/>
  <c r="V1174" i="9"/>
  <c r="AF536" i="9"/>
  <c r="AB536" i="9"/>
  <c r="AB962" i="9"/>
  <c r="AF962" i="9"/>
  <c r="V535" i="9"/>
  <c r="S1245" i="9"/>
  <c r="V1245" i="9"/>
  <c r="V1103" i="9"/>
  <c r="S1103" i="9"/>
  <c r="S606" i="9"/>
  <c r="V606" i="9"/>
  <c r="S961" i="9"/>
  <c r="V961" i="9"/>
  <c r="V180" i="9"/>
  <c r="S1032" i="9"/>
  <c r="V1032" i="9"/>
  <c r="AF748" i="9"/>
  <c r="AB748" i="9"/>
  <c r="G81" i="9"/>
  <c r="J81" i="9" s="1"/>
  <c r="AB1033" i="9"/>
  <c r="AF1033" i="9"/>
  <c r="S322" i="9"/>
  <c r="V322" i="9"/>
  <c r="V748" i="9"/>
  <c r="S748" i="9"/>
  <c r="AF819" i="9"/>
  <c r="AB819" i="9"/>
  <c r="S819" i="9"/>
  <c r="V819" i="9"/>
  <c r="AB1245" i="9"/>
  <c r="AF1245" i="9"/>
  <c r="AF465" i="9"/>
  <c r="AB465" i="9"/>
  <c r="S251" i="9"/>
  <c r="V251" i="9"/>
  <c r="S391" i="9"/>
  <c r="M69" i="6"/>
  <c r="K70" i="6"/>
  <c r="L70" i="6" s="1"/>
  <c r="J80" i="6"/>
  <c r="H81" i="6"/>
  <c r="I81" i="6" s="1"/>
  <c r="J81" i="6"/>
  <c r="G81" i="6"/>
  <c r="J201" i="6"/>
  <c r="B202" i="6"/>
  <c r="B82" i="6"/>
  <c r="C83" i="6"/>
  <c r="K190" i="6"/>
  <c r="L189" i="6"/>
  <c r="M189" i="6" s="1"/>
  <c r="H81" i="9" l="1"/>
  <c r="I81" i="9" s="1"/>
  <c r="L465" i="9"/>
  <c r="L607" i="9"/>
  <c r="L323" i="9"/>
  <c r="L1175" i="9"/>
  <c r="L1033" i="9"/>
  <c r="L749" i="9"/>
  <c r="L181" i="9"/>
  <c r="L678" i="9"/>
  <c r="L891" i="9"/>
  <c r="L536" i="9"/>
  <c r="L394" i="9"/>
  <c r="L110" i="9"/>
  <c r="L820" i="9"/>
  <c r="L252" i="9"/>
  <c r="L962" i="9"/>
  <c r="L1246" i="9"/>
  <c r="L1104" i="9"/>
  <c r="F395" i="9"/>
  <c r="F821" i="9"/>
  <c r="F1247" i="9"/>
  <c r="F182" i="9"/>
  <c r="F750" i="9"/>
  <c r="F679" i="9"/>
  <c r="F963" i="9"/>
  <c r="F608" i="9"/>
  <c r="F253" i="9"/>
  <c r="F466" i="9"/>
  <c r="F1176" i="9"/>
  <c r="F892" i="9"/>
  <c r="F1105" i="9"/>
  <c r="F324" i="9"/>
  <c r="F1034" i="9"/>
  <c r="F537" i="9"/>
  <c r="AB181" i="9"/>
  <c r="AF181" i="9"/>
  <c r="S108" i="9"/>
  <c r="N111" i="9"/>
  <c r="N183" i="9" s="1"/>
  <c r="N255" i="9" s="1"/>
  <c r="N327" i="9" s="1"/>
  <c r="N399" i="9" s="1"/>
  <c r="N471" i="9" s="1"/>
  <c r="N543" i="9" s="1"/>
  <c r="N615" i="9" s="1"/>
  <c r="N687" i="9" s="1"/>
  <c r="N759" i="9" s="1"/>
  <c r="N831" i="9" s="1"/>
  <c r="N903" i="9" s="1"/>
  <c r="N975" i="9" s="1"/>
  <c r="N1047" i="9" s="1"/>
  <c r="N1119" i="9" s="1"/>
  <c r="N1191" i="9" s="1"/>
  <c r="N1263" i="9" s="1"/>
  <c r="F111" i="9"/>
  <c r="Q110" i="9"/>
  <c r="Q182" i="9" s="1"/>
  <c r="Q254" i="9" s="1"/>
  <c r="Q326" i="9" s="1"/>
  <c r="Q398" i="9" s="1"/>
  <c r="Q470" i="9" s="1"/>
  <c r="Q542" i="9" s="1"/>
  <c r="Q614" i="9" s="1"/>
  <c r="Q686" i="9" s="1"/>
  <c r="Q758" i="9" s="1"/>
  <c r="Q830" i="9" s="1"/>
  <c r="Q902" i="9" s="1"/>
  <c r="Q974" i="9" s="1"/>
  <c r="Q1046" i="9" s="1"/>
  <c r="Q1118" i="9" s="1"/>
  <c r="Q1190" i="9" s="1"/>
  <c r="Q1262" i="9" s="1"/>
  <c r="P110" i="9"/>
  <c r="P182" i="9" s="1"/>
  <c r="P254" i="9" s="1"/>
  <c r="P326" i="9" s="1"/>
  <c r="P398" i="9" s="1"/>
  <c r="P470" i="9" s="1"/>
  <c r="P542" i="9" s="1"/>
  <c r="P614" i="9" s="1"/>
  <c r="P686" i="9" s="1"/>
  <c r="P758" i="9" s="1"/>
  <c r="P830" i="9" s="1"/>
  <c r="P902" i="9" s="1"/>
  <c r="P974" i="9" s="1"/>
  <c r="P1046" i="9" s="1"/>
  <c r="P1118" i="9" s="1"/>
  <c r="P1190" i="9" s="1"/>
  <c r="P1262" i="9" s="1"/>
  <c r="O182" i="9"/>
  <c r="O254" i="9" s="1"/>
  <c r="O326" i="9" s="1"/>
  <c r="O398" i="9" s="1"/>
  <c r="O470" i="9" s="1"/>
  <c r="O542" i="9" s="1"/>
  <c r="O614" i="9" s="1"/>
  <c r="O686" i="9" s="1"/>
  <c r="O758" i="9" s="1"/>
  <c r="O830" i="9" s="1"/>
  <c r="O902" i="9" s="1"/>
  <c r="O974" i="9" s="1"/>
  <c r="O1046" i="9" s="1"/>
  <c r="O1118" i="9" s="1"/>
  <c r="O1190" i="9" s="1"/>
  <c r="O1262" i="9" s="1"/>
  <c r="M111" i="9"/>
  <c r="M183" i="9" s="1"/>
  <c r="M255" i="9" s="1"/>
  <c r="M327" i="9" s="1"/>
  <c r="M399" i="9" s="1"/>
  <c r="M471" i="9" s="1"/>
  <c r="M543" i="9" s="1"/>
  <c r="M615" i="9" s="1"/>
  <c r="M687" i="9" s="1"/>
  <c r="M759" i="9" s="1"/>
  <c r="M831" i="9" s="1"/>
  <c r="M903" i="9" s="1"/>
  <c r="M975" i="9" s="1"/>
  <c r="M1047" i="9" s="1"/>
  <c r="M1119" i="9" s="1"/>
  <c r="M1191" i="9" s="1"/>
  <c r="M1263" i="9" s="1"/>
  <c r="AF108" i="9"/>
  <c r="AE108" i="9" s="1"/>
  <c r="AE109" i="9" s="1"/>
  <c r="O111" i="9"/>
  <c r="S180" i="9"/>
  <c r="S535" i="9"/>
  <c r="AF110" i="9"/>
  <c r="AB110" i="9"/>
  <c r="S678" i="9"/>
  <c r="V678" i="9"/>
  <c r="S110" i="9"/>
  <c r="V110" i="9"/>
  <c r="AF608" i="9"/>
  <c r="AB608" i="9"/>
  <c r="AF1247" i="9"/>
  <c r="AB1247" i="9"/>
  <c r="AF323" i="9"/>
  <c r="AB323" i="9"/>
  <c r="S607" i="9"/>
  <c r="AF535" i="9"/>
  <c r="AB535" i="9"/>
  <c r="S536" i="9"/>
  <c r="V536" i="9"/>
  <c r="AF466" i="9"/>
  <c r="AB466" i="9"/>
  <c r="G82" i="9"/>
  <c r="J82" i="9" s="1"/>
  <c r="AB108" i="9"/>
  <c r="S1175" i="9"/>
  <c r="V1175" i="9"/>
  <c r="AF1034" i="9"/>
  <c r="AB1034" i="9"/>
  <c r="S749" i="9"/>
  <c r="V749" i="9"/>
  <c r="AB463" i="9"/>
  <c r="S465" i="9"/>
  <c r="V465" i="9"/>
  <c r="AB678" i="9"/>
  <c r="AF678" i="9"/>
  <c r="AB537" i="9"/>
  <c r="AF537" i="9"/>
  <c r="AB820" i="9"/>
  <c r="AF820" i="9"/>
  <c r="V394" i="9"/>
  <c r="S394" i="9"/>
  <c r="V252" i="9"/>
  <c r="V607" i="9"/>
  <c r="D113" i="9"/>
  <c r="C112" i="9"/>
  <c r="AF253" i="9"/>
  <c r="AB253" i="9"/>
  <c r="S181" i="9"/>
  <c r="V181" i="9"/>
  <c r="S323" i="9"/>
  <c r="V323" i="9"/>
  <c r="V891" i="9"/>
  <c r="S891" i="9"/>
  <c r="AB891" i="9"/>
  <c r="AF891" i="9"/>
  <c r="S820" i="9"/>
  <c r="V820" i="9"/>
  <c r="AB1105" i="9"/>
  <c r="AF1105" i="9"/>
  <c r="S1104" i="9"/>
  <c r="V1104" i="9"/>
  <c r="S252" i="9"/>
  <c r="AF180" i="9"/>
  <c r="AB180" i="9"/>
  <c r="S1033" i="9"/>
  <c r="V1033" i="9"/>
  <c r="S1246" i="9"/>
  <c r="V1246" i="9"/>
  <c r="AB1246" i="9"/>
  <c r="AF1246" i="9"/>
  <c r="V962" i="9"/>
  <c r="S962" i="9"/>
  <c r="S463" i="9"/>
  <c r="AF749" i="9"/>
  <c r="AB749" i="9"/>
  <c r="AF1176" i="9"/>
  <c r="AB1176" i="9"/>
  <c r="K71" i="6"/>
  <c r="K72" i="6" s="1"/>
  <c r="M70" i="6"/>
  <c r="H82" i="6"/>
  <c r="I82" i="6" s="1"/>
  <c r="K191" i="6"/>
  <c r="L190" i="6"/>
  <c r="M190" i="6" s="1"/>
  <c r="C84" i="6"/>
  <c r="B83" i="6"/>
  <c r="G82" i="6"/>
  <c r="J202" i="6"/>
  <c r="B203" i="6"/>
  <c r="H82" i="9" l="1"/>
  <c r="I82" i="9" s="1"/>
  <c r="L608" i="9"/>
  <c r="L963" i="9"/>
  <c r="L466" i="9"/>
  <c r="L679" i="9"/>
  <c r="L750" i="9"/>
  <c r="L111" i="9"/>
  <c r="L537" i="9"/>
  <c r="L182" i="9"/>
  <c r="L1034" i="9"/>
  <c r="L1247" i="9"/>
  <c r="L324" i="9"/>
  <c r="L821" i="9"/>
  <c r="L1105" i="9"/>
  <c r="L395" i="9"/>
  <c r="L253" i="9"/>
  <c r="L892" i="9"/>
  <c r="L1176" i="9"/>
  <c r="F964" i="9"/>
  <c r="F751" i="9"/>
  <c r="F1248" i="9"/>
  <c r="F822" i="9"/>
  <c r="F538" i="9"/>
  <c r="F1106" i="9"/>
  <c r="F325" i="9"/>
  <c r="F609" i="9"/>
  <c r="F254" i="9"/>
  <c r="F893" i="9"/>
  <c r="F396" i="9"/>
  <c r="F680" i="9"/>
  <c r="F183" i="9"/>
  <c r="F1177" i="9"/>
  <c r="F1035" i="9"/>
  <c r="F467" i="9"/>
  <c r="AE110" i="9"/>
  <c r="N112" i="9"/>
  <c r="N184" i="9" s="1"/>
  <c r="N256" i="9" s="1"/>
  <c r="N328" i="9" s="1"/>
  <c r="N400" i="9" s="1"/>
  <c r="N472" i="9" s="1"/>
  <c r="N544" i="9" s="1"/>
  <c r="N616" i="9" s="1"/>
  <c r="N688" i="9" s="1"/>
  <c r="N760" i="9" s="1"/>
  <c r="N832" i="9" s="1"/>
  <c r="N904" i="9" s="1"/>
  <c r="N976" i="9" s="1"/>
  <c r="N1048" i="9" s="1"/>
  <c r="N1120" i="9" s="1"/>
  <c r="N1192" i="9" s="1"/>
  <c r="N1264" i="9" s="1"/>
  <c r="F112" i="9"/>
  <c r="M112" i="9"/>
  <c r="M184" i="9" s="1"/>
  <c r="M256" i="9" s="1"/>
  <c r="M328" i="9" s="1"/>
  <c r="M400" i="9" s="1"/>
  <c r="M472" i="9" s="1"/>
  <c r="M544" i="9" s="1"/>
  <c r="M616" i="9" s="1"/>
  <c r="M688" i="9" s="1"/>
  <c r="M760" i="9" s="1"/>
  <c r="M832" i="9" s="1"/>
  <c r="M904" i="9" s="1"/>
  <c r="M976" i="9" s="1"/>
  <c r="M1048" i="9" s="1"/>
  <c r="M1120" i="9" s="1"/>
  <c r="M1192" i="9" s="1"/>
  <c r="M1264" i="9" s="1"/>
  <c r="O112" i="9"/>
  <c r="Q111" i="9"/>
  <c r="Q183" i="9" s="1"/>
  <c r="Q255" i="9" s="1"/>
  <c r="Q327" i="9" s="1"/>
  <c r="Q399" i="9" s="1"/>
  <c r="Q471" i="9" s="1"/>
  <c r="Q543" i="9" s="1"/>
  <c r="Q615" i="9" s="1"/>
  <c r="Q687" i="9" s="1"/>
  <c r="Q759" i="9" s="1"/>
  <c r="Q831" i="9" s="1"/>
  <c r="Q903" i="9" s="1"/>
  <c r="Q975" i="9" s="1"/>
  <c r="Q1047" i="9" s="1"/>
  <c r="Q1119" i="9" s="1"/>
  <c r="Q1191" i="9" s="1"/>
  <c r="Q1263" i="9" s="1"/>
  <c r="P111" i="9"/>
  <c r="P183" i="9" s="1"/>
  <c r="P255" i="9" s="1"/>
  <c r="P327" i="9" s="1"/>
  <c r="P399" i="9" s="1"/>
  <c r="P471" i="9" s="1"/>
  <c r="P543" i="9" s="1"/>
  <c r="P615" i="9" s="1"/>
  <c r="P687" i="9" s="1"/>
  <c r="P759" i="9" s="1"/>
  <c r="P831" i="9" s="1"/>
  <c r="P903" i="9" s="1"/>
  <c r="P975" i="9" s="1"/>
  <c r="P1047" i="9" s="1"/>
  <c r="P1119" i="9" s="1"/>
  <c r="P1191" i="9" s="1"/>
  <c r="P1263" i="9" s="1"/>
  <c r="O183" i="9"/>
  <c r="O255" i="9" s="1"/>
  <c r="O327" i="9" s="1"/>
  <c r="O399" i="9" s="1"/>
  <c r="O471" i="9" s="1"/>
  <c r="O543" i="9" s="1"/>
  <c r="O615" i="9" s="1"/>
  <c r="O687" i="9" s="1"/>
  <c r="O759" i="9" s="1"/>
  <c r="O831" i="9" s="1"/>
  <c r="O903" i="9" s="1"/>
  <c r="O975" i="9" s="1"/>
  <c r="O1047" i="9" s="1"/>
  <c r="O1119" i="9" s="1"/>
  <c r="O1191" i="9" s="1"/>
  <c r="O1263" i="9" s="1"/>
  <c r="AF821" i="9"/>
  <c r="AB821" i="9"/>
  <c r="S253" i="9"/>
  <c r="V253" i="9"/>
  <c r="AF1177" i="9"/>
  <c r="AB1177" i="9"/>
  <c r="AF325" i="9"/>
  <c r="AB325" i="9"/>
  <c r="V324" i="9"/>
  <c r="AF750" i="9"/>
  <c r="AB750" i="9"/>
  <c r="S821" i="9"/>
  <c r="V821" i="9"/>
  <c r="AF538" i="9"/>
  <c r="AB538" i="9"/>
  <c r="AF680" i="9"/>
  <c r="AB680" i="9"/>
  <c r="AF182" i="9"/>
  <c r="AB182" i="9"/>
  <c r="S1034" i="9"/>
  <c r="V1034" i="9"/>
  <c r="S892" i="9"/>
  <c r="V892" i="9"/>
  <c r="V466" i="9"/>
  <c r="S466" i="9"/>
  <c r="AF892" i="9"/>
  <c r="AB892" i="9"/>
  <c r="AF1106" i="9"/>
  <c r="AB1106" i="9"/>
  <c r="V608" i="9"/>
  <c r="S608" i="9"/>
  <c r="V111" i="9"/>
  <c r="S111" i="9"/>
  <c r="S182" i="9"/>
  <c r="V182" i="9"/>
  <c r="AF1248" i="9"/>
  <c r="AB1248" i="9"/>
  <c r="S395" i="9"/>
  <c r="V395" i="9"/>
  <c r="S1176" i="9"/>
  <c r="V1176" i="9"/>
  <c r="S963" i="9"/>
  <c r="V963" i="9"/>
  <c r="C113" i="9"/>
  <c r="O113" i="9" s="1"/>
  <c r="D114" i="9"/>
  <c r="AF111" i="9"/>
  <c r="AB111" i="9"/>
  <c r="G83" i="9"/>
  <c r="J83" i="9" s="1"/>
  <c r="AF395" i="9"/>
  <c r="AB395" i="9"/>
  <c r="S1105" i="9"/>
  <c r="V1105" i="9"/>
  <c r="AF252" i="9"/>
  <c r="AB252" i="9"/>
  <c r="AF963" i="9"/>
  <c r="AB963" i="9"/>
  <c r="V679" i="9"/>
  <c r="AF609" i="9"/>
  <c r="AB609" i="9"/>
  <c r="S537" i="9"/>
  <c r="V537" i="9"/>
  <c r="V1247" i="9"/>
  <c r="S1247" i="9"/>
  <c r="S679" i="9"/>
  <c r="AF607" i="9"/>
  <c r="AB607" i="9"/>
  <c r="V750" i="9"/>
  <c r="S750" i="9"/>
  <c r="J203" i="6"/>
  <c r="L71" i="6"/>
  <c r="M71" i="6" s="1"/>
  <c r="J82" i="6"/>
  <c r="H83" i="6"/>
  <c r="I83" i="6" s="1"/>
  <c r="K73" i="6"/>
  <c r="L72" i="6"/>
  <c r="M72" i="6" s="1"/>
  <c r="B204" i="6"/>
  <c r="G83" i="6"/>
  <c r="C85" i="6"/>
  <c r="B84" i="6"/>
  <c r="K192" i="6"/>
  <c r="L191" i="6"/>
  <c r="M191" i="6" s="1"/>
  <c r="H83" i="9" l="1"/>
  <c r="I83" i="9" s="1"/>
  <c r="L254" i="9"/>
  <c r="L325" i="9"/>
  <c r="L1106" i="9"/>
  <c r="L538" i="9"/>
  <c r="L467" i="9"/>
  <c r="L822" i="9"/>
  <c r="L1035" i="9"/>
  <c r="L1248" i="9"/>
  <c r="L112" i="9"/>
  <c r="L609" i="9"/>
  <c r="L1177" i="9"/>
  <c r="L751" i="9"/>
  <c r="L893" i="9"/>
  <c r="L183" i="9"/>
  <c r="L964" i="9"/>
  <c r="L396" i="9"/>
  <c r="L680" i="9"/>
  <c r="F1107" i="9"/>
  <c r="F752" i="9"/>
  <c r="F1178" i="9"/>
  <c r="F468" i="9"/>
  <c r="F539" i="9"/>
  <c r="F965" i="9"/>
  <c r="F894" i="9"/>
  <c r="F610" i="9"/>
  <c r="F326" i="9"/>
  <c r="F1249" i="9"/>
  <c r="F681" i="9"/>
  <c r="F823" i="9"/>
  <c r="F184" i="9"/>
  <c r="F255" i="9"/>
  <c r="F397" i="9"/>
  <c r="F1036" i="9"/>
  <c r="AE111" i="9"/>
  <c r="Q113" i="9"/>
  <c r="Q185" i="9" s="1"/>
  <c r="Q257" i="9" s="1"/>
  <c r="Q329" i="9" s="1"/>
  <c r="Q401" i="9" s="1"/>
  <c r="Q473" i="9" s="1"/>
  <c r="Q545" i="9" s="1"/>
  <c r="Q617" i="9" s="1"/>
  <c r="Q689" i="9" s="1"/>
  <c r="Q761" i="9" s="1"/>
  <c r="Q833" i="9" s="1"/>
  <c r="Q905" i="9" s="1"/>
  <c r="Q977" i="9" s="1"/>
  <c r="Q1049" i="9" s="1"/>
  <c r="Q1121" i="9" s="1"/>
  <c r="Q1193" i="9" s="1"/>
  <c r="Q1265" i="9" s="1"/>
  <c r="P113" i="9"/>
  <c r="P185" i="9" s="1"/>
  <c r="P257" i="9" s="1"/>
  <c r="P329" i="9" s="1"/>
  <c r="P401" i="9" s="1"/>
  <c r="P473" i="9" s="1"/>
  <c r="P545" i="9" s="1"/>
  <c r="P617" i="9" s="1"/>
  <c r="P689" i="9" s="1"/>
  <c r="P761" i="9" s="1"/>
  <c r="P833" i="9" s="1"/>
  <c r="P905" i="9" s="1"/>
  <c r="P977" i="9" s="1"/>
  <c r="P1049" i="9" s="1"/>
  <c r="P1121" i="9" s="1"/>
  <c r="P1193" i="9" s="1"/>
  <c r="P1265" i="9" s="1"/>
  <c r="O185" i="9"/>
  <c r="O257" i="9" s="1"/>
  <c r="O329" i="9" s="1"/>
  <c r="O401" i="9" s="1"/>
  <c r="O473" i="9" s="1"/>
  <c r="O545" i="9" s="1"/>
  <c r="O617" i="9" s="1"/>
  <c r="O689" i="9" s="1"/>
  <c r="O761" i="9" s="1"/>
  <c r="O833" i="9" s="1"/>
  <c r="O905" i="9" s="1"/>
  <c r="O977" i="9" s="1"/>
  <c r="O1049" i="9" s="1"/>
  <c r="O1121" i="9" s="1"/>
  <c r="O1193" i="9" s="1"/>
  <c r="O1265" i="9" s="1"/>
  <c r="Q112" i="9"/>
  <c r="Q184" i="9" s="1"/>
  <c r="Q256" i="9" s="1"/>
  <c r="Q328" i="9" s="1"/>
  <c r="Q400" i="9" s="1"/>
  <c r="Q472" i="9" s="1"/>
  <c r="Q544" i="9" s="1"/>
  <c r="Q616" i="9" s="1"/>
  <c r="Q688" i="9" s="1"/>
  <c r="Q760" i="9" s="1"/>
  <c r="Q832" i="9" s="1"/>
  <c r="Q904" i="9" s="1"/>
  <c r="Q976" i="9" s="1"/>
  <c r="Q1048" i="9" s="1"/>
  <c r="Q1120" i="9" s="1"/>
  <c r="Q1192" i="9" s="1"/>
  <c r="Q1264" i="9" s="1"/>
  <c r="P112" i="9"/>
  <c r="P184" i="9" s="1"/>
  <c r="P256" i="9" s="1"/>
  <c r="P328" i="9" s="1"/>
  <c r="P400" i="9" s="1"/>
  <c r="P472" i="9" s="1"/>
  <c r="P544" i="9" s="1"/>
  <c r="P616" i="9" s="1"/>
  <c r="P688" i="9" s="1"/>
  <c r="P760" i="9" s="1"/>
  <c r="P832" i="9" s="1"/>
  <c r="P904" i="9" s="1"/>
  <c r="P976" i="9" s="1"/>
  <c r="P1048" i="9" s="1"/>
  <c r="P1120" i="9" s="1"/>
  <c r="P1192" i="9" s="1"/>
  <c r="P1264" i="9" s="1"/>
  <c r="O184" i="9"/>
  <c r="O256" i="9" s="1"/>
  <c r="O328" i="9" s="1"/>
  <c r="O400" i="9" s="1"/>
  <c r="O472" i="9" s="1"/>
  <c r="O544" i="9" s="1"/>
  <c r="O616" i="9" s="1"/>
  <c r="O688" i="9" s="1"/>
  <c r="O760" i="9" s="1"/>
  <c r="O832" i="9" s="1"/>
  <c r="O904" i="9" s="1"/>
  <c r="O976" i="9" s="1"/>
  <c r="O1048" i="9" s="1"/>
  <c r="O1120" i="9" s="1"/>
  <c r="O1192" i="9" s="1"/>
  <c r="O1264" i="9" s="1"/>
  <c r="M113" i="9"/>
  <c r="M185" i="9" s="1"/>
  <c r="M257" i="9" s="1"/>
  <c r="M329" i="9" s="1"/>
  <c r="M401" i="9" s="1"/>
  <c r="M473" i="9" s="1"/>
  <c r="M545" i="9" s="1"/>
  <c r="M617" i="9" s="1"/>
  <c r="M689" i="9" s="1"/>
  <c r="M761" i="9" s="1"/>
  <c r="M833" i="9" s="1"/>
  <c r="M905" i="9" s="1"/>
  <c r="M977" i="9" s="1"/>
  <c r="M1049" i="9" s="1"/>
  <c r="M1121" i="9" s="1"/>
  <c r="M1193" i="9" s="1"/>
  <c r="M1265" i="9" s="1"/>
  <c r="N113" i="9"/>
  <c r="N185" i="9" s="1"/>
  <c r="N257" i="9" s="1"/>
  <c r="N329" i="9" s="1"/>
  <c r="N401" i="9" s="1"/>
  <c r="N473" i="9" s="1"/>
  <c r="N545" i="9" s="1"/>
  <c r="N617" i="9" s="1"/>
  <c r="N689" i="9" s="1"/>
  <c r="N761" i="9" s="1"/>
  <c r="N833" i="9" s="1"/>
  <c r="N905" i="9" s="1"/>
  <c r="N977" i="9" s="1"/>
  <c r="N1049" i="9" s="1"/>
  <c r="N1121" i="9" s="1"/>
  <c r="N1193" i="9" s="1"/>
  <c r="N1265" i="9" s="1"/>
  <c r="F113" i="9"/>
  <c r="AB113" i="9"/>
  <c r="AF113" i="9"/>
  <c r="V964" i="9"/>
  <c r="S964" i="9"/>
  <c r="AF822" i="9"/>
  <c r="AB822" i="9"/>
  <c r="V396" i="9"/>
  <c r="AF397" i="9"/>
  <c r="AB397" i="9"/>
  <c r="V751" i="9"/>
  <c r="AF324" i="9"/>
  <c r="AB324" i="9"/>
  <c r="G84" i="9"/>
  <c r="J84" i="9" s="1"/>
  <c r="V680" i="9"/>
  <c r="S680" i="9"/>
  <c r="AF1178" i="9"/>
  <c r="AB1178" i="9"/>
  <c r="AB752" i="9"/>
  <c r="AF752" i="9"/>
  <c r="V1177" i="9"/>
  <c r="S1177" i="9"/>
  <c r="AF183" i="9"/>
  <c r="AB183" i="9"/>
  <c r="V183" i="9"/>
  <c r="S183" i="9"/>
  <c r="AB964" i="9"/>
  <c r="AF964" i="9"/>
  <c r="S112" i="9"/>
  <c r="V112" i="9"/>
  <c r="AB254" i="9"/>
  <c r="AF254" i="9"/>
  <c r="S325" i="9"/>
  <c r="V325" i="9"/>
  <c r="AB893" i="9"/>
  <c r="AF893" i="9"/>
  <c r="AF681" i="9"/>
  <c r="AB681" i="9"/>
  <c r="AF1035" i="9"/>
  <c r="AB1035" i="9"/>
  <c r="V1035" i="9"/>
  <c r="S1035" i="9"/>
  <c r="AF112" i="9"/>
  <c r="AB112" i="9"/>
  <c r="S254" i="9"/>
  <c r="V254" i="9"/>
  <c r="S538" i="9"/>
  <c r="V538" i="9"/>
  <c r="AB610" i="9"/>
  <c r="AF610" i="9"/>
  <c r="V822" i="9"/>
  <c r="S822" i="9"/>
  <c r="AF679" i="9"/>
  <c r="AB679" i="9"/>
  <c r="S609" i="9"/>
  <c r="V609" i="9"/>
  <c r="AF467" i="9"/>
  <c r="AB467" i="9"/>
  <c r="C114" i="9"/>
  <c r="D115" i="9"/>
  <c r="V1248" i="9"/>
  <c r="S1248" i="9"/>
  <c r="S467" i="9"/>
  <c r="V467" i="9"/>
  <c r="S1106" i="9"/>
  <c r="V1106" i="9"/>
  <c r="S893" i="9"/>
  <c r="V893" i="9"/>
  <c r="S324" i="9"/>
  <c r="AB1249" i="9"/>
  <c r="AF1249" i="9"/>
  <c r="J83" i="6"/>
  <c r="H84" i="6"/>
  <c r="I84" i="6" s="1"/>
  <c r="B85" i="6"/>
  <c r="C86" i="6"/>
  <c r="J204" i="6"/>
  <c r="B205" i="6"/>
  <c r="K193" i="6"/>
  <c r="L192" i="6"/>
  <c r="M192" i="6" s="1"/>
  <c r="G84" i="6"/>
  <c r="K74" i="6"/>
  <c r="L73" i="6"/>
  <c r="M73" i="6" s="1"/>
  <c r="H84" i="9" l="1"/>
  <c r="I84" i="9" s="1"/>
  <c r="L326" i="9"/>
  <c r="L965" i="9"/>
  <c r="L894" i="9"/>
  <c r="L539" i="9"/>
  <c r="L1036" i="9"/>
  <c r="L468" i="9"/>
  <c r="L113" i="9"/>
  <c r="L397" i="9"/>
  <c r="L1178" i="9"/>
  <c r="L1249" i="9"/>
  <c r="L255" i="9"/>
  <c r="L752" i="9"/>
  <c r="L184" i="9"/>
  <c r="L1107" i="9"/>
  <c r="L610" i="9"/>
  <c r="L823" i="9"/>
  <c r="L681" i="9"/>
  <c r="F895" i="9"/>
  <c r="F1037" i="9"/>
  <c r="F753" i="9"/>
  <c r="F185" i="9"/>
  <c r="F1108" i="9"/>
  <c r="F540" i="9"/>
  <c r="F469" i="9"/>
  <c r="F398" i="9"/>
  <c r="F1250" i="9"/>
  <c r="F682" i="9"/>
  <c r="F824" i="9"/>
  <c r="F611" i="9"/>
  <c r="F327" i="9"/>
  <c r="F256" i="9"/>
  <c r="F966" i="9"/>
  <c r="F1179" i="9"/>
  <c r="AE112" i="9"/>
  <c r="AE113" i="9" s="1"/>
  <c r="N114" i="9"/>
  <c r="N186" i="9" s="1"/>
  <c r="N258" i="9" s="1"/>
  <c r="N330" i="9" s="1"/>
  <c r="N402" i="9" s="1"/>
  <c r="N474" i="9" s="1"/>
  <c r="N546" i="9" s="1"/>
  <c r="N618" i="9" s="1"/>
  <c r="N690" i="9" s="1"/>
  <c r="N762" i="9" s="1"/>
  <c r="N834" i="9" s="1"/>
  <c r="N906" i="9" s="1"/>
  <c r="N978" i="9" s="1"/>
  <c r="N1050" i="9" s="1"/>
  <c r="N1122" i="9" s="1"/>
  <c r="N1194" i="9" s="1"/>
  <c r="N1266" i="9" s="1"/>
  <c r="F114" i="9"/>
  <c r="M114" i="9"/>
  <c r="M186" i="9" s="1"/>
  <c r="M258" i="9" s="1"/>
  <c r="M330" i="9" s="1"/>
  <c r="M402" i="9" s="1"/>
  <c r="M474" i="9" s="1"/>
  <c r="M546" i="9" s="1"/>
  <c r="M618" i="9" s="1"/>
  <c r="M690" i="9" s="1"/>
  <c r="M762" i="9" s="1"/>
  <c r="M834" i="9" s="1"/>
  <c r="M906" i="9" s="1"/>
  <c r="M978" i="9" s="1"/>
  <c r="M1050" i="9" s="1"/>
  <c r="M1122" i="9" s="1"/>
  <c r="M1194" i="9" s="1"/>
  <c r="M1266" i="9" s="1"/>
  <c r="O114" i="9"/>
  <c r="AB114" i="9" s="1"/>
  <c r="AF753" i="9"/>
  <c r="AB753" i="9"/>
  <c r="AB326" i="9"/>
  <c r="AF326" i="9"/>
  <c r="S184" i="9"/>
  <c r="V184" i="9"/>
  <c r="S1249" i="9"/>
  <c r="V1249" i="9"/>
  <c r="S752" i="9"/>
  <c r="V752" i="9"/>
  <c r="V823" i="9"/>
  <c r="AF894" i="9"/>
  <c r="AB894" i="9"/>
  <c r="S965" i="9"/>
  <c r="V965" i="9"/>
  <c r="V539" i="9"/>
  <c r="S539" i="9"/>
  <c r="S894" i="9"/>
  <c r="V894" i="9"/>
  <c r="AF1107" i="9"/>
  <c r="AB1107" i="9"/>
  <c r="AF255" i="9"/>
  <c r="AB255" i="9"/>
  <c r="AB824" i="9"/>
  <c r="AF824" i="9"/>
  <c r="AF1250" i="9"/>
  <c r="AB1250" i="9"/>
  <c r="AB396" i="9"/>
  <c r="AF396" i="9"/>
  <c r="S396" i="9"/>
  <c r="S1178" i="9"/>
  <c r="V1178" i="9"/>
  <c r="D116" i="9"/>
  <c r="C115" i="9"/>
  <c r="S681" i="9"/>
  <c r="V681" i="9"/>
  <c r="S326" i="9"/>
  <c r="V326" i="9"/>
  <c r="AF751" i="9"/>
  <c r="AB751" i="9"/>
  <c r="V1107" i="9"/>
  <c r="S1107" i="9"/>
  <c r="S397" i="9"/>
  <c r="V397" i="9"/>
  <c r="S255" i="9"/>
  <c r="V255" i="9"/>
  <c r="G85" i="9"/>
  <c r="J85" i="9" s="1"/>
  <c r="AF469" i="9"/>
  <c r="AB469" i="9"/>
  <c r="AB185" i="9"/>
  <c r="AF185" i="9"/>
  <c r="AF539" i="9"/>
  <c r="AB539" i="9"/>
  <c r="AB682" i="9"/>
  <c r="AF682" i="9"/>
  <c r="S610" i="9"/>
  <c r="V610" i="9"/>
  <c r="AF184" i="9"/>
  <c r="AB184" i="9"/>
  <c r="S113" i="9"/>
  <c r="V113" i="9"/>
  <c r="AF965" i="9"/>
  <c r="AB965" i="9"/>
  <c r="AF1036" i="9"/>
  <c r="AB1036" i="9"/>
  <c r="S751" i="9"/>
  <c r="S468" i="9"/>
  <c r="V468" i="9"/>
  <c r="S1036" i="9"/>
  <c r="V1036" i="9"/>
  <c r="J84" i="6"/>
  <c r="J85" i="6"/>
  <c r="B86" i="6"/>
  <c r="C87" i="6"/>
  <c r="H85" i="6"/>
  <c r="I85" i="6" s="1"/>
  <c r="G85" i="6"/>
  <c r="K75" i="6"/>
  <c r="L74" i="6"/>
  <c r="M74" i="6" s="1"/>
  <c r="K194" i="6"/>
  <c r="L193" i="6"/>
  <c r="M193" i="6" s="1"/>
  <c r="J205" i="6"/>
  <c r="B206" i="6"/>
  <c r="H85" i="9" l="1"/>
  <c r="I85" i="9" s="1"/>
  <c r="L824" i="9"/>
  <c r="L398" i="9"/>
  <c r="L469" i="9"/>
  <c r="L682" i="9"/>
  <c r="L540" i="9"/>
  <c r="L1108" i="9"/>
  <c r="L1250" i="9"/>
  <c r="L1179" i="9"/>
  <c r="L185" i="9"/>
  <c r="L966" i="9"/>
  <c r="L753" i="9"/>
  <c r="L256" i="9"/>
  <c r="L1037" i="9"/>
  <c r="L114" i="9"/>
  <c r="L327" i="9"/>
  <c r="L895" i="9"/>
  <c r="L611" i="9"/>
  <c r="F683" i="9"/>
  <c r="F612" i="9"/>
  <c r="F896" i="9"/>
  <c r="F1180" i="9"/>
  <c r="F1251" i="9"/>
  <c r="F754" i="9"/>
  <c r="F257" i="9"/>
  <c r="F1038" i="9"/>
  <c r="F825" i="9"/>
  <c r="F328" i="9"/>
  <c r="F470" i="9"/>
  <c r="F1109" i="9"/>
  <c r="F186" i="9"/>
  <c r="F399" i="9"/>
  <c r="F541" i="9"/>
  <c r="F967" i="9"/>
  <c r="AF114" i="9"/>
  <c r="AE114" i="9" s="1"/>
  <c r="Q114" i="9"/>
  <c r="Q186" i="9" s="1"/>
  <c r="Q258" i="9" s="1"/>
  <c r="Q330" i="9" s="1"/>
  <c r="Q402" i="9" s="1"/>
  <c r="Q474" i="9" s="1"/>
  <c r="Q546" i="9" s="1"/>
  <c r="Q618" i="9" s="1"/>
  <c r="Q690" i="9" s="1"/>
  <c r="Q762" i="9" s="1"/>
  <c r="Q834" i="9" s="1"/>
  <c r="Q906" i="9" s="1"/>
  <c r="Q978" i="9" s="1"/>
  <c r="Q1050" i="9" s="1"/>
  <c r="Q1122" i="9" s="1"/>
  <c r="Q1194" i="9" s="1"/>
  <c r="Q1266" i="9" s="1"/>
  <c r="P114" i="9"/>
  <c r="P186" i="9" s="1"/>
  <c r="P258" i="9" s="1"/>
  <c r="P330" i="9" s="1"/>
  <c r="P402" i="9" s="1"/>
  <c r="P474" i="9" s="1"/>
  <c r="P546" i="9" s="1"/>
  <c r="P618" i="9" s="1"/>
  <c r="P690" i="9" s="1"/>
  <c r="P762" i="9" s="1"/>
  <c r="P834" i="9" s="1"/>
  <c r="P906" i="9" s="1"/>
  <c r="P978" i="9" s="1"/>
  <c r="P1050" i="9" s="1"/>
  <c r="P1122" i="9" s="1"/>
  <c r="P1194" i="9" s="1"/>
  <c r="P1266" i="9" s="1"/>
  <c r="O186" i="9"/>
  <c r="O258" i="9" s="1"/>
  <c r="O330" i="9" s="1"/>
  <c r="O402" i="9" s="1"/>
  <c r="O474" i="9" s="1"/>
  <c r="O546" i="9" s="1"/>
  <c r="O618" i="9" s="1"/>
  <c r="O690" i="9" s="1"/>
  <c r="O762" i="9" s="1"/>
  <c r="O834" i="9" s="1"/>
  <c r="O906" i="9" s="1"/>
  <c r="O978" i="9" s="1"/>
  <c r="O1050" i="9" s="1"/>
  <c r="O1122" i="9" s="1"/>
  <c r="O1194" i="9" s="1"/>
  <c r="O1266" i="9" s="1"/>
  <c r="N115" i="9"/>
  <c r="N187" i="9" s="1"/>
  <c r="N259" i="9" s="1"/>
  <c r="N331" i="9" s="1"/>
  <c r="N403" i="9" s="1"/>
  <c r="N475" i="9" s="1"/>
  <c r="N547" i="9" s="1"/>
  <c r="N619" i="9" s="1"/>
  <c r="N691" i="9" s="1"/>
  <c r="N763" i="9" s="1"/>
  <c r="N835" i="9" s="1"/>
  <c r="N907" i="9" s="1"/>
  <c r="N979" i="9" s="1"/>
  <c r="N1051" i="9" s="1"/>
  <c r="N1123" i="9" s="1"/>
  <c r="N1195" i="9" s="1"/>
  <c r="N1267" i="9" s="1"/>
  <c r="F115" i="9"/>
  <c r="M115" i="9"/>
  <c r="M187" i="9" s="1"/>
  <c r="M259" i="9" s="1"/>
  <c r="M331" i="9" s="1"/>
  <c r="M403" i="9" s="1"/>
  <c r="M475" i="9" s="1"/>
  <c r="M547" i="9" s="1"/>
  <c r="M619" i="9" s="1"/>
  <c r="M691" i="9" s="1"/>
  <c r="M763" i="9" s="1"/>
  <c r="M835" i="9" s="1"/>
  <c r="M907" i="9" s="1"/>
  <c r="M979" i="9" s="1"/>
  <c r="M1051" i="9" s="1"/>
  <c r="M1123" i="9" s="1"/>
  <c r="M1195" i="9" s="1"/>
  <c r="M1267" i="9" s="1"/>
  <c r="O115" i="9"/>
  <c r="AB115" i="9" s="1"/>
  <c r="S327" i="9"/>
  <c r="V327" i="9"/>
  <c r="S1250" i="9"/>
  <c r="V1250" i="9"/>
  <c r="AF327" i="9"/>
  <c r="AB327" i="9"/>
  <c r="V966" i="9"/>
  <c r="S966" i="9"/>
  <c r="S114" i="9"/>
  <c r="V114" i="9"/>
  <c r="AB966" i="9"/>
  <c r="AF966" i="9"/>
  <c r="S824" i="9"/>
  <c r="V824" i="9"/>
  <c r="S1108" i="9"/>
  <c r="V1108" i="9"/>
  <c r="S682" i="9"/>
  <c r="V682" i="9"/>
  <c r="AB541" i="9"/>
  <c r="AF541" i="9"/>
  <c r="S895" i="9"/>
  <c r="AF823" i="9"/>
  <c r="AB823" i="9"/>
  <c r="D117" i="9"/>
  <c r="C116" i="9"/>
  <c r="O116" i="9" s="1"/>
  <c r="AB896" i="9"/>
  <c r="AF896" i="9"/>
  <c r="S1037" i="9"/>
  <c r="V1037" i="9"/>
  <c r="AF398" i="9"/>
  <c r="AB398" i="9"/>
  <c r="AF825" i="9"/>
  <c r="AB825" i="9"/>
  <c r="V540" i="9"/>
  <c r="AF256" i="9"/>
  <c r="AB256" i="9"/>
  <c r="S1179" i="9"/>
  <c r="V1179" i="9"/>
  <c r="AB1037" i="9"/>
  <c r="AF1037" i="9"/>
  <c r="AF754" i="9"/>
  <c r="AB754" i="9"/>
  <c r="AF257" i="9"/>
  <c r="AB257" i="9"/>
  <c r="S753" i="9"/>
  <c r="V753" i="9"/>
  <c r="S611" i="9"/>
  <c r="V611" i="9"/>
  <c r="S823" i="9"/>
  <c r="AF1108" i="9"/>
  <c r="AB1108" i="9"/>
  <c r="S185" i="9"/>
  <c r="V185" i="9"/>
  <c r="AF611" i="9"/>
  <c r="AB611" i="9"/>
  <c r="G86" i="9"/>
  <c r="J86" i="9" s="1"/>
  <c r="S469" i="9"/>
  <c r="V469" i="9"/>
  <c r="V398" i="9"/>
  <c r="S398" i="9"/>
  <c r="AB468" i="9"/>
  <c r="S540" i="9"/>
  <c r="AF468" i="9"/>
  <c r="AB1179" i="9"/>
  <c r="AF1179" i="9"/>
  <c r="V895" i="9"/>
  <c r="V256" i="9"/>
  <c r="S256" i="9"/>
  <c r="J206" i="6"/>
  <c r="B207" i="6"/>
  <c r="G86" i="6"/>
  <c r="K76" i="6"/>
  <c r="L75" i="6"/>
  <c r="M75" i="6" s="1"/>
  <c r="K195" i="6"/>
  <c r="L194" i="6"/>
  <c r="M194" i="6" s="1"/>
  <c r="C88" i="6"/>
  <c r="B87" i="6"/>
  <c r="H86" i="6"/>
  <c r="I86" i="6" s="1"/>
  <c r="H86" i="9" l="1"/>
  <c r="I86" i="9" s="1"/>
  <c r="L754" i="9"/>
  <c r="L1251" i="9"/>
  <c r="L967" i="9"/>
  <c r="L1180" i="9"/>
  <c r="L825" i="9"/>
  <c r="L257" i="9"/>
  <c r="L541" i="9"/>
  <c r="L896" i="9"/>
  <c r="L1038" i="9"/>
  <c r="L399" i="9"/>
  <c r="L612" i="9"/>
  <c r="L186" i="9"/>
  <c r="L683" i="9"/>
  <c r="L328" i="9"/>
  <c r="L1109" i="9"/>
  <c r="L115" i="9"/>
  <c r="L470" i="9"/>
  <c r="F1181" i="9"/>
  <c r="F826" i="9"/>
  <c r="F1039" i="9"/>
  <c r="F400" i="9"/>
  <c r="F1252" i="9"/>
  <c r="F542" i="9"/>
  <c r="F613" i="9"/>
  <c r="F897" i="9"/>
  <c r="F968" i="9"/>
  <c r="F471" i="9"/>
  <c r="F187" i="9"/>
  <c r="F1110" i="9"/>
  <c r="F684" i="9"/>
  <c r="F258" i="9"/>
  <c r="F329" i="9"/>
  <c r="F755" i="9"/>
  <c r="AB186" i="9"/>
  <c r="AF186" i="9"/>
  <c r="AF115" i="9"/>
  <c r="AE115" i="9" s="1"/>
  <c r="N116" i="9"/>
  <c r="N188" i="9" s="1"/>
  <c r="N260" i="9" s="1"/>
  <c r="N332" i="9" s="1"/>
  <c r="N404" i="9" s="1"/>
  <c r="N476" i="9" s="1"/>
  <c r="N548" i="9" s="1"/>
  <c r="N620" i="9" s="1"/>
  <c r="N692" i="9" s="1"/>
  <c r="N764" i="9" s="1"/>
  <c r="N836" i="9" s="1"/>
  <c r="N908" i="9" s="1"/>
  <c r="N980" i="9" s="1"/>
  <c r="N1052" i="9" s="1"/>
  <c r="N1124" i="9" s="1"/>
  <c r="N1196" i="9" s="1"/>
  <c r="N1268" i="9" s="1"/>
  <c r="F116" i="9"/>
  <c r="M116" i="9"/>
  <c r="M188" i="9" s="1"/>
  <c r="M260" i="9" s="1"/>
  <c r="M332" i="9" s="1"/>
  <c r="M404" i="9" s="1"/>
  <c r="M476" i="9" s="1"/>
  <c r="M548" i="9" s="1"/>
  <c r="M620" i="9" s="1"/>
  <c r="M692" i="9" s="1"/>
  <c r="M764" i="9" s="1"/>
  <c r="M836" i="9" s="1"/>
  <c r="M908" i="9" s="1"/>
  <c r="M980" i="9" s="1"/>
  <c r="M1052" i="9" s="1"/>
  <c r="M1124" i="9" s="1"/>
  <c r="M1196" i="9" s="1"/>
  <c r="M1268" i="9" s="1"/>
  <c r="Q116" i="9"/>
  <c r="Q188" i="9" s="1"/>
  <c r="Q260" i="9" s="1"/>
  <c r="Q332" i="9" s="1"/>
  <c r="Q404" i="9" s="1"/>
  <c r="Q476" i="9" s="1"/>
  <c r="Q548" i="9" s="1"/>
  <c r="Q620" i="9" s="1"/>
  <c r="Q692" i="9" s="1"/>
  <c r="Q764" i="9" s="1"/>
  <c r="Q836" i="9" s="1"/>
  <c r="Q908" i="9" s="1"/>
  <c r="Q980" i="9" s="1"/>
  <c r="Q1052" i="9" s="1"/>
  <c r="Q1124" i="9" s="1"/>
  <c r="Q1196" i="9" s="1"/>
  <c r="Q1268" i="9" s="1"/>
  <c r="P116" i="9"/>
  <c r="P188" i="9" s="1"/>
  <c r="P260" i="9" s="1"/>
  <c r="P332" i="9" s="1"/>
  <c r="P404" i="9" s="1"/>
  <c r="P476" i="9" s="1"/>
  <c r="P548" i="9" s="1"/>
  <c r="P620" i="9" s="1"/>
  <c r="P692" i="9" s="1"/>
  <c r="P764" i="9" s="1"/>
  <c r="P836" i="9" s="1"/>
  <c r="P908" i="9" s="1"/>
  <c r="P980" i="9" s="1"/>
  <c r="P1052" i="9" s="1"/>
  <c r="P1124" i="9" s="1"/>
  <c r="P1196" i="9" s="1"/>
  <c r="P1268" i="9" s="1"/>
  <c r="O188" i="9"/>
  <c r="O260" i="9" s="1"/>
  <c r="O332" i="9" s="1"/>
  <c r="O404" i="9" s="1"/>
  <c r="O476" i="9" s="1"/>
  <c r="O548" i="9" s="1"/>
  <c r="O620" i="9" s="1"/>
  <c r="O692" i="9" s="1"/>
  <c r="O764" i="9" s="1"/>
  <c r="O836" i="9" s="1"/>
  <c r="O908" i="9" s="1"/>
  <c r="O980" i="9" s="1"/>
  <c r="O1052" i="9" s="1"/>
  <c r="O1124" i="9" s="1"/>
  <c r="O1196" i="9" s="1"/>
  <c r="O1268" i="9" s="1"/>
  <c r="Q115" i="9"/>
  <c r="Q187" i="9" s="1"/>
  <c r="Q259" i="9" s="1"/>
  <c r="Q331" i="9" s="1"/>
  <c r="Q403" i="9" s="1"/>
  <c r="Q475" i="9" s="1"/>
  <c r="Q547" i="9" s="1"/>
  <c r="Q619" i="9" s="1"/>
  <c r="Q691" i="9" s="1"/>
  <c r="Q763" i="9" s="1"/>
  <c r="Q835" i="9" s="1"/>
  <c r="Q907" i="9" s="1"/>
  <c r="Q979" i="9" s="1"/>
  <c r="Q1051" i="9" s="1"/>
  <c r="Q1123" i="9" s="1"/>
  <c r="Q1195" i="9" s="1"/>
  <c r="Q1267" i="9" s="1"/>
  <c r="P115" i="9"/>
  <c r="P187" i="9" s="1"/>
  <c r="P259" i="9" s="1"/>
  <c r="P331" i="9" s="1"/>
  <c r="P403" i="9" s="1"/>
  <c r="P475" i="9" s="1"/>
  <c r="P547" i="9" s="1"/>
  <c r="P619" i="9" s="1"/>
  <c r="P691" i="9" s="1"/>
  <c r="P763" i="9" s="1"/>
  <c r="P835" i="9" s="1"/>
  <c r="P907" i="9" s="1"/>
  <c r="P979" i="9" s="1"/>
  <c r="P1051" i="9" s="1"/>
  <c r="P1123" i="9" s="1"/>
  <c r="P1195" i="9" s="1"/>
  <c r="P1267" i="9" s="1"/>
  <c r="O187" i="9"/>
  <c r="O259" i="9" s="1"/>
  <c r="O331" i="9" s="1"/>
  <c r="O403" i="9" s="1"/>
  <c r="O475" i="9" s="1"/>
  <c r="O547" i="9" s="1"/>
  <c r="O619" i="9" s="1"/>
  <c r="O691" i="9" s="1"/>
  <c r="O763" i="9" s="1"/>
  <c r="O835" i="9" s="1"/>
  <c r="O907" i="9" s="1"/>
  <c r="O979" i="9" s="1"/>
  <c r="O1051" i="9" s="1"/>
  <c r="O1123" i="9" s="1"/>
  <c r="O1195" i="9" s="1"/>
  <c r="O1267" i="9" s="1"/>
  <c r="V115" i="9"/>
  <c r="S115" i="9"/>
  <c r="AF1180" i="9"/>
  <c r="AB1180" i="9"/>
  <c r="S1180" i="9"/>
  <c r="V1180" i="9"/>
  <c r="V399" i="9"/>
  <c r="S399" i="9"/>
  <c r="V470" i="9"/>
  <c r="S470" i="9"/>
  <c r="S257" i="9"/>
  <c r="V257" i="9"/>
  <c r="S683" i="9"/>
  <c r="V683" i="9"/>
  <c r="AF329" i="9"/>
  <c r="AB329" i="9"/>
  <c r="AB1109" i="9"/>
  <c r="AF1109" i="9"/>
  <c r="V612" i="9"/>
  <c r="AB968" i="9"/>
  <c r="AF968" i="9"/>
  <c r="V754" i="9"/>
  <c r="S754" i="9"/>
  <c r="AF1038" i="9"/>
  <c r="AB1038" i="9"/>
  <c r="AF1251" i="9"/>
  <c r="AB1251" i="9"/>
  <c r="AB258" i="9"/>
  <c r="AF258" i="9"/>
  <c r="AF328" i="9"/>
  <c r="AB328" i="9"/>
  <c r="AB897" i="9"/>
  <c r="AF897" i="9"/>
  <c r="C117" i="9"/>
  <c r="D118" i="9"/>
  <c r="V328" i="9"/>
  <c r="S328" i="9"/>
  <c r="V967" i="9"/>
  <c r="S612" i="9"/>
  <c r="AF540" i="9"/>
  <c r="AB540" i="9"/>
  <c r="AF683" i="9"/>
  <c r="AB683" i="9"/>
  <c r="S825" i="9"/>
  <c r="V825" i="9"/>
  <c r="AF826" i="9"/>
  <c r="AB826" i="9"/>
  <c r="AF470" i="9"/>
  <c r="AB470" i="9"/>
  <c r="S1109" i="9"/>
  <c r="V1109" i="9"/>
  <c r="AF613" i="9"/>
  <c r="AB613" i="9"/>
  <c r="S896" i="9"/>
  <c r="V896" i="9"/>
  <c r="S186" i="9"/>
  <c r="V186" i="9"/>
  <c r="AF399" i="9"/>
  <c r="AB399" i="9"/>
  <c r="S541" i="9"/>
  <c r="V541" i="9"/>
  <c r="G87" i="9"/>
  <c r="V1251" i="9"/>
  <c r="S1251" i="9"/>
  <c r="AF116" i="9"/>
  <c r="AB116" i="9"/>
  <c r="S967" i="9"/>
  <c r="AF895" i="9"/>
  <c r="AB895" i="9"/>
  <c r="S1038" i="9"/>
  <c r="V1038" i="9"/>
  <c r="J86" i="6"/>
  <c r="H87" i="6"/>
  <c r="I87" i="6" s="1"/>
  <c r="C89" i="6"/>
  <c r="B88" i="6"/>
  <c r="K196" i="6"/>
  <c r="L195" i="6"/>
  <c r="M195" i="6" s="1"/>
  <c r="L76" i="6"/>
  <c r="M76" i="6" s="1"/>
  <c r="G87" i="6"/>
  <c r="J207" i="6"/>
  <c r="B208" i="6"/>
  <c r="J87" i="9" l="1"/>
  <c r="G88" i="9"/>
  <c r="H87" i="9"/>
  <c r="I87" i="9" s="1"/>
  <c r="L968" i="9"/>
  <c r="L897" i="9"/>
  <c r="L613" i="9"/>
  <c r="L542" i="9"/>
  <c r="L1252" i="9"/>
  <c r="L116" i="9"/>
  <c r="L187" i="9"/>
  <c r="L471" i="9"/>
  <c r="L755" i="9"/>
  <c r="L400" i="9"/>
  <c r="L329" i="9"/>
  <c r="L1039" i="9"/>
  <c r="L258" i="9"/>
  <c r="L826" i="9"/>
  <c r="L684" i="9"/>
  <c r="L1181" i="9"/>
  <c r="L1110" i="9"/>
  <c r="F259" i="9"/>
  <c r="F614" i="9"/>
  <c r="F827" i="9"/>
  <c r="F543" i="9"/>
  <c r="F472" i="9"/>
  <c r="F401" i="9"/>
  <c r="F1040" i="9"/>
  <c r="F1111" i="9"/>
  <c r="F1182" i="9"/>
  <c r="F188" i="9"/>
  <c r="F330" i="9"/>
  <c r="F969" i="9"/>
  <c r="F898" i="9"/>
  <c r="F756" i="9"/>
  <c r="F685" i="9"/>
  <c r="F1253" i="9"/>
  <c r="AB187" i="9"/>
  <c r="AF187" i="9"/>
  <c r="N117" i="9"/>
  <c r="N189" i="9" s="1"/>
  <c r="N261" i="9" s="1"/>
  <c r="N333" i="9" s="1"/>
  <c r="N405" i="9" s="1"/>
  <c r="N477" i="9" s="1"/>
  <c r="N549" i="9" s="1"/>
  <c r="N621" i="9" s="1"/>
  <c r="N693" i="9" s="1"/>
  <c r="N765" i="9" s="1"/>
  <c r="N837" i="9" s="1"/>
  <c r="N909" i="9" s="1"/>
  <c r="N981" i="9" s="1"/>
  <c r="N1053" i="9" s="1"/>
  <c r="N1125" i="9" s="1"/>
  <c r="N1197" i="9" s="1"/>
  <c r="N1269" i="9" s="1"/>
  <c r="F117" i="9"/>
  <c r="M117" i="9"/>
  <c r="M189" i="9" s="1"/>
  <c r="M261" i="9" s="1"/>
  <c r="M333" i="9" s="1"/>
  <c r="M405" i="9" s="1"/>
  <c r="M477" i="9" s="1"/>
  <c r="M549" i="9" s="1"/>
  <c r="M621" i="9" s="1"/>
  <c r="M693" i="9" s="1"/>
  <c r="M765" i="9" s="1"/>
  <c r="M837" i="9" s="1"/>
  <c r="M909" i="9" s="1"/>
  <c r="M981" i="9" s="1"/>
  <c r="M1053" i="9" s="1"/>
  <c r="M1125" i="9" s="1"/>
  <c r="M1197" i="9" s="1"/>
  <c r="M1269" i="9" s="1"/>
  <c r="O117" i="9"/>
  <c r="AE116" i="9"/>
  <c r="S1110" i="9"/>
  <c r="V1110" i="9"/>
  <c r="AF1040" i="9"/>
  <c r="AB1040" i="9"/>
  <c r="S755" i="9"/>
  <c r="V755" i="9"/>
  <c r="S471" i="9"/>
  <c r="V471" i="9"/>
  <c r="V187" i="9"/>
  <c r="S187" i="9"/>
  <c r="S258" i="9"/>
  <c r="V258" i="9"/>
  <c r="V1181" i="9"/>
  <c r="S1181" i="9"/>
  <c r="AF755" i="9"/>
  <c r="AB755" i="9"/>
  <c r="V1039" i="9"/>
  <c r="C118" i="9"/>
  <c r="D119" i="9"/>
  <c r="AB400" i="9"/>
  <c r="AF400" i="9"/>
  <c r="AB401" i="9"/>
  <c r="AF401" i="9"/>
  <c r="S542" i="9"/>
  <c r="V542" i="9"/>
  <c r="AF188" i="9"/>
  <c r="AB188" i="9"/>
  <c r="AF685" i="9"/>
  <c r="AB685" i="9"/>
  <c r="V826" i="9"/>
  <c r="S826" i="9"/>
  <c r="S897" i="9"/>
  <c r="V897" i="9"/>
  <c r="AF612" i="9"/>
  <c r="AB612" i="9"/>
  <c r="AF969" i="9"/>
  <c r="AB969" i="9"/>
  <c r="AF1110" i="9"/>
  <c r="AB1110" i="9"/>
  <c r="V684" i="9"/>
  <c r="S684" i="9"/>
  <c r="AF1181" i="9"/>
  <c r="AB1181" i="9"/>
  <c r="AF1252" i="9"/>
  <c r="AB1252" i="9"/>
  <c r="J88" i="9"/>
  <c r="AF471" i="9"/>
  <c r="AB471" i="9"/>
  <c r="AF542" i="9"/>
  <c r="AB542" i="9"/>
  <c r="AF967" i="9"/>
  <c r="AB967" i="9"/>
  <c r="S613" i="9"/>
  <c r="V613" i="9"/>
  <c r="V968" i="9"/>
  <c r="S968" i="9"/>
  <c r="S116" i="9"/>
  <c r="V116" i="9"/>
  <c r="AF898" i="9"/>
  <c r="AB898" i="9"/>
  <c r="S400" i="9"/>
  <c r="V400" i="9"/>
  <c r="AB330" i="9"/>
  <c r="AF330" i="9"/>
  <c r="AF259" i="9"/>
  <c r="AB259" i="9"/>
  <c r="S329" i="9"/>
  <c r="V329" i="9"/>
  <c r="S1252" i="9"/>
  <c r="V1252" i="9"/>
  <c r="J87" i="6"/>
  <c r="H88" i="6"/>
  <c r="I88" i="6" s="1"/>
  <c r="B209" i="6"/>
  <c r="J208" i="6"/>
  <c r="K197" i="6" s="1"/>
  <c r="L196" i="6"/>
  <c r="M196" i="6" s="1"/>
  <c r="B89" i="6"/>
  <c r="C90" i="6"/>
  <c r="G88" i="6"/>
  <c r="H88" i="9" l="1"/>
  <c r="I88" i="9" s="1"/>
  <c r="L1040" i="9"/>
  <c r="L1182" i="9"/>
  <c r="L401" i="9"/>
  <c r="L472" i="9"/>
  <c r="L1253" i="9"/>
  <c r="L543" i="9"/>
  <c r="L685" i="9"/>
  <c r="L827" i="9"/>
  <c r="L756" i="9"/>
  <c r="L614" i="9"/>
  <c r="L188" i="9"/>
  <c r="L898" i="9"/>
  <c r="L259" i="9"/>
  <c r="L969" i="9"/>
  <c r="L117" i="9"/>
  <c r="L1111" i="9"/>
  <c r="L330" i="9"/>
  <c r="F970" i="9"/>
  <c r="F1041" i="9"/>
  <c r="F473" i="9"/>
  <c r="F402" i="9"/>
  <c r="F544" i="9"/>
  <c r="F260" i="9"/>
  <c r="F615" i="9"/>
  <c r="F1112" i="9"/>
  <c r="F757" i="9"/>
  <c r="F1254" i="9"/>
  <c r="F899" i="9"/>
  <c r="F828" i="9"/>
  <c r="F1183" i="9"/>
  <c r="F686" i="9"/>
  <c r="F189" i="9"/>
  <c r="F331" i="9"/>
  <c r="N118" i="9"/>
  <c r="N190" i="9" s="1"/>
  <c r="N262" i="9" s="1"/>
  <c r="N334" i="9" s="1"/>
  <c r="N406" i="9" s="1"/>
  <c r="N478" i="9" s="1"/>
  <c r="N550" i="9" s="1"/>
  <c r="N622" i="9" s="1"/>
  <c r="N694" i="9" s="1"/>
  <c r="N766" i="9" s="1"/>
  <c r="N838" i="9" s="1"/>
  <c r="N910" i="9" s="1"/>
  <c r="N982" i="9" s="1"/>
  <c r="N1054" i="9" s="1"/>
  <c r="N1126" i="9" s="1"/>
  <c r="N1198" i="9" s="1"/>
  <c r="N1270" i="9" s="1"/>
  <c r="F118" i="9"/>
  <c r="M118" i="9"/>
  <c r="M190" i="9" s="1"/>
  <c r="M262" i="9" s="1"/>
  <c r="M334" i="9" s="1"/>
  <c r="M406" i="9" s="1"/>
  <c r="M478" i="9" s="1"/>
  <c r="M550" i="9" s="1"/>
  <c r="M622" i="9" s="1"/>
  <c r="M694" i="9" s="1"/>
  <c r="M766" i="9" s="1"/>
  <c r="M838" i="9" s="1"/>
  <c r="M910" i="9" s="1"/>
  <c r="M982" i="9" s="1"/>
  <c r="M1054" i="9" s="1"/>
  <c r="M1126" i="9" s="1"/>
  <c r="M1198" i="9" s="1"/>
  <c r="M1270" i="9" s="1"/>
  <c r="Q117" i="9"/>
  <c r="Q189" i="9" s="1"/>
  <c r="Q261" i="9" s="1"/>
  <c r="Q333" i="9" s="1"/>
  <c r="Q405" i="9" s="1"/>
  <c r="Q477" i="9" s="1"/>
  <c r="Q549" i="9" s="1"/>
  <c r="Q621" i="9" s="1"/>
  <c r="Q693" i="9" s="1"/>
  <c r="Q765" i="9" s="1"/>
  <c r="Q837" i="9" s="1"/>
  <c r="Q909" i="9" s="1"/>
  <c r="Q981" i="9" s="1"/>
  <c r="Q1053" i="9" s="1"/>
  <c r="Q1125" i="9" s="1"/>
  <c r="Q1197" i="9" s="1"/>
  <c r="Q1269" i="9" s="1"/>
  <c r="P117" i="9"/>
  <c r="P189" i="9" s="1"/>
  <c r="P261" i="9" s="1"/>
  <c r="P333" i="9" s="1"/>
  <c r="P405" i="9" s="1"/>
  <c r="P477" i="9" s="1"/>
  <c r="P549" i="9" s="1"/>
  <c r="P621" i="9" s="1"/>
  <c r="P693" i="9" s="1"/>
  <c r="P765" i="9" s="1"/>
  <c r="P837" i="9" s="1"/>
  <c r="P909" i="9" s="1"/>
  <c r="P981" i="9" s="1"/>
  <c r="P1053" i="9" s="1"/>
  <c r="P1125" i="9" s="1"/>
  <c r="P1197" i="9" s="1"/>
  <c r="P1269" i="9" s="1"/>
  <c r="O189" i="9"/>
  <c r="O261" i="9" s="1"/>
  <c r="O333" i="9" s="1"/>
  <c r="O405" i="9" s="1"/>
  <c r="O477" i="9" s="1"/>
  <c r="O549" i="9" s="1"/>
  <c r="O621" i="9" s="1"/>
  <c r="O693" i="9" s="1"/>
  <c r="O765" i="9" s="1"/>
  <c r="O837" i="9" s="1"/>
  <c r="O909" i="9" s="1"/>
  <c r="O981" i="9" s="1"/>
  <c r="O1053" i="9" s="1"/>
  <c r="O1125" i="9" s="1"/>
  <c r="O1197" i="9" s="1"/>
  <c r="O1269" i="9" s="1"/>
  <c r="O118" i="9"/>
  <c r="AF118" i="9" s="1"/>
  <c r="AF402" i="9"/>
  <c r="AB402" i="9"/>
  <c r="S472" i="9"/>
  <c r="V472" i="9"/>
  <c r="S1111" i="9"/>
  <c r="AF1039" i="9"/>
  <c r="AB1039" i="9"/>
  <c r="AF543" i="9"/>
  <c r="AB543" i="9"/>
  <c r="G89" i="9"/>
  <c r="AB1253" i="9"/>
  <c r="AF1253" i="9"/>
  <c r="AF260" i="9"/>
  <c r="AB260" i="9"/>
  <c r="S1039" i="9"/>
  <c r="S1253" i="9"/>
  <c r="V1253" i="9"/>
  <c r="S401" i="9"/>
  <c r="V401" i="9"/>
  <c r="S188" i="9"/>
  <c r="V188" i="9"/>
  <c r="V756" i="9"/>
  <c r="AB472" i="9"/>
  <c r="AF472" i="9"/>
  <c r="S685" i="9"/>
  <c r="V685" i="9"/>
  <c r="AB1041" i="9"/>
  <c r="AF1041" i="9"/>
  <c r="AF757" i="9"/>
  <c r="AB757" i="9"/>
  <c r="AF473" i="9"/>
  <c r="AB473" i="9"/>
  <c r="D120" i="9"/>
  <c r="C119" i="9"/>
  <c r="AB827" i="9"/>
  <c r="AF827" i="9"/>
  <c r="S330" i="9"/>
  <c r="V330" i="9"/>
  <c r="V543" i="9"/>
  <c r="S543" i="9"/>
  <c r="AB970" i="9"/>
  <c r="AF970" i="9"/>
  <c r="AB614" i="9"/>
  <c r="AF614" i="9"/>
  <c r="S969" i="9"/>
  <c r="V969" i="9"/>
  <c r="S1182" i="9"/>
  <c r="V1182" i="9"/>
  <c r="AF331" i="9"/>
  <c r="AB331" i="9"/>
  <c r="AB117" i="9"/>
  <c r="AF117" i="9"/>
  <c r="AE117" i="9" s="1"/>
  <c r="S1040" i="9"/>
  <c r="V1040" i="9"/>
  <c r="AF1182" i="9"/>
  <c r="AB1182" i="9"/>
  <c r="S117" i="9"/>
  <c r="V117" i="9"/>
  <c r="S756" i="9"/>
  <c r="AF684" i="9"/>
  <c r="AB684" i="9"/>
  <c r="V898" i="9"/>
  <c r="S898" i="9"/>
  <c r="S614" i="9"/>
  <c r="V614" i="9"/>
  <c r="V1111" i="9"/>
  <c r="S259" i="9"/>
  <c r="V259" i="9"/>
  <c r="S827" i="9"/>
  <c r="V827" i="9"/>
  <c r="AF1112" i="9"/>
  <c r="AB1112" i="9"/>
  <c r="J88" i="6"/>
  <c r="K77" i="6" s="1"/>
  <c r="J89" i="6"/>
  <c r="B90" i="6"/>
  <c r="C91" i="6"/>
  <c r="H89" i="6"/>
  <c r="I89" i="6" s="1"/>
  <c r="G89" i="6"/>
  <c r="K198" i="6"/>
  <c r="L197" i="6"/>
  <c r="M197" i="6" s="1"/>
  <c r="J209" i="6"/>
  <c r="B210" i="6"/>
  <c r="J89" i="9" l="1"/>
  <c r="H89" i="9"/>
  <c r="I89" i="9" s="1"/>
  <c r="L757" i="9"/>
  <c r="L899" i="9"/>
  <c r="L118" i="9"/>
  <c r="L1112" i="9"/>
  <c r="L615" i="9"/>
  <c r="L260" i="9"/>
  <c r="L544" i="9"/>
  <c r="L828" i="9"/>
  <c r="L1254" i="9"/>
  <c r="L331" i="9"/>
  <c r="L402" i="9"/>
  <c r="L189" i="9"/>
  <c r="L473" i="9"/>
  <c r="L686" i="9"/>
  <c r="L1041" i="9"/>
  <c r="L1183" i="9"/>
  <c r="L970" i="9"/>
  <c r="F190" i="9"/>
  <c r="F900" i="9"/>
  <c r="F332" i="9"/>
  <c r="F971" i="9"/>
  <c r="F616" i="9"/>
  <c r="F403" i="9"/>
  <c r="F474" i="9"/>
  <c r="F261" i="9"/>
  <c r="F829" i="9"/>
  <c r="F545" i="9"/>
  <c r="F758" i="9"/>
  <c r="F1184" i="9"/>
  <c r="F1113" i="9"/>
  <c r="F1255" i="9"/>
  <c r="F687" i="9"/>
  <c r="F1042" i="9"/>
  <c r="AB118" i="9"/>
  <c r="N119" i="9"/>
  <c r="N191" i="9" s="1"/>
  <c r="N263" i="9" s="1"/>
  <c r="N335" i="9" s="1"/>
  <c r="N407" i="9" s="1"/>
  <c r="N479" i="9" s="1"/>
  <c r="N551" i="9" s="1"/>
  <c r="N623" i="9" s="1"/>
  <c r="N695" i="9" s="1"/>
  <c r="N767" i="9" s="1"/>
  <c r="N839" i="9" s="1"/>
  <c r="N911" i="9" s="1"/>
  <c r="N983" i="9" s="1"/>
  <c r="N1055" i="9" s="1"/>
  <c r="N1127" i="9" s="1"/>
  <c r="N1199" i="9" s="1"/>
  <c r="N1271" i="9" s="1"/>
  <c r="F119" i="9"/>
  <c r="M119" i="9"/>
  <c r="M191" i="9" s="1"/>
  <c r="M263" i="9" s="1"/>
  <c r="M335" i="9" s="1"/>
  <c r="M407" i="9" s="1"/>
  <c r="M479" i="9" s="1"/>
  <c r="M551" i="9" s="1"/>
  <c r="M623" i="9" s="1"/>
  <c r="M695" i="9" s="1"/>
  <c r="M767" i="9" s="1"/>
  <c r="M839" i="9" s="1"/>
  <c r="M911" i="9" s="1"/>
  <c r="M983" i="9" s="1"/>
  <c r="M1055" i="9" s="1"/>
  <c r="M1127" i="9" s="1"/>
  <c r="M1199" i="9" s="1"/>
  <c r="M1271" i="9" s="1"/>
  <c r="Q118" i="9"/>
  <c r="Q190" i="9" s="1"/>
  <c r="Q262" i="9" s="1"/>
  <c r="Q334" i="9" s="1"/>
  <c r="Q406" i="9" s="1"/>
  <c r="Q478" i="9" s="1"/>
  <c r="Q550" i="9" s="1"/>
  <c r="Q622" i="9" s="1"/>
  <c r="Q694" i="9" s="1"/>
  <c r="Q766" i="9" s="1"/>
  <c r="Q838" i="9" s="1"/>
  <c r="Q910" i="9" s="1"/>
  <c r="Q982" i="9" s="1"/>
  <c r="Q1054" i="9" s="1"/>
  <c r="Q1126" i="9" s="1"/>
  <c r="Q1198" i="9" s="1"/>
  <c r="Q1270" i="9" s="1"/>
  <c r="P118" i="9"/>
  <c r="P190" i="9" s="1"/>
  <c r="P262" i="9" s="1"/>
  <c r="P334" i="9" s="1"/>
  <c r="P406" i="9" s="1"/>
  <c r="P478" i="9" s="1"/>
  <c r="P550" i="9" s="1"/>
  <c r="P622" i="9" s="1"/>
  <c r="P694" i="9" s="1"/>
  <c r="P766" i="9" s="1"/>
  <c r="P838" i="9" s="1"/>
  <c r="P910" i="9" s="1"/>
  <c r="P982" i="9" s="1"/>
  <c r="P1054" i="9" s="1"/>
  <c r="P1126" i="9" s="1"/>
  <c r="P1198" i="9" s="1"/>
  <c r="P1270" i="9" s="1"/>
  <c r="O190" i="9"/>
  <c r="O262" i="9" s="1"/>
  <c r="O334" i="9" s="1"/>
  <c r="O406" i="9" s="1"/>
  <c r="O478" i="9" s="1"/>
  <c r="O550" i="9" s="1"/>
  <c r="O622" i="9" s="1"/>
  <c r="O694" i="9" s="1"/>
  <c r="O766" i="9" s="1"/>
  <c r="O838" i="9" s="1"/>
  <c r="O910" i="9" s="1"/>
  <c r="O982" i="9" s="1"/>
  <c r="O1054" i="9" s="1"/>
  <c r="O1126" i="9" s="1"/>
  <c r="O1198" i="9" s="1"/>
  <c r="O1270" i="9" s="1"/>
  <c r="O119" i="9"/>
  <c r="AB119" i="9" s="1"/>
  <c r="AE118" i="9"/>
  <c r="AF615" i="9"/>
  <c r="AB615" i="9"/>
  <c r="S118" i="9"/>
  <c r="V118" i="9"/>
  <c r="S686" i="9"/>
  <c r="V686" i="9"/>
  <c r="S1041" i="9"/>
  <c r="V1041" i="9"/>
  <c r="V402" i="9"/>
  <c r="S402" i="9"/>
  <c r="AF829" i="9"/>
  <c r="AB829" i="9"/>
  <c r="AF544" i="9"/>
  <c r="AB544" i="9"/>
  <c r="V828" i="9"/>
  <c r="S473" i="9"/>
  <c r="V473" i="9"/>
  <c r="AF332" i="9"/>
  <c r="AB332" i="9"/>
  <c r="J90" i="9"/>
  <c r="AF1184" i="9"/>
  <c r="AB1184" i="9"/>
  <c r="V1183" i="9"/>
  <c r="V970" i="9"/>
  <c r="S970" i="9"/>
  <c r="AB756" i="9"/>
  <c r="AF756" i="9"/>
  <c r="AB189" i="9"/>
  <c r="AF189" i="9"/>
  <c r="S1254" i="9"/>
  <c r="V1254" i="9"/>
  <c r="S615" i="9"/>
  <c r="V615" i="9"/>
  <c r="AB545" i="9"/>
  <c r="AF545" i="9"/>
  <c r="S544" i="9"/>
  <c r="V544" i="9"/>
  <c r="AF1254" i="9"/>
  <c r="AB1254" i="9"/>
  <c r="AB1113" i="9"/>
  <c r="AF1113" i="9"/>
  <c r="V260" i="9"/>
  <c r="S260" i="9"/>
  <c r="V899" i="9"/>
  <c r="S899" i="9"/>
  <c r="S331" i="9"/>
  <c r="V331" i="9"/>
  <c r="S189" i="9"/>
  <c r="V189" i="9"/>
  <c r="S1112" i="9"/>
  <c r="V1112" i="9"/>
  <c r="AF403" i="9"/>
  <c r="AB403" i="9"/>
  <c r="AB686" i="9"/>
  <c r="AF686" i="9"/>
  <c r="AF1042" i="9"/>
  <c r="AB1042" i="9"/>
  <c r="AF899" i="9"/>
  <c r="AB899" i="9"/>
  <c r="D121" i="9"/>
  <c r="C120" i="9"/>
  <c r="O120" i="9" s="1"/>
  <c r="S757" i="9"/>
  <c r="V757" i="9"/>
  <c r="S1183" i="9"/>
  <c r="AF1111" i="9"/>
  <c r="AB1111" i="9"/>
  <c r="AF474" i="9"/>
  <c r="AB474" i="9"/>
  <c r="L77" i="6"/>
  <c r="M77" i="6" s="1"/>
  <c r="K78" i="6"/>
  <c r="L78" i="6" s="1"/>
  <c r="J210" i="6"/>
  <c r="J90" i="6"/>
  <c r="G90" i="6"/>
  <c r="B211" i="6"/>
  <c r="K199" i="6"/>
  <c r="L198" i="6"/>
  <c r="M198" i="6" s="1"/>
  <c r="C92" i="6"/>
  <c r="B91" i="6"/>
  <c r="H90" i="6"/>
  <c r="I90" i="6" s="1"/>
  <c r="H90" i="9" l="1"/>
  <c r="I90" i="9" s="1"/>
  <c r="L758" i="9"/>
  <c r="L474" i="9"/>
  <c r="L829" i="9"/>
  <c r="L403" i="9"/>
  <c r="L616" i="9"/>
  <c r="L1042" i="9"/>
  <c r="L971" i="9"/>
  <c r="L545" i="9"/>
  <c r="L687" i="9"/>
  <c r="L332" i="9"/>
  <c r="L1255" i="9"/>
  <c r="L900" i="9"/>
  <c r="L261" i="9"/>
  <c r="L1113" i="9"/>
  <c r="L190" i="9"/>
  <c r="L119" i="9"/>
  <c r="L1184" i="9"/>
  <c r="F262" i="9"/>
  <c r="F1256" i="9"/>
  <c r="F475" i="9"/>
  <c r="F830" i="9"/>
  <c r="F688" i="9"/>
  <c r="F1114" i="9"/>
  <c r="F1043" i="9"/>
  <c r="F1185" i="9"/>
  <c r="F546" i="9"/>
  <c r="F191" i="9"/>
  <c r="F617" i="9"/>
  <c r="F759" i="9"/>
  <c r="F901" i="9"/>
  <c r="F404" i="9"/>
  <c r="F333" i="9"/>
  <c r="F972" i="9"/>
  <c r="AF119" i="9"/>
  <c r="AE119" i="9" s="1"/>
  <c r="AB190" i="9"/>
  <c r="Q120" i="9"/>
  <c r="Q192" i="9" s="1"/>
  <c r="Q264" i="9" s="1"/>
  <c r="Q336" i="9" s="1"/>
  <c r="Q408" i="9" s="1"/>
  <c r="Q480" i="9" s="1"/>
  <c r="Q552" i="9" s="1"/>
  <c r="Q624" i="9" s="1"/>
  <c r="Q696" i="9" s="1"/>
  <c r="Q768" i="9" s="1"/>
  <c r="Q840" i="9" s="1"/>
  <c r="Q912" i="9" s="1"/>
  <c r="Q984" i="9" s="1"/>
  <c r="Q1056" i="9" s="1"/>
  <c r="Q1128" i="9" s="1"/>
  <c r="Q1200" i="9" s="1"/>
  <c r="Q1272" i="9" s="1"/>
  <c r="P120" i="9"/>
  <c r="P192" i="9" s="1"/>
  <c r="P264" i="9" s="1"/>
  <c r="P336" i="9" s="1"/>
  <c r="P408" i="9" s="1"/>
  <c r="P480" i="9" s="1"/>
  <c r="P552" i="9" s="1"/>
  <c r="P624" i="9" s="1"/>
  <c r="P696" i="9" s="1"/>
  <c r="P768" i="9" s="1"/>
  <c r="P840" i="9" s="1"/>
  <c r="P912" i="9" s="1"/>
  <c r="P984" i="9" s="1"/>
  <c r="P1056" i="9" s="1"/>
  <c r="P1128" i="9" s="1"/>
  <c r="P1200" i="9" s="1"/>
  <c r="P1272" i="9" s="1"/>
  <c r="O192" i="9"/>
  <c r="O264" i="9" s="1"/>
  <c r="O336" i="9" s="1"/>
  <c r="O408" i="9" s="1"/>
  <c r="O480" i="9" s="1"/>
  <c r="O552" i="9" s="1"/>
  <c r="O624" i="9" s="1"/>
  <c r="O696" i="9" s="1"/>
  <c r="O768" i="9" s="1"/>
  <c r="O840" i="9" s="1"/>
  <c r="O912" i="9" s="1"/>
  <c r="O984" i="9" s="1"/>
  <c r="O1056" i="9" s="1"/>
  <c r="O1128" i="9" s="1"/>
  <c r="O1200" i="9" s="1"/>
  <c r="O1272" i="9" s="1"/>
  <c r="M120" i="9"/>
  <c r="M192" i="9" s="1"/>
  <c r="M264" i="9" s="1"/>
  <c r="M336" i="9" s="1"/>
  <c r="M408" i="9" s="1"/>
  <c r="M480" i="9" s="1"/>
  <c r="M552" i="9" s="1"/>
  <c r="M624" i="9" s="1"/>
  <c r="M696" i="9" s="1"/>
  <c r="M768" i="9" s="1"/>
  <c r="M840" i="9" s="1"/>
  <c r="M912" i="9" s="1"/>
  <c r="M984" i="9" s="1"/>
  <c r="M1056" i="9" s="1"/>
  <c r="M1128" i="9" s="1"/>
  <c r="M1200" i="9" s="1"/>
  <c r="M1272" i="9" s="1"/>
  <c r="AF190" i="9"/>
  <c r="N120" i="9"/>
  <c r="N192" i="9" s="1"/>
  <c r="N264" i="9" s="1"/>
  <c r="N336" i="9" s="1"/>
  <c r="N408" i="9" s="1"/>
  <c r="N480" i="9" s="1"/>
  <c r="N552" i="9" s="1"/>
  <c r="N624" i="9" s="1"/>
  <c r="N696" i="9" s="1"/>
  <c r="N768" i="9" s="1"/>
  <c r="N840" i="9" s="1"/>
  <c r="N912" i="9" s="1"/>
  <c r="N984" i="9" s="1"/>
  <c r="N1056" i="9" s="1"/>
  <c r="N1128" i="9" s="1"/>
  <c r="N1200" i="9" s="1"/>
  <c r="N1272" i="9" s="1"/>
  <c r="F120" i="9"/>
  <c r="Q119" i="9"/>
  <c r="Q191" i="9" s="1"/>
  <c r="Q263" i="9" s="1"/>
  <c r="Q335" i="9" s="1"/>
  <c r="Q407" i="9" s="1"/>
  <c r="Q479" i="9" s="1"/>
  <c r="Q551" i="9" s="1"/>
  <c r="Q623" i="9" s="1"/>
  <c r="Q695" i="9" s="1"/>
  <c r="Q767" i="9" s="1"/>
  <c r="Q839" i="9" s="1"/>
  <c r="Q911" i="9" s="1"/>
  <c r="Q983" i="9" s="1"/>
  <c r="Q1055" i="9" s="1"/>
  <c r="Q1127" i="9" s="1"/>
  <c r="Q1199" i="9" s="1"/>
  <c r="Q1271" i="9" s="1"/>
  <c r="P119" i="9"/>
  <c r="P191" i="9" s="1"/>
  <c r="P263" i="9" s="1"/>
  <c r="P335" i="9" s="1"/>
  <c r="P407" i="9" s="1"/>
  <c r="P479" i="9" s="1"/>
  <c r="P551" i="9" s="1"/>
  <c r="P623" i="9" s="1"/>
  <c r="P695" i="9" s="1"/>
  <c r="P767" i="9" s="1"/>
  <c r="P839" i="9" s="1"/>
  <c r="P911" i="9" s="1"/>
  <c r="P983" i="9" s="1"/>
  <c r="P1055" i="9" s="1"/>
  <c r="P1127" i="9" s="1"/>
  <c r="P1199" i="9" s="1"/>
  <c r="P1271" i="9" s="1"/>
  <c r="O191" i="9"/>
  <c r="O263" i="9" s="1"/>
  <c r="O335" i="9" s="1"/>
  <c r="O407" i="9" s="1"/>
  <c r="O479" i="9" s="1"/>
  <c r="O551" i="9" s="1"/>
  <c r="O623" i="9" s="1"/>
  <c r="O695" i="9" s="1"/>
  <c r="O767" i="9" s="1"/>
  <c r="O839" i="9" s="1"/>
  <c r="O911" i="9" s="1"/>
  <c r="O983" i="9" s="1"/>
  <c r="O1055" i="9" s="1"/>
  <c r="O1127" i="9" s="1"/>
  <c r="O1199" i="9" s="1"/>
  <c r="O1271" i="9" s="1"/>
  <c r="J91" i="9"/>
  <c r="AF1114" i="9"/>
  <c r="AB1114" i="9"/>
  <c r="AF475" i="9"/>
  <c r="AB475" i="9"/>
  <c r="S261" i="9"/>
  <c r="V261" i="9"/>
  <c r="S971" i="9"/>
  <c r="V971" i="9"/>
  <c r="AF617" i="9"/>
  <c r="AB617" i="9"/>
  <c r="S900" i="9"/>
  <c r="AB828" i="9"/>
  <c r="AF828" i="9"/>
  <c r="AF1256" i="9"/>
  <c r="AB1256" i="9"/>
  <c r="S190" i="9"/>
  <c r="V190" i="9"/>
  <c r="AF546" i="9"/>
  <c r="AB546" i="9"/>
  <c r="AF971" i="9"/>
  <c r="AB971" i="9"/>
  <c r="S1184" i="9"/>
  <c r="V1184" i="9"/>
  <c r="S403" i="9"/>
  <c r="V403" i="9"/>
  <c r="V616" i="9"/>
  <c r="S616" i="9"/>
  <c r="AF261" i="9"/>
  <c r="AB261" i="9"/>
  <c r="V1255" i="9"/>
  <c r="AB404" i="9"/>
  <c r="AF404" i="9"/>
  <c r="AB901" i="9"/>
  <c r="AF901" i="9"/>
  <c r="AF687" i="9"/>
  <c r="AB687" i="9"/>
  <c r="C121" i="9"/>
  <c r="D122" i="9"/>
  <c r="V332" i="9"/>
  <c r="S332" i="9"/>
  <c r="AF1185" i="9"/>
  <c r="AB1185" i="9"/>
  <c r="AB262" i="9"/>
  <c r="AF262" i="9"/>
  <c r="S687" i="9"/>
  <c r="V687" i="9"/>
  <c r="G18" i="9"/>
  <c r="J18" i="9" s="1"/>
  <c r="S545" i="9"/>
  <c r="V545" i="9"/>
  <c r="S828" i="9"/>
  <c r="AF616" i="9"/>
  <c r="AB616" i="9"/>
  <c r="V119" i="9"/>
  <c r="S119" i="9"/>
  <c r="AB1183" i="9"/>
  <c r="AF1183" i="9"/>
  <c r="V829" i="9"/>
  <c r="S829" i="9"/>
  <c r="AF758" i="9"/>
  <c r="AB758" i="9"/>
  <c r="S1042" i="9"/>
  <c r="V1042" i="9"/>
  <c r="V900" i="9"/>
  <c r="V474" i="9"/>
  <c r="S474" i="9"/>
  <c r="S1113" i="9"/>
  <c r="V1113" i="9"/>
  <c r="V758" i="9"/>
  <c r="S758" i="9"/>
  <c r="M78" i="6"/>
  <c r="K79" i="6"/>
  <c r="J91" i="6"/>
  <c r="J211" i="6"/>
  <c r="H91" i="6"/>
  <c r="I91" i="6" s="1"/>
  <c r="G91" i="6"/>
  <c r="K200" i="6"/>
  <c r="L199" i="6"/>
  <c r="M199" i="6" s="1"/>
  <c r="C93" i="6"/>
  <c r="B92" i="6"/>
  <c r="B212" i="6"/>
  <c r="H91" i="9" l="1"/>
  <c r="I91" i="9" s="1"/>
  <c r="H18" i="9"/>
  <c r="I18" i="9" s="1"/>
  <c r="L546" i="9"/>
  <c r="L1185" i="9"/>
  <c r="L191" i="9"/>
  <c r="L1043" i="9"/>
  <c r="L1114" i="9"/>
  <c r="L759" i="9"/>
  <c r="L617" i="9"/>
  <c r="L688" i="9"/>
  <c r="L972" i="9"/>
  <c r="L830" i="9"/>
  <c r="L120" i="9"/>
  <c r="L333" i="9"/>
  <c r="L475" i="9"/>
  <c r="L404" i="9"/>
  <c r="L1256" i="9"/>
  <c r="L901" i="9"/>
  <c r="L262" i="9"/>
  <c r="F334" i="9"/>
  <c r="F1257" i="9"/>
  <c r="F973" i="9"/>
  <c r="F831" i="9"/>
  <c r="F1186" i="9"/>
  <c r="F1115" i="9"/>
  <c r="F192" i="9"/>
  <c r="F263" i="9"/>
  <c r="F902" i="9"/>
  <c r="F405" i="9"/>
  <c r="F618" i="9"/>
  <c r="F547" i="9"/>
  <c r="F760" i="9"/>
  <c r="F1044" i="9"/>
  <c r="F689" i="9"/>
  <c r="F476" i="9"/>
  <c r="AB191" i="9"/>
  <c r="AF191" i="9"/>
  <c r="N121" i="9"/>
  <c r="N193" i="9" s="1"/>
  <c r="N265" i="9" s="1"/>
  <c r="N337" i="9" s="1"/>
  <c r="N409" i="9" s="1"/>
  <c r="N481" i="9" s="1"/>
  <c r="N553" i="9" s="1"/>
  <c r="N625" i="9" s="1"/>
  <c r="N697" i="9" s="1"/>
  <c r="N769" i="9" s="1"/>
  <c r="N841" i="9" s="1"/>
  <c r="N913" i="9" s="1"/>
  <c r="N985" i="9" s="1"/>
  <c r="N1057" i="9" s="1"/>
  <c r="N1129" i="9" s="1"/>
  <c r="N1201" i="9" s="1"/>
  <c r="N1273" i="9" s="1"/>
  <c r="F121" i="9"/>
  <c r="M121" i="9"/>
  <c r="M193" i="9" s="1"/>
  <c r="M265" i="9" s="1"/>
  <c r="M337" i="9" s="1"/>
  <c r="M409" i="9" s="1"/>
  <c r="M481" i="9" s="1"/>
  <c r="M553" i="9" s="1"/>
  <c r="M625" i="9" s="1"/>
  <c r="M697" i="9" s="1"/>
  <c r="M769" i="9" s="1"/>
  <c r="M841" i="9" s="1"/>
  <c r="M913" i="9" s="1"/>
  <c r="M985" i="9" s="1"/>
  <c r="M1057" i="9" s="1"/>
  <c r="M1129" i="9" s="1"/>
  <c r="M1201" i="9" s="1"/>
  <c r="M1273" i="9" s="1"/>
  <c r="O121" i="9"/>
  <c r="AB121" i="9" s="1"/>
  <c r="S901" i="9"/>
  <c r="V901" i="9"/>
  <c r="AF1255" i="9"/>
  <c r="AB1255" i="9"/>
  <c r="AF688" i="9"/>
  <c r="AB688" i="9"/>
  <c r="AB334" i="9"/>
  <c r="AF334" i="9"/>
  <c r="AB1257" i="9"/>
  <c r="AF1257" i="9"/>
  <c r="C122" i="9"/>
  <c r="D123" i="9"/>
  <c r="AF973" i="9"/>
  <c r="AB973" i="9"/>
  <c r="S1255" i="9"/>
  <c r="V688" i="9"/>
  <c r="S688" i="9"/>
  <c r="S262" i="9"/>
  <c r="V262" i="9"/>
  <c r="AB900" i="9"/>
  <c r="S972" i="9"/>
  <c r="AF900" i="9"/>
  <c r="S120" i="9"/>
  <c r="V120" i="9"/>
  <c r="S546" i="9"/>
  <c r="V546" i="9"/>
  <c r="S475" i="9"/>
  <c r="V475" i="9"/>
  <c r="AF1186" i="9"/>
  <c r="AB1186" i="9"/>
  <c r="V1185" i="9"/>
  <c r="S1185" i="9"/>
  <c r="V972" i="9"/>
  <c r="AF830" i="9"/>
  <c r="AB830" i="9"/>
  <c r="AF759" i="9"/>
  <c r="AB759" i="9"/>
  <c r="AF333" i="9"/>
  <c r="AB333" i="9"/>
  <c r="AF1043" i="9"/>
  <c r="AB1043" i="9"/>
  <c r="AB618" i="9"/>
  <c r="AF618" i="9"/>
  <c r="AF689" i="9"/>
  <c r="AB689" i="9"/>
  <c r="S333" i="9"/>
  <c r="V333" i="9"/>
  <c r="S830" i="9"/>
  <c r="V830" i="9"/>
  <c r="S1114" i="9"/>
  <c r="V1114" i="9"/>
  <c r="V191" i="9"/>
  <c r="S191" i="9"/>
  <c r="S617" i="9"/>
  <c r="V617" i="9"/>
  <c r="S759" i="9"/>
  <c r="V759" i="9"/>
  <c r="S404" i="9"/>
  <c r="V404" i="9"/>
  <c r="AB476" i="9"/>
  <c r="AF476" i="9"/>
  <c r="AF263" i="9"/>
  <c r="AB263" i="9"/>
  <c r="S1256" i="9"/>
  <c r="V1256" i="9"/>
  <c r="AF120" i="9"/>
  <c r="AE120" i="9" s="1"/>
  <c r="AB120" i="9"/>
  <c r="V1043" i="9"/>
  <c r="S1043" i="9"/>
  <c r="AF547" i="9"/>
  <c r="AB547" i="9"/>
  <c r="K80" i="6"/>
  <c r="L79" i="6"/>
  <c r="M79" i="6" s="1"/>
  <c r="H92" i="6"/>
  <c r="I92" i="6" s="1"/>
  <c r="G92" i="6"/>
  <c r="J212" i="6"/>
  <c r="B213" i="6"/>
  <c r="K201" i="6"/>
  <c r="L200" i="6"/>
  <c r="M200" i="6" s="1"/>
  <c r="B93" i="6"/>
  <c r="C94" i="6"/>
  <c r="J92" i="9" l="1"/>
  <c r="H92" i="9"/>
  <c r="I92" i="9" s="1"/>
  <c r="L476" i="9"/>
  <c r="L831" i="9"/>
  <c r="L263" i="9"/>
  <c r="L689" i="9"/>
  <c r="L973" i="9"/>
  <c r="L1044" i="9"/>
  <c r="L1257" i="9"/>
  <c r="L121" i="9"/>
  <c r="L902" i="9"/>
  <c r="L192" i="9"/>
  <c r="L760" i="9"/>
  <c r="L334" i="9"/>
  <c r="L547" i="9"/>
  <c r="L1115" i="9"/>
  <c r="L1186" i="9"/>
  <c r="L618" i="9"/>
  <c r="L405" i="9"/>
  <c r="F1116" i="9"/>
  <c r="F335" i="9"/>
  <c r="F619" i="9"/>
  <c r="F1187" i="9"/>
  <c r="F690" i="9"/>
  <c r="F1258" i="9"/>
  <c r="F548" i="9"/>
  <c r="F477" i="9"/>
  <c r="F903" i="9"/>
  <c r="F761" i="9"/>
  <c r="F974" i="9"/>
  <c r="F1045" i="9"/>
  <c r="F193" i="9"/>
  <c r="F832" i="9"/>
  <c r="F264" i="9"/>
  <c r="F406" i="9"/>
  <c r="AF121" i="9"/>
  <c r="AE121" i="9" s="1"/>
  <c r="N122" i="9"/>
  <c r="N194" i="9" s="1"/>
  <c r="N266" i="9" s="1"/>
  <c r="N338" i="9" s="1"/>
  <c r="N410" i="9" s="1"/>
  <c r="N482" i="9" s="1"/>
  <c r="N554" i="9" s="1"/>
  <c r="N626" i="9" s="1"/>
  <c r="N698" i="9" s="1"/>
  <c r="N770" i="9" s="1"/>
  <c r="N842" i="9" s="1"/>
  <c r="N914" i="9" s="1"/>
  <c r="N986" i="9" s="1"/>
  <c r="N1058" i="9" s="1"/>
  <c r="N1130" i="9" s="1"/>
  <c r="N1202" i="9" s="1"/>
  <c r="N1274" i="9" s="1"/>
  <c r="F122" i="9"/>
  <c r="M122" i="9"/>
  <c r="M194" i="9" s="1"/>
  <c r="M266" i="9" s="1"/>
  <c r="M338" i="9" s="1"/>
  <c r="M410" i="9" s="1"/>
  <c r="M482" i="9" s="1"/>
  <c r="M554" i="9" s="1"/>
  <c r="M626" i="9" s="1"/>
  <c r="M698" i="9" s="1"/>
  <c r="M770" i="9" s="1"/>
  <c r="M842" i="9" s="1"/>
  <c r="M914" i="9" s="1"/>
  <c r="M986" i="9" s="1"/>
  <c r="M1058" i="9" s="1"/>
  <c r="M1130" i="9" s="1"/>
  <c r="M1202" i="9" s="1"/>
  <c r="M1274" i="9" s="1"/>
  <c r="O122" i="9"/>
  <c r="Q121" i="9"/>
  <c r="Q193" i="9" s="1"/>
  <c r="Q265" i="9" s="1"/>
  <c r="Q337" i="9" s="1"/>
  <c r="Q409" i="9" s="1"/>
  <c r="Q481" i="9" s="1"/>
  <c r="Q553" i="9" s="1"/>
  <c r="Q625" i="9" s="1"/>
  <c r="Q697" i="9" s="1"/>
  <c r="Q769" i="9" s="1"/>
  <c r="Q841" i="9" s="1"/>
  <c r="Q913" i="9" s="1"/>
  <c r="Q985" i="9" s="1"/>
  <c r="Q1057" i="9" s="1"/>
  <c r="Q1129" i="9" s="1"/>
  <c r="Q1201" i="9" s="1"/>
  <c r="Q1273" i="9" s="1"/>
  <c r="P121" i="9"/>
  <c r="P193" i="9" s="1"/>
  <c r="P265" i="9" s="1"/>
  <c r="P337" i="9" s="1"/>
  <c r="P409" i="9" s="1"/>
  <c r="P481" i="9" s="1"/>
  <c r="P553" i="9" s="1"/>
  <c r="P625" i="9" s="1"/>
  <c r="P697" i="9" s="1"/>
  <c r="P769" i="9" s="1"/>
  <c r="P841" i="9" s="1"/>
  <c r="P913" i="9" s="1"/>
  <c r="P985" i="9" s="1"/>
  <c r="P1057" i="9" s="1"/>
  <c r="P1129" i="9" s="1"/>
  <c r="P1201" i="9" s="1"/>
  <c r="P1273" i="9" s="1"/>
  <c r="O193" i="9"/>
  <c r="O265" i="9" s="1"/>
  <c r="O337" i="9" s="1"/>
  <c r="O409" i="9" s="1"/>
  <c r="O481" i="9" s="1"/>
  <c r="O553" i="9" s="1"/>
  <c r="O625" i="9" s="1"/>
  <c r="O697" i="9" s="1"/>
  <c r="O769" i="9" s="1"/>
  <c r="O841" i="9" s="1"/>
  <c r="O913" i="9" s="1"/>
  <c r="O985" i="9" s="1"/>
  <c r="O1057" i="9" s="1"/>
  <c r="O1129" i="9" s="1"/>
  <c r="O1201" i="9" s="1"/>
  <c r="O1273" i="9" s="1"/>
  <c r="S263" i="9"/>
  <c r="V263" i="9"/>
  <c r="V1044" i="9"/>
  <c r="AB760" i="9"/>
  <c r="AF760" i="9"/>
  <c r="AF335" i="9"/>
  <c r="AB335" i="9"/>
  <c r="AB690" i="9"/>
  <c r="AF690" i="9"/>
  <c r="AF1115" i="9"/>
  <c r="AB1115" i="9"/>
  <c r="S476" i="9"/>
  <c r="V476" i="9"/>
  <c r="S689" i="9"/>
  <c r="V689" i="9"/>
  <c r="AF902" i="9"/>
  <c r="AB902" i="9"/>
  <c r="V547" i="9"/>
  <c r="S547" i="9"/>
  <c r="S192" i="9"/>
  <c r="V192" i="9"/>
  <c r="S334" i="9"/>
  <c r="V334" i="9"/>
  <c r="AF406" i="9"/>
  <c r="AB406" i="9"/>
  <c r="S973" i="9"/>
  <c r="V973" i="9"/>
  <c r="V1115" i="9"/>
  <c r="S1115" i="9"/>
  <c r="AF548" i="9"/>
  <c r="AB548" i="9"/>
  <c r="S831" i="9"/>
  <c r="V831" i="9"/>
  <c r="V902" i="9"/>
  <c r="S902" i="9"/>
  <c r="AF761" i="9"/>
  <c r="AB761" i="9"/>
  <c r="AB831" i="9"/>
  <c r="AF831" i="9"/>
  <c r="AF1258" i="9"/>
  <c r="AB1258" i="9"/>
  <c r="S618" i="9"/>
  <c r="V618" i="9"/>
  <c r="S760" i="9"/>
  <c r="V760" i="9"/>
  <c r="AB1045" i="9"/>
  <c r="AF1045" i="9"/>
  <c r="AF619" i="9"/>
  <c r="AB619" i="9"/>
  <c r="AF192" i="9"/>
  <c r="AB192" i="9"/>
  <c r="S1186" i="9"/>
  <c r="V1186" i="9"/>
  <c r="S405" i="9"/>
  <c r="V405" i="9"/>
  <c r="AF405" i="9"/>
  <c r="AB405" i="9"/>
  <c r="S121" i="9"/>
  <c r="V121" i="9"/>
  <c r="S1257" i="9"/>
  <c r="V1257" i="9"/>
  <c r="AB972" i="9"/>
  <c r="AF972" i="9"/>
  <c r="D124" i="9"/>
  <c r="C123" i="9"/>
  <c r="L80" i="6"/>
  <c r="M80" i="6" s="1"/>
  <c r="K81" i="6"/>
  <c r="J92" i="6"/>
  <c r="H93" i="6"/>
  <c r="I93" i="6" s="1"/>
  <c r="B94" i="6"/>
  <c r="C95" i="6"/>
  <c r="J213" i="6"/>
  <c r="B214" i="6"/>
  <c r="G93" i="6"/>
  <c r="K202" i="6"/>
  <c r="L201" i="6"/>
  <c r="M201" i="6" s="1"/>
  <c r="J93" i="9" l="1"/>
  <c r="AD19" i="9"/>
  <c r="T19" i="9"/>
  <c r="Z19" i="9"/>
  <c r="W19" i="9"/>
  <c r="U20" i="9" s="1"/>
  <c r="H93" i="9"/>
  <c r="I93" i="9" s="1"/>
  <c r="L1258" i="9"/>
  <c r="L264" i="9"/>
  <c r="L619" i="9"/>
  <c r="L1116" i="9"/>
  <c r="L406" i="9"/>
  <c r="L832" i="9"/>
  <c r="L335" i="9"/>
  <c r="L193" i="9"/>
  <c r="L1045" i="9"/>
  <c r="L974" i="9"/>
  <c r="L761" i="9"/>
  <c r="L1187" i="9"/>
  <c r="L903" i="9"/>
  <c r="L690" i="9"/>
  <c r="L122" i="9"/>
  <c r="L477" i="9"/>
  <c r="L548" i="9"/>
  <c r="F833" i="9"/>
  <c r="F194" i="9"/>
  <c r="F407" i="9"/>
  <c r="F1117" i="9"/>
  <c r="F1046" i="9"/>
  <c r="F762" i="9"/>
  <c r="F478" i="9"/>
  <c r="F1259" i="9"/>
  <c r="F336" i="9"/>
  <c r="F975" i="9"/>
  <c r="F691" i="9"/>
  <c r="F904" i="9"/>
  <c r="F549" i="9"/>
  <c r="F265" i="9"/>
  <c r="F620" i="9"/>
  <c r="F1188" i="9"/>
  <c r="AF193" i="9"/>
  <c r="AB193" i="9"/>
  <c r="Q122" i="9"/>
  <c r="Q194" i="9" s="1"/>
  <c r="Q266" i="9" s="1"/>
  <c r="Q338" i="9" s="1"/>
  <c r="Q410" i="9" s="1"/>
  <c r="Q482" i="9" s="1"/>
  <c r="Q554" i="9" s="1"/>
  <c r="Q626" i="9" s="1"/>
  <c r="Q698" i="9" s="1"/>
  <c r="Q770" i="9" s="1"/>
  <c r="Q842" i="9" s="1"/>
  <c r="Q914" i="9" s="1"/>
  <c r="Q986" i="9" s="1"/>
  <c r="Q1058" i="9" s="1"/>
  <c r="Q1130" i="9" s="1"/>
  <c r="Q1202" i="9" s="1"/>
  <c r="Q1274" i="9" s="1"/>
  <c r="P122" i="9"/>
  <c r="P194" i="9" s="1"/>
  <c r="P266" i="9" s="1"/>
  <c r="P338" i="9" s="1"/>
  <c r="P410" i="9" s="1"/>
  <c r="P482" i="9" s="1"/>
  <c r="P554" i="9" s="1"/>
  <c r="P626" i="9" s="1"/>
  <c r="P698" i="9" s="1"/>
  <c r="P770" i="9" s="1"/>
  <c r="P842" i="9" s="1"/>
  <c r="P914" i="9" s="1"/>
  <c r="P986" i="9" s="1"/>
  <c r="P1058" i="9" s="1"/>
  <c r="P1130" i="9" s="1"/>
  <c r="P1202" i="9" s="1"/>
  <c r="P1274" i="9" s="1"/>
  <c r="O194" i="9"/>
  <c r="O266" i="9" s="1"/>
  <c r="O338" i="9" s="1"/>
  <c r="O410" i="9" s="1"/>
  <c r="O482" i="9" s="1"/>
  <c r="O554" i="9" s="1"/>
  <c r="O626" i="9" s="1"/>
  <c r="O698" i="9" s="1"/>
  <c r="O770" i="9" s="1"/>
  <c r="O842" i="9" s="1"/>
  <c r="O914" i="9" s="1"/>
  <c r="O986" i="9" s="1"/>
  <c r="O1058" i="9" s="1"/>
  <c r="O1130" i="9" s="1"/>
  <c r="O1202" i="9" s="1"/>
  <c r="O1274" i="9" s="1"/>
  <c r="N123" i="9"/>
  <c r="N195" i="9" s="1"/>
  <c r="N267" i="9" s="1"/>
  <c r="N339" i="9" s="1"/>
  <c r="N411" i="9" s="1"/>
  <c r="N483" i="9" s="1"/>
  <c r="N555" i="9" s="1"/>
  <c r="N627" i="9" s="1"/>
  <c r="N699" i="9" s="1"/>
  <c r="N771" i="9" s="1"/>
  <c r="N843" i="9" s="1"/>
  <c r="N915" i="9" s="1"/>
  <c r="N987" i="9" s="1"/>
  <c r="N1059" i="9" s="1"/>
  <c r="N1131" i="9" s="1"/>
  <c r="N1203" i="9" s="1"/>
  <c r="N1275" i="9" s="1"/>
  <c r="F123" i="9"/>
  <c r="M123" i="9"/>
  <c r="M195" i="9" s="1"/>
  <c r="M267" i="9" s="1"/>
  <c r="M339" i="9" s="1"/>
  <c r="M411" i="9" s="1"/>
  <c r="M483" i="9" s="1"/>
  <c r="M555" i="9" s="1"/>
  <c r="M627" i="9" s="1"/>
  <c r="M699" i="9" s="1"/>
  <c r="M771" i="9" s="1"/>
  <c r="M843" i="9" s="1"/>
  <c r="M915" i="9" s="1"/>
  <c r="M987" i="9" s="1"/>
  <c r="M1059" i="9" s="1"/>
  <c r="M1131" i="9" s="1"/>
  <c r="M1203" i="9" s="1"/>
  <c r="M1275" i="9" s="1"/>
  <c r="O123" i="9"/>
  <c r="AF477" i="9"/>
  <c r="AB477" i="9"/>
  <c r="S832" i="9"/>
  <c r="V832" i="9"/>
  <c r="S1187" i="9"/>
  <c r="V1187" i="9"/>
  <c r="V264" i="9"/>
  <c r="S264" i="9"/>
  <c r="AB1187" i="9"/>
  <c r="AF1187" i="9"/>
  <c r="V1116" i="9"/>
  <c r="S1116" i="9"/>
  <c r="AF1044" i="9"/>
  <c r="AB1044" i="9"/>
  <c r="S477" i="9"/>
  <c r="V477" i="9"/>
  <c r="AF691" i="9"/>
  <c r="AB691" i="9"/>
  <c r="AB833" i="9"/>
  <c r="AF833" i="9"/>
  <c r="AF620" i="9"/>
  <c r="AB620" i="9"/>
  <c r="V406" i="9"/>
  <c r="S406" i="9"/>
  <c r="S548" i="9"/>
  <c r="V548" i="9"/>
  <c r="AF832" i="9"/>
  <c r="AB832" i="9"/>
  <c r="S335" i="9"/>
  <c r="V335" i="9"/>
  <c r="D125" i="9"/>
  <c r="C124" i="9"/>
  <c r="S1258" i="9"/>
  <c r="V1258" i="9"/>
  <c r="AF264" i="9"/>
  <c r="AB264" i="9"/>
  <c r="AB1117" i="9"/>
  <c r="AF1117" i="9"/>
  <c r="S690" i="9"/>
  <c r="V690" i="9"/>
  <c r="AF903" i="9"/>
  <c r="AB903" i="9"/>
  <c r="AF265" i="9"/>
  <c r="AB265" i="9"/>
  <c r="AF122" i="9"/>
  <c r="AE122" i="9" s="1"/>
  <c r="AB122" i="9"/>
  <c r="S619" i="9"/>
  <c r="V619" i="9"/>
  <c r="S761" i="9"/>
  <c r="V761" i="9"/>
  <c r="AF407" i="9"/>
  <c r="AB407" i="9"/>
  <c r="S122" i="9"/>
  <c r="V122" i="9"/>
  <c r="S193" i="9"/>
  <c r="V193" i="9"/>
  <c r="V974" i="9"/>
  <c r="S974" i="9"/>
  <c r="V903" i="9"/>
  <c r="S903" i="9"/>
  <c r="S1045" i="9"/>
  <c r="V1045" i="9"/>
  <c r="AF478" i="9"/>
  <c r="AB478" i="9"/>
  <c r="AB974" i="9"/>
  <c r="AF974" i="9"/>
  <c r="AF762" i="9"/>
  <c r="AB762" i="9"/>
  <c r="S1044" i="9"/>
  <c r="L81" i="6"/>
  <c r="M81" i="6" s="1"/>
  <c r="K82" i="6"/>
  <c r="J94" i="6"/>
  <c r="J93" i="6"/>
  <c r="J214" i="6"/>
  <c r="B215" i="6"/>
  <c r="K203" i="6"/>
  <c r="L202" i="6"/>
  <c r="M202" i="6" s="1"/>
  <c r="G94" i="6"/>
  <c r="H95" i="6" s="1"/>
  <c r="I95" i="6" s="1"/>
  <c r="C96" i="6"/>
  <c r="B95" i="6"/>
  <c r="H94" i="6"/>
  <c r="I94" i="6" s="1"/>
  <c r="J94" i="9" l="1"/>
  <c r="W20" i="9"/>
  <c r="U21" i="9" s="1"/>
  <c r="R20" i="9"/>
  <c r="AH19" i="9"/>
  <c r="AC19" i="9" a="1"/>
  <c r="AC19" i="9" s="1"/>
  <c r="AA20" i="9" s="1"/>
  <c r="Y19" i="9"/>
  <c r="X20" i="9" s="1"/>
  <c r="H94" i="9"/>
  <c r="I94" i="9" s="1"/>
  <c r="L549" i="9"/>
  <c r="L904" i="9"/>
  <c r="L123" i="9"/>
  <c r="L691" i="9"/>
  <c r="L1259" i="9"/>
  <c r="L478" i="9"/>
  <c r="L762" i="9"/>
  <c r="L1046" i="9"/>
  <c r="L975" i="9"/>
  <c r="L336" i="9"/>
  <c r="L1188" i="9"/>
  <c r="L1117" i="9"/>
  <c r="L620" i="9"/>
  <c r="L407" i="9"/>
  <c r="L833" i="9"/>
  <c r="L265" i="9"/>
  <c r="L194" i="9"/>
  <c r="F195" i="9"/>
  <c r="F976" i="9"/>
  <c r="F834" i="9"/>
  <c r="F692" i="9"/>
  <c r="F408" i="9"/>
  <c r="F479" i="9"/>
  <c r="F337" i="9"/>
  <c r="F266" i="9"/>
  <c r="F621" i="9"/>
  <c r="F550" i="9"/>
  <c r="F905" i="9"/>
  <c r="F763" i="9"/>
  <c r="F1118" i="9"/>
  <c r="F1260" i="9"/>
  <c r="F1047" i="9"/>
  <c r="F1189" i="9"/>
  <c r="N124" i="9"/>
  <c r="N196" i="9" s="1"/>
  <c r="N268" i="9" s="1"/>
  <c r="N340" i="9" s="1"/>
  <c r="N412" i="9" s="1"/>
  <c r="N484" i="9" s="1"/>
  <c r="N556" i="9" s="1"/>
  <c r="N628" i="9" s="1"/>
  <c r="N700" i="9" s="1"/>
  <c r="N772" i="9" s="1"/>
  <c r="N844" i="9" s="1"/>
  <c r="N916" i="9" s="1"/>
  <c r="N988" i="9" s="1"/>
  <c r="N1060" i="9" s="1"/>
  <c r="N1132" i="9" s="1"/>
  <c r="N1204" i="9" s="1"/>
  <c r="N1276" i="9" s="1"/>
  <c r="F124" i="9"/>
  <c r="M124" i="9"/>
  <c r="M196" i="9" s="1"/>
  <c r="M268" i="9" s="1"/>
  <c r="M340" i="9" s="1"/>
  <c r="M412" i="9" s="1"/>
  <c r="M484" i="9" s="1"/>
  <c r="M556" i="9" s="1"/>
  <c r="M628" i="9" s="1"/>
  <c r="M700" i="9" s="1"/>
  <c r="M772" i="9" s="1"/>
  <c r="M844" i="9" s="1"/>
  <c r="M916" i="9" s="1"/>
  <c r="M988" i="9" s="1"/>
  <c r="M1060" i="9" s="1"/>
  <c r="M1132" i="9" s="1"/>
  <c r="M1204" i="9" s="1"/>
  <c r="M1276" i="9" s="1"/>
  <c r="O124" i="9"/>
  <c r="AB124" i="9" s="1"/>
  <c r="Q123" i="9"/>
  <c r="Q195" i="9" s="1"/>
  <c r="Q267" i="9" s="1"/>
  <c r="Q339" i="9" s="1"/>
  <c r="Q411" i="9" s="1"/>
  <c r="Q483" i="9" s="1"/>
  <c r="Q555" i="9" s="1"/>
  <c r="Q627" i="9" s="1"/>
  <c r="Q699" i="9" s="1"/>
  <c r="Q771" i="9" s="1"/>
  <c r="Q843" i="9" s="1"/>
  <c r="Q915" i="9" s="1"/>
  <c r="Q987" i="9" s="1"/>
  <c r="Q1059" i="9" s="1"/>
  <c r="Q1131" i="9" s="1"/>
  <c r="Q1203" i="9" s="1"/>
  <c r="Q1275" i="9" s="1"/>
  <c r="P123" i="9"/>
  <c r="P195" i="9" s="1"/>
  <c r="P267" i="9" s="1"/>
  <c r="P339" i="9" s="1"/>
  <c r="P411" i="9" s="1"/>
  <c r="P483" i="9" s="1"/>
  <c r="P555" i="9" s="1"/>
  <c r="P627" i="9" s="1"/>
  <c r="P699" i="9" s="1"/>
  <c r="P771" i="9" s="1"/>
  <c r="P843" i="9" s="1"/>
  <c r="P915" i="9" s="1"/>
  <c r="P987" i="9" s="1"/>
  <c r="P1059" i="9" s="1"/>
  <c r="P1131" i="9" s="1"/>
  <c r="P1203" i="9" s="1"/>
  <c r="P1275" i="9" s="1"/>
  <c r="O195" i="9"/>
  <c r="O267" i="9" s="1"/>
  <c r="O339" i="9" s="1"/>
  <c r="O411" i="9" s="1"/>
  <c r="O483" i="9" s="1"/>
  <c r="O555" i="9" s="1"/>
  <c r="O627" i="9" s="1"/>
  <c r="O699" i="9" s="1"/>
  <c r="O771" i="9" s="1"/>
  <c r="O843" i="9" s="1"/>
  <c r="O915" i="9" s="1"/>
  <c r="O987" i="9" s="1"/>
  <c r="O1059" i="9" s="1"/>
  <c r="O1131" i="9" s="1"/>
  <c r="O1203" i="9" s="1"/>
  <c r="O1275" i="9" s="1"/>
  <c r="S1046" i="9"/>
  <c r="V1046" i="9"/>
  <c r="S194" i="9"/>
  <c r="V194" i="9"/>
  <c r="V833" i="9"/>
  <c r="S833" i="9"/>
  <c r="AF975" i="9"/>
  <c r="AB975" i="9"/>
  <c r="AB904" i="9"/>
  <c r="AF904" i="9"/>
  <c r="AB905" i="9"/>
  <c r="AF905" i="9"/>
  <c r="S549" i="9"/>
  <c r="V549" i="9"/>
  <c r="V336" i="9"/>
  <c r="S336" i="9"/>
  <c r="V1259" i="9"/>
  <c r="S1259" i="9"/>
  <c r="AF1046" i="9"/>
  <c r="AB1046" i="9"/>
  <c r="S975" i="9"/>
  <c r="V975" i="9"/>
  <c r="S691" i="9"/>
  <c r="V691" i="9"/>
  <c r="V407" i="9"/>
  <c r="S407" i="9"/>
  <c r="V478" i="9"/>
  <c r="S478" i="9"/>
  <c r="AF1116" i="9"/>
  <c r="AB1116" i="9"/>
  <c r="S1188" i="9"/>
  <c r="V1188" i="9"/>
  <c r="AF834" i="9"/>
  <c r="AB834" i="9"/>
  <c r="S1117" i="9"/>
  <c r="V1117" i="9"/>
  <c r="AF1189" i="9"/>
  <c r="AB1189" i="9"/>
  <c r="C125" i="9"/>
  <c r="O125" i="9" s="1"/>
  <c r="D126" i="9"/>
  <c r="AF123" i="9"/>
  <c r="AE123" i="9" s="1"/>
  <c r="AB123" i="9"/>
  <c r="AF1259" i="9"/>
  <c r="AB1259" i="9"/>
  <c r="AB549" i="9"/>
  <c r="AF549" i="9"/>
  <c r="V123" i="9"/>
  <c r="S123" i="9"/>
  <c r="AF550" i="9"/>
  <c r="AB550" i="9"/>
  <c r="S265" i="9"/>
  <c r="V265" i="9"/>
  <c r="AF479" i="9"/>
  <c r="AB479" i="9"/>
  <c r="AF194" i="9"/>
  <c r="AB194" i="9"/>
  <c r="AF337" i="9"/>
  <c r="AB337" i="9"/>
  <c r="V762" i="9"/>
  <c r="S762" i="9"/>
  <c r="AF336" i="9"/>
  <c r="AB336" i="9"/>
  <c r="V620" i="9"/>
  <c r="S620" i="9"/>
  <c r="AF692" i="9"/>
  <c r="AB692" i="9"/>
  <c r="AF763" i="9"/>
  <c r="AB763" i="9"/>
  <c r="S904" i="9"/>
  <c r="V904" i="9"/>
  <c r="L82" i="6"/>
  <c r="M82" i="6" s="1"/>
  <c r="K83" i="6"/>
  <c r="C97" i="6"/>
  <c r="B96" i="6"/>
  <c r="G95" i="6"/>
  <c r="K204" i="6"/>
  <c r="L203" i="6"/>
  <c r="M203" i="6" s="1"/>
  <c r="J215" i="6"/>
  <c r="B216" i="6"/>
  <c r="J95" i="9" l="1"/>
  <c r="Z20" i="9"/>
  <c r="AD20" i="9"/>
  <c r="AG20" i="9"/>
  <c r="T20" i="9"/>
  <c r="R21" i="9" s="1"/>
  <c r="W21" i="9"/>
  <c r="U22" i="9" s="1"/>
  <c r="AI20" i="9"/>
  <c r="H95" i="9"/>
  <c r="I95" i="9" s="1"/>
  <c r="L621" i="9"/>
  <c r="L124" i="9"/>
  <c r="L266" i="9"/>
  <c r="L337" i="9"/>
  <c r="L905" i="9"/>
  <c r="L479" i="9"/>
  <c r="L408" i="9"/>
  <c r="L550" i="9"/>
  <c r="L1189" i="9"/>
  <c r="L692" i="9"/>
  <c r="L1047" i="9"/>
  <c r="L834" i="9"/>
  <c r="L1260" i="9"/>
  <c r="L976" i="9"/>
  <c r="L1118" i="9"/>
  <c r="L195" i="9"/>
  <c r="L763" i="9"/>
  <c r="F1119" i="9"/>
  <c r="F196" i="9"/>
  <c r="F835" i="9"/>
  <c r="F551" i="9"/>
  <c r="F977" i="9"/>
  <c r="F480" i="9"/>
  <c r="F1261" i="9"/>
  <c r="F622" i="9"/>
  <c r="F764" i="9"/>
  <c r="F906" i="9"/>
  <c r="F338" i="9"/>
  <c r="F693" i="9"/>
  <c r="F1048" i="9"/>
  <c r="F1190" i="9"/>
  <c r="F409" i="9"/>
  <c r="F267" i="9"/>
  <c r="AF124" i="9"/>
  <c r="AE124" i="9" s="1"/>
  <c r="Q125" i="9"/>
  <c r="Q197" i="9" s="1"/>
  <c r="Q269" i="9" s="1"/>
  <c r="Q341" i="9" s="1"/>
  <c r="Q413" i="9" s="1"/>
  <c r="Q485" i="9" s="1"/>
  <c r="Q557" i="9" s="1"/>
  <c r="Q629" i="9" s="1"/>
  <c r="Q701" i="9" s="1"/>
  <c r="Q773" i="9" s="1"/>
  <c r="Q845" i="9" s="1"/>
  <c r="Q917" i="9" s="1"/>
  <c r="Q989" i="9" s="1"/>
  <c r="Q1061" i="9" s="1"/>
  <c r="Q1133" i="9" s="1"/>
  <c r="Q1205" i="9" s="1"/>
  <c r="Q1277" i="9" s="1"/>
  <c r="P125" i="9"/>
  <c r="P197" i="9" s="1"/>
  <c r="P269" i="9" s="1"/>
  <c r="P341" i="9" s="1"/>
  <c r="P413" i="9" s="1"/>
  <c r="P485" i="9" s="1"/>
  <c r="P557" i="9" s="1"/>
  <c r="P629" i="9" s="1"/>
  <c r="P701" i="9" s="1"/>
  <c r="P773" i="9" s="1"/>
  <c r="P845" i="9" s="1"/>
  <c r="P917" i="9" s="1"/>
  <c r="P989" i="9" s="1"/>
  <c r="P1061" i="9" s="1"/>
  <c r="P1133" i="9" s="1"/>
  <c r="P1205" i="9" s="1"/>
  <c r="P1277" i="9" s="1"/>
  <c r="O197" i="9"/>
  <c r="O269" i="9" s="1"/>
  <c r="O341" i="9" s="1"/>
  <c r="O413" i="9" s="1"/>
  <c r="O485" i="9" s="1"/>
  <c r="O557" i="9" s="1"/>
  <c r="O629" i="9" s="1"/>
  <c r="O701" i="9" s="1"/>
  <c r="O773" i="9" s="1"/>
  <c r="O845" i="9" s="1"/>
  <c r="O917" i="9" s="1"/>
  <c r="O989" i="9" s="1"/>
  <c r="O1061" i="9" s="1"/>
  <c r="O1133" i="9" s="1"/>
  <c r="O1205" i="9" s="1"/>
  <c r="O1277" i="9" s="1"/>
  <c r="Q124" i="9"/>
  <c r="Q196" i="9" s="1"/>
  <c r="Q268" i="9" s="1"/>
  <c r="Q340" i="9" s="1"/>
  <c r="Q412" i="9" s="1"/>
  <c r="Q484" i="9" s="1"/>
  <c r="Q556" i="9" s="1"/>
  <c r="Q628" i="9" s="1"/>
  <c r="Q700" i="9" s="1"/>
  <c r="Q772" i="9" s="1"/>
  <c r="Q844" i="9" s="1"/>
  <c r="Q916" i="9" s="1"/>
  <c r="Q988" i="9" s="1"/>
  <c r="Q1060" i="9" s="1"/>
  <c r="Q1132" i="9" s="1"/>
  <c r="Q1204" i="9" s="1"/>
  <c r="Q1276" i="9" s="1"/>
  <c r="P124" i="9"/>
  <c r="P196" i="9" s="1"/>
  <c r="P268" i="9" s="1"/>
  <c r="P340" i="9" s="1"/>
  <c r="P412" i="9" s="1"/>
  <c r="P484" i="9" s="1"/>
  <c r="P556" i="9" s="1"/>
  <c r="P628" i="9" s="1"/>
  <c r="P700" i="9" s="1"/>
  <c r="P772" i="9" s="1"/>
  <c r="P844" i="9" s="1"/>
  <c r="P916" i="9" s="1"/>
  <c r="P988" i="9" s="1"/>
  <c r="P1060" i="9" s="1"/>
  <c r="P1132" i="9" s="1"/>
  <c r="P1204" i="9" s="1"/>
  <c r="P1276" i="9" s="1"/>
  <c r="O196" i="9"/>
  <c r="O268" i="9" s="1"/>
  <c r="O340" i="9" s="1"/>
  <c r="O412" i="9" s="1"/>
  <c r="O484" i="9" s="1"/>
  <c r="O556" i="9" s="1"/>
  <c r="O628" i="9" s="1"/>
  <c r="O700" i="9" s="1"/>
  <c r="O772" i="9" s="1"/>
  <c r="O844" i="9" s="1"/>
  <c r="O916" i="9" s="1"/>
  <c r="O988" i="9" s="1"/>
  <c r="O1060" i="9" s="1"/>
  <c r="O1132" i="9" s="1"/>
  <c r="O1204" i="9" s="1"/>
  <c r="O1276" i="9" s="1"/>
  <c r="M125" i="9"/>
  <c r="M197" i="9" s="1"/>
  <c r="M269" i="9" s="1"/>
  <c r="M341" i="9" s="1"/>
  <c r="M413" i="9" s="1"/>
  <c r="M485" i="9" s="1"/>
  <c r="M557" i="9" s="1"/>
  <c r="M629" i="9" s="1"/>
  <c r="M701" i="9" s="1"/>
  <c r="M773" i="9" s="1"/>
  <c r="M845" i="9" s="1"/>
  <c r="M917" i="9" s="1"/>
  <c r="M989" i="9" s="1"/>
  <c r="M1061" i="9" s="1"/>
  <c r="M1133" i="9" s="1"/>
  <c r="M1205" i="9" s="1"/>
  <c r="M1277" i="9" s="1"/>
  <c r="N125" i="9"/>
  <c r="N197" i="9" s="1"/>
  <c r="N269" i="9" s="1"/>
  <c r="N341" i="9" s="1"/>
  <c r="N413" i="9" s="1"/>
  <c r="N485" i="9" s="1"/>
  <c r="N557" i="9" s="1"/>
  <c r="N629" i="9" s="1"/>
  <c r="N701" i="9" s="1"/>
  <c r="N773" i="9" s="1"/>
  <c r="N845" i="9" s="1"/>
  <c r="N917" i="9" s="1"/>
  <c r="N989" i="9" s="1"/>
  <c r="N1061" i="9" s="1"/>
  <c r="N1133" i="9" s="1"/>
  <c r="N1205" i="9" s="1"/>
  <c r="N1277" i="9" s="1"/>
  <c r="F125" i="9"/>
  <c r="V976" i="9"/>
  <c r="S976" i="9"/>
  <c r="AB835" i="9"/>
  <c r="AF835" i="9"/>
  <c r="S834" i="9"/>
  <c r="V834" i="9"/>
  <c r="S337" i="9"/>
  <c r="V337" i="9"/>
  <c r="AF195" i="9"/>
  <c r="AB195" i="9"/>
  <c r="V1189" i="9"/>
  <c r="S1189" i="9"/>
  <c r="S1260" i="9"/>
  <c r="AF1188" i="9"/>
  <c r="AB1188" i="9"/>
  <c r="V1047" i="9"/>
  <c r="S1047" i="9"/>
  <c r="AB976" i="9"/>
  <c r="AF976" i="9"/>
  <c r="AF1047" i="9"/>
  <c r="AB1047" i="9"/>
  <c r="V692" i="9"/>
  <c r="S692" i="9"/>
  <c r="AB408" i="9"/>
  <c r="AF408" i="9"/>
  <c r="V195" i="9"/>
  <c r="S195" i="9"/>
  <c r="AF621" i="9"/>
  <c r="AB621" i="9"/>
  <c r="C126" i="9"/>
  <c r="O126" i="9" s="1"/>
  <c r="D127" i="9"/>
  <c r="V1260" i="9"/>
  <c r="S763" i="9"/>
  <c r="V763" i="9"/>
  <c r="S1118" i="9"/>
  <c r="V1118" i="9"/>
  <c r="AB266" i="9"/>
  <c r="AF266" i="9"/>
  <c r="AF1261" i="9"/>
  <c r="AB1261" i="9"/>
  <c r="S550" i="9"/>
  <c r="V550" i="9"/>
  <c r="S479" i="9"/>
  <c r="V479" i="9"/>
  <c r="AF977" i="9"/>
  <c r="AB977" i="9"/>
  <c r="S124" i="9"/>
  <c r="V124" i="9"/>
  <c r="S266" i="9"/>
  <c r="V266" i="9"/>
  <c r="AB764" i="9"/>
  <c r="AF764" i="9"/>
  <c r="AB409" i="9"/>
  <c r="AF409" i="9"/>
  <c r="AF551" i="9"/>
  <c r="AB551" i="9"/>
  <c r="AB622" i="9"/>
  <c r="AF622" i="9"/>
  <c r="AF906" i="9"/>
  <c r="AB906" i="9"/>
  <c r="AF1118" i="9"/>
  <c r="AB1118" i="9"/>
  <c r="S408" i="9"/>
  <c r="V408" i="9"/>
  <c r="S621" i="9"/>
  <c r="V621" i="9"/>
  <c r="S905" i="9"/>
  <c r="V905" i="9"/>
  <c r="K84" i="6"/>
  <c r="L83" i="6"/>
  <c r="M83" i="6" s="1"/>
  <c r="J95" i="6"/>
  <c r="K205" i="6"/>
  <c r="L204" i="6"/>
  <c r="M204" i="6" s="1"/>
  <c r="B97" i="6"/>
  <c r="C98" i="6"/>
  <c r="J216" i="6"/>
  <c r="B217" i="6"/>
  <c r="H96" i="6"/>
  <c r="I96" i="6" s="1"/>
  <c r="G96" i="6"/>
  <c r="J96" i="9" l="1"/>
  <c r="T21" i="9"/>
  <c r="R22" i="9" s="1"/>
  <c r="W22" i="9"/>
  <c r="U23" i="9" s="1"/>
  <c r="Y20" i="9"/>
  <c r="X21" i="9" s="1"/>
  <c r="AC20" i="9" a="1"/>
  <c r="AC20" i="9" s="1"/>
  <c r="AA21" i="9" s="1"/>
  <c r="AH20" i="9"/>
  <c r="H96" i="9"/>
  <c r="I96" i="9" s="1"/>
  <c r="L480" i="9"/>
  <c r="L267" i="9"/>
  <c r="L977" i="9"/>
  <c r="L551" i="9"/>
  <c r="L125" i="9"/>
  <c r="L409" i="9"/>
  <c r="L835" i="9"/>
  <c r="L1261" i="9"/>
  <c r="L1190" i="9"/>
  <c r="L196" i="9"/>
  <c r="L1048" i="9"/>
  <c r="L1119" i="9"/>
  <c r="L693" i="9"/>
  <c r="L338" i="9"/>
  <c r="L906" i="9"/>
  <c r="L764" i="9"/>
  <c r="L622" i="9"/>
  <c r="F765" i="9"/>
  <c r="F552" i="9"/>
  <c r="F410" i="9"/>
  <c r="F1049" i="9"/>
  <c r="F197" i="9"/>
  <c r="F339" i="9"/>
  <c r="F978" i="9"/>
  <c r="F623" i="9"/>
  <c r="F481" i="9"/>
  <c r="F836" i="9"/>
  <c r="F907" i="9"/>
  <c r="F1262" i="9"/>
  <c r="F694" i="9"/>
  <c r="F268" i="9"/>
  <c r="F1120" i="9"/>
  <c r="F1191" i="9"/>
  <c r="Q126" i="9"/>
  <c r="Q198" i="9" s="1"/>
  <c r="Q270" i="9" s="1"/>
  <c r="Q342" i="9" s="1"/>
  <c r="Q414" i="9" s="1"/>
  <c r="Q486" i="9" s="1"/>
  <c r="Q558" i="9" s="1"/>
  <c r="Q630" i="9" s="1"/>
  <c r="Q702" i="9" s="1"/>
  <c r="Q774" i="9" s="1"/>
  <c r="Q846" i="9" s="1"/>
  <c r="Q918" i="9" s="1"/>
  <c r="Q990" i="9" s="1"/>
  <c r="Q1062" i="9" s="1"/>
  <c r="Q1134" i="9" s="1"/>
  <c r="Q1206" i="9" s="1"/>
  <c r="Q1278" i="9" s="1"/>
  <c r="P126" i="9"/>
  <c r="P198" i="9" s="1"/>
  <c r="P270" i="9" s="1"/>
  <c r="P342" i="9" s="1"/>
  <c r="P414" i="9" s="1"/>
  <c r="P486" i="9" s="1"/>
  <c r="P558" i="9" s="1"/>
  <c r="P630" i="9" s="1"/>
  <c r="P702" i="9" s="1"/>
  <c r="P774" i="9" s="1"/>
  <c r="P846" i="9" s="1"/>
  <c r="P918" i="9" s="1"/>
  <c r="P990" i="9" s="1"/>
  <c r="P1062" i="9" s="1"/>
  <c r="P1134" i="9" s="1"/>
  <c r="P1206" i="9" s="1"/>
  <c r="P1278" i="9" s="1"/>
  <c r="O198" i="9"/>
  <c r="O270" i="9" s="1"/>
  <c r="O342" i="9" s="1"/>
  <c r="O414" i="9" s="1"/>
  <c r="O486" i="9" s="1"/>
  <c r="O558" i="9" s="1"/>
  <c r="O630" i="9" s="1"/>
  <c r="O702" i="9" s="1"/>
  <c r="O774" i="9" s="1"/>
  <c r="O846" i="9" s="1"/>
  <c r="O918" i="9" s="1"/>
  <c r="O990" i="9" s="1"/>
  <c r="O1062" i="9" s="1"/>
  <c r="O1134" i="9" s="1"/>
  <c r="O1206" i="9" s="1"/>
  <c r="O1278" i="9" s="1"/>
  <c r="N126" i="9"/>
  <c r="N198" i="9" s="1"/>
  <c r="N270" i="9" s="1"/>
  <c r="N342" i="9" s="1"/>
  <c r="N414" i="9" s="1"/>
  <c r="N486" i="9" s="1"/>
  <c r="N558" i="9" s="1"/>
  <c r="N630" i="9" s="1"/>
  <c r="N702" i="9" s="1"/>
  <c r="N774" i="9" s="1"/>
  <c r="N846" i="9" s="1"/>
  <c r="N918" i="9" s="1"/>
  <c r="N990" i="9" s="1"/>
  <c r="N1062" i="9" s="1"/>
  <c r="N1134" i="9" s="1"/>
  <c r="N1206" i="9" s="1"/>
  <c r="N1278" i="9" s="1"/>
  <c r="F126" i="9"/>
  <c r="AB196" i="9"/>
  <c r="AF196" i="9"/>
  <c r="M126" i="9"/>
  <c r="M198" i="9" s="1"/>
  <c r="M270" i="9" s="1"/>
  <c r="M342" i="9" s="1"/>
  <c r="M414" i="9" s="1"/>
  <c r="M486" i="9" s="1"/>
  <c r="M558" i="9" s="1"/>
  <c r="M630" i="9" s="1"/>
  <c r="M702" i="9" s="1"/>
  <c r="M774" i="9" s="1"/>
  <c r="M846" i="9" s="1"/>
  <c r="M918" i="9" s="1"/>
  <c r="M990" i="9" s="1"/>
  <c r="M1062" i="9" s="1"/>
  <c r="M1134" i="9" s="1"/>
  <c r="M1206" i="9" s="1"/>
  <c r="M1278" i="9" s="1"/>
  <c r="AF126" i="9"/>
  <c r="AB126" i="9"/>
  <c r="S693" i="9"/>
  <c r="V693" i="9"/>
  <c r="S125" i="9"/>
  <c r="V125" i="9"/>
  <c r="V835" i="9"/>
  <c r="S835" i="9"/>
  <c r="AB480" i="9"/>
  <c r="AF480" i="9"/>
  <c r="S764" i="9"/>
  <c r="V764" i="9"/>
  <c r="AF267" i="9"/>
  <c r="AB267" i="9"/>
  <c r="AF907" i="9"/>
  <c r="AB907" i="9"/>
  <c r="S1048" i="9"/>
  <c r="V1048" i="9"/>
  <c r="AF268" i="9"/>
  <c r="AB268" i="9"/>
  <c r="AB125" i="9"/>
  <c r="AF125" i="9"/>
  <c r="AE125" i="9" s="1"/>
  <c r="AF836" i="9"/>
  <c r="AB836" i="9"/>
  <c r="S622" i="9"/>
  <c r="V622" i="9"/>
  <c r="AB338" i="9"/>
  <c r="AF338" i="9"/>
  <c r="S1190" i="9"/>
  <c r="V1190" i="9"/>
  <c r="AF693" i="9"/>
  <c r="AB693" i="9"/>
  <c r="V1119" i="9"/>
  <c r="S1119" i="9"/>
  <c r="S480" i="9"/>
  <c r="V480" i="9"/>
  <c r="AF1190" i="9"/>
  <c r="AB1190" i="9"/>
  <c r="AF481" i="9"/>
  <c r="AB481" i="9"/>
  <c r="S338" i="9"/>
  <c r="V338" i="9"/>
  <c r="AB1049" i="9"/>
  <c r="AF1049" i="9"/>
  <c r="V551" i="9"/>
  <c r="S551" i="9"/>
  <c r="D128" i="9"/>
  <c r="C127" i="9"/>
  <c r="M127" i="9" s="1"/>
  <c r="M199" i="9" s="1"/>
  <c r="M271" i="9" s="1"/>
  <c r="M343" i="9" s="1"/>
  <c r="M415" i="9" s="1"/>
  <c r="M487" i="9" s="1"/>
  <c r="M559" i="9" s="1"/>
  <c r="M631" i="9" s="1"/>
  <c r="M703" i="9" s="1"/>
  <c r="M775" i="9" s="1"/>
  <c r="M847" i="9" s="1"/>
  <c r="M919" i="9" s="1"/>
  <c r="M991" i="9" s="1"/>
  <c r="M1063" i="9" s="1"/>
  <c r="M1135" i="9" s="1"/>
  <c r="M1207" i="9" s="1"/>
  <c r="M1279" i="9" s="1"/>
  <c r="S267" i="9"/>
  <c r="V267" i="9"/>
  <c r="AF1048" i="9"/>
  <c r="AB1048" i="9"/>
  <c r="V1261" i="9"/>
  <c r="S1261" i="9"/>
  <c r="V906" i="9"/>
  <c r="S906" i="9"/>
  <c r="S977" i="9"/>
  <c r="V977" i="9"/>
  <c r="AB978" i="9"/>
  <c r="AF978" i="9"/>
  <c r="AB694" i="9"/>
  <c r="AF694" i="9"/>
  <c r="AF623" i="9"/>
  <c r="AB623" i="9"/>
  <c r="S196" i="9"/>
  <c r="V196" i="9"/>
  <c r="AF1119" i="9"/>
  <c r="AB1119" i="9"/>
  <c r="AF1260" i="9"/>
  <c r="AB1260" i="9"/>
  <c r="S409" i="9"/>
  <c r="V409" i="9"/>
  <c r="K85" i="6"/>
  <c r="L84" i="6"/>
  <c r="M84" i="6" s="1"/>
  <c r="J97" i="6"/>
  <c r="J96" i="6"/>
  <c r="J217" i="6"/>
  <c r="H97" i="6"/>
  <c r="I97" i="6" s="1"/>
  <c r="B218" i="6"/>
  <c r="B98" i="6"/>
  <c r="C99" i="6"/>
  <c r="G97" i="6"/>
  <c r="K206" i="6"/>
  <c r="L205" i="6"/>
  <c r="M205" i="6" s="1"/>
  <c r="J97" i="9" l="1"/>
  <c r="AD21" i="9"/>
  <c r="Z21" i="9"/>
  <c r="W23" i="9"/>
  <c r="U24" i="9" s="1"/>
  <c r="AI21" i="9"/>
  <c r="T22" i="9"/>
  <c r="R23" i="9" s="1"/>
  <c r="AG21" i="9"/>
  <c r="H97" i="9"/>
  <c r="I97" i="9" s="1"/>
  <c r="L1120" i="9"/>
  <c r="L268" i="9"/>
  <c r="L694" i="9"/>
  <c r="L765" i="9"/>
  <c r="L1262" i="9"/>
  <c r="L907" i="9"/>
  <c r="L126" i="9"/>
  <c r="L836" i="9"/>
  <c r="L481" i="9"/>
  <c r="L552" i="9"/>
  <c r="L623" i="9"/>
  <c r="L978" i="9"/>
  <c r="L339" i="9"/>
  <c r="L197" i="9"/>
  <c r="L410" i="9"/>
  <c r="L1191" i="9"/>
  <c r="L1049" i="9"/>
  <c r="F837" i="9"/>
  <c r="F198" i="9"/>
  <c r="F340" i="9"/>
  <c r="F624" i="9"/>
  <c r="F766" i="9"/>
  <c r="F1050" i="9"/>
  <c r="F411" i="9"/>
  <c r="F979" i="9"/>
  <c r="F269" i="9"/>
  <c r="F553" i="9"/>
  <c r="F695" i="9"/>
  <c r="F1263" i="9"/>
  <c r="F908" i="9"/>
  <c r="F1121" i="9"/>
  <c r="F1192" i="9"/>
  <c r="F482" i="9"/>
  <c r="O127" i="9"/>
  <c r="Q127" i="9" s="1"/>
  <c r="Q199" i="9" s="1"/>
  <c r="Q271" i="9" s="1"/>
  <c r="Q343" i="9" s="1"/>
  <c r="Q415" i="9" s="1"/>
  <c r="Q487" i="9" s="1"/>
  <c r="Q559" i="9" s="1"/>
  <c r="Q631" i="9" s="1"/>
  <c r="Q703" i="9" s="1"/>
  <c r="Q775" i="9" s="1"/>
  <c r="Q847" i="9" s="1"/>
  <c r="Q919" i="9" s="1"/>
  <c r="Q991" i="9" s="1"/>
  <c r="Q1063" i="9" s="1"/>
  <c r="Q1135" i="9" s="1"/>
  <c r="Q1207" i="9" s="1"/>
  <c r="Q1279" i="9" s="1"/>
  <c r="N127" i="9"/>
  <c r="N199" i="9" s="1"/>
  <c r="N271" i="9" s="1"/>
  <c r="N343" i="9" s="1"/>
  <c r="N415" i="9" s="1"/>
  <c r="N487" i="9" s="1"/>
  <c r="N559" i="9" s="1"/>
  <c r="N631" i="9" s="1"/>
  <c r="N703" i="9" s="1"/>
  <c r="N775" i="9" s="1"/>
  <c r="N847" i="9" s="1"/>
  <c r="N919" i="9" s="1"/>
  <c r="N991" i="9" s="1"/>
  <c r="N1063" i="9" s="1"/>
  <c r="N1135" i="9" s="1"/>
  <c r="N1207" i="9" s="1"/>
  <c r="N1279" i="9" s="1"/>
  <c r="F127" i="9"/>
  <c r="AE126" i="9"/>
  <c r="S126" i="9"/>
  <c r="V126" i="9"/>
  <c r="AF695" i="9"/>
  <c r="AB695" i="9"/>
  <c r="V268" i="9"/>
  <c r="S268" i="9"/>
  <c r="S1049" i="9"/>
  <c r="V1049" i="9"/>
  <c r="AF1120" i="9"/>
  <c r="AB1120" i="9"/>
  <c r="AB553" i="9"/>
  <c r="AF553" i="9"/>
  <c r="S1191" i="9"/>
  <c r="V1191" i="9"/>
  <c r="V1262" i="9"/>
  <c r="S1262" i="9"/>
  <c r="S694" i="9"/>
  <c r="V694" i="9"/>
  <c r="AB197" i="9"/>
  <c r="AF197" i="9"/>
  <c r="S1120" i="9"/>
  <c r="V1120" i="9"/>
  <c r="S765" i="9"/>
  <c r="V765" i="9"/>
  <c r="AF1050" i="9"/>
  <c r="AB1050" i="9"/>
  <c r="S339" i="9"/>
  <c r="V339" i="9"/>
  <c r="V410" i="9"/>
  <c r="S410" i="9"/>
  <c r="AB908" i="9"/>
  <c r="AF908" i="9"/>
  <c r="S836" i="9"/>
  <c r="V836" i="9"/>
  <c r="AF766" i="9"/>
  <c r="AB766" i="9"/>
  <c r="V978" i="9"/>
  <c r="S978" i="9"/>
  <c r="D129" i="9"/>
  <c r="C128" i="9"/>
  <c r="M128" i="9" s="1"/>
  <c r="M200" i="9" s="1"/>
  <c r="M272" i="9" s="1"/>
  <c r="M344" i="9" s="1"/>
  <c r="M416" i="9" s="1"/>
  <c r="M488" i="9" s="1"/>
  <c r="M560" i="9" s="1"/>
  <c r="M632" i="9" s="1"/>
  <c r="M704" i="9" s="1"/>
  <c r="M776" i="9" s="1"/>
  <c r="M848" i="9" s="1"/>
  <c r="M920" i="9" s="1"/>
  <c r="M992" i="9" s="1"/>
  <c r="M1064" i="9" s="1"/>
  <c r="M1136" i="9" s="1"/>
  <c r="M1208" i="9" s="1"/>
  <c r="M1280" i="9" s="1"/>
  <c r="AB1121" i="9"/>
  <c r="AF1121" i="9"/>
  <c r="S552" i="9"/>
  <c r="V552" i="9"/>
  <c r="AF410" i="9"/>
  <c r="AB410" i="9"/>
  <c r="AF339" i="9"/>
  <c r="AB339" i="9"/>
  <c r="V907" i="9"/>
  <c r="S907" i="9"/>
  <c r="AB1191" i="9"/>
  <c r="AF1191" i="9"/>
  <c r="S481" i="9"/>
  <c r="V481" i="9"/>
  <c r="S623" i="9"/>
  <c r="V623" i="9"/>
  <c r="AF1262" i="9"/>
  <c r="AB1262" i="9"/>
  <c r="AF765" i="9"/>
  <c r="AB765" i="9"/>
  <c r="AF340" i="9"/>
  <c r="AB340" i="9"/>
  <c r="AF979" i="9"/>
  <c r="AB979" i="9"/>
  <c r="AF552" i="9"/>
  <c r="AB552" i="9"/>
  <c r="S197" i="9"/>
  <c r="V197" i="9"/>
  <c r="AF198" i="9"/>
  <c r="AB198" i="9"/>
  <c r="L85" i="6"/>
  <c r="M85" i="6" s="1"/>
  <c r="K86" i="6"/>
  <c r="H98" i="6"/>
  <c r="I98" i="6" s="1"/>
  <c r="C100" i="6"/>
  <c r="B99" i="6"/>
  <c r="K207" i="6"/>
  <c r="L206" i="6"/>
  <c r="M206" i="6" s="1"/>
  <c r="G98" i="6"/>
  <c r="J218" i="6"/>
  <c r="B219" i="6"/>
  <c r="J98" i="9" l="1"/>
  <c r="Y21" i="9"/>
  <c r="X22" i="9" s="1"/>
  <c r="Z22" i="9" s="1"/>
  <c r="AH21" i="9"/>
  <c r="AC21" i="9" a="1"/>
  <c r="AC21" i="9" s="1"/>
  <c r="AA22" i="9" s="1"/>
  <c r="T23" i="9"/>
  <c r="W24" i="9"/>
  <c r="U25" i="9" s="1"/>
  <c r="H98" i="9"/>
  <c r="I98" i="9" s="1"/>
  <c r="L411" i="9"/>
  <c r="L1050" i="9"/>
  <c r="L624" i="9"/>
  <c r="L269" i="9"/>
  <c r="L1192" i="9"/>
  <c r="L340" i="9"/>
  <c r="L766" i="9"/>
  <c r="L1121" i="9"/>
  <c r="L198" i="9"/>
  <c r="L908" i="9"/>
  <c r="L837" i="9"/>
  <c r="L482" i="9"/>
  <c r="L1263" i="9"/>
  <c r="L979" i="9"/>
  <c r="L127" i="9"/>
  <c r="L695" i="9"/>
  <c r="L553" i="9"/>
  <c r="F1193" i="9"/>
  <c r="F1051" i="9"/>
  <c r="F270" i="9"/>
  <c r="F980" i="9"/>
  <c r="F483" i="9"/>
  <c r="F1122" i="9"/>
  <c r="F767" i="9"/>
  <c r="F838" i="9"/>
  <c r="F199" i="9"/>
  <c r="F554" i="9"/>
  <c r="F625" i="9"/>
  <c r="F696" i="9"/>
  <c r="F1264" i="9"/>
  <c r="F341" i="9"/>
  <c r="F412" i="9"/>
  <c r="F909" i="9"/>
  <c r="AB127" i="9"/>
  <c r="AF127" i="9"/>
  <c r="AE127" i="9" s="1"/>
  <c r="O199" i="9"/>
  <c r="O271" i="9" s="1"/>
  <c r="O343" i="9" s="1"/>
  <c r="O415" i="9" s="1"/>
  <c r="O487" i="9" s="1"/>
  <c r="O559" i="9" s="1"/>
  <c r="O631" i="9" s="1"/>
  <c r="O703" i="9" s="1"/>
  <c r="O775" i="9" s="1"/>
  <c r="O847" i="9" s="1"/>
  <c r="O919" i="9" s="1"/>
  <c r="O991" i="9" s="1"/>
  <c r="O1063" i="9" s="1"/>
  <c r="O1135" i="9" s="1"/>
  <c r="O1207" i="9" s="1"/>
  <c r="O1279" i="9" s="1"/>
  <c r="P127" i="9"/>
  <c r="P199" i="9" s="1"/>
  <c r="P271" i="9" s="1"/>
  <c r="P343" i="9" s="1"/>
  <c r="P415" i="9" s="1"/>
  <c r="P487" i="9" s="1"/>
  <c r="P559" i="9" s="1"/>
  <c r="P631" i="9" s="1"/>
  <c r="P703" i="9" s="1"/>
  <c r="P775" i="9" s="1"/>
  <c r="P847" i="9" s="1"/>
  <c r="P919" i="9" s="1"/>
  <c r="P991" i="9" s="1"/>
  <c r="P1063" i="9" s="1"/>
  <c r="P1135" i="9" s="1"/>
  <c r="P1207" i="9" s="1"/>
  <c r="P1279" i="9" s="1"/>
  <c r="N128" i="9"/>
  <c r="N200" i="9" s="1"/>
  <c r="N272" i="9" s="1"/>
  <c r="N344" i="9" s="1"/>
  <c r="N416" i="9" s="1"/>
  <c r="N488" i="9" s="1"/>
  <c r="N560" i="9" s="1"/>
  <c r="N632" i="9" s="1"/>
  <c r="N704" i="9" s="1"/>
  <c r="N776" i="9" s="1"/>
  <c r="N848" i="9" s="1"/>
  <c r="N920" i="9" s="1"/>
  <c r="N992" i="9" s="1"/>
  <c r="N1064" i="9" s="1"/>
  <c r="N1136" i="9" s="1"/>
  <c r="N1208" i="9" s="1"/>
  <c r="N1280" i="9" s="1"/>
  <c r="F128" i="9"/>
  <c r="S269" i="9"/>
  <c r="V269" i="9"/>
  <c r="AB412" i="9"/>
  <c r="AF412" i="9"/>
  <c r="AB837" i="9"/>
  <c r="AF837" i="9"/>
  <c r="S1050" i="9"/>
  <c r="V1050" i="9"/>
  <c r="AB980" i="9"/>
  <c r="AF980" i="9"/>
  <c r="V766" i="9"/>
  <c r="S766" i="9"/>
  <c r="AF625" i="9"/>
  <c r="AB625" i="9"/>
  <c r="V340" i="9"/>
  <c r="S340" i="9"/>
  <c r="AB270" i="9"/>
  <c r="AF270" i="9"/>
  <c r="AF1051" i="9"/>
  <c r="AB1051" i="9"/>
  <c r="AF411" i="9"/>
  <c r="AB411" i="9"/>
  <c r="C129" i="9"/>
  <c r="D130" i="9"/>
  <c r="AF269" i="9"/>
  <c r="AB269" i="9"/>
  <c r="S1263" i="9"/>
  <c r="V1263" i="9"/>
  <c r="V127" i="9"/>
  <c r="S127" i="9"/>
  <c r="AF624" i="9"/>
  <c r="AB624" i="9"/>
  <c r="S553" i="9"/>
  <c r="V553" i="9"/>
  <c r="S979" i="9"/>
  <c r="V979" i="9"/>
  <c r="AF1193" i="9"/>
  <c r="AB1193" i="9"/>
  <c r="S908" i="9"/>
  <c r="V908" i="9"/>
  <c r="V482" i="9"/>
  <c r="S482" i="9"/>
  <c r="AF1122" i="9"/>
  <c r="AB1122" i="9"/>
  <c r="S1192" i="9"/>
  <c r="V1192" i="9"/>
  <c r="S1121" i="9"/>
  <c r="V1121" i="9"/>
  <c r="S695" i="9"/>
  <c r="V695" i="9"/>
  <c r="AF1263" i="9"/>
  <c r="AB1263" i="9"/>
  <c r="AF482" i="9"/>
  <c r="AB482" i="9"/>
  <c r="V624" i="9"/>
  <c r="S624" i="9"/>
  <c r="AF838" i="9"/>
  <c r="AB838" i="9"/>
  <c r="S411" i="9"/>
  <c r="V411" i="9"/>
  <c r="V837" i="9"/>
  <c r="S837" i="9"/>
  <c r="AF1192" i="9"/>
  <c r="AB1192" i="9"/>
  <c r="AF767" i="9"/>
  <c r="AB767" i="9"/>
  <c r="S198" i="9"/>
  <c r="V198" i="9"/>
  <c r="L86" i="6"/>
  <c r="M86" i="6" s="1"/>
  <c r="K87" i="6"/>
  <c r="J98" i="6"/>
  <c r="J219" i="6"/>
  <c r="K208" i="6"/>
  <c r="L207" i="6"/>
  <c r="M207" i="6" s="1"/>
  <c r="B220" i="6"/>
  <c r="C101" i="6"/>
  <c r="B100" i="6"/>
  <c r="H99" i="6"/>
  <c r="I99" i="6" s="1"/>
  <c r="G99" i="6"/>
  <c r="J99" i="9" l="1"/>
  <c r="AG22" i="9"/>
  <c r="AI22" i="9"/>
  <c r="AD22" i="9"/>
  <c r="W25" i="9"/>
  <c r="U26" i="9" s="1"/>
  <c r="R24" i="9"/>
  <c r="H99" i="9"/>
  <c r="I99" i="9" s="1"/>
  <c r="L909" i="9"/>
  <c r="L980" i="9"/>
  <c r="L412" i="9"/>
  <c r="L270" i="9"/>
  <c r="L341" i="9"/>
  <c r="L1051" i="9"/>
  <c r="L1264" i="9"/>
  <c r="L1193" i="9"/>
  <c r="L696" i="9"/>
  <c r="L128" i="9"/>
  <c r="L625" i="9"/>
  <c r="L554" i="9"/>
  <c r="L767" i="9"/>
  <c r="L1122" i="9"/>
  <c r="L199" i="9"/>
  <c r="L483" i="9"/>
  <c r="L838" i="9"/>
  <c r="F981" i="9"/>
  <c r="F413" i="9"/>
  <c r="F768" i="9"/>
  <c r="F626" i="9"/>
  <c r="F200" i="9"/>
  <c r="F1123" i="9"/>
  <c r="F1052" i="9"/>
  <c r="F484" i="9"/>
  <c r="F910" i="9"/>
  <c r="F1194" i="9"/>
  <c r="F697" i="9"/>
  <c r="F555" i="9"/>
  <c r="F271" i="9"/>
  <c r="F342" i="9"/>
  <c r="F839" i="9"/>
  <c r="F1265" i="9"/>
  <c r="AB199" i="9"/>
  <c r="AF199" i="9"/>
  <c r="N129" i="9"/>
  <c r="N201" i="9" s="1"/>
  <c r="N273" i="9" s="1"/>
  <c r="N345" i="9" s="1"/>
  <c r="N417" i="9" s="1"/>
  <c r="N489" i="9" s="1"/>
  <c r="N561" i="9" s="1"/>
  <c r="N633" i="9" s="1"/>
  <c r="N705" i="9" s="1"/>
  <c r="N777" i="9" s="1"/>
  <c r="N849" i="9" s="1"/>
  <c r="N921" i="9" s="1"/>
  <c r="N993" i="9" s="1"/>
  <c r="N1065" i="9" s="1"/>
  <c r="N1137" i="9" s="1"/>
  <c r="N1209" i="9" s="1"/>
  <c r="N1281" i="9" s="1"/>
  <c r="F129" i="9"/>
  <c r="M129" i="9"/>
  <c r="M201" i="9" s="1"/>
  <c r="M273" i="9" s="1"/>
  <c r="M345" i="9" s="1"/>
  <c r="M417" i="9" s="1"/>
  <c r="M489" i="9" s="1"/>
  <c r="M561" i="9" s="1"/>
  <c r="M633" i="9" s="1"/>
  <c r="M705" i="9" s="1"/>
  <c r="M777" i="9" s="1"/>
  <c r="M849" i="9" s="1"/>
  <c r="M921" i="9" s="1"/>
  <c r="M993" i="9" s="1"/>
  <c r="M1065" i="9" s="1"/>
  <c r="M1137" i="9" s="1"/>
  <c r="M1209" i="9" s="1"/>
  <c r="M1281" i="9" s="1"/>
  <c r="O129" i="9"/>
  <c r="O128" i="9"/>
  <c r="AF910" i="9"/>
  <c r="AB910" i="9"/>
  <c r="S1264" i="9"/>
  <c r="V1264" i="9"/>
  <c r="V980" i="9"/>
  <c r="S980" i="9"/>
  <c r="AF1265" i="9"/>
  <c r="AB1265" i="9"/>
  <c r="AF483" i="9"/>
  <c r="AB483" i="9"/>
  <c r="S838" i="9"/>
  <c r="V838" i="9"/>
  <c r="S1122" i="9"/>
  <c r="V1122" i="9"/>
  <c r="AB1264" i="9"/>
  <c r="AF1264" i="9"/>
  <c r="S909" i="9"/>
  <c r="V909" i="9"/>
  <c r="S483" i="9"/>
  <c r="V483" i="9"/>
  <c r="V128" i="9"/>
  <c r="V1193" i="9"/>
  <c r="S1193" i="9"/>
  <c r="S554" i="9"/>
  <c r="V554" i="9"/>
  <c r="C130" i="9"/>
  <c r="D131" i="9"/>
  <c r="S412" i="9"/>
  <c r="V412" i="9"/>
  <c r="AF1052" i="9"/>
  <c r="AB1052" i="9"/>
  <c r="AB484" i="9"/>
  <c r="AF484" i="9"/>
  <c r="S341" i="9"/>
  <c r="V341" i="9"/>
  <c r="AB839" i="9"/>
  <c r="AF839" i="9"/>
  <c r="V696" i="9"/>
  <c r="S696" i="9"/>
  <c r="AF554" i="9"/>
  <c r="AB554" i="9"/>
  <c r="S625" i="9"/>
  <c r="V625" i="9"/>
  <c r="V199" i="9"/>
  <c r="S199" i="9"/>
  <c r="AF341" i="9"/>
  <c r="AB341" i="9"/>
  <c r="AF1123" i="9"/>
  <c r="AB1123" i="9"/>
  <c r="AB342" i="9"/>
  <c r="AF342" i="9"/>
  <c r="S270" i="9"/>
  <c r="V270" i="9"/>
  <c r="S767" i="9"/>
  <c r="V767" i="9"/>
  <c r="AF1194" i="9"/>
  <c r="AB1194" i="9"/>
  <c r="V1051" i="9"/>
  <c r="S1051" i="9"/>
  <c r="AF696" i="9"/>
  <c r="AB696" i="9"/>
  <c r="AF697" i="9"/>
  <c r="AB697" i="9"/>
  <c r="AF271" i="9"/>
  <c r="AB271" i="9"/>
  <c r="AB909" i="9"/>
  <c r="AF909" i="9"/>
  <c r="L87" i="6"/>
  <c r="M87" i="6" s="1"/>
  <c r="K88" i="6"/>
  <c r="J99" i="6"/>
  <c r="H100" i="6"/>
  <c r="I100" i="6" s="1"/>
  <c r="B101" i="6"/>
  <c r="C102" i="6"/>
  <c r="B221" i="6"/>
  <c r="J220" i="6"/>
  <c r="K209" i="6" s="1"/>
  <c r="G100" i="6"/>
  <c r="L208" i="6"/>
  <c r="M208" i="6" s="1"/>
  <c r="J100" i="9" l="1"/>
  <c r="AC22" i="9" a="1"/>
  <c r="AC22" i="9" s="1"/>
  <c r="AA23" i="9" s="1"/>
  <c r="Y22" i="9"/>
  <c r="X23" i="9" s="1"/>
  <c r="AH22" i="9"/>
  <c r="T24" i="9"/>
  <c r="W26" i="9"/>
  <c r="U27" i="9" s="1"/>
  <c r="H100" i="9"/>
  <c r="I100" i="9" s="1"/>
  <c r="L981" i="9"/>
  <c r="L1194" i="9"/>
  <c r="L910" i="9"/>
  <c r="L129" i="9"/>
  <c r="L484" i="9"/>
  <c r="L1052" i="9"/>
  <c r="L1123" i="9"/>
  <c r="L200" i="9"/>
  <c r="L1265" i="9"/>
  <c r="L626" i="9"/>
  <c r="L555" i="9"/>
  <c r="L839" i="9"/>
  <c r="L768" i="9"/>
  <c r="L271" i="9"/>
  <c r="L697" i="9"/>
  <c r="L342" i="9"/>
  <c r="L413" i="9"/>
  <c r="F911" i="9"/>
  <c r="F840" i="9"/>
  <c r="F414" i="9"/>
  <c r="F556" i="9"/>
  <c r="F485" i="9"/>
  <c r="F627" i="9"/>
  <c r="F1195" i="9"/>
  <c r="F769" i="9"/>
  <c r="F272" i="9"/>
  <c r="F1266" i="9"/>
  <c r="F698" i="9"/>
  <c r="F982" i="9"/>
  <c r="F201" i="9"/>
  <c r="F343" i="9"/>
  <c r="F1124" i="9"/>
  <c r="F1053" i="9"/>
  <c r="Q128" i="9"/>
  <c r="Q200" i="9" s="1"/>
  <c r="Q272" i="9" s="1"/>
  <c r="Q344" i="9" s="1"/>
  <c r="Q416" i="9" s="1"/>
  <c r="Q488" i="9" s="1"/>
  <c r="Q560" i="9" s="1"/>
  <c r="Q632" i="9" s="1"/>
  <c r="Q704" i="9" s="1"/>
  <c r="Q776" i="9" s="1"/>
  <c r="Q848" i="9" s="1"/>
  <c r="Q920" i="9" s="1"/>
  <c r="Q992" i="9" s="1"/>
  <c r="Q1064" i="9" s="1"/>
  <c r="Q1136" i="9" s="1"/>
  <c r="Q1208" i="9" s="1"/>
  <c r="Q1280" i="9" s="1"/>
  <c r="P128" i="9"/>
  <c r="P200" i="9" s="1"/>
  <c r="P272" i="9" s="1"/>
  <c r="P344" i="9" s="1"/>
  <c r="P416" i="9" s="1"/>
  <c r="P488" i="9" s="1"/>
  <c r="P560" i="9" s="1"/>
  <c r="P632" i="9" s="1"/>
  <c r="P704" i="9" s="1"/>
  <c r="P776" i="9" s="1"/>
  <c r="P848" i="9" s="1"/>
  <c r="P920" i="9" s="1"/>
  <c r="P992" i="9" s="1"/>
  <c r="P1064" i="9" s="1"/>
  <c r="P1136" i="9" s="1"/>
  <c r="P1208" i="9" s="1"/>
  <c r="P1280" i="9" s="1"/>
  <c r="O200" i="9"/>
  <c r="O272" i="9" s="1"/>
  <c r="O344" i="9" s="1"/>
  <c r="O416" i="9" s="1"/>
  <c r="O488" i="9" s="1"/>
  <c r="O560" i="9" s="1"/>
  <c r="O632" i="9" s="1"/>
  <c r="O704" i="9" s="1"/>
  <c r="O776" i="9" s="1"/>
  <c r="O848" i="9" s="1"/>
  <c r="O920" i="9" s="1"/>
  <c r="O992" i="9" s="1"/>
  <c r="O1064" i="9" s="1"/>
  <c r="O1136" i="9" s="1"/>
  <c r="O1208" i="9" s="1"/>
  <c r="O1280" i="9" s="1"/>
  <c r="Q129" i="9"/>
  <c r="Q201" i="9" s="1"/>
  <c r="Q273" i="9" s="1"/>
  <c r="Q345" i="9" s="1"/>
  <c r="Q417" i="9" s="1"/>
  <c r="Q489" i="9" s="1"/>
  <c r="Q561" i="9" s="1"/>
  <c r="Q633" i="9" s="1"/>
  <c r="Q705" i="9" s="1"/>
  <c r="Q777" i="9" s="1"/>
  <c r="Q849" i="9" s="1"/>
  <c r="Q921" i="9" s="1"/>
  <c r="Q993" i="9" s="1"/>
  <c r="Q1065" i="9" s="1"/>
  <c r="Q1137" i="9" s="1"/>
  <c r="Q1209" i="9" s="1"/>
  <c r="Q1281" i="9" s="1"/>
  <c r="P129" i="9"/>
  <c r="P201" i="9" s="1"/>
  <c r="P273" i="9" s="1"/>
  <c r="P345" i="9" s="1"/>
  <c r="P417" i="9" s="1"/>
  <c r="P489" i="9" s="1"/>
  <c r="P561" i="9" s="1"/>
  <c r="P633" i="9" s="1"/>
  <c r="P705" i="9" s="1"/>
  <c r="P777" i="9" s="1"/>
  <c r="P849" i="9" s="1"/>
  <c r="P921" i="9" s="1"/>
  <c r="P993" i="9" s="1"/>
  <c r="P1065" i="9" s="1"/>
  <c r="P1137" i="9" s="1"/>
  <c r="P1209" i="9" s="1"/>
  <c r="P1281" i="9" s="1"/>
  <c r="O201" i="9"/>
  <c r="O273" i="9" s="1"/>
  <c r="O345" i="9" s="1"/>
  <c r="O417" i="9" s="1"/>
  <c r="O489" i="9" s="1"/>
  <c r="O561" i="9" s="1"/>
  <c r="O633" i="9" s="1"/>
  <c r="O705" i="9" s="1"/>
  <c r="O777" i="9" s="1"/>
  <c r="O849" i="9" s="1"/>
  <c r="O921" i="9" s="1"/>
  <c r="O993" i="9" s="1"/>
  <c r="O1065" i="9" s="1"/>
  <c r="O1137" i="9" s="1"/>
  <c r="O1209" i="9" s="1"/>
  <c r="O1281" i="9" s="1"/>
  <c r="N130" i="9"/>
  <c r="N202" i="9" s="1"/>
  <c r="N274" i="9" s="1"/>
  <c r="N346" i="9" s="1"/>
  <c r="N418" i="9" s="1"/>
  <c r="N490" i="9" s="1"/>
  <c r="N562" i="9" s="1"/>
  <c r="N634" i="9" s="1"/>
  <c r="N706" i="9" s="1"/>
  <c r="N778" i="9" s="1"/>
  <c r="N850" i="9" s="1"/>
  <c r="N922" i="9" s="1"/>
  <c r="N994" i="9" s="1"/>
  <c r="N1066" i="9" s="1"/>
  <c r="N1138" i="9" s="1"/>
  <c r="N1210" i="9" s="1"/>
  <c r="N1282" i="9" s="1"/>
  <c r="F130" i="9"/>
  <c r="M130" i="9"/>
  <c r="M202" i="9" s="1"/>
  <c r="M274" i="9" s="1"/>
  <c r="M346" i="9" s="1"/>
  <c r="M418" i="9" s="1"/>
  <c r="M490" i="9" s="1"/>
  <c r="M562" i="9" s="1"/>
  <c r="M634" i="9" s="1"/>
  <c r="M706" i="9" s="1"/>
  <c r="M778" i="9" s="1"/>
  <c r="M850" i="9" s="1"/>
  <c r="M922" i="9" s="1"/>
  <c r="M994" i="9" s="1"/>
  <c r="M1066" i="9" s="1"/>
  <c r="M1138" i="9" s="1"/>
  <c r="M1210" i="9" s="1"/>
  <c r="M1282" i="9" s="1"/>
  <c r="O130" i="9"/>
  <c r="AB130" i="9" s="1"/>
  <c r="AF769" i="9"/>
  <c r="AB769" i="9"/>
  <c r="AF414" i="9"/>
  <c r="AB414" i="9"/>
  <c r="AB1195" i="9"/>
  <c r="AF1195" i="9"/>
  <c r="AB626" i="9"/>
  <c r="AF626" i="9"/>
  <c r="AF911" i="9"/>
  <c r="AB911" i="9"/>
  <c r="D132" i="9"/>
  <c r="C131" i="9"/>
  <c r="S1265" i="9"/>
  <c r="V1265" i="9"/>
  <c r="AF343" i="9"/>
  <c r="AB343" i="9"/>
  <c r="AB129" i="9"/>
  <c r="AF129" i="9"/>
  <c r="AF1266" i="9"/>
  <c r="AB1266" i="9"/>
  <c r="S342" i="9"/>
  <c r="V342" i="9"/>
  <c r="S129" i="9"/>
  <c r="V129" i="9"/>
  <c r="S697" i="9"/>
  <c r="V697" i="9"/>
  <c r="AF556" i="9"/>
  <c r="AB556" i="9"/>
  <c r="AF1124" i="9"/>
  <c r="AB1124" i="9"/>
  <c r="S484" i="9"/>
  <c r="V484" i="9"/>
  <c r="S626" i="9"/>
  <c r="V626" i="9"/>
  <c r="S981" i="9"/>
  <c r="V981" i="9"/>
  <c r="V910" i="9"/>
  <c r="S910" i="9"/>
  <c r="S1052" i="9"/>
  <c r="V1052" i="9"/>
  <c r="AB982" i="9"/>
  <c r="AF982" i="9"/>
  <c r="AF981" i="9"/>
  <c r="AB981" i="9"/>
  <c r="V1123" i="9"/>
  <c r="S1123" i="9"/>
  <c r="S271" i="9"/>
  <c r="V271" i="9"/>
  <c r="V555" i="9"/>
  <c r="S555" i="9"/>
  <c r="S1194" i="9"/>
  <c r="V1194" i="9"/>
  <c r="AF555" i="9"/>
  <c r="AB555" i="9"/>
  <c r="AB768" i="9"/>
  <c r="AF768" i="9"/>
  <c r="V839" i="9"/>
  <c r="S839" i="9"/>
  <c r="AF413" i="9"/>
  <c r="AB413" i="9"/>
  <c r="S768" i="9"/>
  <c r="V768" i="9"/>
  <c r="S413" i="9"/>
  <c r="V413" i="9"/>
  <c r="V200" i="9"/>
  <c r="L88" i="6"/>
  <c r="M88" i="6" s="1"/>
  <c r="J100" i="6"/>
  <c r="K89" i="6" s="1"/>
  <c r="L89" i="6" s="1"/>
  <c r="J221" i="6"/>
  <c r="J101" i="6"/>
  <c r="H101" i="6"/>
  <c r="I101" i="6" s="1"/>
  <c r="B102" i="6"/>
  <c r="C103" i="6"/>
  <c r="G101" i="6"/>
  <c r="B222" i="6"/>
  <c r="K210" i="6"/>
  <c r="L209" i="6"/>
  <c r="M209" i="6" s="1"/>
  <c r="J101" i="9" l="1"/>
  <c r="AI23" i="9"/>
  <c r="Z23" i="9"/>
  <c r="AG23" i="9"/>
  <c r="AD23" i="9"/>
  <c r="W27" i="9"/>
  <c r="U28" i="9" s="1"/>
  <c r="R25" i="9"/>
  <c r="H101" i="9"/>
  <c r="I101" i="9" s="1"/>
  <c r="L1195" i="9"/>
  <c r="L769" i="9"/>
  <c r="L627" i="9"/>
  <c r="L1266" i="9"/>
  <c r="L485" i="9"/>
  <c r="L272" i="9"/>
  <c r="L1053" i="9"/>
  <c r="L556" i="9"/>
  <c r="L1124" i="9"/>
  <c r="L414" i="9"/>
  <c r="L343" i="9"/>
  <c r="L840" i="9"/>
  <c r="L130" i="9"/>
  <c r="L201" i="9"/>
  <c r="L911" i="9"/>
  <c r="L982" i="9"/>
  <c r="L698" i="9"/>
  <c r="F273" i="9"/>
  <c r="F1267" i="9"/>
  <c r="F983" i="9"/>
  <c r="F1054" i="9"/>
  <c r="F699" i="9"/>
  <c r="F770" i="9"/>
  <c r="F557" i="9"/>
  <c r="F1125" i="9"/>
  <c r="F628" i="9"/>
  <c r="F202" i="9"/>
  <c r="F1196" i="9"/>
  <c r="F344" i="9"/>
  <c r="F486" i="9"/>
  <c r="F415" i="9"/>
  <c r="F841" i="9"/>
  <c r="F912" i="9"/>
  <c r="AF130" i="9"/>
  <c r="N131" i="9"/>
  <c r="N203" i="9" s="1"/>
  <c r="N275" i="9" s="1"/>
  <c r="N347" i="9" s="1"/>
  <c r="N419" i="9" s="1"/>
  <c r="N491" i="9" s="1"/>
  <c r="N563" i="9" s="1"/>
  <c r="N635" i="9" s="1"/>
  <c r="N707" i="9" s="1"/>
  <c r="N779" i="9" s="1"/>
  <c r="N851" i="9" s="1"/>
  <c r="N923" i="9" s="1"/>
  <c r="N995" i="9" s="1"/>
  <c r="N1067" i="9" s="1"/>
  <c r="N1139" i="9" s="1"/>
  <c r="N1211" i="9" s="1"/>
  <c r="N1283" i="9" s="1"/>
  <c r="F131" i="9"/>
  <c r="Q130" i="9"/>
  <c r="Q202" i="9" s="1"/>
  <c r="Q274" i="9" s="1"/>
  <c r="Q346" i="9" s="1"/>
  <c r="Q418" i="9" s="1"/>
  <c r="Q490" i="9" s="1"/>
  <c r="Q562" i="9" s="1"/>
  <c r="Q634" i="9" s="1"/>
  <c r="Q706" i="9" s="1"/>
  <c r="Q778" i="9" s="1"/>
  <c r="Q850" i="9" s="1"/>
  <c r="Q922" i="9" s="1"/>
  <c r="Q994" i="9" s="1"/>
  <c r="Q1066" i="9" s="1"/>
  <c r="Q1138" i="9" s="1"/>
  <c r="Q1210" i="9" s="1"/>
  <c r="Q1282" i="9" s="1"/>
  <c r="P130" i="9"/>
  <c r="P202" i="9" s="1"/>
  <c r="P274" i="9" s="1"/>
  <c r="P346" i="9" s="1"/>
  <c r="P418" i="9" s="1"/>
  <c r="P490" i="9" s="1"/>
  <c r="P562" i="9" s="1"/>
  <c r="P634" i="9" s="1"/>
  <c r="P706" i="9" s="1"/>
  <c r="P778" i="9" s="1"/>
  <c r="P850" i="9" s="1"/>
  <c r="P922" i="9" s="1"/>
  <c r="P994" i="9" s="1"/>
  <c r="P1066" i="9" s="1"/>
  <c r="P1138" i="9" s="1"/>
  <c r="P1210" i="9" s="1"/>
  <c r="P1282" i="9" s="1"/>
  <c r="O202" i="9"/>
  <c r="O274" i="9" s="1"/>
  <c r="O346" i="9" s="1"/>
  <c r="O418" i="9" s="1"/>
  <c r="O490" i="9" s="1"/>
  <c r="O562" i="9" s="1"/>
  <c r="O634" i="9" s="1"/>
  <c r="O706" i="9" s="1"/>
  <c r="O778" i="9" s="1"/>
  <c r="O850" i="9" s="1"/>
  <c r="O922" i="9" s="1"/>
  <c r="O994" i="9" s="1"/>
  <c r="O1066" i="9" s="1"/>
  <c r="O1138" i="9" s="1"/>
  <c r="O1210" i="9" s="1"/>
  <c r="O1282" i="9" s="1"/>
  <c r="M131" i="9"/>
  <c r="M203" i="9" s="1"/>
  <c r="M275" i="9" s="1"/>
  <c r="M347" i="9" s="1"/>
  <c r="M419" i="9" s="1"/>
  <c r="M491" i="9" s="1"/>
  <c r="M563" i="9" s="1"/>
  <c r="M635" i="9" s="1"/>
  <c r="M707" i="9" s="1"/>
  <c r="M779" i="9" s="1"/>
  <c r="M851" i="9" s="1"/>
  <c r="M923" i="9" s="1"/>
  <c r="M995" i="9" s="1"/>
  <c r="M1067" i="9" s="1"/>
  <c r="M1139" i="9" s="1"/>
  <c r="M1211" i="9" s="1"/>
  <c r="M1283" i="9" s="1"/>
  <c r="O131" i="9"/>
  <c r="S200" i="9"/>
  <c r="AB128" i="9"/>
  <c r="AF128" i="9"/>
  <c r="AE128" i="9" s="1"/>
  <c r="AE129" i="9" s="1"/>
  <c r="S840" i="9"/>
  <c r="V840" i="9"/>
  <c r="AF627" i="9"/>
  <c r="AB627" i="9"/>
  <c r="S343" i="9"/>
  <c r="V343" i="9"/>
  <c r="AB1053" i="9"/>
  <c r="AF1053" i="9"/>
  <c r="V982" i="9"/>
  <c r="S982" i="9"/>
  <c r="S1053" i="9"/>
  <c r="V1053" i="9"/>
  <c r="S130" i="9"/>
  <c r="V130" i="9"/>
  <c r="AF628" i="9"/>
  <c r="AB628" i="9"/>
  <c r="S201" i="9"/>
  <c r="V201" i="9"/>
  <c r="D133" i="9"/>
  <c r="C132" i="9"/>
  <c r="M132" i="9" s="1"/>
  <c r="M204" i="9" s="1"/>
  <c r="M276" i="9" s="1"/>
  <c r="M348" i="9" s="1"/>
  <c r="M420" i="9" s="1"/>
  <c r="M492" i="9" s="1"/>
  <c r="M564" i="9" s="1"/>
  <c r="M636" i="9" s="1"/>
  <c r="M708" i="9" s="1"/>
  <c r="M780" i="9" s="1"/>
  <c r="M852" i="9" s="1"/>
  <c r="M924" i="9" s="1"/>
  <c r="M996" i="9" s="1"/>
  <c r="M1068" i="9" s="1"/>
  <c r="M1140" i="9" s="1"/>
  <c r="M1212" i="9" s="1"/>
  <c r="M1284" i="9" s="1"/>
  <c r="AB698" i="9"/>
  <c r="AF698" i="9"/>
  <c r="AF1267" i="9"/>
  <c r="AB1267" i="9"/>
  <c r="S128" i="9"/>
  <c r="V272" i="9"/>
  <c r="S272" i="9"/>
  <c r="AF200" i="9"/>
  <c r="AB200" i="9"/>
  <c r="S1195" i="9"/>
  <c r="V1195" i="9"/>
  <c r="S698" i="9"/>
  <c r="V698" i="9"/>
  <c r="AF1196" i="9"/>
  <c r="AB1196" i="9"/>
  <c r="V414" i="9"/>
  <c r="S414" i="9"/>
  <c r="AB841" i="9"/>
  <c r="AF841" i="9"/>
  <c r="S485" i="9"/>
  <c r="V485" i="9"/>
  <c r="AF485" i="9"/>
  <c r="AB485" i="9"/>
  <c r="AF840" i="9"/>
  <c r="AB840" i="9"/>
  <c r="S627" i="9"/>
  <c r="V627" i="9"/>
  <c r="V1124" i="9"/>
  <c r="S1124" i="9"/>
  <c r="S556" i="9"/>
  <c r="V556" i="9"/>
  <c r="AB201" i="9"/>
  <c r="AF201" i="9"/>
  <c r="AF983" i="9"/>
  <c r="AB983" i="9"/>
  <c r="AF486" i="9"/>
  <c r="AB486" i="9"/>
  <c r="V911" i="9"/>
  <c r="S911" i="9"/>
  <c r="V1266" i="9"/>
  <c r="S1266" i="9"/>
  <c r="AF1054" i="9"/>
  <c r="AB1054" i="9"/>
  <c r="S769" i="9"/>
  <c r="V769" i="9"/>
  <c r="AF415" i="9"/>
  <c r="AB415" i="9"/>
  <c r="M89" i="6"/>
  <c r="K90" i="6"/>
  <c r="L90" i="6" s="1"/>
  <c r="J102" i="6"/>
  <c r="H102" i="6"/>
  <c r="I102" i="6" s="1"/>
  <c r="J222" i="6"/>
  <c r="B223" i="6"/>
  <c r="G102" i="6"/>
  <c r="K211" i="6"/>
  <c r="L210" i="6"/>
  <c r="M210" i="6" s="1"/>
  <c r="C104" i="6"/>
  <c r="B103" i="6"/>
  <c r="J102" i="9" l="1"/>
  <c r="AC23" i="9" a="1"/>
  <c r="AC23" i="9" s="1"/>
  <c r="AA24" i="9" s="1"/>
  <c r="Y23" i="9"/>
  <c r="X24" i="9" s="1"/>
  <c r="AH23" i="9"/>
  <c r="T25" i="9"/>
  <c r="R26" i="9" s="1"/>
  <c r="W28" i="9"/>
  <c r="U29" i="9" s="1"/>
  <c r="H102" i="9"/>
  <c r="I102" i="9" s="1"/>
  <c r="L415" i="9"/>
  <c r="L1267" i="9"/>
  <c r="L699" i="9"/>
  <c r="L912" i="9"/>
  <c r="L1054" i="9"/>
  <c r="L841" i="9"/>
  <c r="L983" i="9"/>
  <c r="L486" i="9"/>
  <c r="L273" i="9"/>
  <c r="L344" i="9"/>
  <c r="L1196" i="9"/>
  <c r="L202" i="9"/>
  <c r="L628" i="9"/>
  <c r="L1125" i="9"/>
  <c r="L131" i="9"/>
  <c r="L557" i="9"/>
  <c r="L770" i="9"/>
  <c r="F416" i="9"/>
  <c r="F842" i="9"/>
  <c r="F1126" i="9"/>
  <c r="F487" i="9"/>
  <c r="F1197" i="9"/>
  <c r="F203" i="9"/>
  <c r="F1268" i="9"/>
  <c r="F771" i="9"/>
  <c r="F274" i="9"/>
  <c r="F913" i="9"/>
  <c r="F700" i="9"/>
  <c r="F1055" i="9"/>
  <c r="F984" i="9"/>
  <c r="F558" i="9"/>
  <c r="F629" i="9"/>
  <c r="F345" i="9"/>
  <c r="AE130" i="9"/>
  <c r="AB202" i="9"/>
  <c r="AF202" i="9"/>
  <c r="Q131" i="9"/>
  <c r="Q203" i="9" s="1"/>
  <c r="Q275" i="9" s="1"/>
  <c r="Q347" i="9" s="1"/>
  <c r="Q419" i="9" s="1"/>
  <c r="Q491" i="9" s="1"/>
  <c r="Q563" i="9" s="1"/>
  <c r="Q635" i="9" s="1"/>
  <c r="Q707" i="9" s="1"/>
  <c r="Q779" i="9" s="1"/>
  <c r="Q851" i="9" s="1"/>
  <c r="Q923" i="9" s="1"/>
  <c r="Q995" i="9" s="1"/>
  <c r="Q1067" i="9" s="1"/>
  <c r="Q1139" i="9" s="1"/>
  <c r="Q1211" i="9" s="1"/>
  <c r="Q1283" i="9" s="1"/>
  <c r="P131" i="9"/>
  <c r="P203" i="9" s="1"/>
  <c r="P275" i="9" s="1"/>
  <c r="P347" i="9" s="1"/>
  <c r="P419" i="9" s="1"/>
  <c r="P491" i="9" s="1"/>
  <c r="P563" i="9" s="1"/>
  <c r="P635" i="9" s="1"/>
  <c r="P707" i="9" s="1"/>
  <c r="P779" i="9" s="1"/>
  <c r="P851" i="9" s="1"/>
  <c r="P923" i="9" s="1"/>
  <c r="P995" i="9" s="1"/>
  <c r="P1067" i="9" s="1"/>
  <c r="P1139" i="9" s="1"/>
  <c r="P1211" i="9" s="1"/>
  <c r="P1283" i="9" s="1"/>
  <c r="O203" i="9"/>
  <c r="O275" i="9" s="1"/>
  <c r="O347" i="9" s="1"/>
  <c r="O419" i="9" s="1"/>
  <c r="O491" i="9" s="1"/>
  <c r="O563" i="9" s="1"/>
  <c r="O635" i="9" s="1"/>
  <c r="O707" i="9" s="1"/>
  <c r="O779" i="9" s="1"/>
  <c r="O851" i="9" s="1"/>
  <c r="O923" i="9" s="1"/>
  <c r="O995" i="9" s="1"/>
  <c r="O1067" i="9" s="1"/>
  <c r="O1139" i="9" s="1"/>
  <c r="O1211" i="9" s="1"/>
  <c r="O1283" i="9" s="1"/>
  <c r="N132" i="9"/>
  <c r="N204" i="9" s="1"/>
  <c r="N276" i="9" s="1"/>
  <c r="N348" i="9" s="1"/>
  <c r="N420" i="9" s="1"/>
  <c r="N492" i="9" s="1"/>
  <c r="N564" i="9" s="1"/>
  <c r="N636" i="9" s="1"/>
  <c r="N708" i="9" s="1"/>
  <c r="N780" i="9" s="1"/>
  <c r="N852" i="9" s="1"/>
  <c r="N924" i="9" s="1"/>
  <c r="N996" i="9" s="1"/>
  <c r="N1068" i="9" s="1"/>
  <c r="N1140" i="9" s="1"/>
  <c r="N1212" i="9" s="1"/>
  <c r="N1284" i="9" s="1"/>
  <c r="F132" i="9"/>
  <c r="O132" i="9"/>
  <c r="AF131" i="9"/>
  <c r="AB131" i="9"/>
  <c r="AB274" i="9"/>
  <c r="AF274" i="9"/>
  <c r="AF273" i="9"/>
  <c r="AB273" i="9"/>
  <c r="S1196" i="9"/>
  <c r="V1196" i="9"/>
  <c r="V770" i="9"/>
  <c r="S770" i="9"/>
  <c r="AF770" i="9"/>
  <c r="AB770" i="9"/>
  <c r="V415" i="9"/>
  <c r="S415" i="9"/>
  <c r="AF487" i="9"/>
  <c r="AB487" i="9"/>
  <c r="AB1126" i="9"/>
  <c r="AF1126" i="9"/>
  <c r="S983" i="9"/>
  <c r="V983" i="9"/>
  <c r="AF1055" i="9"/>
  <c r="AB1055" i="9"/>
  <c r="S699" i="9"/>
  <c r="V699" i="9"/>
  <c r="AB557" i="9"/>
  <c r="AF557" i="9"/>
  <c r="V486" i="9"/>
  <c r="S486" i="9"/>
  <c r="AB1268" i="9"/>
  <c r="AF1268" i="9"/>
  <c r="V344" i="9"/>
  <c r="AB1125" i="9"/>
  <c r="AF1125" i="9"/>
  <c r="V841" i="9"/>
  <c r="S841" i="9"/>
  <c r="AF558" i="9"/>
  <c r="AB558" i="9"/>
  <c r="V131" i="9"/>
  <c r="S131" i="9"/>
  <c r="AB912" i="9"/>
  <c r="AF912" i="9"/>
  <c r="S557" i="9"/>
  <c r="V557" i="9"/>
  <c r="S273" i="9"/>
  <c r="V273" i="9"/>
  <c r="S202" i="9"/>
  <c r="V202" i="9"/>
  <c r="S1054" i="9"/>
  <c r="V1054" i="9"/>
  <c r="S912" i="9"/>
  <c r="V912" i="9"/>
  <c r="V628" i="9"/>
  <c r="S628" i="9"/>
  <c r="AB913" i="9"/>
  <c r="AF913" i="9"/>
  <c r="S1267" i="9"/>
  <c r="V1267" i="9"/>
  <c r="AF272" i="9"/>
  <c r="AB272" i="9"/>
  <c r="S344" i="9"/>
  <c r="C133" i="9"/>
  <c r="O133" i="9" s="1"/>
  <c r="D134" i="9"/>
  <c r="AF700" i="9"/>
  <c r="AB700" i="9"/>
  <c r="S1125" i="9"/>
  <c r="V1125" i="9"/>
  <c r="AF699" i="9"/>
  <c r="AB699" i="9"/>
  <c r="M90" i="6"/>
  <c r="K91" i="6"/>
  <c r="K92" i="6" s="1"/>
  <c r="K93" i="6" s="1"/>
  <c r="J223" i="6"/>
  <c r="H103" i="6"/>
  <c r="I103" i="6" s="1"/>
  <c r="B224" i="6"/>
  <c r="G103" i="6"/>
  <c r="H104" i="6" s="1"/>
  <c r="I104" i="6" s="1"/>
  <c r="K212" i="6"/>
  <c r="L211" i="6"/>
  <c r="M211" i="6" s="1"/>
  <c r="C105" i="6"/>
  <c r="B104" i="6"/>
  <c r="J103" i="9" l="1"/>
  <c r="AD24" i="9"/>
  <c r="Z24" i="9"/>
  <c r="AG24" i="9"/>
  <c r="AI24" i="9"/>
  <c r="W29" i="9"/>
  <c r="U30" i="9" s="1"/>
  <c r="T26" i="9"/>
  <c r="R27" i="9" s="1"/>
  <c r="H103" i="9"/>
  <c r="I103" i="9" s="1"/>
  <c r="L700" i="9"/>
  <c r="L132" i="9"/>
  <c r="L416" i="9"/>
  <c r="L913" i="9"/>
  <c r="L274" i="9"/>
  <c r="L984" i="9"/>
  <c r="L771" i="9"/>
  <c r="L558" i="9"/>
  <c r="L1268" i="9"/>
  <c r="L203" i="9"/>
  <c r="L1055" i="9"/>
  <c r="L1197" i="9"/>
  <c r="L345" i="9"/>
  <c r="L487" i="9"/>
  <c r="L842" i="9"/>
  <c r="L629" i="9"/>
  <c r="L1126" i="9"/>
  <c r="F985" i="9"/>
  <c r="F1127" i="9"/>
  <c r="F417" i="9"/>
  <c r="F275" i="9"/>
  <c r="F772" i="9"/>
  <c r="F1269" i="9"/>
  <c r="F204" i="9"/>
  <c r="F701" i="9"/>
  <c r="F346" i="9"/>
  <c r="F1198" i="9"/>
  <c r="F559" i="9"/>
  <c r="F630" i="9"/>
  <c r="F843" i="9"/>
  <c r="F914" i="9"/>
  <c r="F1056" i="9"/>
  <c r="F488" i="9"/>
  <c r="AE131" i="9"/>
  <c r="Q132" i="9"/>
  <c r="Q204" i="9" s="1"/>
  <c r="Q276" i="9" s="1"/>
  <c r="Q348" i="9" s="1"/>
  <c r="Q420" i="9" s="1"/>
  <c r="Q492" i="9" s="1"/>
  <c r="Q564" i="9" s="1"/>
  <c r="Q636" i="9" s="1"/>
  <c r="Q708" i="9" s="1"/>
  <c r="Q780" i="9" s="1"/>
  <c r="Q852" i="9" s="1"/>
  <c r="Q924" i="9" s="1"/>
  <c r="Q996" i="9" s="1"/>
  <c r="Q1068" i="9" s="1"/>
  <c r="Q1140" i="9" s="1"/>
  <c r="Q1212" i="9" s="1"/>
  <c r="Q1284" i="9" s="1"/>
  <c r="P132" i="9"/>
  <c r="P204" i="9" s="1"/>
  <c r="P276" i="9" s="1"/>
  <c r="P348" i="9" s="1"/>
  <c r="P420" i="9" s="1"/>
  <c r="P492" i="9" s="1"/>
  <c r="P564" i="9" s="1"/>
  <c r="P636" i="9" s="1"/>
  <c r="P708" i="9" s="1"/>
  <c r="P780" i="9" s="1"/>
  <c r="P852" i="9" s="1"/>
  <c r="P924" i="9" s="1"/>
  <c r="P996" i="9" s="1"/>
  <c r="P1068" i="9" s="1"/>
  <c r="P1140" i="9" s="1"/>
  <c r="P1212" i="9" s="1"/>
  <c r="P1284" i="9" s="1"/>
  <c r="O204" i="9"/>
  <c r="O276" i="9" s="1"/>
  <c r="O348" i="9" s="1"/>
  <c r="O420" i="9" s="1"/>
  <c r="O492" i="9" s="1"/>
  <c r="O564" i="9" s="1"/>
  <c r="O636" i="9" s="1"/>
  <c r="O708" i="9" s="1"/>
  <c r="O780" i="9" s="1"/>
  <c r="O852" i="9" s="1"/>
  <c r="O924" i="9" s="1"/>
  <c r="O996" i="9" s="1"/>
  <c r="O1068" i="9" s="1"/>
  <c r="O1140" i="9" s="1"/>
  <c r="O1212" i="9" s="1"/>
  <c r="O1284" i="9" s="1"/>
  <c r="N133" i="9"/>
  <c r="N205" i="9" s="1"/>
  <c r="N277" i="9" s="1"/>
  <c r="N349" i="9" s="1"/>
  <c r="N421" i="9" s="1"/>
  <c r="N493" i="9" s="1"/>
  <c r="N565" i="9" s="1"/>
  <c r="N637" i="9" s="1"/>
  <c r="N709" i="9" s="1"/>
  <c r="N781" i="9" s="1"/>
  <c r="N853" i="9" s="1"/>
  <c r="N925" i="9" s="1"/>
  <c r="N997" i="9" s="1"/>
  <c r="N1069" i="9" s="1"/>
  <c r="N1141" i="9" s="1"/>
  <c r="N1213" i="9" s="1"/>
  <c r="N1285" i="9" s="1"/>
  <c r="F133" i="9"/>
  <c r="M133" i="9"/>
  <c r="M205" i="9" s="1"/>
  <c r="M277" i="9" s="1"/>
  <c r="M349" i="9" s="1"/>
  <c r="M421" i="9" s="1"/>
  <c r="M493" i="9" s="1"/>
  <c r="M565" i="9" s="1"/>
  <c r="M637" i="9" s="1"/>
  <c r="M709" i="9" s="1"/>
  <c r="M781" i="9" s="1"/>
  <c r="M853" i="9" s="1"/>
  <c r="M925" i="9" s="1"/>
  <c r="M997" i="9" s="1"/>
  <c r="M1069" i="9" s="1"/>
  <c r="M1141" i="9" s="1"/>
  <c r="M1213" i="9" s="1"/>
  <c r="M1285" i="9" s="1"/>
  <c r="Q133" i="9"/>
  <c r="Q205" i="9" s="1"/>
  <c r="Q277" i="9" s="1"/>
  <c r="Q349" i="9" s="1"/>
  <c r="Q421" i="9" s="1"/>
  <c r="Q493" i="9" s="1"/>
  <c r="Q565" i="9" s="1"/>
  <c r="Q637" i="9" s="1"/>
  <c r="Q709" i="9" s="1"/>
  <c r="Q781" i="9" s="1"/>
  <c r="Q853" i="9" s="1"/>
  <c r="Q925" i="9" s="1"/>
  <c r="Q997" i="9" s="1"/>
  <c r="Q1069" i="9" s="1"/>
  <c r="Q1141" i="9" s="1"/>
  <c r="Q1213" i="9" s="1"/>
  <c r="Q1285" i="9" s="1"/>
  <c r="P133" i="9"/>
  <c r="P205" i="9" s="1"/>
  <c r="P277" i="9" s="1"/>
  <c r="P349" i="9" s="1"/>
  <c r="P421" i="9" s="1"/>
  <c r="P493" i="9" s="1"/>
  <c r="P565" i="9" s="1"/>
  <c r="P637" i="9" s="1"/>
  <c r="P709" i="9" s="1"/>
  <c r="P781" i="9" s="1"/>
  <c r="P853" i="9" s="1"/>
  <c r="P925" i="9" s="1"/>
  <c r="P997" i="9" s="1"/>
  <c r="P1069" i="9" s="1"/>
  <c r="P1141" i="9" s="1"/>
  <c r="P1213" i="9" s="1"/>
  <c r="P1285" i="9" s="1"/>
  <c r="O205" i="9"/>
  <c r="O277" i="9" s="1"/>
  <c r="O349" i="9" s="1"/>
  <c r="O421" i="9" s="1"/>
  <c r="O493" i="9" s="1"/>
  <c r="O565" i="9" s="1"/>
  <c r="O637" i="9" s="1"/>
  <c r="O709" i="9" s="1"/>
  <c r="O781" i="9" s="1"/>
  <c r="O853" i="9" s="1"/>
  <c r="O925" i="9" s="1"/>
  <c r="O997" i="9" s="1"/>
  <c r="O1069" i="9" s="1"/>
  <c r="O1141" i="9" s="1"/>
  <c r="O1213" i="9" s="1"/>
  <c r="O1285" i="9" s="1"/>
  <c r="AB132" i="9"/>
  <c r="AF132" i="9"/>
  <c r="J104" i="9"/>
  <c r="V1197" i="9"/>
  <c r="S1197" i="9"/>
  <c r="C134" i="9"/>
  <c r="D135" i="9"/>
  <c r="V700" i="9"/>
  <c r="S700" i="9"/>
  <c r="V984" i="9"/>
  <c r="S984" i="9"/>
  <c r="S1126" i="9"/>
  <c r="V1126" i="9"/>
  <c r="AB984" i="9"/>
  <c r="AF984" i="9"/>
  <c r="S132" i="9"/>
  <c r="V132" i="9"/>
  <c r="AF1127" i="9"/>
  <c r="AB1127" i="9"/>
  <c r="S487" i="9"/>
  <c r="V487" i="9"/>
  <c r="AB346" i="9"/>
  <c r="AF346" i="9"/>
  <c r="AF771" i="9"/>
  <c r="AB771" i="9"/>
  <c r="S913" i="9"/>
  <c r="V913" i="9"/>
  <c r="V416" i="9"/>
  <c r="S771" i="9"/>
  <c r="V771" i="9"/>
  <c r="S1268" i="9"/>
  <c r="V1268" i="9"/>
  <c r="S345" i="9"/>
  <c r="V345" i="9"/>
  <c r="S629" i="9"/>
  <c r="V629" i="9"/>
  <c r="AF1197" i="9"/>
  <c r="AB1197" i="9"/>
  <c r="S558" i="9"/>
  <c r="V558" i="9"/>
  <c r="AF629" i="9"/>
  <c r="AB629" i="9"/>
  <c r="AF1198" i="9"/>
  <c r="AB1198" i="9"/>
  <c r="S842" i="9"/>
  <c r="V842" i="9"/>
  <c r="AF345" i="9"/>
  <c r="AB345" i="9"/>
  <c r="AF203" i="9"/>
  <c r="AB203" i="9"/>
  <c r="AB133" i="9"/>
  <c r="AF133" i="9"/>
  <c r="AF985" i="9"/>
  <c r="AB985" i="9"/>
  <c r="AB772" i="9"/>
  <c r="AF772" i="9"/>
  <c r="S416" i="9"/>
  <c r="AF344" i="9"/>
  <c r="AB344" i="9"/>
  <c r="S274" i="9"/>
  <c r="V274" i="9"/>
  <c r="V203" i="9"/>
  <c r="S203" i="9"/>
  <c r="AB630" i="9"/>
  <c r="AF630" i="9"/>
  <c r="V1055" i="9"/>
  <c r="S1055" i="9"/>
  <c r="AF559" i="9"/>
  <c r="AB559" i="9"/>
  <c r="AF842" i="9"/>
  <c r="AB842" i="9"/>
  <c r="L92" i="6"/>
  <c r="M92" i="6" s="1"/>
  <c r="L91" i="6"/>
  <c r="M91" i="6" s="1"/>
  <c r="G105" i="9" s="1"/>
  <c r="J103" i="6"/>
  <c r="J104" i="6"/>
  <c r="L212" i="6"/>
  <c r="M212" i="6" s="1"/>
  <c r="K213" i="6"/>
  <c r="K94" i="6"/>
  <c r="L93" i="6"/>
  <c r="M93" i="6" s="1"/>
  <c r="G104" i="6"/>
  <c r="B105" i="6"/>
  <c r="C106" i="6"/>
  <c r="J224" i="6"/>
  <c r="B225" i="6"/>
  <c r="G177" i="9" l="1"/>
  <c r="G249" i="9" s="1"/>
  <c r="G321" i="9" s="1"/>
  <c r="G393" i="9" s="1"/>
  <c r="G465" i="9" s="1"/>
  <c r="G537" i="9" s="1"/>
  <c r="G609" i="9" s="1"/>
  <c r="G681" i="9" s="1"/>
  <c r="G753" i="9" s="1"/>
  <c r="G825" i="9" s="1"/>
  <c r="G897" i="9" s="1"/>
  <c r="G969" i="9" s="1"/>
  <c r="G1041" i="9" s="1"/>
  <c r="G1113" i="9" s="1"/>
  <c r="G1185" i="9" s="1"/>
  <c r="G1257" i="9" s="1"/>
  <c r="G106" i="9"/>
  <c r="AH24" i="9"/>
  <c r="Y24" i="9"/>
  <c r="X25" i="9" s="1"/>
  <c r="AC24" i="9" a="1"/>
  <c r="AC24" i="9" s="1"/>
  <c r="AA25" i="9" s="1"/>
  <c r="T27" i="9"/>
  <c r="R28" i="9" s="1"/>
  <c r="W30" i="9"/>
  <c r="U31" i="9" s="1"/>
  <c r="H104" i="9"/>
  <c r="I104" i="9" s="1"/>
  <c r="L1269" i="9"/>
  <c r="L772" i="9"/>
  <c r="L204" i="9"/>
  <c r="L488" i="9"/>
  <c r="L275" i="9"/>
  <c r="L1056" i="9"/>
  <c r="L417" i="9"/>
  <c r="L914" i="9"/>
  <c r="L1127" i="9"/>
  <c r="L843" i="9"/>
  <c r="L985" i="9"/>
  <c r="L346" i="9"/>
  <c r="L630" i="9"/>
  <c r="L559" i="9"/>
  <c r="L701" i="9"/>
  <c r="L133" i="9"/>
  <c r="L1198" i="9"/>
  <c r="F702" i="9"/>
  <c r="F631" i="9"/>
  <c r="F844" i="9"/>
  <c r="F560" i="9"/>
  <c r="F1270" i="9"/>
  <c r="F347" i="9"/>
  <c r="F1128" i="9"/>
  <c r="F418" i="9"/>
  <c r="F489" i="9"/>
  <c r="F205" i="9"/>
  <c r="F986" i="9"/>
  <c r="F773" i="9"/>
  <c r="F1199" i="9"/>
  <c r="F915" i="9"/>
  <c r="F276" i="9"/>
  <c r="F1057" i="9"/>
  <c r="AF204" i="9"/>
  <c r="AE132" i="9"/>
  <c r="AE133" i="9" s="1"/>
  <c r="AB204" i="9"/>
  <c r="N134" i="9"/>
  <c r="N206" i="9" s="1"/>
  <c r="N278" i="9" s="1"/>
  <c r="N350" i="9" s="1"/>
  <c r="N422" i="9" s="1"/>
  <c r="N494" i="9" s="1"/>
  <c r="N566" i="9" s="1"/>
  <c r="N638" i="9" s="1"/>
  <c r="N710" i="9" s="1"/>
  <c r="N782" i="9" s="1"/>
  <c r="N854" i="9" s="1"/>
  <c r="N926" i="9" s="1"/>
  <c r="N998" i="9" s="1"/>
  <c r="N1070" i="9" s="1"/>
  <c r="N1142" i="9" s="1"/>
  <c r="N1214" i="9" s="1"/>
  <c r="N1286" i="9" s="1"/>
  <c r="F134" i="9"/>
  <c r="M134" i="9"/>
  <c r="M206" i="9" s="1"/>
  <c r="M278" i="9" s="1"/>
  <c r="M350" i="9" s="1"/>
  <c r="M422" i="9" s="1"/>
  <c r="M494" i="9" s="1"/>
  <c r="M566" i="9" s="1"/>
  <c r="M638" i="9" s="1"/>
  <c r="M710" i="9" s="1"/>
  <c r="M782" i="9" s="1"/>
  <c r="M854" i="9" s="1"/>
  <c r="M926" i="9" s="1"/>
  <c r="M998" i="9" s="1"/>
  <c r="M1070" i="9" s="1"/>
  <c r="M1142" i="9" s="1"/>
  <c r="M1214" i="9" s="1"/>
  <c r="M1286" i="9" s="1"/>
  <c r="O134" i="9"/>
  <c r="J105" i="9"/>
  <c r="AF631" i="9"/>
  <c r="AB631" i="9"/>
  <c r="AF276" i="9"/>
  <c r="AB276" i="9"/>
  <c r="AB1057" i="9"/>
  <c r="AF1057" i="9"/>
  <c r="AB417" i="9"/>
  <c r="AF417" i="9"/>
  <c r="S630" i="9"/>
  <c r="V630" i="9"/>
  <c r="S417" i="9"/>
  <c r="V417" i="9"/>
  <c r="AB1199" i="9"/>
  <c r="AF1199" i="9"/>
  <c r="V1198" i="9"/>
  <c r="S1198" i="9"/>
  <c r="S1269" i="9"/>
  <c r="V1269" i="9"/>
  <c r="AF914" i="9"/>
  <c r="AB914" i="9"/>
  <c r="AB702" i="9"/>
  <c r="AF702" i="9"/>
  <c r="S275" i="9"/>
  <c r="V275" i="9"/>
  <c r="S346" i="9"/>
  <c r="V346" i="9"/>
  <c r="AF844" i="9"/>
  <c r="AB844" i="9"/>
  <c r="AF275" i="9"/>
  <c r="AB275" i="9"/>
  <c r="S701" i="9"/>
  <c r="V701" i="9"/>
  <c r="V843" i="9"/>
  <c r="S843" i="9"/>
  <c r="S985" i="9"/>
  <c r="V985" i="9"/>
  <c r="S133" i="9"/>
  <c r="V133" i="9"/>
  <c r="AF418" i="9"/>
  <c r="AB418" i="9"/>
  <c r="V559" i="9"/>
  <c r="S559" i="9"/>
  <c r="AF1056" i="9"/>
  <c r="AB1056" i="9"/>
  <c r="AB416" i="9"/>
  <c r="S488" i="9"/>
  <c r="AF416" i="9"/>
  <c r="AF1270" i="9"/>
  <c r="AB1270" i="9"/>
  <c r="S772" i="9"/>
  <c r="V772" i="9"/>
  <c r="V1127" i="9"/>
  <c r="S1127" i="9"/>
  <c r="AB205" i="9"/>
  <c r="AF205" i="9"/>
  <c r="V914" i="9"/>
  <c r="S914" i="9"/>
  <c r="AF701" i="9"/>
  <c r="AB701" i="9"/>
  <c r="AF1269" i="9"/>
  <c r="AB1269" i="9"/>
  <c r="V488" i="9"/>
  <c r="AB843" i="9"/>
  <c r="AF843" i="9"/>
  <c r="S204" i="9"/>
  <c r="V204" i="9"/>
  <c r="S1056" i="9"/>
  <c r="V1056" i="9"/>
  <c r="D136" i="9"/>
  <c r="C135" i="9"/>
  <c r="H105" i="6"/>
  <c r="I105" i="6" s="1"/>
  <c r="G105" i="6"/>
  <c r="H106" i="6" s="1"/>
  <c r="I106" i="6" s="1"/>
  <c r="K214" i="6"/>
  <c r="L213" i="6"/>
  <c r="M213" i="6" s="1"/>
  <c r="B106" i="6"/>
  <c r="C107" i="6"/>
  <c r="J225" i="6"/>
  <c r="B226" i="6"/>
  <c r="K95" i="6"/>
  <c r="L94" i="6"/>
  <c r="M94" i="6" s="1"/>
  <c r="G178" i="9" l="1"/>
  <c r="G250" i="9" s="1"/>
  <c r="G322" i="9" s="1"/>
  <c r="G394" i="9" s="1"/>
  <c r="G466" i="9" s="1"/>
  <c r="G538" i="9" s="1"/>
  <c r="G610" i="9" s="1"/>
  <c r="G682" i="9" s="1"/>
  <c r="G754" i="9" s="1"/>
  <c r="G826" i="9" s="1"/>
  <c r="G898" i="9" s="1"/>
  <c r="G970" i="9" s="1"/>
  <c r="G1042" i="9" s="1"/>
  <c r="G1114" i="9" s="1"/>
  <c r="G1186" i="9" s="1"/>
  <c r="G1258" i="9" s="1"/>
  <c r="G107" i="9"/>
  <c r="AD25" i="9"/>
  <c r="Z25" i="9"/>
  <c r="AG25" i="9"/>
  <c r="AI25" i="9"/>
  <c r="T28" i="9"/>
  <c r="W31" i="9"/>
  <c r="U32" i="9" s="1"/>
  <c r="H105" i="9"/>
  <c r="I105" i="9" s="1"/>
  <c r="L1057" i="9"/>
  <c r="L560" i="9"/>
  <c r="L276" i="9"/>
  <c r="L844" i="9"/>
  <c r="L915" i="9"/>
  <c r="L631" i="9"/>
  <c r="L1199" i="9"/>
  <c r="L702" i="9"/>
  <c r="L1270" i="9"/>
  <c r="L773" i="9"/>
  <c r="L986" i="9"/>
  <c r="L134" i="9"/>
  <c r="L205" i="9"/>
  <c r="L1128" i="9"/>
  <c r="L489" i="9"/>
  <c r="L347" i="9"/>
  <c r="L418" i="9"/>
  <c r="F277" i="9"/>
  <c r="F206" i="9"/>
  <c r="F845" i="9"/>
  <c r="F419" i="9"/>
  <c r="F1058" i="9"/>
  <c r="F1129" i="9"/>
  <c r="F561" i="9"/>
  <c r="F987" i="9"/>
  <c r="F632" i="9"/>
  <c r="F490" i="9"/>
  <c r="F348" i="9"/>
  <c r="F916" i="9"/>
  <c r="F703" i="9"/>
  <c r="F1271" i="9"/>
  <c r="F1200" i="9"/>
  <c r="F774" i="9"/>
  <c r="Q134" i="9"/>
  <c r="Q206" i="9" s="1"/>
  <c r="Q278" i="9" s="1"/>
  <c r="Q350" i="9" s="1"/>
  <c r="Q422" i="9" s="1"/>
  <c r="Q494" i="9" s="1"/>
  <c r="Q566" i="9" s="1"/>
  <c r="Q638" i="9" s="1"/>
  <c r="Q710" i="9" s="1"/>
  <c r="Q782" i="9" s="1"/>
  <c r="Q854" i="9" s="1"/>
  <c r="Q926" i="9" s="1"/>
  <c r="Q998" i="9" s="1"/>
  <c r="Q1070" i="9" s="1"/>
  <c r="Q1142" i="9" s="1"/>
  <c r="Q1214" i="9" s="1"/>
  <c r="Q1286" i="9" s="1"/>
  <c r="P134" i="9"/>
  <c r="P206" i="9" s="1"/>
  <c r="P278" i="9" s="1"/>
  <c r="P350" i="9" s="1"/>
  <c r="P422" i="9" s="1"/>
  <c r="P494" i="9" s="1"/>
  <c r="P566" i="9" s="1"/>
  <c r="P638" i="9" s="1"/>
  <c r="P710" i="9" s="1"/>
  <c r="P782" i="9" s="1"/>
  <c r="P854" i="9" s="1"/>
  <c r="P926" i="9" s="1"/>
  <c r="P998" i="9" s="1"/>
  <c r="P1070" i="9" s="1"/>
  <c r="P1142" i="9" s="1"/>
  <c r="P1214" i="9" s="1"/>
  <c r="P1286" i="9" s="1"/>
  <c r="O206" i="9"/>
  <c r="O278" i="9" s="1"/>
  <c r="O350" i="9" s="1"/>
  <c r="O422" i="9" s="1"/>
  <c r="O494" i="9" s="1"/>
  <c r="O566" i="9" s="1"/>
  <c r="O638" i="9" s="1"/>
  <c r="O710" i="9" s="1"/>
  <c r="O782" i="9" s="1"/>
  <c r="O854" i="9" s="1"/>
  <c r="O926" i="9" s="1"/>
  <c r="O998" i="9" s="1"/>
  <c r="O1070" i="9" s="1"/>
  <c r="O1142" i="9" s="1"/>
  <c r="O1214" i="9" s="1"/>
  <c r="O1286" i="9" s="1"/>
  <c r="N135" i="9"/>
  <c r="N207" i="9" s="1"/>
  <c r="N279" i="9" s="1"/>
  <c r="N351" i="9" s="1"/>
  <c r="N423" i="9" s="1"/>
  <c r="N495" i="9" s="1"/>
  <c r="N567" i="9" s="1"/>
  <c r="N639" i="9" s="1"/>
  <c r="N711" i="9" s="1"/>
  <c r="N783" i="9" s="1"/>
  <c r="N855" i="9" s="1"/>
  <c r="N927" i="9" s="1"/>
  <c r="N999" i="9" s="1"/>
  <c r="N1071" i="9" s="1"/>
  <c r="N1143" i="9" s="1"/>
  <c r="N1215" i="9" s="1"/>
  <c r="N1287" i="9" s="1"/>
  <c r="F135" i="9"/>
  <c r="M135" i="9"/>
  <c r="M207" i="9" s="1"/>
  <c r="M279" i="9" s="1"/>
  <c r="M351" i="9" s="1"/>
  <c r="M423" i="9" s="1"/>
  <c r="M495" i="9" s="1"/>
  <c r="M567" i="9" s="1"/>
  <c r="M639" i="9" s="1"/>
  <c r="M711" i="9" s="1"/>
  <c r="M783" i="9" s="1"/>
  <c r="M855" i="9" s="1"/>
  <c r="M927" i="9" s="1"/>
  <c r="M999" i="9" s="1"/>
  <c r="M1071" i="9" s="1"/>
  <c r="M1143" i="9" s="1"/>
  <c r="M1215" i="9" s="1"/>
  <c r="M1287" i="9" s="1"/>
  <c r="O135" i="9"/>
  <c r="AF135" i="9" s="1"/>
  <c r="J106" i="9"/>
  <c r="S1128" i="9"/>
  <c r="V1128" i="9"/>
  <c r="AF773" i="9"/>
  <c r="AB773" i="9"/>
  <c r="S844" i="9"/>
  <c r="V844" i="9"/>
  <c r="S773" i="9"/>
  <c r="V773" i="9"/>
  <c r="AB916" i="9"/>
  <c r="AF916" i="9"/>
  <c r="S347" i="9"/>
  <c r="V347" i="9"/>
  <c r="D137" i="9"/>
  <c r="C136" i="9"/>
  <c r="O136" i="9" s="1"/>
  <c r="AF915" i="9"/>
  <c r="AB915" i="9"/>
  <c r="S1199" i="9"/>
  <c r="V1199" i="9"/>
  <c r="S631" i="9"/>
  <c r="V631" i="9"/>
  <c r="S205" i="9"/>
  <c r="V205" i="9"/>
  <c r="V915" i="9"/>
  <c r="S915" i="9"/>
  <c r="AF347" i="9"/>
  <c r="AB347" i="9"/>
  <c r="AF774" i="9"/>
  <c r="AB774" i="9"/>
  <c r="S134" i="9"/>
  <c r="V134" i="9"/>
  <c r="S702" i="9"/>
  <c r="V702" i="9"/>
  <c r="AB1129" i="9"/>
  <c r="AF1129" i="9"/>
  <c r="V986" i="9"/>
  <c r="S986" i="9"/>
  <c r="AF277" i="9"/>
  <c r="AB277" i="9"/>
  <c r="AB488" i="9"/>
  <c r="S560" i="9"/>
  <c r="AF488" i="9"/>
  <c r="AF1128" i="9"/>
  <c r="AB1128" i="9"/>
  <c r="AF490" i="9"/>
  <c r="AB490" i="9"/>
  <c r="S1057" i="9"/>
  <c r="V1057" i="9"/>
  <c r="AF1271" i="9"/>
  <c r="AB1271" i="9"/>
  <c r="S489" i="9"/>
  <c r="V489" i="9"/>
  <c r="AF489" i="9"/>
  <c r="AB489" i="9"/>
  <c r="AF348" i="9"/>
  <c r="AB348" i="9"/>
  <c r="V276" i="9"/>
  <c r="S276" i="9"/>
  <c r="V560" i="9"/>
  <c r="AF134" i="9"/>
  <c r="AE134" i="9" s="1"/>
  <c r="AB134" i="9"/>
  <c r="V418" i="9"/>
  <c r="S418" i="9"/>
  <c r="AB986" i="9"/>
  <c r="AF986" i="9"/>
  <c r="V1270" i="9"/>
  <c r="S1270" i="9"/>
  <c r="AF703" i="9"/>
  <c r="AB703" i="9"/>
  <c r="J105" i="6"/>
  <c r="G106" i="6"/>
  <c r="H107" i="6" s="1"/>
  <c r="I107" i="6" s="1"/>
  <c r="J226" i="6"/>
  <c r="B227" i="6"/>
  <c r="K96" i="6"/>
  <c r="L95" i="6"/>
  <c r="M95" i="6" s="1"/>
  <c r="C108" i="6"/>
  <c r="B107" i="6"/>
  <c r="K215" i="6"/>
  <c r="L214" i="6"/>
  <c r="M214" i="6" s="1"/>
  <c r="G179" i="9" l="1"/>
  <c r="G251" i="9" s="1"/>
  <c r="G323" i="9" s="1"/>
  <c r="G395" i="9" s="1"/>
  <c r="G467" i="9" s="1"/>
  <c r="G539" i="9" s="1"/>
  <c r="G611" i="9" s="1"/>
  <c r="G683" i="9" s="1"/>
  <c r="G755" i="9" s="1"/>
  <c r="G827" i="9" s="1"/>
  <c r="G899" i="9" s="1"/>
  <c r="G971" i="9" s="1"/>
  <c r="G1043" i="9" s="1"/>
  <c r="G1115" i="9" s="1"/>
  <c r="G1187" i="9" s="1"/>
  <c r="G1259" i="9" s="1"/>
  <c r="G108" i="9"/>
  <c r="Y25" i="9"/>
  <c r="X26" i="9" s="1"/>
  <c r="AC25" i="9" a="1"/>
  <c r="AC25" i="9" s="1"/>
  <c r="AA26" i="9" s="1"/>
  <c r="AH25" i="9"/>
  <c r="W32" i="9"/>
  <c r="U33" i="9" s="1"/>
  <c r="R29" i="9"/>
  <c r="H106" i="9"/>
  <c r="I106" i="9" s="1"/>
  <c r="L277" i="9"/>
  <c r="L348" i="9"/>
  <c r="L1271" i="9"/>
  <c r="L916" i="9"/>
  <c r="L490" i="9"/>
  <c r="L703" i="9"/>
  <c r="L135" i="9"/>
  <c r="L632" i="9"/>
  <c r="L987" i="9"/>
  <c r="L206" i="9"/>
  <c r="L561" i="9"/>
  <c r="L1129" i="9"/>
  <c r="L1058" i="9"/>
  <c r="L774" i="9"/>
  <c r="L419" i="9"/>
  <c r="L1200" i="9"/>
  <c r="L845" i="9"/>
  <c r="F1201" i="9"/>
  <c r="F704" i="9"/>
  <c r="F988" i="9"/>
  <c r="F420" i="9"/>
  <c r="F1130" i="9"/>
  <c r="F846" i="9"/>
  <c r="F562" i="9"/>
  <c r="F491" i="9"/>
  <c r="F917" i="9"/>
  <c r="F1272" i="9"/>
  <c r="F1059" i="9"/>
  <c r="F278" i="9"/>
  <c r="F207" i="9"/>
  <c r="F775" i="9"/>
  <c r="F633" i="9"/>
  <c r="F349" i="9"/>
  <c r="Q136" i="9"/>
  <c r="Q208" i="9" s="1"/>
  <c r="Q280" i="9" s="1"/>
  <c r="Q352" i="9" s="1"/>
  <c r="Q424" i="9" s="1"/>
  <c r="Q496" i="9" s="1"/>
  <c r="Q568" i="9" s="1"/>
  <c r="Q640" i="9" s="1"/>
  <c r="Q712" i="9" s="1"/>
  <c r="Q784" i="9" s="1"/>
  <c r="Q856" i="9" s="1"/>
  <c r="Q928" i="9" s="1"/>
  <c r="Q1000" i="9" s="1"/>
  <c r="Q1072" i="9" s="1"/>
  <c r="Q1144" i="9" s="1"/>
  <c r="Q1216" i="9" s="1"/>
  <c r="Q1288" i="9" s="1"/>
  <c r="P136" i="9"/>
  <c r="P208" i="9" s="1"/>
  <c r="P280" i="9" s="1"/>
  <c r="P352" i="9" s="1"/>
  <c r="P424" i="9" s="1"/>
  <c r="P496" i="9" s="1"/>
  <c r="P568" i="9" s="1"/>
  <c r="P640" i="9" s="1"/>
  <c r="P712" i="9" s="1"/>
  <c r="P784" i="9" s="1"/>
  <c r="P856" i="9" s="1"/>
  <c r="P928" i="9" s="1"/>
  <c r="P1000" i="9" s="1"/>
  <c r="P1072" i="9" s="1"/>
  <c r="P1144" i="9" s="1"/>
  <c r="P1216" i="9" s="1"/>
  <c r="P1288" i="9" s="1"/>
  <c r="O208" i="9"/>
  <c r="O280" i="9" s="1"/>
  <c r="O352" i="9" s="1"/>
  <c r="O424" i="9" s="1"/>
  <c r="O496" i="9" s="1"/>
  <c r="O568" i="9" s="1"/>
  <c r="O640" i="9" s="1"/>
  <c r="O712" i="9" s="1"/>
  <c r="O784" i="9" s="1"/>
  <c r="O856" i="9" s="1"/>
  <c r="O928" i="9" s="1"/>
  <c r="O1000" i="9" s="1"/>
  <c r="O1072" i="9" s="1"/>
  <c r="O1144" i="9" s="1"/>
  <c r="O1216" i="9" s="1"/>
  <c r="O1288" i="9" s="1"/>
  <c r="M136" i="9"/>
  <c r="M208" i="9" s="1"/>
  <c r="M280" i="9" s="1"/>
  <c r="M352" i="9" s="1"/>
  <c r="M424" i="9" s="1"/>
  <c r="M496" i="9" s="1"/>
  <c r="M568" i="9" s="1"/>
  <c r="M640" i="9" s="1"/>
  <c r="M712" i="9" s="1"/>
  <c r="M784" i="9" s="1"/>
  <c r="M856" i="9" s="1"/>
  <c r="M928" i="9" s="1"/>
  <c r="M1000" i="9" s="1"/>
  <c r="M1072" i="9" s="1"/>
  <c r="M1144" i="9" s="1"/>
  <c r="M1216" i="9" s="1"/>
  <c r="M1288" i="9" s="1"/>
  <c r="AB135" i="9"/>
  <c r="N136" i="9"/>
  <c r="N208" i="9" s="1"/>
  <c r="N280" i="9" s="1"/>
  <c r="N352" i="9" s="1"/>
  <c r="N424" i="9" s="1"/>
  <c r="N496" i="9" s="1"/>
  <c r="N568" i="9" s="1"/>
  <c r="N640" i="9" s="1"/>
  <c r="N712" i="9" s="1"/>
  <c r="N784" i="9" s="1"/>
  <c r="N856" i="9" s="1"/>
  <c r="N928" i="9" s="1"/>
  <c r="N1000" i="9" s="1"/>
  <c r="N1072" i="9" s="1"/>
  <c r="N1144" i="9" s="1"/>
  <c r="N1216" i="9" s="1"/>
  <c r="N1288" i="9" s="1"/>
  <c r="F136" i="9"/>
  <c r="Q135" i="9"/>
  <c r="Q207" i="9" s="1"/>
  <c r="Q279" i="9" s="1"/>
  <c r="Q351" i="9" s="1"/>
  <c r="Q423" i="9" s="1"/>
  <c r="Q495" i="9" s="1"/>
  <c r="Q567" i="9" s="1"/>
  <c r="Q639" i="9" s="1"/>
  <c r="Q711" i="9" s="1"/>
  <c r="Q783" i="9" s="1"/>
  <c r="Q855" i="9" s="1"/>
  <c r="Q927" i="9" s="1"/>
  <c r="Q999" i="9" s="1"/>
  <c r="Q1071" i="9" s="1"/>
  <c r="Q1143" i="9" s="1"/>
  <c r="Q1215" i="9" s="1"/>
  <c r="Q1287" i="9" s="1"/>
  <c r="P135" i="9"/>
  <c r="P207" i="9" s="1"/>
  <c r="P279" i="9" s="1"/>
  <c r="P351" i="9" s="1"/>
  <c r="P423" i="9" s="1"/>
  <c r="P495" i="9" s="1"/>
  <c r="P567" i="9" s="1"/>
  <c r="P639" i="9" s="1"/>
  <c r="P711" i="9" s="1"/>
  <c r="P783" i="9" s="1"/>
  <c r="P855" i="9" s="1"/>
  <c r="P927" i="9" s="1"/>
  <c r="P999" i="9" s="1"/>
  <c r="P1071" i="9" s="1"/>
  <c r="P1143" i="9" s="1"/>
  <c r="P1215" i="9" s="1"/>
  <c r="P1287" i="9" s="1"/>
  <c r="O207" i="9"/>
  <c r="O279" i="9" s="1"/>
  <c r="O351" i="9" s="1"/>
  <c r="O423" i="9" s="1"/>
  <c r="O495" i="9" s="1"/>
  <c r="O567" i="9" s="1"/>
  <c r="O639" i="9" s="1"/>
  <c r="O711" i="9" s="1"/>
  <c r="O783" i="9" s="1"/>
  <c r="O855" i="9" s="1"/>
  <c r="O927" i="9" s="1"/>
  <c r="O999" i="9" s="1"/>
  <c r="O1071" i="9" s="1"/>
  <c r="O1143" i="9" s="1"/>
  <c r="O1215" i="9" s="1"/>
  <c r="O1287" i="9" s="1"/>
  <c r="J107" i="9"/>
  <c r="AE135" i="9"/>
  <c r="AF1058" i="9"/>
  <c r="AB1058" i="9"/>
  <c r="AF206" i="9"/>
  <c r="AB206" i="9"/>
  <c r="AB561" i="9"/>
  <c r="AF561" i="9"/>
  <c r="S1129" i="9"/>
  <c r="V1129" i="9"/>
  <c r="AF560" i="9"/>
  <c r="AB560" i="9"/>
  <c r="V774" i="9"/>
  <c r="S774" i="9"/>
  <c r="S206" i="9"/>
  <c r="V206" i="9"/>
  <c r="AF419" i="9"/>
  <c r="AB419" i="9"/>
  <c r="AF136" i="9"/>
  <c r="AB136" i="9"/>
  <c r="S419" i="9"/>
  <c r="V419" i="9"/>
  <c r="AB845" i="9"/>
  <c r="AF845" i="9"/>
  <c r="S1200" i="9"/>
  <c r="V1200" i="9"/>
  <c r="AF775" i="9"/>
  <c r="AB775" i="9"/>
  <c r="V348" i="9"/>
  <c r="S348" i="9"/>
  <c r="AB420" i="9"/>
  <c r="AF420" i="9"/>
  <c r="S561" i="9"/>
  <c r="V561" i="9"/>
  <c r="AF1201" i="9"/>
  <c r="AB1201" i="9"/>
  <c r="AF846" i="9"/>
  <c r="AB846" i="9"/>
  <c r="C137" i="9"/>
  <c r="O137" i="9" s="1"/>
  <c r="D138" i="9"/>
  <c r="V490" i="9"/>
  <c r="S490" i="9"/>
  <c r="AF1200" i="9"/>
  <c r="AB1200" i="9"/>
  <c r="AF349" i="9"/>
  <c r="AB349" i="9"/>
  <c r="S277" i="9"/>
  <c r="V277" i="9"/>
  <c r="AF987" i="9"/>
  <c r="AB987" i="9"/>
  <c r="AF988" i="9"/>
  <c r="AB988" i="9"/>
  <c r="V845" i="9"/>
  <c r="S845" i="9"/>
  <c r="S916" i="9"/>
  <c r="V916" i="9"/>
  <c r="V632" i="9"/>
  <c r="S632" i="9"/>
  <c r="V135" i="9"/>
  <c r="S135" i="9"/>
  <c r="AF562" i="9"/>
  <c r="AB562" i="9"/>
  <c r="S1058" i="9"/>
  <c r="V1058" i="9"/>
  <c r="S987" i="9"/>
  <c r="V987" i="9"/>
  <c r="S703" i="9"/>
  <c r="V703" i="9"/>
  <c r="S1271" i="9"/>
  <c r="V1271" i="9"/>
  <c r="J106" i="6"/>
  <c r="J227" i="6"/>
  <c r="K216" i="6"/>
  <c r="L215" i="6"/>
  <c r="M215" i="6" s="1"/>
  <c r="C109" i="6"/>
  <c r="B108" i="6"/>
  <c r="K97" i="6"/>
  <c r="L96" i="6"/>
  <c r="M96" i="6" s="1"/>
  <c r="G107" i="6"/>
  <c r="B228" i="6"/>
  <c r="G180" i="9" l="1"/>
  <c r="G252" i="9" s="1"/>
  <c r="G324" i="9" s="1"/>
  <c r="G396" i="9" s="1"/>
  <c r="G468" i="9" s="1"/>
  <c r="G540" i="9" s="1"/>
  <c r="G612" i="9" s="1"/>
  <c r="G684" i="9" s="1"/>
  <c r="G756" i="9" s="1"/>
  <c r="G828" i="9" s="1"/>
  <c r="G900" i="9" s="1"/>
  <c r="G972" i="9" s="1"/>
  <c r="G1044" i="9" s="1"/>
  <c r="G1116" i="9" s="1"/>
  <c r="G1188" i="9" s="1"/>
  <c r="G1260" i="9" s="1"/>
  <c r="G109" i="9"/>
  <c r="AD26" i="9"/>
  <c r="Z26" i="9"/>
  <c r="AI26" i="9"/>
  <c r="AG26" i="9"/>
  <c r="T29" i="9"/>
  <c r="R30" i="9" s="1"/>
  <c r="W33" i="9"/>
  <c r="U34" i="9" s="1"/>
  <c r="H107" i="9"/>
  <c r="I107" i="9" s="1"/>
  <c r="L562" i="9"/>
  <c r="L1272" i="9"/>
  <c r="L846" i="9"/>
  <c r="L491" i="9"/>
  <c r="L1130" i="9"/>
  <c r="L917" i="9"/>
  <c r="L349" i="9"/>
  <c r="L420" i="9"/>
  <c r="L633" i="9"/>
  <c r="L988" i="9"/>
  <c r="L775" i="9"/>
  <c r="L704" i="9"/>
  <c r="L207" i="9"/>
  <c r="L1201" i="9"/>
  <c r="L136" i="9"/>
  <c r="L278" i="9"/>
  <c r="L1059" i="9"/>
  <c r="F350" i="9"/>
  <c r="F918" i="9"/>
  <c r="F1131" i="9"/>
  <c r="F1202" i="9"/>
  <c r="F421" i="9"/>
  <c r="F492" i="9"/>
  <c r="F208" i="9"/>
  <c r="F705" i="9"/>
  <c r="F989" i="9"/>
  <c r="F1060" i="9"/>
  <c r="F847" i="9"/>
  <c r="F563" i="9"/>
  <c r="F776" i="9"/>
  <c r="F279" i="9"/>
  <c r="F634" i="9"/>
  <c r="F1273" i="9"/>
  <c r="AB207" i="9"/>
  <c r="AF207" i="9"/>
  <c r="Q137" i="9"/>
  <c r="Q209" i="9" s="1"/>
  <c r="Q281" i="9" s="1"/>
  <c r="Q353" i="9" s="1"/>
  <c r="Q425" i="9" s="1"/>
  <c r="Q497" i="9" s="1"/>
  <c r="Q569" i="9" s="1"/>
  <c r="Q641" i="9" s="1"/>
  <c r="Q713" i="9" s="1"/>
  <c r="Q785" i="9" s="1"/>
  <c r="Q857" i="9" s="1"/>
  <c r="Q929" i="9" s="1"/>
  <c r="Q1001" i="9" s="1"/>
  <c r="Q1073" i="9" s="1"/>
  <c r="Q1145" i="9" s="1"/>
  <c r="Q1217" i="9" s="1"/>
  <c r="Q1289" i="9" s="1"/>
  <c r="P137" i="9"/>
  <c r="P209" i="9" s="1"/>
  <c r="P281" i="9" s="1"/>
  <c r="P353" i="9" s="1"/>
  <c r="P425" i="9" s="1"/>
  <c r="P497" i="9" s="1"/>
  <c r="P569" i="9" s="1"/>
  <c r="P641" i="9" s="1"/>
  <c r="P713" i="9" s="1"/>
  <c r="P785" i="9" s="1"/>
  <c r="P857" i="9" s="1"/>
  <c r="P929" i="9" s="1"/>
  <c r="P1001" i="9" s="1"/>
  <c r="P1073" i="9" s="1"/>
  <c r="P1145" i="9" s="1"/>
  <c r="P1217" i="9" s="1"/>
  <c r="P1289" i="9" s="1"/>
  <c r="O209" i="9"/>
  <c r="O281" i="9" s="1"/>
  <c r="O353" i="9" s="1"/>
  <c r="O425" i="9" s="1"/>
  <c r="O497" i="9" s="1"/>
  <c r="O569" i="9" s="1"/>
  <c r="O641" i="9" s="1"/>
  <c r="O713" i="9" s="1"/>
  <c r="O785" i="9" s="1"/>
  <c r="O857" i="9" s="1"/>
  <c r="O929" i="9" s="1"/>
  <c r="O1001" i="9" s="1"/>
  <c r="O1073" i="9" s="1"/>
  <c r="O1145" i="9" s="1"/>
  <c r="O1217" i="9" s="1"/>
  <c r="O1289" i="9" s="1"/>
  <c r="N137" i="9"/>
  <c r="N209" i="9" s="1"/>
  <c r="N281" i="9" s="1"/>
  <c r="N353" i="9" s="1"/>
  <c r="N425" i="9" s="1"/>
  <c r="N497" i="9" s="1"/>
  <c r="N569" i="9" s="1"/>
  <c r="N641" i="9" s="1"/>
  <c r="N713" i="9" s="1"/>
  <c r="N785" i="9" s="1"/>
  <c r="N857" i="9" s="1"/>
  <c r="N929" i="9" s="1"/>
  <c r="N1001" i="9" s="1"/>
  <c r="N1073" i="9" s="1"/>
  <c r="N1145" i="9" s="1"/>
  <c r="N1217" i="9" s="1"/>
  <c r="N1289" i="9" s="1"/>
  <c r="F137" i="9"/>
  <c r="M137" i="9"/>
  <c r="M209" i="9" s="1"/>
  <c r="M281" i="9" s="1"/>
  <c r="M353" i="9" s="1"/>
  <c r="M425" i="9" s="1"/>
  <c r="M497" i="9" s="1"/>
  <c r="M569" i="9" s="1"/>
  <c r="M641" i="9" s="1"/>
  <c r="M713" i="9" s="1"/>
  <c r="M785" i="9" s="1"/>
  <c r="M857" i="9" s="1"/>
  <c r="M929" i="9" s="1"/>
  <c r="M1001" i="9" s="1"/>
  <c r="M1073" i="9" s="1"/>
  <c r="M1145" i="9" s="1"/>
  <c r="M1217" i="9" s="1"/>
  <c r="M1289" i="9" s="1"/>
  <c r="J108" i="9"/>
  <c r="AE136" i="9"/>
  <c r="V1059" i="9"/>
  <c r="S1059" i="9"/>
  <c r="S917" i="9"/>
  <c r="V917" i="9"/>
  <c r="AF1060" i="9"/>
  <c r="AB1060" i="9"/>
  <c r="AF1272" i="9"/>
  <c r="AB1272" i="9"/>
  <c r="C138" i="9"/>
  <c r="M138" i="9" s="1"/>
  <c r="M210" i="9" s="1"/>
  <c r="M282" i="9" s="1"/>
  <c r="M354" i="9" s="1"/>
  <c r="M426" i="9" s="1"/>
  <c r="M498" i="9" s="1"/>
  <c r="M570" i="9" s="1"/>
  <c r="M642" i="9" s="1"/>
  <c r="M714" i="9" s="1"/>
  <c r="M786" i="9" s="1"/>
  <c r="M858" i="9" s="1"/>
  <c r="M930" i="9" s="1"/>
  <c r="M1002" i="9" s="1"/>
  <c r="M1074" i="9" s="1"/>
  <c r="M1146" i="9" s="1"/>
  <c r="M1218" i="9" s="1"/>
  <c r="M1290" i="9" s="1"/>
  <c r="D139" i="9"/>
  <c r="AB1273" i="9"/>
  <c r="AF1273" i="9"/>
  <c r="AB492" i="9"/>
  <c r="AF492" i="9"/>
  <c r="V1272" i="9"/>
  <c r="S1272" i="9"/>
  <c r="AF632" i="9"/>
  <c r="AB632" i="9"/>
  <c r="S704" i="9"/>
  <c r="AF1130" i="9"/>
  <c r="AB1130" i="9"/>
  <c r="AF279" i="9"/>
  <c r="AB279" i="9"/>
  <c r="S775" i="9"/>
  <c r="V775" i="9"/>
  <c r="AB634" i="9"/>
  <c r="AF634" i="9"/>
  <c r="AF421" i="9"/>
  <c r="AB421" i="9"/>
  <c r="AF918" i="9"/>
  <c r="AB918" i="9"/>
  <c r="S420" i="9"/>
  <c r="V420" i="9"/>
  <c r="AB847" i="9"/>
  <c r="AF847" i="9"/>
  <c r="AB278" i="9"/>
  <c r="AF278" i="9"/>
  <c r="S136" i="9"/>
  <c r="V136" i="9"/>
  <c r="S1130" i="9"/>
  <c r="V1130" i="9"/>
  <c r="V704" i="9"/>
  <c r="V988" i="9"/>
  <c r="S988" i="9"/>
  <c r="S349" i="9"/>
  <c r="V349" i="9"/>
  <c r="AB137" i="9"/>
  <c r="AF137" i="9"/>
  <c r="S633" i="9"/>
  <c r="V633" i="9"/>
  <c r="S491" i="9"/>
  <c r="V491" i="9"/>
  <c r="AF491" i="9"/>
  <c r="AB491" i="9"/>
  <c r="S846" i="9"/>
  <c r="V846" i="9"/>
  <c r="AF633" i="9"/>
  <c r="AB633" i="9"/>
  <c r="V207" i="9"/>
  <c r="S207" i="9"/>
  <c r="AF1059" i="9"/>
  <c r="AB1059" i="9"/>
  <c r="S562" i="9"/>
  <c r="V562" i="9"/>
  <c r="AB917" i="9"/>
  <c r="AF917" i="9"/>
  <c r="AF208" i="9"/>
  <c r="AB208" i="9"/>
  <c r="S278" i="9"/>
  <c r="V278" i="9"/>
  <c r="V1201" i="9"/>
  <c r="S1201" i="9"/>
  <c r="J107" i="6"/>
  <c r="J228" i="6"/>
  <c r="J108" i="6"/>
  <c r="H108" i="6"/>
  <c r="I108" i="6" s="1"/>
  <c r="G108" i="6"/>
  <c r="B229" i="6"/>
  <c r="K98" i="6"/>
  <c r="L97" i="6"/>
  <c r="M97" i="6" s="1"/>
  <c r="H109" i="6"/>
  <c r="I109" i="6" s="1"/>
  <c r="B109" i="6"/>
  <c r="C110" i="6"/>
  <c r="K217" i="6"/>
  <c r="L216" i="6"/>
  <c r="M216" i="6" s="1"/>
  <c r="G181" i="9" l="1"/>
  <c r="G253" i="9" s="1"/>
  <c r="G325" i="9" s="1"/>
  <c r="G397" i="9" s="1"/>
  <c r="G469" i="9" s="1"/>
  <c r="G541" i="9" s="1"/>
  <c r="G613" i="9" s="1"/>
  <c r="G685" i="9" s="1"/>
  <c r="G757" i="9" s="1"/>
  <c r="G829" i="9" s="1"/>
  <c r="G901" i="9" s="1"/>
  <c r="G973" i="9" s="1"/>
  <c r="G1045" i="9" s="1"/>
  <c r="G1117" i="9" s="1"/>
  <c r="G1189" i="9" s="1"/>
  <c r="G1261" i="9" s="1"/>
  <c r="G110" i="9"/>
  <c r="AC26" i="9" a="1"/>
  <c r="AC26" i="9" s="1"/>
  <c r="AA27" i="9" s="1"/>
  <c r="Y26" i="9"/>
  <c r="X27" i="9" s="1"/>
  <c r="AH26" i="9"/>
  <c r="W34" i="9"/>
  <c r="U35" i="9" s="1"/>
  <c r="T30" i="9"/>
  <c r="H108" i="9"/>
  <c r="I108" i="9" s="1"/>
  <c r="L208" i="9"/>
  <c r="L634" i="9"/>
  <c r="L1131" i="9"/>
  <c r="L421" i="9"/>
  <c r="L1202" i="9"/>
  <c r="L279" i="9"/>
  <c r="L918" i="9"/>
  <c r="L776" i="9"/>
  <c r="L350" i="9"/>
  <c r="L137" i="9"/>
  <c r="L847" i="9"/>
  <c r="L492" i="9"/>
  <c r="L1060" i="9"/>
  <c r="L1273" i="9"/>
  <c r="L563" i="9"/>
  <c r="L989" i="9"/>
  <c r="L705" i="9"/>
  <c r="F848" i="9"/>
  <c r="F280" i="9"/>
  <c r="F422" i="9"/>
  <c r="F635" i="9"/>
  <c r="F564" i="9"/>
  <c r="F919" i="9"/>
  <c r="F493" i="9"/>
  <c r="F1132" i="9"/>
  <c r="F1274" i="9"/>
  <c r="F706" i="9"/>
  <c r="F1061" i="9"/>
  <c r="F1203" i="9"/>
  <c r="F209" i="9"/>
  <c r="F351" i="9"/>
  <c r="F777" i="9"/>
  <c r="F990" i="9"/>
  <c r="N138" i="9"/>
  <c r="N210" i="9" s="1"/>
  <c r="N282" i="9" s="1"/>
  <c r="N354" i="9" s="1"/>
  <c r="N426" i="9" s="1"/>
  <c r="N498" i="9" s="1"/>
  <c r="N570" i="9" s="1"/>
  <c r="N642" i="9" s="1"/>
  <c r="N714" i="9" s="1"/>
  <c r="N786" i="9" s="1"/>
  <c r="N858" i="9" s="1"/>
  <c r="N930" i="9" s="1"/>
  <c r="N1002" i="9" s="1"/>
  <c r="N1074" i="9" s="1"/>
  <c r="N1146" i="9" s="1"/>
  <c r="N1218" i="9" s="1"/>
  <c r="N1290" i="9" s="1"/>
  <c r="F138" i="9"/>
  <c r="O138" i="9"/>
  <c r="J109" i="9"/>
  <c r="AE137" i="9"/>
  <c r="S634" i="9"/>
  <c r="V634" i="9"/>
  <c r="S1273" i="9"/>
  <c r="V1273" i="9"/>
  <c r="V563" i="9"/>
  <c r="S563" i="9"/>
  <c r="S1202" i="9"/>
  <c r="V1202" i="9"/>
  <c r="AB350" i="9"/>
  <c r="AF350" i="9"/>
  <c r="S137" i="9"/>
  <c r="V137" i="9"/>
  <c r="AB706" i="9"/>
  <c r="AF706" i="9"/>
  <c r="V847" i="9"/>
  <c r="S847" i="9"/>
  <c r="AF564" i="9"/>
  <c r="AB564" i="9"/>
  <c r="V1131" i="9"/>
  <c r="S1131" i="9"/>
  <c r="AF1131" i="9"/>
  <c r="AB1131" i="9"/>
  <c r="S350" i="9"/>
  <c r="V350" i="9"/>
  <c r="AF989" i="9"/>
  <c r="AB989" i="9"/>
  <c r="AF705" i="9"/>
  <c r="AB705" i="9"/>
  <c r="AB563" i="9"/>
  <c r="AF563" i="9"/>
  <c r="V776" i="9"/>
  <c r="AF919" i="9"/>
  <c r="AB919" i="9"/>
  <c r="AF1202" i="9"/>
  <c r="AB1202" i="9"/>
  <c r="S989" i="9"/>
  <c r="V989" i="9"/>
  <c r="AF280" i="9"/>
  <c r="AB280" i="9"/>
  <c r="S279" i="9"/>
  <c r="V279" i="9"/>
  <c r="V918" i="9"/>
  <c r="S918" i="9"/>
  <c r="AB209" i="9"/>
  <c r="AF209" i="9"/>
  <c r="S1060" i="9"/>
  <c r="V1060" i="9"/>
  <c r="S208" i="9"/>
  <c r="V208" i="9"/>
  <c r="S492" i="9"/>
  <c r="V492" i="9"/>
  <c r="AF493" i="9"/>
  <c r="AB493" i="9"/>
  <c r="AF351" i="9"/>
  <c r="AB351" i="9"/>
  <c r="AF704" i="9"/>
  <c r="AB704" i="9"/>
  <c r="AF1132" i="9"/>
  <c r="AB1132" i="9"/>
  <c r="S705" i="9"/>
  <c r="V705" i="9"/>
  <c r="S421" i="9"/>
  <c r="V421" i="9"/>
  <c r="AF990" i="9"/>
  <c r="AB990" i="9"/>
  <c r="D140" i="9"/>
  <c r="C139" i="9"/>
  <c r="B110" i="6"/>
  <c r="C111" i="6"/>
  <c r="G109" i="6"/>
  <c r="K99" i="6"/>
  <c r="L98" i="6"/>
  <c r="M98" i="6" s="1"/>
  <c r="K218" i="6"/>
  <c r="L217" i="6"/>
  <c r="M217" i="6" s="1"/>
  <c r="J229" i="6"/>
  <c r="B230" i="6"/>
  <c r="G182" i="9" l="1"/>
  <c r="G254" i="9" s="1"/>
  <c r="G326" i="9" s="1"/>
  <c r="G398" i="9" s="1"/>
  <c r="G470" i="9" s="1"/>
  <c r="G542" i="9" s="1"/>
  <c r="G614" i="9" s="1"/>
  <c r="G686" i="9" s="1"/>
  <c r="G758" i="9" s="1"/>
  <c r="G830" i="9" s="1"/>
  <c r="G902" i="9" s="1"/>
  <c r="G974" i="9" s="1"/>
  <c r="G1046" i="9" s="1"/>
  <c r="G1118" i="9" s="1"/>
  <c r="G1190" i="9" s="1"/>
  <c r="G1262" i="9" s="1"/>
  <c r="G111" i="9"/>
  <c r="Z27" i="9"/>
  <c r="AI27" i="9"/>
  <c r="AG27" i="9"/>
  <c r="AD27" i="9"/>
  <c r="R31" i="9"/>
  <c r="W35" i="9"/>
  <c r="U36" i="9" s="1"/>
  <c r="H109" i="9"/>
  <c r="I109" i="9" s="1"/>
  <c r="L919" i="9"/>
  <c r="L564" i="9"/>
  <c r="L422" i="9"/>
  <c r="L351" i="9"/>
  <c r="L280" i="9"/>
  <c r="L209" i="9"/>
  <c r="L848" i="9"/>
  <c r="L138" i="9"/>
  <c r="L493" i="9"/>
  <c r="L1203" i="9"/>
  <c r="L1132" i="9"/>
  <c r="L990" i="9"/>
  <c r="L777" i="9"/>
  <c r="L1061" i="9"/>
  <c r="L706" i="9"/>
  <c r="L635" i="9"/>
  <c r="L1274" i="9"/>
  <c r="F1062" i="9"/>
  <c r="F1204" i="9"/>
  <c r="F281" i="9"/>
  <c r="F778" i="9"/>
  <c r="F352" i="9"/>
  <c r="F210" i="9"/>
  <c r="F707" i="9"/>
  <c r="F849" i="9"/>
  <c r="F494" i="9"/>
  <c r="F423" i="9"/>
  <c r="F565" i="9"/>
  <c r="F920" i="9"/>
  <c r="F1275" i="9"/>
  <c r="F991" i="9"/>
  <c r="F1133" i="9"/>
  <c r="F636" i="9"/>
  <c r="N139" i="9"/>
  <c r="N211" i="9" s="1"/>
  <c r="N283" i="9" s="1"/>
  <c r="N355" i="9" s="1"/>
  <c r="N427" i="9" s="1"/>
  <c r="N499" i="9" s="1"/>
  <c r="N571" i="9" s="1"/>
  <c r="N643" i="9" s="1"/>
  <c r="N715" i="9" s="1"/>
  <c r="N787" i="9" s="1"/>
  <c r="N859" i="9" s="1"/>
  <c r="N931" i="9" s="1"/>
  <c r="N1003" i="9" s="1"/>
  <c r="N1075" i="9" s="1"/>
  <c r="N1147" i="9" s="1"/>
  <c r="N1219" i="9" s="1"/>
  <c r="N1291" i="9" s="1"/>
  <c r="F139" i="9"/>
  <c r="Q138" i="9"/>
  <c r="Q210" i="9" s="1"/>
  <c r="Q282" i="9" s="1"/>
  <c r="Q354" i="9" s="1"/>
  <c r="Q426" i="9" s="1"/>
  <c r="Q498" i="9" s="1"/>
  <c r="Q570" i="9" s="1"/>
  <c r="Q642" i="9" s="1"/>
  <c r="Q714" i="9" s="1"/>
  <c r="Q786" i="9" s="1"/>
  <c r="Q858" i="9" s="1"/>
  <c r="Q930" i="9" s="1"/>
  <c r="Q1002" i="9" s="1"/>
  <c r="Q1074" i="9" s="1"/>
  <c r="Q1146" i="9" s="1"/>
  <c r="Q1218" i="9" s="1"/>
  <c r="Q1290" i="9" s="1"/>
  <c r="P138" i="9"/>
  <c r="P210" i="9" s="1"/>
  <c r="P282" i="9" s="1"/>
  <c r="P354" i="9" s="1"/>
  <c r="P426" i="9" s="1"/>
  <c r="P498" i="9" s="1"/>
  <c r="P570" i="9" s="1"/>
  <c r="P642" i="9" s="1"/>
  <c r="P714" i="9" s="1"/>
  <c r="P786" i="9" s="1"/>
  <c r="P858" i="9" s="1"/>
  <c r="P930" i="9" s="1"/>
  <c r="P1002" i="9" s="1"/>
  <c r="P1074" i="9" s="1"/>
  <c r="P1146" i="9" s="1"/>
  <c r="P1218" i="9" s="1"/>
  <c r="P1290" i="9" s="1"/>
  <c r="O210" i="9"/>
  <c r="O282" i="9" s="1"/>
  <c r="O354" i="9" s="1"/>
  <c r="O426" i="9" s="1"/>
  <c r="O498" i="9" s="1"/>
  <c r="O570" i="9" s="1"/>
  <c r="O642" i="9" s="1"/>
  <c r="O714" i="9" s="1"/>
  <c r="O786" i="9" s="1"/>
  <c r="O858" i="9" s="1"/>
  <c r="O930" i="9" s="1"/>
  <c r="O1002" i="9" s="1"/>
  <c r="O1074" i="9" s="1"/>
  <c r="O1146" i="9" s="1"/>
  <c r="O1218" i="9" s="1"/>
  <c r="O1290" i="9" s="1"/>
  <c r="M139" i="9"/>
  <c r="M211" i="9" s="1"/>
  <c r="M283" i="9" s="1"/>
  <c r="M355" i="9" s="1"/>
  <c r="M427" i="9" s="1"/>
  <c r="M499" i="9" s="1"/>
  <c r="M571" i="9" s="1"/>
  <c r="M643" i="9" s="1"/>
  <c r="M715" i="9" s="1"/>
  <c r="M787" i="9" s="1"/>
  <c r="M859" i="9" s="1"/>
  <c r="M931" i="9" s="1"/>
  <c r="M1003" i="9" s="1"/>
  <c r="M1075" i="9" s="1"/>
  <c r="M1147" i="9" s="1"/>
  <c r="M1219" i="9" s="1"/>
  <c r="M1291" i="9" s="1"/>
  <c r="O139" i="9"/>
  <c r="AB139" i="9" s="1"/>
  <c r="J110" i="9"/>
  <c r="D141" i="9"/>
  <c r="C140" i="9"/>
  <c r="O140" i="9" s="1"/>
  <c r="AF423" i="9"/>
  <c r="AB423" i="9"/>
  <c r="S564" i="9"/>
  <c r="V564" i="9"/>
  <c r="AF281" i="9"/>
  <c r="AB281" i="9"/>
  <c r="S351" i="9"/>
  <c r="V351" i="9"/>
  <c r="S1061" i="9"/>
  <c r="V1061" i="9"/>
  <c r="AB1274" i="9"/>
  <c r="AF1274" i="9"/>
  <c r="V848" i="9"/>
  <c r="V422" i="9"/>
  <c r="S422" i="9"/>
  <c r="AF636" i="9"/>
  <c r="AB636" i="9"/>
  <c r="V919" i="9"/>
  <c r="S919" i="9"/>
  <c r="S209" i="9"/>
  <c r="V209" i="9"/>
  <c r="S1274" i="9"/>
  <c r="V1274" i="9"/>
  <c r="AB776" i="9"/>
  <c r="AF776" i="9"/>
  <c r="V1132" i="9"/>
  <c r="S1132" i="9"/>
  <c r="AF138" i="9"/>
  <c r="AE138" i="9" s="1"/>
  <c r="AB138" i="9"/>
  <c r="AF991" i="9"/>
  <c r="AB991" i="9"/>
  <c r="AB1061" i="9"/>
  <c r="AF1061" i="9"/>
  <c r="AF422" i="9"/>
  <c r="AB422" i="9"/>
  <c r="AF1062" i="9"/>
  <c r="AB1062" i="9"/>
  <c r="S493" i="9"/>
  <c r="V493" i="9"/>
  <c r="AF1204" i="9"/>
  <c r="AB1204" i="9"/>
  <c r="V280" i="9"/>
  <c r="S280" i="9"/>
  <c r="S990" i="9"/>
  <c r="V990" i="9"/>
  <c r="AF777" i="9"/>
  <c r="AB777" i="9"/>
  <c r="S1203" i="9"/>
  <c r="V1203" i="9"/>
  <c r="S635" i="9"/>
  <c r="V635" i="9"/>
  <c r="S706" i="9"/>
  <c r="V706" i="9"/>
  <c r="S777" i="9"/>
  <c r="V777" i="9"/>
  <c r="AB565" i="9"/>
  <c r="AF565" i="9"/>
  <c r="AF352" i="9"/>
  <c r="AB352" i="9"/>
  <c r="S776" i="9"/>
  <c r="AF635" i="9"/>
  <c r="AB635" i="9"/>
  <c r="AB1203" i="9"/>
  <c r="AF1203" i="9"/>
  <c r="S138" i="9"/>
  <c r="V138" i="9"/>
  <c r="AF778" i="9"/>
  <c r="AB778" i="9"/>
  <c r="J109" i="6"/>
  <c r="J110" i="6"/>
  <c r="J230" i="6"/>
  <c r="H110" i="6"/>
  <c r="I110" i="6" s="1"/>
  <c r="K219" i="6"/>
  <c r="L218" i="6"/>
  <c r="M218" i="6" s="1"/>
  <c r="B231" i="6"/>
  <c r="G110" i="6"/>
  <c r="K100" i="6"/>
  <c r="L99" i="6"/>
  <c r="M99" i="6" s="1"/>
  <c r="C112" i="6"/>
  <c r="B111" i="6"/>
  <c r="G183" i="9" l="1"/>
  <c r="G255" i="9" s="1"/>
  <c r="G327" i="9" s="1"/>
  <c r="G399" i="9" s="1"/>
  <c r="G471" i="9" s="1"/>
  <c r="G543" i="9" s="1"/>
  <c r="G615" i="9" s="1"/>
  <c r="G687" i="9" s="1"/>
  <c r="G759" i="9" s="1"/>
  <c r="G831" i="9" s="1"/>
  <c r="G903" i="9" s="1"/>
  <c r="G975" i="9" s="1"/>
  <c r="G1047" i="9" s="1"/>
  <c r="G1119" i="9" s="1"/>
  <c r="G1191" i="9" s="1"/>
  <c r="G1263" i="9" s="1"/>
  <c r="G112" i="9"/>
  <c r="Y27" i="9"/>
  <c r="X28" i="9" s="1"/>
  <c r="AH27" i="9"/>
  <c r="AC27" i="9" a="1"/>
  <c r="AC27" i="9" s="1"/>
  <c r="AA28" i="9" s="1"/>
  <c r="W36" i="9"/>
  <c r="U37" i="9" s="1"/>
  <c r="T31" i="9"/>
  <c r="R32" i="9" s="1"/>
  <c r="H110" i="9"/>
  <c r="I110" i="9" s="1"/>
  <c r="L1133" i="9"/>
  <c r="L281" i="9"/>
  <c r="L778" i="9"/>
  <c r="L991" i="9"/>
  <c r="L1204" i="9"/>
  <c r="L1275" i="9"/>
  <c r="L1062" i="9"/>
  <c r="L920" i="9"/>
  <c r="L565" i="9"/>
  <c r="L352" i="9"/>
  <c r="L423" i="9"/>
  <c r="L210" i="9"/>
  <c r="L636" i="9"/>
  <c r="L494" i="9"/>
  <c r="L849" i="9"/>
  <c r="L139" i="9"/>
  <c r="L707" i="9"/>
  <c r="F1063" i="9"/>
  <c r="F779" i="9"/>
  <c r="F921" i="9"/>
  <c r="F211" i="9"/>
  <c r="F282" i="9"/>
  <c r="F637" i="9"/>
  <c r="F708" i="9"/>
  <c r="F495" i="9"/>
  <c r="F850" i="9"/>
  <c r="F1276" i="9"/>
  <c r="F992" i="9"/>
  <c r="F424" i="9"/>
  <c r="F1205" i="9"/>
  <c r="F566" i="9"/>
  <c r="F353" i="9"/>
  <c r="F1134" i="9"/>
  <c r="AF139" i="9"/>
  <c r="AE139" i="9" s="1"/>
  <c r="N140" i="9"/>
  <c r="N212" i="9" s="1"/>
  <c r="N284" i="9" s="1"/>
  <c r="N356" i="9" s="1"/>
  <c r="N428" i="9" s="1"/>
  <c r="N500" i="9" s="1"/>
  <c r="N572" i="9" s="1"/>
  <c r="N644" i="9" s="1"/>
  <c r="N716" i="9" s="1"/>
  <c r="N788" i="9" s="1"/>
  <c r="N860" i="9" s="1"/>
  <c r="N932" i="9" s="1"/>
  <c r="N1004" i="9" s="1"/>
  <c r="N1076" i="9" s="1"/>
  <c r="N1148" i="9" s="1"/>
  <c r="N1220" i="9" s="1"/>
  <c r="N1292" i="9" s="1"/>
  <c r="F140" i="9"/>
  <c r="M140" i="9"/>
  <c r="M212" i="9" s="1"/>
  <c r="M284" i="9" s="1"/>
  <c r="M356" i="9" s="1"/>
  <c r="M428" i="9" s="1"/>
  <c r="M500" i="9" s="1"/>
  <c r="M572" i="9" s="1"/>
  <c r="M644" i="9" s="1"/>
  <c r="M716" i="9" s="1"/>
  <c r="M788" i="9" s="1"/>
  <c r="M860" i="9" s="1"/>
  <c r="M932" i="9" s="1"/>
  <c r="M1004" i="9" s="1"/>
  <c r="M1076" i="9" s="1"/>
  <c r="M1148" i="9" s="1"/>
  <c r="M1220" i="9" s="1"/>
  <c r="M1292" i="9" s="1"/>
  <c r="Q140" i="9"/>
  <c r="Q212" i="9" s="1"/>
  <c r="Q284" i="9" s="1"/>
  <c r="Q356" i="9" s="1"/>
  <c r="Q428" i="9" s="1"/>
  <c r="Q500" i="9" s="1"/>
  <c r="Q572" i="9" s="1"/>
  <c r="Q644" i="9" s="1"/>
  <c r="Q716" i="9" s="1"/>
  <c r="Q788" i="9" s="1"/>
  <c r="Q860" i="9" s="1"/>
  <c r="Q932" i="9" s="1"/>
  <c r="Q1004" i="9" s="1"/>
  <c r="Q1076" i="9" s="1"/>
  <c r="Q1148" i="9" s="1"/>
  <c r="Q1220" i="9" s="1"/>
  <c r="Q1292" i="9" s="1"/>
  <c r="P140" i="9"/>
  <c r="P212" i="9" s="1"/>
  <c r="P284" i="9" s="1"/>
  <c r="P356" i="9" s="1"/>
  <c r="P428" i="9" s="1"/>
  <c r="P500" i="9" s="1"/>
  <c r="P572" i="9" s="1"/>
  <c r="P644" i="9" s="1"/>
  <c r="P716" i="9" s="1"/>
  <c r="P788" i="9" s="1"/>
  <c r="P860" i="9" s="1"/>
  <c r="P932" i="9" s="1"/>
  <c r="P1004" i="9" s="1"/>
  <c r="P1076" i="9" s="1"/>
  <c r="P1148" i="9" s="1"/>
  <c r="P1220" i="9" s="1"/>
  <c r="P1292" i="9" s="1"/>
  <c r="O212" i="9"/>
  <c r="O284" i="9" s="1"/>
  <c r="O356" i="9" s="1"/>
  <c r="O428" i="9" s="1"/>
  <c r="O500" i="9" s="1"/>
  <c r="O572" i="9" s="1"/>
  <c r="O644" i="9" s="1"/>
  <c r="O716" i="9" s="1"/>
  <c r="O788" i="9" s="1"/>
  <c r="O860" i="9" s="1"/>
  <c r="O932" i="9" s="1"/>
  <c r="O1004" i="9" s="1"/>
  <c r="O1076" i="9" s="1"/>
  <c r="O1148" i="9" s="1"/>
  <c r="O1220" i="9" s="1"/>
  <c r="O1292" i="9" s="1"/>
  <c r="Q139" i="9"/>
  <c r="Q211" i="9" s="1"/>
  <c r="Q283" i="9" s="1"/>
  <c r="Q355" i="9" s="1"/>
  <c r="Q427" i="9" s="1"/>
  <c r="Q499" i="9" s="1"/>
  <c r="Q571" i="9" s="1"/>
  <c r="Q643" i="9" s="1"/>
  <c r="Q715" i="9" s="1"/>
  <c r="Q787" i="9" s="1"/>
  <c r="Q859" i="9" s="1"/>
  <c r="Q931" i="9" s="1"/>
  <c r="Q1003" i="9" s="1"/>
  <c r="Q1075" i="9" s="1"/>
  <c r="Q1147" i="9" s="1"/>
  <c r="Q1219" i="9" s="1"/>
  <c r="Q1291" i="9" s="1"/>
  <c r="P139" i="9"/>
  <c r="P211" i="9" s="1"/>
  <c r="P283" i="9" s="1"/>
  <c r="P355" i="9" s="1"/>
  <c r="P427" i="9" s="1"/>
  <c r="P499" i="9" s="1"/>
  <c r="P571" i="9" s="1"/>
  <c r="P643" i="9" s="1"/>
  <c r="P715" i="9" s="1"/>
  <c r="P787" i="9" s="1"/>
  <c r="P859" i="9" s="1"/>
  <c r="P931" i="9" s="1"/>
  <c r="P1003" i="9" s="1"/>
  <c r="P1075" i="9" s="1"/>
  <c r="P1147" i="9" s="1"/>
  <c r="P1219" i="9" s="1"/>
  <c r="P1291" i="9" s="1"/>
  <c r="O211" i="9"/>
  <c r="O283" i="9" s="1"/>
  <c r="O355" i="9" s="1"/>
  <c r="O427" i="9" s="1"/>
  <c r="O499" i="9" s="1"/>
  <c r="O571" i="9" s="1"/>
  <c r="O643" i="9" s="1"/>
  <c r="O715" i="9" s="1"/>
  <c r="O787" i="9" s="1"/>
  <c r="O859" i="9" s="1"/>
  <c r="O931" i="9" s="1"/>
  <c r="O1003" i="9" s="1"/>
  <c r="O1075" i="9" s="1"/>
  <c r="O1147" i="9" s="1"/>
  <c r="O1219" i="9" s="1"/>
  <c r="O1291" i="9" s="1"/>
  <c r="J111" i="9"/>
  <c r="AF140" i="9"/>
  <c r="AB140" i="9"/>
  <c r="V778" i="9"/>
  <c r="S778" i="9"/>
  <c r="S1062" i="9"/>
  <c r="V1062" i="9"/>
  <c r="S565" i="9"/>
  <c r="V565" i="9"/>
  <c r="S210" i="9"/>
  <c r="V210" i="9"/>
  <c r="AF707" i="9"/>
  <c r="AB707" i="9"/>
  <c r="AB424" i="9"/>
  <c r="AF424" i="9"/>
  <c r="S707" i="9"/>
  <c r="V707" i="9"/>
  <c r="AB849" i="9"/>
  <c r="AF849" i="9"/>
  <c r="AF1276" i="9"/>
  <c r="AB1276" i="9"/>
  <c r="S920" i="9"/>
  <c r="AF848" i="9"/>
  <c r="AB848" i="9"/>
  <c r="V991" i="9"/>
  <c r="S991" i="9"/>
  <c r="S848" i="9"/>
  <c r="AF495" i="9"/>
  <c r="AB495" i="9"/>
  <c r="AF1275" i="9"/>
  <c r="AB1275" i="9"/>
  <c r="AF637" i="9"/>
  <c r="AB637" i="9"/>
  <c r="V849" i="9"/>
  <c r="S849" i="9"/>
  <c r="V1275" i="9"/>
  <c r="S1275" i="9"/>
  <c r="V352" i="9"/>
  <c r="S352" i="9"/>
  <c r="AF1063" i="9"/>
  <c r="AB1063" i="9"/>
  <c r="S1204" i="9"/>
  <c r="V1204" i="9"/>
  <c r="S281" i="9"/>
  <c r="V281" i="9"/>
  <c r="AF708" i="9"/>
  <c r="AB708" i="9"/>
  <c r="V494" i="9"/>
  <c r="S494" i="9"/>
  <c r="V920" i="9"/>
  <c r="S423" i="9"/>
  <c r="V423" i="9"/>
  <c r="C141" i="9"/>
  <c r="O141" i="9" s="1"/>
  <c r="D142" i="9"/>
  <c r="AB1134" i="9"/>
  <c r="AF1134" i="9"/>
  <c r="AB1133" i="9"/>
  <c r="AF1133" i="9"/>
  <c r="AF210" i="9"/>
  <c r="AB210" i="9"/>
  <c r="S1133" i="9"/>
  <c r="V1133" i="9"/>
  <c r="AF353" i="9"/>
  <c r="AB353" i="9"/>
  <c r="AF850" i="9"/>
  <c r="AB850" i="9"/>
  <c r="V139" i="9"/>
  <c r="S139" i="9"/>
  <c r="AF494" i="9"/>
  <c r="AB494" i="9"/>
  <c r="V636" i="9"/>
  <c r="S636" i="9"/>
  <c r="H111" i="6"/>
  <c r="I111" i="6" s="1"/>
  <c r="G111" i="6"/>
  <c r="L100" i="6"/>
  <c r="M100" i="6" s="1"/>
  <c r="J231" i="6"/>
  <c r="B232" i="6"/>
  <c r="C113" i="6"/>
  <c r="B112" i="6"/>
  <c r="K220" i="6"/>
  <c r="L219" i="6"/>
  <c r="M219" i="6" s="1"/>
  <c r="G184" i="9" l="1"/>
  <c r="G256" i="9" s="1"/>
  <c r="G328" i="9" s="1"/>
  <c r="G400" i="9" s="1"/>
  <c r="G472" i="9" s="1"/>
  <c r="G544" i="9" s="1"/>
  <c r="G616" i="9" s="1"/>
  <c r="G688" i="9" s="1"/>
  <c r="G760" i="9" s="1"/>
  <c r="G832" i="9" s="1"/>
  <c r="G904" i="9" s="1"/>
  <c r="G976" i="9" s="1"/>
  <c r="G1048" i="9" s="1"/>
  <c r="G1120" i="9" s="1"/>
  <c r="G1192" i="9" s="1"/>
  <c r="G1264" i="9" s="1"/>
  <c r="G113" i="9"/>
  <c r="AD28" i="9"/>
  <c r="Z28" i="9"/>
  <c r="AI28" i="9"/>
  <c r="AG28" i="9"/>
  <c r="T32" i="9"/>
  <c r="W37" i="9"/>
  <c r="U38" i="9" s="1"/>
  <c r="H111" i="9"/>
  <c r="I111" i="9" s="1"/>
  <c r="L708" i="9"/>
  <c r="L282" i="9"/>
  <c r="L1134" i="9"/>
  <c r="L211" i="9"/>
  <c r="L353" i="9"/>
  <c r="L921" i="9"/>
  <c r="L566" i="9"/>
  <c r="L779" i="9"/>
  <c r="L637" i="9"/>
  <c r="L1205" i="9"/>
  <c r="L1063" i="9"/>
  <c r="L140" i="9"/>
  <c r="L424" i="9"/>
  <c r="L992" i="9"/>
  <c r="L1276" i="9"/>
  <c r="L495" i="9"/>
  <c r="L850" i="9"/>
  <c r="F496" i="9"/>
  <c r="F709" i="9"/>
  <c r="F851" i="9"/>
  <c r="F425" i="9"/>
  <c r="F922" i="9"/>
  <c r="F993" i="9"/>
  <c r="F567" i="9"/>
  <c r="F354" i="9"/>
  <c r="F1206" i="9"/>
  <c r="F283" i="9"/>
  <c r="F638" i="9"/>
  <c r="F1064" i="9"/>
  <c r="F212" i="9"/>
  <c r="F1277" i="9"/>
  <c r="F780" i="9"/>
  <c r="F1135" i="9"/>
  <c r="AF211" i="9"/>
  <c r="AB211" i="9"/>
  <c r="Q141" i="9"/>
  <c r="Q213" i="9" s="1"/>
  <c r="Q285" i="9" s="1"/>
  <c r="Q357" i="9" s="1"/>
  <c r="Q429" i="9" s="1"/>
  <c r="Q501" i="9" s="1"/>
  <c r="Q573" i="9" s="1"/>
  <c r="Q645" i="9" s="1"/>
  <c r="Q717" i="9" s="1"/>
  <c r="Q789" i="9" s="1"/>
  <c r="Q861" i="9" s="1"/>
  <c r="Q933" i="9" s="1"/>
  <c r="Q1005" i="9" s="1"/>
  <c r="Q1077" i="9" s="1"/>
  <c r="Q1149" i="9" s="1"/>
  <c r="Q1221" i="9" s="1"/>
  <c r="Q1293" i="9" s="1"/>
  <c r="P141" i="9"/>
  <c r="P213" i="9" s="1"/>
  <c r="P285" i="9" s="1"/>
  <c r="P357" i="9" s="1"/>
  <c r="P429" i="9" s="1"/>
  <c r="P501" i="9" s="1"/>
  <c r="P573" i="9" s="1"/>
  <c r="P645" i="9" s="1"/>
  <c r="P717" i="9" s="1"/>
  <c r="P789" i="9" s="1"/>
  <c r="P861" i="9" s="1"/>
  <c r="P933" i="9" s="1"/>
  <c r="P1005" i="9" s="1"/>
  <c r="P1077" i="9" s="1"/>
  <c r="P1149" i="9" s="1"/>
  <c r="P1221" i="9" s="1"/>
  <c r="P1293" i="9" s="1"/>
  <c r="O213" i="9"/>
  <c r="O285" i="9" s="1"/>
  <c r="O357" i="9" s="1"/>
  <c r="O429" i="9" s="1"/>
  <c r="O501" i="9" s="1"/>
  <c r="O573" i="9" s="1"/>
  <c r="O645" i="9" s="1"/>
  <c r="O717" i="9" s="1"/>
  <c r="O789" i="9" s="1"/>
  <c r="O861" i="9" s="1"/>
  <c r="O933" i="9" s="1"/>
  <c r="O1005" i="9" s="1"/>
  <c r="O1077" i="9" s="1"/>
  <c r="O1149" i="9" s="1"/>
  <c r="O1221" i="9" s="1"/>
  <c r="O1293" i="9" s="1"/>
  <c r="M141" i="9"/>
  <c r="M213" i="9" s="1"/>
  <c r="M285" i="9" s="1"/>
  <c r="M357" i="9" s="1"/>
  <c r="M429" i="9" s="1"/>
  <c r="M501" i="9" s="1"/>
  <c r="M573" i="9" s="1"/>
  <c r="M645" i="9" s="1"/>
  <c r="M717" i="9" s="1"/>
  <c r="M789" i="9" s="1"/>
  <c r="M861" i="9" s="1"/>
  <c r="M933" i="9" s="1"/>
  <c r="M1005" i="9" s="1"/>
  <c r="M1077" i="9" s="1"/>
  <c r="M1149" i="9" s="1"/>
  <c r="M1221" i="9" s="1"/>
  <c r="M1293" i="9" s="1"/>
  <c r="N141" i="9"/>
  <c r="N213" i="9" s="1"/>
  <c r="N285" i="9" s="1"/>
  <c r="N357" i="9" s="1"/>
  <c r="N429" i="9" s="1"/>
  <c r="N501" i="9" s="1"/>
  <c r="N573" i="9" s="1"/>
  <c r="N645" i="9" s="1"/>
  <c r="N717" i="9" s="1"/>
  <c r="N789" i="9" s="1"/>
  <c r="N861" i="9" s="1"/>
  <c r="N933" i="9" s="1"/>
  <c r="N1005" i="9" s="1"/>
  <c r="N1077" i="9" s="1"/>
  <c r="N1149" i="9" s="1"/>
  <c r="N1221" i="9" s="1"/>
  <c r="N1293" i="9" s="1"/>
  <c r="F141" i="9"/>
  <c r="J112" i="9"/>
  <c r="AE140" i="9"/>
  <c r="V708" i="9"/>
  <c r="S708" i="9"/>
  <c r="AF425" i="9"/>
  <c r="AB425" i="9"/>
  <c r="AF1206" i="9"/>
  <c r="AB1206" i="9"/>
  <c r="C142" i="9"/>
  <c r="O142" i="9" s="1"/>
  <c r="D143" i="9"/>
  <c r="V992" i="9"/>
  <c r="V1276" i="9"/>
  <c r="S1276" i="9"/>
  <c r="AF1135" i="9"/>
  <c r="AB1135" i="9"/>
  <c r="AF709" i="9"/>
  <c r="AB709" i="9"/>
  <c r="V211" i="9"/>
  <c r="S211" i="9"/>
  <c r="AF922" i="9"/>
  <c r="AB922" i="9"/>
  <c r="AF1205" i="9"/>
  <c r="AB1205" i="9"/>
  <c r="S495" i="9"/>
  <c r="V495" i="9"/>
  <c r="S353" i="9"/>
  <c r="V353" i="9"/>
  <c r="S424" i="9"/>
  <c r="V424" i="9"/>
  <c r="AB920" i="9"/>
  <c r="AF920" i="9"/>
  <c r="S779" i="9"/>
  <c r="V779" i="9"/>
  <c r="S637" i="9"/>
  <c r="V637" i="9"/>
  <c r="AB282" i="9"/>
  <c r="AF282" i="9"/>
  <c r="AB141" i="9"/>
  <c r="AF141" i="9"/>
  <c r="AB780" i="9"/>
  <c r="AF780" i="9"/>
  <c r="AF283" i="9"/>
  <c r="AB283" i="9"/>
  <c r="AB921" i="9"/>
  <c r="AF921" i="9"/>
  <c r="S282" i="9"/>
  <c r="V282" i="9"/>
  <c r="S850" i="9"/>
  <c r="V850" i="9"/>
  <c r="S140" i="9"/>
  <c r="V140" i="9"/>
  <c r="AF566" i="9"/>
  <c r="AB566" i="9"/>
  <c r="V1205" i="9"/>
  <c r="S1205" i="9"/>
  <c r="S566" i="9"/>
  <c r="V566" i="9"/>
  <c r="S921" i="9"/>
  <c r="V921" i="9"/>
  <c r="AF567" i="9"/>
  <c r="AB567" i="9"/>
  <c r="V1063" i="9"/>
  <c r="S1063" i="9"/>
  <c r="AB496" i="9"/>
  <c r="AF496" i="9"/>
  <c r="AF779" i="9"/>
  <c r="AB779" i="9"/>
  <c r="S1134" i="9"/>
  <c r="V1134" i="9"/>
  <c r="AF212" i="9"/>
  <c r="AB212" i="9"/>
  <c r="J111" i="6"/>
  <c r="J112" i="6"/>
  <c r="H112" i="6"/>
  <c r="I112" i="6" s="1"/>
  <c r="G112" i="6"/>
  <c r="B233" i="6"/>
  <c r="J232" i="6"/>
  <c r="K221" i="6" s="1"/>
  <c r="L220" i="6"/>
  <c r="M220" i="6" s="1"/>
  <c r="H113" i="6"/>
  <c r="I113" i="6" s="1"/>
  <c r="C114" i="6"/>
  <c r="B113" i="6"/>
  <c r="G114" i="9" l="1"/>
  <c r="G185" i="9"/>
  <c r="G257" i="9" s="1"/>
  <c r="G329" i="9" s="1"/>
  <c r="G401" i="9" s="1"/>
  <c r="G473" i="9" s="1"/>
  <c r="G545" i="9" s="1"/>
  <c r="G617" i="9" s="1"/>
  <c r="G689" i="9" s="1"/>
  <c r="G761" i="9" s="1"/>
  <c r="G833" i="9" s="1"/>
  <c r="G905" i="9" s="1"/>
  <c r="G977" i="9" s="1"/>
  <c r="G1049" i="9" s="1"/>
  <c r="G1121" i="9" s="1"/>
  <c r="G1193" i="9" s="1"/>
  <c r="G1265" i="9" s="1"/>
  <c r="AC28" i="9" a="1"/>
  <c r="AC28" i="9" s="1"/>
  <c r="AA29" i="9" s="1"/>
  <c r="AH28" i="9"/>
  <c r="Y28" i="9"/>
  <c r="X29" i="9" s="1"/>
  <c r="W38" i="9"/>
  <c r="U39" i="9" s="1"/>
  <c r="R33" i="9"/>
  <c r="H112" i="9"/>
  <c r="I112" i="9" s="1"/>
  <c r="L922" i="9"/>
  <c r="L1135" i="9"/>
  <c r="L425" i="9"/>
  <c r="L780" i="9"/>
  <c r="L851" i="9"/>
  <c r="L1277" i="9"/>
  <c r="L709" i="9"/>
  <c r="L212" i="9"/>
  <c r="L496" i="9"/>
  <c r="L141" i="9"/>
  <c r="L1064" i="9"/>
  <c r="L638" i="9"/>
  <c r="L283" i="9"/>
  <c r="L567" i="9"/>
  <c r="L993" i="9"/>
  <c r="L1206" i="9"/>
  <c r="L354" i="9"/>
  <c r="F284" i="9"/>
  <c r="F1136" i="9"/>
  <c r="F1065" i="9"/>
  <c r="F781" i="9"/>
  <c r="F568" i="9"/>
  <c r="F994" i="9"/>
  <c r="F1207" i="9"/>
  <c r="F355" i="9"/>
  <c r="F497" i="9"/>
  <c r="F426" i="9"/>
  <c r="F639" i="9"/>
  <c r="F710" i="9"/>
  <c r="F213" i="9"/>
  <c r="F852" i="9"/>
  <c r="F1278" i="9"/>
  <c r="F923" i="9"/>
  <c r="Q142" i="9"/>
  <c r="Q214" i="9" s="1"/>
  <c r="Q286" i="9" s="1"/>
  <c r="Q358" i="9" s="1"/>
  <c r="Q430" i="9" s="1"/>
  <c r="Q502" i="9" s="1"/>
  <c r="Q574" i="9" s="1"/>
  <c r="Q646" i="9" s="1"/>
  <c r="Q718" i="9" s="1"/>
  <c r="Q790" i="9" s="1"/>
  <c r="Q862" i="9" s="1"/>
  <c r="Q934" i="9" s="1"/>
  <c r="Q1006" i="9" s="1"/>
  <c r="Q1078" i="9" s="1"/>
  <c r="Q1150" i="9" s="1"/>
  <c r="Q1222" i="9" s="1"/>
  <c r="Q1294" i="9" s="1"/>
  <c r="P142" i="9"/>
  <c r="P214" i="9" s="1"/>
  <c r="P286" i="9" s="1"/>
  <c r="P358" i="9" s="1"/>
  <c r="P430" i="9" s="1"/>
  <c r="P502" i="9" s="1"/>
  <c r="P574" i="9" s="1"/>
  <c r="P646" i="9" s="1"/>
  <c r="P718" i="9" s="1"/>
  <c r="P790" i="9" s="1"/>
  <c r="P862" i="9" s="1"/>
  <c r="P934" i="9" s="1"/>
  <c r="P1006" i="9" s="1"/>
  <c r="P1078" i="9" s="1"/>
  <c r="P1150" i="9" s="1"/>
  <c r="P1222" i="9" s="1"/>
  <c r="P1294" i="9" s="1"/>
  <c r="O214" i="9"/>
  <c r="O286" i="9" s="1"/>
  <c r="O358" i="9" s="1"/>
  <c r="O430" i="9" s="1"/>
  <c r="O502" i="9" s="1"/>
  <c r="O574" i="9" s="1"/>
  <c r="O646" i="9" s="1"/>
  <c r="O718" i="9" s="1"/>
  <c r="O790" i="9" s="1"/>
  <c r="O862" i="9" s="1"/>
  <c r="O934" i="9" s="1"/>
  <c r="O1006" i="9" s="1"/>
  <c r="O1078" i="9" s="1"/>
  <c r="O1150" i="9" s="1"/>
  <c r="O1222" i="9" s="1"/>
  <c r="O1294" i="9" s="1"/>
  <c r="M142" i="9"/>
  <c r="M214" i="9" s="1"/>
  <c r="M286" i="9" s="1"/>
  <c r="M358" i="9" s="1"/>
  <c r="M430" i="9" s="1"/>
  <c r="M502" i="9" s="1"/>
  <c r="M574" i="9" s="1"/>
  <c r="M646" i="9" s="1"/>
  <c r="M718" i="9" s="1"/>
  <c r="M790" i="9" s="1"/>
  <c r="M862" i="9" s="1"/>
  <c r="M934" i="9" s="1"/>
  <c r="M1006" i="9" s="1"/>
  <c r="M1078" i="9" s="1"/>
  <c r="M1150" i="9" s="1"/>
  <c r="M1222" i="9" s="1"/>
  <c r="M1294" i="9" s="1"/>
  <c r="N142" i="9"/>
  <c r="N214" i="9" s="1"/>
  <c r="N286" i="9" s="1"/>
  <c r="N358" i="9" s="1"/>
  <c r="N430" i="9" s="1"/>
  <c r="N502" i="9" s="1"/>
  <c r="N574" i="9" s="1"/>
  <c r="N646" i="9" s="1"/>
  <c r="N718" i="9" s="1"/>
  <c r="N790" i="9" s="1"/>
  <c r="N862" i="9" s="1"/>
  <c r="N934" i="9" s="1"/>
  <c r="N1006" i="9" s="1"/>
  <c r="N1078" i="9" s="1"/>
  <c r="N1150" i="9" s="1"/>
  <c r="N1222" i="9" s="1"/>
  <c r="N1294" i="9" s="1"/>
  <c r="F142" i="9"/>
  <c r="J113" i="9"/>
  <c r="AE141" i="9"/>
  <c r="AB851" i="9"/>
  <c r="AF851" i="9"/>
  <c r="S993" i="9"/>
  <c r="V993" i="9"/>
  <c r="S638" i="9"/>
  <c r="V638" i="9"/>
  <c r="S1277" i="9"/>
  <c r="V1277" i="9"/>
  <c r="V922" i="9"/>
  <c r="S922" i="9"/>
  <c r="AF852" i="9"/>
  <c r="AB852" i="9"/>
  <c r="S425" i="9"/>
  <c r="V425" i="9"/>
  <c r="S141" i="9"/>
  <c r="V141" i="9"/>
  <c r="S283" i="9"/>
  <c r="V283" i="9"/>
  <c r="D144" i="9"/>
  <c r="C143" i="9"/>
  <c r="O143" i="9" s="1"/>
  <c r="AF497" i="9"/>
  <c r="AB497" i="9"/>
  <c r="S1206" i="9"/>
  <c r="V1206" i="9"/>
  <c r="AF639" i="9"/>
  <c r="AB639" i="9"/>
  <c r="S212" i="9"/>
  <c r="V212" i="9"/>
  <c r="S354" i="9"/>
  <c r="V354" i="9"/>
  <c r="AF355" i="9"/>
  <c r="AB355" i="9"/>
  <c r="AF992" i="9"/>
  <c r="AB992" i="9"/>
  <c r="AF994" i="9"/>
  <c r="AB994" i="9"/>
  <c r="AF1278" i="9"/>
  <c r="AB1278" i="9"/>
  <c r="AF284" i="9"/>
  <c r="AB284" i="9"/>
  <c r="V1135" i="9"/>
  <c r="S1135" i="9"/>
  <c r="AB993" i="9"/>
  <c r="AF993" i="9"/>
  <c r="V851" i="9"/>
  <c r="S851" i="9"/>
  <c r="S496" i="9"/>
  <c r="V496" i="9"/>
  <c r="AB1277" i="9"/>
  <c r="AF1277" i="9"/>
  <c r="AB1207" i="9"/>
  <c r="AF1207" i="9"/>
  <c r="S992" i="9"/>
  <c r="AF568" i="9"/>
  <c r="AB568" i="9"/>
  <c r="AB638" i="9"/>
  <c r="AF638" i="9"/>
  <c r="AB213" i="9"/>
  <c r="AF213" i="9"/>
  <c r="AB354" i="9"/>
  <c r="AF354" i="9"/>
  <c r="S709" i="9"/>
  <c r="V709" i="9"/>
  <c r="V567" i="9"/>
  <c r="S567" i="9"/>
  <c r="AF781" i="9"/>
  <c r="AB781" i="9"/>
  <c r="S1064" i="9"/>
  <c r="V1064" i="9"/>
  <c r="S780" i="9"/>
  <c r="V780" i="9"/>
  <c r="K101" i="6"/>
  <c r="G113" i="6"/>
  <c r="B114" i="6"/>
  <c r="C115" i="6"/>
  <c r="J233" i="6"/>
  <c r="B234" i="6"/>
  <c r="K222" i="6"/>
  <c r="L221" i="6"/>
  <c r="M221" i="6" s="1"/>
  <c r="G186" i="9" l="1"/>
  <c r="G258" i="9" s="1"/>
  <c r="G330" i="9" s="1"/>
  <c r="G402" i="9" s="1"/>
  <c r="G474" i="9" s="1"/>
  <c r="G546" i="9" s="1"/>
  <c r="G618" i="9" s="1"/>
  <c r="G690" i="9" s="1"/>
  <c r="G762" i="9" s="1"/>
  <c r="G834" i="9" s="1"/>
  <c r="G906" i="9" s="1"/>
  <c r="G978" i="9" s="1"/>
  <c r="G1050" i="9" s="1"/>
  <c r="G1122" i="9" s="1"/>
  <c r="G1194" i="9" s="1"/>
  <c r="G1266" i="9" s="1"/>
  <c r="Z29" i="9"/>
  <c r="AG29" i="9"/>
  <c r="AI29" i="9"/>
  <c r="AD29" i="9"/>
  <c r="T33" i="9"/>
  <c r="R34" i="9" s="1"/>
  <c r="W39" i="9"/>
  <c r="U40" i="9" s="1"/>
  <c r="H113" i="9"/>
  <c r="I113" i="9" s="1"/>
  <c r="L1207" i="9"/>
  <c r="L994" i="9"/>
  <c r="L568" i="9"/>
  <c r="L923" i="9"/>
  <c r="L781" i="9"/>
  <c r="L1278" i="9"/>
  <c r="L1065" i="9"/>
  <c r="L852" i="9"/>
  <c r="L1136" i="9"/>
  <c r="L213" i="9"/>
  <c r="L284" i="9"/>
  <c r="L710" i="9"/>
  <c r="L142" i="9"/>
  <c r="L639" i="9"/>
  <c r="L426" i="9"/>
  <c r="L497" i="9"/>
  <c r="L355" i="9"/>
  <c r="F924" i="9"/>
  <c r="F1208" i="9"/>
  <c r="F285" i="9"/>
  <c r="F356" i="9"/>
  <c r="F782" i="9"/>
  <c r="F1066" i="9"/>
  <c r="F427" i="9"/>
  <c r="F214" i="9"/>
  <c r="F1279" i="9"/>
  <c r="F711" i="9"/>
  <c r="F640" i="9"/>
  <c r="F995" i="9"/>
  <c r="F498" i="9"/>
  <c r="F853" i="9"/>
  <c r="F569" i="9"/>
  <c r="F1137" i="9"/>
  <c r="Q143" i="9"/>
  <c r="Q215" i="9" s="1"/>
  <c r="Q287" i="9" s="1"/>
  <c r="Q359" i="9" s="1"/>
  <c r="Q431" i="9" s="1"/>
  <c r="Q503" i="9" s="1"/>
  <c r="Q575" i="9" s="1"/>
  <c r="Q647" i="9" s="1"/>
  <c r="Q719" i="9" s="1"/>
  <c r="Q791" i="9" s="1"/>
  <c r="Q863" i="9" s="1"/>
  <c r="Q935" i="9" s="1"/>
  <c r="Q1007" i="9" s="1"/>
  <c r="Q1079" i="9" s="1"/>
  <c r="Q1151" i="9" s="1"/>
  <c r="Q1223" i="9" s="1"/>
  <c r="Q1295" i="9" s="1"/>
  <c r="P143" i="9"/>
  <c r="P215" i="9" s="1"/>
  <c r="P287" i="9" s="1"/>
  <c r="P359" i="9" s="1"/>
  <c r="P431" i="9" s="1"/>
  <c r="P503" i="9" s="1"/>
  <c r="P575" i="9" s="1"/>
  <c r="P647" i="9" s="1"/>
  <c r="P719" i="9" s="1"/>
  <c r="P791" i="9" s="1"/>
  <c r="P863" i="9" s="1"/>
  <c r="P935" i="9" s="1"/>
  <c r="P1007" i="9" s="1"/>
  <c r="P1079" i="9" s="1"/>
  <c r="P1151" i="9" s="1"/>
  <c r="P1223" i="9" s="1"/>
  <c r="P1295" i="9" s="1"/>
  <c r="O215" i="9"/>
  <c r="O287" i="9" s="1"/>
  <c r="O359" i="9" s="1"/>
  <c r="O431" i="9" s="1"/>
  <c r="O503" i="9" s="1"/>
  <c r="O575" i="9" s="1"/>
  <c r="O647" i="9" s="1"/>
  <c r="O719" i="9" s="1"/>
  <c r="O791" i="9" s="1"/>
  <c r="O863" i="9" s="1"/>
  <c r="O935" i="9" s="1"/>
  <c r="O1007" i="9" s="1"/>
  <c r="O1079" i="9" s="1"/>
  <c r="O1151" i="9" s="1"/>
  <c r="O1223" i="9" s="1"/>
  <c r="O1295" i="9" s="1"/>
  <c r="M143" i="9"/>
  <c r="M215" i="9" s="1"/>
  <c r="M287" i="9" s="1"/>
  <c r="M359" i="9" s="1"/>
  <c r="M431" i="9" s="1"/>
  <c r="M503" i="9" s="1"/>
  <c r="M575" i="9" s="1"/>
  <c r="M647" i="9" s="1"/>
  <c r="M719" i="9" s="1"/>
  <c r="M791" i="9" s="1"/>
  <c r="M863" i="9" s="1"/>
  <c r="M935" i="9" s="1"/>
  <c r="M1007" i="9" s="1"/>
  <c r="M1079" i="9" s="1"/>
  <c r="M1151" i="9" s="1"/>
  <c r="M1223" i="9" s="1"/>
  <c r="M1295" i="9" s="1"/>
  <c r="N143" i="9"/>
  <c r="N215" i="9" s="1"/>
  <c r="N287" i="9" s="1"/>
  <c r="N359" i="9" s="1"/>
  <c r="N431" i="9" s="1"/>
  <c r="N503" i="9" s="1"/>
  <c r="N575" i="9" s="1"/>
  <c r="N647" i="9" s="1"/>
  <c r="N719" i="9" s="1"/>
  <c r="N791" i="9" s="1"/>
  <c r="N863" i="9" s="1"/>
  <c r="N935" i="9" s="1"/>
  <c r="N1007" i="9" s="1"/>
  <c r="N1079" i="9" s="1"/>
  <c r="N1151" i="9" s="1"/>
  <c r="N1223" i="9" s="1"/>
  <c r="N1295" i="9" s="1"/>
  <c r="F143" i="9"/>
  <c r="J114" i="9"/>
  <c r="AF640" i="9"/>
  <c r="AB640" i="9"/>
  <c r="AB1065" i="9"/>
  <c r="AF1065" i="9"/>
  <c r="S1136" i="9"/>
  <c r="AF1064" i="9"/>
  <c r="AB1064" i="9"/>
  <c r="D145" i="9"/>
  <c r="C144" i="9"/>
  <c r="O144" i="9" s="1"/>
  <c r="S213" i="9"/>
  <c r="V213" i="9"/>
  <c r="AB924" i="9"/>
  <c r="AF924" i="9"/>
  <c r="S710" i="9"/>
  <c r="V710" i="9"/>
  <c r="AB853" i="9"/>
  <c r="AF853" i="9"/>
  <c r="AF426" i="9"/>
  <c r="AB426" i="9"/>
  <c r="AF285" i="9"/>
  <c r="AB285" i="9"/>
  <c r="V923" i="9"/>
  <c r="S923" i="9"/>
  <c r="S1207" i="9"/>
  <c r="V1207" i="9"/>
  <c r="AF1066" i="9"/>
  <c r="AB1066" i="9"/>
  <c r="V284" i="9"/>
  <c r="S284" i="9"/>
  <c r="AB569" i="9"/>
  <c r="AF569" i="9"/>
  <c r="S355" i="9"/>
  <c r="V355" i="9"/>
  <c r="S1065" i="9"/>
  <c r="V1065" i="9"/>
  <c r="V1136" i="9"/>
  <c r="S568" i="9"/>
  <c r="V568" i="9"/>
  <c r="AF356" i="9"/>
  <c r="AB356" i="9"/>
  <c r="V426" i="9"/>
  <c r="S426" i="9"/>
  <c r="S1278" i="9"/>
  <c r="V1278" i="9"/>
  <c r="S852" i="9"/>
  <c r="V852" i="9"/>
  <c r="S639" i="9"/>
  <c r="V639" i="9"/>
  <c r="S781" i="9"/>
  <c r="V781" i="9"/>
  <c r="AB710" i="9"/>
  <c r="AF710" i="9"/>
  <c r="AF142" i="9"/>
  <c r="AE142" i="9" s="1"/>
  <c r="AB142" i="9"/>
  <c r="AF1279" i="9"/>
  <c r="AB1279" i="9"/>
  <c r="S142" i="9"/>
  <c r="V142" i="9"/>
  <c r="AF427" i="9"/>
  <c r="AB427" i="9"/>
  <c r="AF711" i="9"/>
  <c r="AB711" i="9"/>
  <c r="S497" i="9"/>
  <c r="V497" i="9"/>
  <c r="S994" i="9"/>
  <c r="V994" i="9"/>
  <c r="AF923" i="9"/>
  <c r="AB923" i="9"/>
  <c r="K102" i="6"/>
  <c r="L101" i="6"/>
  <c r="M101" i="6" s="1"/>
  <c r="G115" i="9" s="1"/>
  <c r="J113" i="6"/>
  <c r="J234" i="6"/>
  <c r="H114" i="6"/>
  <c r="I114" i="6" s="1"/>
  <c r="K223" i="6"/>
  <c r="L222" i="6"/>
  <c r="M222" i="6" s="1"/>
  <c r="B235" i="6"/>
  <c r="C116" i="6"/>
  <c r="B115" i="6"/>
  <c r="G114" i="6"/>
  <c r="G187" i="9" l="1"/>
  <c r="G259" i="9" s="1"/>
  <c r="G331" i="9" s="1"/>
  <c r="G403" i="9" s="1"/>
  <c r="G475" i="9" s="1"/>
  <c r="G547" i="9" s="1"/>
  <c r="G619" i="9" s="1"/>
  <c r="G691" i="9" s="1"/>
  <c r="G763" i="9" s="1"/>
  <c r="G835" i="9" s="1"/>
  <c r="G907" i="9" s="1"/>
  <c r="G979" i="9" s="1"/>
  <c r="G1051" i="9" s="1"/>
  <c r="G1123" i="9" s="1"/>
  <c r="G1195" i="9" s="1"/>
  <c r="G1267" i="9" s="1"/>
  <c r="AH29" i="9"/>
  <c r="AC29" i="9" a="1"/>
  <c r="AC29" i="9" s="1"/>
  <c r="AA30" i="9" s="1"/>
  <c r="Y29" i="9"/>
  <c r="X30" i="9" s="1"/>
  <c r="W40" i="9"/>
  <c r="U41" i="9" s="1"/>
  <c r="T34" i="9"/>
  <c r="R35" i="9" s="1"/>
  <c r="H114" i="9"/>
  <c r="I114" i="9" s="1"/>
  <c r="L1066" i="9"/>
  <c r="L1137" i="9"/>
  <c r="L782" i="9"/>
  <c r="L356" i="9"/>
  <c r="L569" i="9"/>
  <c r="L285" i="9"/>
  <c r="L853" i="9"/>
  <c r="L1208" i="9"/>
  <c r="L498" i="9"/>
  <c r="L924" i="9"/>
  <c r="L995" i="9"/>
  <c r="L640" i="9"/>
  <c r="L143" i="9"/>
  <c r="L711" i="9"/>
  <c r="L1279" i="9"/>
  <c r="L427" i="9"/>
  <c r="L214" i="9"/>
  <c r="F641" i="9"/>
  <c r="F1067" i="9"/>
  <c r="F1138" i="9"/>
  <c r="F712" i="9"/>
  <c r="F854" i="9"/>
  <c r="F1209" i="9"/>
  <c r="F783" i="9"/>
  <c r="F428" i="9"/>
  <c r="F357" i="9"/>
  <c r="F215" i="9"/>
  <c r="F925" i="9"/>
  <c r="F286" i="9"/>
  <c r="F1280" i="9"/>
  <c r="F570" i="9"/>
  <c r="F499" i="9"/>
  <c r="F996" i="9"/>
  <c r="M144" i="9"/>
  <c r="M216" i="9" s="1"/>
  <c r="M288" i="9" s="1"/>
  <c r="M360" i="9" s="1"/>
  <c r="M432" i="9" s="1"/>
  <c r="M504" i="9" s="1"/>
  <c r="M576" i="9" s="1"/>
  <c r="M648" i="9" s="1"/>
  <c r="M720" i="9" s="1"/>
  <c r="M792" i="9" s="1"/>
  <c r="M864" i="9" s="1"/>
  <c r="M936" i="9" s="1"/>
  <c r="M1008" i="9" s="1"/>
  <c r="M1080" i="9" s="1"/>
  <c r="M1152" i="9" s="1"/>
  <c r="M1224" i="9" s="1"/>
  <c r="M1296" i="9" s="1"/>
  <c r="Q144" i="9"/>
  <c r="Q216" i="9" s="1"/>
  <c r="Q288" i="9" s="1"/>
  <c r="Q360" i="9" s="1"/>
  <c r="Q432" i="9" s="1"/>
  <c r="Q504" i="9" s="1"/>
  <c r="Q576" i="9" s="1"/>
  <c r="Q648" i="9" s="1"/>
  <c r="Q720" i="9" s="1"/>
  <c r="Q792" i="9" s="1"/>
  <c r="Q864" i="9" s="1"/>
  <c r="Q936" i="9" s="1"/>
  <c r="Q1008" i="9" s="1"/>
  <c r="Q1080" i="9" s="1"/>
  <c r="Q1152" i="9" s="1"/>
  <c r="Q1224" i="9" s="1"/>
  <c r="Q1296" i="9" s="1"/>
  <c r="P144" i="9"/>
  <c r="P216" i="9" s="1"/>
  <c r="P288" i="9" s="1"/>
  <c r="P360" i="9" s="1"/>
  <c r="P432" i="9" s="1"/>
  <c r="P504" i="9" s="1"/>
  <c r="P576" i="9" s="1"/>
  <c r="P648" i="9" s="1"/>
  <c r="P720" i="9" s="1"/>
  <c r="P792" i="9" s="1"/>
  <c r="P864" i="9" s="1"/>
  <c r="P936" i="9" s="1"/>
  <c r="P1008" i="9" s="1"/>
  <c r="P1080" i="9" s="1"/>
  <c r="P1152" i="9" s="1"/>
  <c r="P1224" i="9" s="1"/>
  <c r="P1296" i="9" s="1"/>
  <c r="O216" i="9"/>
  <c r="O288" i="9" s="1"/>
  <c r="O360" i="9" s="1"/>
  <c r="O432" i="9" s="1"/>
  <c r="O504" i="9" s="1"/>
  <c r="O576" i="9" s="1"/>
  <c r="O648" i="9" s="1"/>
  <c r="O720" i="9" s="1"/>
  <c r="O792" i="9" s="1"/>
  <c r="O864" i="9" s="1"/>
  <c r="O936" i="9" s="1"/>
  <c r="O1008" i="9" s="1"/>
  <c r="O1080" i="9" s="1"/>
  <c r="O1152" i="9" s="1"/>
  <c r="O1224" i="9" s="1"/>
  <c r="O1296" i="9" s="1"/>
  <c r="N144" i="9"/>
  <c r="N216" i="9" s="1"/>
  <c r="N288" i="9" s="1"/>
  <c r="N360" i="9" s="1"/>
  <c r="N432" i="9" s="1"/>
  <c r="N504" i="9" s="1"/>
  <c r="N576" i="9" s="1"/>
  <c r="N648" i="9" s="1"/>
  <c r="N720" i="9" s="1"/>
  <c r="N792" i="9" s="1"/>
  <c r="N864" i="9" s="1"/>
  <c r="N936" i="9" s="1"/>
  <c r="N1008" i="9" s="1"/>
  <c r="N1080" i="9" s="1"/>
  <c r="N1152" i="9" s="1"/>
  <c r="N1224" i="9" s="1"/>
  <c r="N1296" i="9" s="1"/>
  <c r="F144" i="9"/>
  <c r="J115" i="9"/>
  <c r="AF144" i="9"/>
  <c r="AB144" i="9"/>
  <c r="AF783" i="9"/>
  <c r="AB783" i="9"/>
  <c r="S1066" i="9"/>
  <c r="V1066" i="9"/>
  <c r="AF214" i="9"/>
  <c r="AB214" i="9"/>
  <c r="V143" i="9"/>
  <c r="S143" i="9"/>
  <c r="S1137" i="9"/>
  <c r="V1137" i="9"/>
  <c r="V356" i="9"/>
  <c r="S356" i="9"/>
  <c r="AF1138" i="9"/>
  <c r="AB1138" i="9"/>
  <c r="V995" i="9"/>
  <c r="S995" i="9"/>
  <c r="AF498" i="9"/>
  <c r="AB498" i="9"/>
  <c r="V782" i="9"/>
  <c r="S782" i="9"/>
  <c r="AF143" i="9"/>
  <c r="AE143" i="9" s="1"/>
  <c r="AB143" i="9"/>
  <c r="S214" i="9"/>
  <c r="V214" i="9"/>
  <c r="AF995" i="9"/>
  <c r="AB995" i="9"/>
  <c r="AF499" i="9"/>
  <c r="AB499" i="9"/>
  <c r="V853" i="9"/>
  <c r="S853" i="9"/>
  <c r="V1208" i="9"/>
  <c r="AF641" i="9"/>
  <c r="AB641" i="9"/>
  <c r="V1279" i="9"/>
  <c r="S1279" i="9"/>
  <c r="AF357" i="9"/>
  <c r="AB357" i="9"/>
  <c r="AF925" i="9"/>
  <c r="AB925" i="9"/>
  <c r="C145" i="9"/>
  <c r="M145" i="9" s="1"/>
  <c r="M217" i="9" s="1"/>
  <c r="M289" i="9" s="1"/>
  <c r="M361" i="9" s="1"/>
  <c r="M433" i="9" s="1"/>
  <c r="M505" i="9" s="1"/>
  <c r="M577" i="9" s="1"/>
  <c r="M649" i="9" s="1"/>
  <c r="M721" i="9" s="1"/>
  <c r="M793" i="9" s="1"/>
  <c r="M865" i="9" s="1"/>
  <c r="M937" i="9" s="1"/>
  <c r="M1009" i="9" s="1"/>
  <c r="M1081" i="9" s="1"/>
  <c r="M1153" i="9" s="1"/>
  <c r="M1225" i="9" s="1"/>
  <c r="M1297" i="9" s="1"/>
  <c r="D146" i="9"/>
  <c r="S569" i="9"/>
  <c r="V569" i="9"/>
  <c r="AF782" i="9"/>
  <c r="AB782" i="9"/>
  <c r="S711" i="9"/>
  <c r="V711" i="9"/>
  <c r="V640" i="9"/>
  <c r="S640" i="9"/>
  <c r="S285" i="9"/>
  <c r="V285" i="9"/>
  <c r="AB1137" i="9"/>
  <c r="AF1137" i="9"/>
  <c r="V924" i="9"/>
  <c r="S924" i="9"/>
  <c r="V498" i="9"/>
  <c r="S498" i="9"/>
  <c r="AB428" i="9"/>
  <c r="AF428" i="9"/>
  <c r="S427" i="9"/>
  <c r="V427" i="9"/>
  <c r="AF996" i="9"/>
  <c r="AB996" i="9"/>
  <c r="AF1136" i="9"/>
  <c r="AB1136" i="9"/>
  <c r="AF712" i="9"/>
  <c r="AB712" i="9"/>
  <c r="J114" i="6"/>
  <c r="K103" i="6"/>
  <c r="L102" i="6"/>
  <c r="M102" i="6" s="1"/>
  <c r="G116" i="9" s="1"/>
  <c r="J235" i="6"/>
  <c r="H115" i="6"/>
  <c r="I115" i="6" s="1"/>
  <c r="C117" i="6"/>
  <c r="B116" i="6"/>
  <c r="K224" i="6"/>
  <c r="L223" i="6"/>
  <c r="M223" i="6" s="1"/>
  <c r="B236" i="6"/>
  <c r="G115" i="6"/>
  <c r="G188" i="9" l="1"/>
  <c r="G260" i="9" s="1"/>
  <c r="G332" i="9" s="1"/>
  <c r="G404" i="9" s="1"/>
  <c r="G476" i="9" s="1"/>
  <c r="G548" i="9" s="1"/>
  <c r="G620" i="9" s="1"/>
  <c r="G692" i="9" s="1"/>
  <c r="G764" i="9" s="1"/>
  <c r="G836" i="9" s="1"/>
  <c r="G908" i="9" s="1"/>
  <c r="G980" i="9" s="1"/>
  <c r="G1052" i="9" s="1"/>
  <c r="G1124" i="9" s="1"/>
  <c r="G1196" i="9" s="1"/>
  <c r="G1268" i="9" s="1"/>
  <c r="Z30" i="9"/>
  <c r="AI30" i="9"/>
  <c r="AG30" i="9"/>
  <c r="AD30" i="9"/>
  <c r="T35" i="9"/>
  <c r="W41" i="9"/>
  <c r="U42" i="9" s="1"/>
  <c r="H115" i="9"/>
  <c r="I115" i="9" s="1"/>
  <c r="L783" i="9"/>
  <c r="L1209" i="9"/>
  <c r="L854" i="9"/>
  <c r="L996" i="9"/>
  <c r="L712" i="9"/>
  <c r="L428" i="9"/>
  <c r="L499" i="9"/>
  <c r="L1138" i="9"/>
  <c r="L570" i="9"/>
  <c r="L1067" i="9"/>
  <c r="L1280" i="9"/>
  <c r="L641" i="9"/>
  <c r="L286" i="9"/>
  <c r="L144" i="9"/>
  <c r="L925" i="9"/>
  <c r="L215" i="9"/>
  <c r="L357" i="9"/>
  <c r="F358" i="9"/>
  <c r="F1281" i="9"/>
  <c r="F855" i="9"/>
  <c r="F713" i="9"/>
  <c r="F642" i="9"/>
  <c r="F500" i="9"/>
  <c r="F1139" i="9"/>
  <c r="F997" i="9"/>
  <c r="F926" i="9"/>
  <c r="F1068" i="9"/>
  <c r="F287" i="9"/>
  <c r="F784" i="9"/>
  <c r="F571" i="9"/>
  <c r="F429" i="9"/>
  <c r="F1210" i="9"/>
  <c r="F216" i="9"/>
  <c r="N145" i="9"/>
  <c r="N217" i="9" s="1"/>
  <c r="N289" i="9" s="1"/>
  <c r="N361" i="9" s="1"/>
  <c r="N433" i="9" s="1"/>
  <c r="N505" i="9" s="1"/>
  <c r="N577" i="9" s="1"/>
  <c r="N649" i="9" s="1"/>
  <c r="N721" i="9" s="1"/>
  <c r="N793" i="9" s="1"/>
  <c r="N865" i="9" s="1"/>
  <c r="N937" i="9" s="1"/>
  <c r="N1009" i="9" s="1"/>
  <c r="N1081" i="9" s="1"/>
  <c r="N1153" i="9" s="1"/>
  <c r="N1225" i="9" s="1"/>
  <c r="N1297" i="9" s="1"/>
  <c r="F145" i="9"/>
  <c r="O145" i="9"/>
  <c r="AB145" i="9" s="1"/>
  <c r="J116" i="9"/>
  <c r="AE144" i="9"/>
  <c r="AF1068" i="9"/>
  <c r="AB1068" i="9"/>
  <c r="S996" i="9"/>
  <c r="V996" i="9"/>
  <c r="AF854" i="9"/>
  <c r="AB854" i="9"/>
  <c r="AB997" i="9"/>
  <c r="AF997" i="9"/>
  <c r="AF570" i="9"/>
  <c r="AB570" i="9"/>
  <c r="S428" i="9"/>
  <c r="V428" i="9"/>
  <c r="V1209" i="9"/>
  <c r="S1209" i="9"/>
  <c r="AB855" i="9"/>
  <c r="AF855" i="9"/>
  <c r="AF1208" i="9"/>
  <c r="AB1208" i="9"/>
  <c r="AB500" i="9"/>
  <c r="AF500" i="9"/>
  <c r="S570" i="9"/>
  <c r="V570" i="9"/>
  <c r="AF1209" i="9"/>
  <c r="AB1209" i="9"/>
  <c r="S357" i="9"/>
  <c r="V357" i="9"/>
  <c r="S783" i="9"/>
  <c r="V783" i="9"/>
  <c r="S854" i="9"/>
  <c r="V854" i="9"/>
  <c r="S1138" i="9"/>
  <c r="V1138" i="9"/>
  <c r="AB784" i="9"/>
  <c r="AF784" i="9"/>
  <c r="S144" i="9"/>
  <c r="V144" i="9"/>
  <c r="S641" i="9"/>
  <c r="V641" i="9"/>
  <c r="AF713" i="9"/>
  <c r="AB713" i="9"/>
  <c r="S1208" i="9"/>
  <c r="S925" i="9"/>
  <c r="V925" i="9"/>
  <c r="AF571" i="9"/>
  <c r="AB571" i="9"/>
  <c r="S286" i="9"/>
  <c r="V286" i="9"/>
  <c r="AF215" i="9"/>
  <c r="AB215" i="9"/>
  <c r="AF1210" i="9"/>
  <c r="AB1210" i="9"/>
  <c r="V215" i="9"/>
  <c r="S215" i="9"/>
  <c r="AB286" i="9"/>
  <c r="AF286" i="9"/>
  <c r="S499" i="9"/>
  <c r="V499" i="9"/>
  <c r="V712" i="9"/>
  <c r="S712" i="9"/>
  <c r="C146" i="9"/>
  <c r="D147" i="9"/>
  <c r="AF429" i="9"/>
  <c r="AB429" i="9"/>
  <c r="S1280" i="9"/>
  <c r="V1280" i="9"/>
  <c r="AF1067" i="9"/>
  <c r="AB1067" i="9"/>
  <c r="V1067" i="9"/>
  <c r="S1067" i="9"/>
  <c r="AF216" i="9"/>
  <c r="AB216" i="9"/>
  <c r="J115" i="6"/>
  <c r="K104" i="6"/>
  <c r="L103" i="6"/>
  <c r="M103" i="6" s="1"/>
  <c r="G117" i="9" s="1"/>
  <c r="H116" i="6"/>
  <c r="I116" i="6" s="1"/>
  <c r="J236" i="6"/>
  <c r="B237" i="6"/>
  <c r="C118" i="6"/>
  <c r="B117" i="6"/>
  <c r="K225" i="6"/>
  <c r="L224" i="6"/>
  <c r="M224" i="6" s="1"/>
  <c r="G116" i="6"/>
  <c r="G189" i="9" l="1"/>
  <c r="G261" i="9" s="1"/>
  <c r="G333" i="9" s="1"/>
  <c r="G405" i="9" s="1"/>
  <c r="G477" i="9" s="1"/>
  <c r="G549" i="9" s="1"/>
  <c r="G621" i="9" s="1"/>
  <c r="G693" i="9" s="1"/>
  <c r="G765" i="9" s="1"/>
  <c r="G837" i="9" s="1"/>
  <c r="G909" i="9" s="1"/>
  <c r="G981" i="9" s="1"/>
  <c r="G1053" i="9" s="1"/>
  <c r="G1125" i="9" s="1"/>
  <c r="G1197" i="9" s="1"/>
  <c r="G1269" i="9" s="1"/>
  <c r="AC30" i="9" a="1"/>
  <c r="AC30" i="9" s="1"/>
  <c r="AA31" i="9" s="1"/>
  <c r="AH30" i="9"/>
  <c r="Y30" i="9"/>
  <c r="X31" i="9" s="1"/>
  <c r="W42" i="9"/>
  <c r="U43" i="9" s="1"/>
  <c r="R36" i="9"/>
  <c r="H116" i="9"/>
  <c r="I116" i="9" s="1"/>
  <c r="L713" i="9"/>
  <c r="L1210" i="9"/>
  <c r="L855" i="9"/>
  <c r="L500" i="9"/>
  <c r="L429" i="9"/>
  <c r="L1281" i="9"/>
  <c r="L145" i="9"/>
  <c r="L642" i="9"/>
  <c r="L571" i="9"/>
  <c r="L784" i="9"/>
  <c r="L287" i="9"/>
  <c r="L1068" i="9"/>
  <c r="L358" i="9"/>
  <c r="L926" i="9"/>
  <c r="L216" i="9"/>
  <c r="L997" i="9"/>
  <c r="L1139" i="9"/>
  <c r="F643" i="9"/>
  <c r="F1211" i="9"/>
  <c r="F856" i="9"/>
  <c r="F430" i="9"/>
  <c r="F217" i="9"/>
  <c r="F572" i="9"/>
  <c r="F359" i="9"/>
  <c r="F714" i="9"/>
  <c r="F288" i="9"/>
  <c r="F1140" i="9"/>
  <c r="F785" i="9"/>
  <c r="F1282" i="9"/>
  <c r="F998" i="9"/>
  <c r="F927" i="9"/>
  <c r="F501" i="9"/>
  <c r="F1069" i="9"/>
  <c r="AF145" i="9"/>
  <c r="AE145" i="9" s="1"/>
  <c r="Q145" i="9"/>
  <c r="Q217" i="9" s="1"/>
  <c r="Q289" i="9" s="1"/>
  <c r="Q361" i="9" s="1"/>
  <c r="Q433" i="9" s="1"/>
  <c r="Q505" i="9" s="1"/>
  <c r="Q577" i="9" s="1"/>
  <c r="Q649" i="9" s="1"/>
  <c r="Q721" i="9" s="1"/>
  <c r="Q793" i="9" s="1"/>
  <c r="Q865" i="9" s="1"/>
  <c r="Q937" i="9" s="1"/>
  <c r="Q1009" i="9" s="1"/>
  <c r="Q1081" i="9" s="1"/>
  <c r="Q1153" i="9" s="1"/>
  <c r="Q1225" i="9" s="1"/>
  <c r="Q1297" i="9" s="1"/>
  <c r="P145" i="9"/>
  <c r="P217" i="9" s="1"/>
  <c r="P289" i="9" s="1"/>
  <c r="P361" i="9" s="1"/>
  <c r="P433" i="9" s="1"/>
  <c r="P505" i="9" s="1"/>
  <c r="P577" i="9" s="1"/>
  <c r="P649" i="9" s="1"/>
  <c r="P721" i="9" s="1"/>
  <c r="P793" i="9" s="1"/>
  <c r="P865" i="9" s="1"/>
  <c r="P937" i="9" s="1"/>
  <c r="P1009" i="9" s="1"/>
  <c r="P1081" i="9" s="1"/>
  <c r="P1153" i="9" s="1"/>
  <c r="P1225" i="9" s="1"/>
  <c r="P1297" i="9" s="1"/>
  <c r="O217" i="9"/>
  <c r="O289" i="9" s="1"/>
  <c r="O361" i="9" s="1"/>
  <c r="O433" i="9" s="1"/>
  <c r="O505" i="9" s="1"/>
  <c r="O577" i="9" s="1"/>
  <c r="O649" i="9" s="1"/>
  <c r="O721" i="9" s="1"/>
  <c r="O793" i="9" s="1"/>
  <c r="O865" i="9" s="1"/>
  <c r="O937" i="9" s="1"/>
  <c r="O1009" i="9" s="1"/>
  <c r="O1081" i="9" s="1"/>
  <c r="O1153" i="9" s="1"/>
  <c r="O1225" i="9" s="1"/>
  <c r="O1297" i="9" s="1"/>
  <c r="N146" i="9"/>
  <c r="N218" i="9" s="1"/>
  <c r="N290" i="9" s="1"/>
  <c r="N362" i="9" s="1"/>
  <c r="N434" i="9" s="1"/>
  <c r="N506" i="9" s="1"/>
  <c r="N578" i="9" s="1"/>
  <c r="N650" i="9" s="1"/>
  <c r="N722" i="9" s="1"/>
  <c r="N794" i="9" s="1"/>
  <c r="N866" i="9" s="1"/>
  <c r="N938" i="9" s="1"/>
  <c r="N1010" i="9" s="1"/>
  <c r="N1082" i="9" s="1"/>
  <c r="N1154" i="9" s="1"/>
  <c r="N1226" i="9" s="1"/>
  <c r="N1298" i="9" s="1"/>
  <c r="F146" i="9"/>
  <c r="M146" i="9"/>
  <c r="M218" i="9" s="1"/>
  <c r="M290" i="9" s="1"/>
  <c r="M362" i="9" s="1"/>
  <c r="M434" i="9" s="1"/>
  <c r="M506" i="9" s="1"/>
  <c r="M578" i="9" s="1"/>
  <c r="M650" i="9" s="1"/>
  <c r="M722" i="9" s="1"/>
  <c r="M794" i="9" s="1"/>
  <c r="M866" i="9" s="1"/>
  <c r="M938" i="9" s="1"/>
  <c r="M1010" i="9" s="1"/>
  <c r="M1082" i="9" s="1"/>
  <c r="M1154" i="9" s="1"/>
  <c r="M1226" i="9" s="1"/>
  <c r="M1298" i="9" s="1"/>
  <c r="O146" i="9"/>
  <c r="J117" i="9"/>
  <c r="S784" i="9"/>
  <c r="V784" i="9"/>
  <c r="V571" i="9"/>
  <c r="S571" i="9"/>
  <c r="AB358" i="9"/>
  <c r="AF358" i="9"/>
  <c r="S287" i="9"/>
  <c r="V287" i="9"/>
  <c r="AF643" i="9"/>
  <c r="AB643" i="9"/>
  <c r="S216" i="9"/>
  <c r="V216" i="9"/>
  <c r="AF572" i="9"/>
  <c r="AB572" i="9"/>
  <c r="AB1069" i="9"/>
  <c r="AF1069" i="9"/>
  <c r="V926" i="9"/>
  <c r="S926" i="9"/>
  <c r="S1281" i="9"/>
  <c r="V1281" i="9"/>
  <c r="S145" i="9"/>
  <c r="V145" i="9"/>
  <c r="AF1140" i="9"/>
  <c r="AB1140" i="9"/>
  <c r="AF1139" i="9"/>
  <c r="AB1139" i="9"/>
  <c r="V1139" i="9"/>
  <c r="S1139" i="9"/>
  <c r="AF501" i="9"/>
  <c r="AB501" i="9"/>
  <c r="AF287" i="9"/>
  <c r="AB287" i="9"/>
  <c r="S713" i="9"/>
  <c r="V713" i="9"/>
  <c r="V1210" i="9"/>
  <c r="S1210" i="9"/>
  <c r="AB1281" i="9"/>
  <c r="AF1281" i="9"/>
  <c r="AF927" i="9"/>
  <c r="AB927" i="9"/>
  <c r="S500" i="9"/>
  <c r="V500" i="9"/>
  <c r="AB926" i="9"/>
  <c r="AF926" i="9"/>
  <c r="S1068" i="9"/>
  <c r="V1068" i="9"/>
  <c r="AF288" i="9"/>
  <c r="AB288" i="9"/>
  <c r="D148" i="9"/>
  <c r="C147" i="9"/>
  <c r="M147" i="9" s="1"/>
  <c r="M219" i="9" s="1"/>
  <c r="M291" i="9" s="1"/>
  <c r="M363" i="9" s="1"/>
  <c r="M435" i="9" s="1"/>
  <c r="M507" i="9" s="1"/>
  <c r="M579" i="9" s="1"/>
  <c r="M651" i="9" s="1"/>
  <c r="M723" i="9" s="1"/>
  <c r="M795" i="9" s="1"/>
  <c r="M867" i="9" s="1"/>
  <c r="M939" i="9" s="1"/>
  <c r="M1011" i="9" s="1"/>
  <c r="M1083" i="9" s="1"/>
  <c r="M1155" i="9" s="1"/>
  <c r="M1227" i="9" s="1"/>
  <c r="M1299" i="9" s="1"/>
  <c r="AF1282" i="9"/>
  <c r="AB1282" i="9"/>
  <c r="S358" i="9"/>
  <c r="V358" i="9"/>
  <c r="S997" i="9"/>
  <c r="V997" i="9"/>
  <c r="AF785" i="9"/>
  <c r="AB785" i="9"/>
  <c r="AF856" i="9"/>
  <c r="AB856" i="9"/>
  <c r="V855" i="9"/>
  <c r="S855" i="9"/>
  <c r="S429" i="9"/>
  <c r="V429" i="9"/>
  <c r="S642" i="9"/>
  <c r="V642" i="9"/>
  <c r="AF1280" i="9"/>
  <c r="AB1280" i="9"/>
  <c r="AB642" i="9"/>
  <c r="AF642" i="9"/>
  <c r="J116" i="6"/>
  <c r="L104" i="6"/>
  <c r="M104" i="6" s="1"/>
  <c r="G118" i="9" s="1"/>
  <c r="K105" i="6"/>
  <c r="L225" i="6"/>
  <c r="M225" i="6" s="1"/>
  <c r="K226" i="6"/>
  <c r="B118" i="6"/>
  <c r="C119" i="6"/>
  <c r="H117" i="6"/>
  <c r="I117" i="6" s="1"/>
  <c r="G117" i="6"/>
  <c r="J237" i="6"/>
  <c r="B238" i="6"/>
  <c r="G190" i="9" l="1"/>
  <c r="G262" i="9" s="1"/>
  <c r="G334" i="9" s="1"/>
  <c r="G406" i="9" s="1"/>
  <c r="G478" i="9" s="1"/>
  <c r="G550" i="9" s="1"/>
  <c r="G622" i="9" s="1"/>
  <c r="G694" i="9" s="1"/>
  <c r="G766" i="9" s="1"/>
  <c r="G838" i="9" s="1"/>
  <c r="G910" i="9" s="1"/>
  <c r="G982" i="9" s="1"/>
  <c r="G1054" i="9" s="1"/>
  <c r="G1126" i="9" s="1"/>
  <c r="G1198" i="9" s="1"/>
  <c r="G1270" i="9" s="1"/>
  <c r="Z31" i="9"/>
  <c r="AG31" i="9"/>
  <c r="AI31" i="9"/>
  <c r="AD31" i="9"/>
  <c r="T36" i="9"/>
  <c r="W43" i="9"/>
  <c r="U44" i="9" s="1"/>
  <c r="H117" i="9"/>
  <c r="I117" i="9" s="1"/>
  <c r="L217" i="9"/>
  <c r="L1069" i="9"/>
  <c r="L430" i="9"/>
  <c r="L501" i="9"/>
  <c r="L856" i="9"/>
  <c r="L927" i="9"/>
  <c r="L1211" i="9"/>
  <c r="L998" i="9"/>
  <c r="L643" i="9"/>
  <c r="L1282" i="9"/>
  <c r="L714" i="9"/>
  <c r="L572" i="9"/>
  <c r="L146" i="9"/>
  <c r="L785" i="9"/>
  <c r="L1140" i="9"/>
  <c r="L359" i="9"/>
  <c r="L288" i="9"/>
  <c r="F928" i="9"/>
  <c r="F786" i="9"/>
  <c r="F644" i="9"/>
  <c r="F857" i="9"/>
  <c r="F289" i="9"/>
  <c r="F1141" i="9"/>
  <c r="F502" i="9"/>
  <c r="F360" i="9"/>
  <c r="F218" i="9"/>
  <c r="F999" i="9"/>
  <c r="F1212" i="9"/>
  <c r="F573" i="9"/>
  <c r="F1283" i="9"/>
  <c r="F1070" i="9"/>
  <c r="F431" i="9"/>
  <c r="F715" i="9"/>
  <c r="AB217" i="9"/>
  <c r="AF217" i="9"/>
  <c r="N147" i="9"/>
  <c r="N219" i="9" s="1"/>
  <c r="N291" i="9" s="1"/>
  <c r="N363" i="9" s="1"/>
  <c r="N435" i="9" s="1"/>
  <c r="N507" i="9" s="1"/>
  <c r="N579" i="9" s="1"/>
  <c r="N651" i="9" s="1"/>
  <c r="N723" i="9" s="1"/>
  <c r="N795" i="9" s="1"/>
  <c r="N867" i="9" s="1"/>
  <c r="N939" i="9" s="1"/>
  <c r="N1011" i="9" s="1"/>
  <c r="N1083" i="9" s="1"/>
  <c r="N1155" i="9" s="1"/>
  <c r="N1227" i="9" s="1"/>
  <c r="N1299" i="9" s="1"/>
  <c r="F147" i="9"/>
  <c r="Q146" i="9"/>
  <c r="Q218" i="9" s="1"/>
  <c r="Q290" i="9" s="1"/>
  <c r="Q362" i="9" s="1"/>
  <c r="Q434" i="9" s="1"/>
  <c r="Q506" i="9" s="1"/>
  <c r="Q578" i="9" s="1"/>
  <c r="Q650" i="9" s="1"/>
  <c r="Q722" i="9" s="1"/>
  <c r="Q794" i="9" s="1"/>
  <c r="Q866" i="9" s="1"/>
  <c r="Q938" i="9" s="1"/>
  <c r="Q1010" i="9" s="1"/>
  <c r="Q1082" i="9" s="1"/>
  <c r="Q1154" i="9" s="1"/>
  <c r="Q1226" i="9" s="1"/>
  <c r="Q1298" i="9" s="1"/>
  <c r="P146" i="9"/>
  <c r="P218" i="9" s="1"/>
  <c r="P290" i="9" s="1"/>
  <c r="P362" i="9" s="1"/>
  <c r="P434" i="9" s="1"/>
  <c r="P506" i="9" s="1"/>
  <c r="P578" i="9" s="1"/>
  <c r="P650" i="9" s="1"/>
  <c r="P722" i="9" s="1"/>
  <c r="P794" i="9" s="1"/>
  <c r="P866" i="9" s="1"/>
  <c r="P938" i="9" s="1"/>
  <c r="P1010" i="9" s="1"/>
  <c r="P1082" i="9" s="1"/>
  <c r="P1154" i="9" s="1"/>
  <c r="P1226" i="9" s="1"/>
  <c r="P1298" i="9" s="1"/>
  <c r="O218" i="9"/>
  <c r="O290" i="9" s="1"/>
  <c r="O362" i="9" s="1"/>
  <c r="O434" i="9" s="1"/>
  <c r="O506" i="9" s="1"/>
  <c r="O578" i="9" s="1"/>
  <c r="O650" i="9" s="1"/>
  <c r="O722" i="9" s="1"/>
  <c r="O794" i="9" s="1"/>
  <c r="O866" i="9" s="1"/>
  <c r="O938" i="9" s="1"/>
  <c r="O1010" i="9" s="1"/>
  <c r="O1082" i="9" s="1"/>
  <c r="O1154" i="9" s="1"/>
  <c r="O1226" i="9" s="1"/>
  <c r="O1298" i="9" s="1"/>
  <c r="O147" i="9"/>
  <c r="AF147" i="9" s="1"/>
  <c r="J118" i="9"/>
  <c r="S501" i="9"/>
  <c r="V501" i="9"/>
  <c r="AF289" i="9"/>
  <c r="AB289" i="9"/>
  <c r="S1069" i="9"/>
  <c r="V1069" i="9"/>
  <c r="D149" i="9"/>
  <c r="C148" i="9"/>
  <c r="S1140" i="9"/>
  <c r="V1140" i="9"/>
  <c r="AB573" i="9"/>
  <c r="AF573" i="9"/>
  <c r="AF1211" i="9"/>
  <c r="AB1211" i="9"/>
  <c r="S217" i="9"/>
  <c r="V217" i="9"/>
  <c r="V288" i="9"/>
  <c r="S288" i="9"/>
  <c r="S359" i="9"/>
  <c r="V359" i="9"/>
  <c r="AF430" i="9"/>
  <c r="AB430" i="9"/>
  <c r="S146" i="9"/>
  <c r="V146" i="9"/>
  <c r="AB714" i="9"/>
  <c r="AF714" i="9"/>
  <c r="S714" i="9"/>
  <c r="V714" i="9"/>
  <c r="S927" i="9"/>
  <c r="V927" i="9"/>
  <c r="AB857" i="9"/>
  <c r="AF857" i="9"/>
  <c r="AF360" i="9"/>
  <c r="AB360" i="9"/>
  <c r="AF359" i="9"/>
  <c r="AB359" i="9"/>
  <c r="AF146" i="9"/>
  <c r="AE146" i="9" s="1"/>
  <c r="AB146" i="9"/>
  <c r="AF999" i="9"/>
  <c r="AB999" i="9"/>
  <c r="S785" i="9"/>
  <c r="V785" i="9"/>
  <c r="S998" i="9"/>
  <c r="V998" i="9"/>
  <c r="AB928" i="9"/>
  <c r="AF928" i="9"/>
  <c r="V430" i="9"/>
  <c r="S430" i="9"/>
  <c r="AF998" i="9"/>
  <c r="AB998" i="9"/>
  <c r="S572" i="9"/>
  <c r="V572" i="9"/>
  <c r="S1282" i="9"/>
  <c r="V1282" i="9"/>
  <c r="S1211" i="9"/>
  <c r="V1211" i="9"/>
  <c r="AB1212" i="9"/>
  <c r="AF1212" i="9"/>
  <c r="AB1141" i="9"/>
  <c r="AF1141" i="9"/>
  <c r="AF644" i="9"/>
  <c r="AB644" i="9"/>
  <c r="AF715" i="9"/>
  <c r="AB715" i="9"/>
  <c r="S643" i="9"/>
  <c r="V643" i="9"/>
  <c r="S856" i="9"/>
  <c r="V856" i="9"/>
  <c r="J117" i="6"/>
  <c r="L105" i="6"/>
  <c r="M105" i="6" s="1"/>
  <c r="G119" i="9" s="1"/>
  <c r="K106" i="6"/>
  <c r="H118" i="6"/>
  <c r="I118" i="6" s="1"/>
  <c r="B119" i="6"/>
  <c r="C120" i="6"/>
  <c r="K227" i="6"/>
  <c r="L226" i="6"/>
  <c r="M226" i="6" s="1"/>
  <c r="J238" i="6"/>
  <c r="B239" i="6"/>
  <c r="G118" i="6"/>
  <c r="G191" i="9" l="1"/>
  <c r="G263" i="9" s="1"/>
  <c r="G335" i="9" s="1"/>
  <c r="G407" i="9" s="1"/>
  <c r="G479" i="9" s="1"/>
  <c r="G551" i="9" s="1"/>
  <c r="G623" i="9" s="1"/>
  <c r="G695" i="9" s="1"/>
  <c r="G767" i="9" s="1"/>
  <c r="G839" i="9" s="1"/>
  <c r="G911" i="9" s="1"/>
  <c r="G983" i="9" s="1"/>
  <c r="G1055" i="9" s="1"/>
  <c r="G1127" i="9" s="1"/>
  <c r="G1199" i="9" s="1"/>
  <c r="G1271" i="9" s="1"/>
  <c r="AC31" i="9" a="1"/>
  <c r="AC31" i="9" s="1"/>
  <c r="AA32" i="9" s="1"/>
  <c r="Y31" i="9"/>
  <c r="X32" i="9" s="1"/>
  <c r="AH31" i="9"/>
  <c r="W44" i="9"/>
  <c r="U45" i="9" s="1"/>
  <c r="R37" i="9"/>
  <c r="H118" i="9"/>
  <c r="I118" i="9" s="1"/>
  <c r="L1141" i="9"/>
  <c r="L715" i="9"/>
  <c r="L857" i="9"/>
  <c r="L431" i="9"/>
  <c r="L644" i="9"/>
  <c r="L289" i="9"/>
  <c r="L1070" i="9"/>
  <c r="L786" i="9"/>
  <c r="L1283" i="9"/>
  <c r="L928" i="9"/>
  <c r="L573" i="9"/>
  <c r="L1212" i="9"/>
  <c r="L999" i="9"/>
  <c r="L502" i="9"/>
  <c r="L218" i="9"/>
  <c r="L147" i="9"/>
  <c r="L360" i="9"/>
  <c r="F787" i="9"/>
  <c r="F1071" i="9"/>
  <c r="F929" i="9"/>
  <c r="F1142" i="9"/>
  <c r="F432" i="9"/>
  <c r="F858" i="9"/>
  <c r="F219" i="9"/>
  <c r="F1000" i="9"/>
  <c r="F503" i="9"/>
  <c r="F290" i="9"/>
  <c r="F716" i="9"/>
  <c r="F574" i="9"/>
  <c r="F645" i="9"/>
  <c r="F1213" i="9"/>
  <c r="F1284" i="9"/>
  <c r="F361" i="9"/>
  <c r="Q147" i="9"/>
  <c r="Q219" i="9" s="1"/>
  <c r="Q291" i="9" s="1"/>
  <c r="Q363" i="9" s="1"/>
  <c r="Q435" i="9" s="1"/>
  <c r="Q507" i="9" s="1"/>
  <c r="Q579" i="9" s="1"/>
  <c r="Q651" i="9" s="1"/>
  <c r="Q723" i="9" s="1"/>
  <c r="Q795" i="9" s="1"/>
  <c r="Q867" i="9" s="1"/>
  <c r="Q939" i="9" s="1"/>
  <c r="Q1011" i="9" s="1"/>
  <c r="Q1083" i="9" s="1"/>
  <c r="Q1155" i="9" s="1"/>
  <c r="Q1227" i="9" s="1"/>
  <c r="Q1299" i="9" s="1"/>
  <c r="P147" i="9"/>
  <c r="P219" i="9" s="1"/>
  <c r="P291" i="9" s="1"/>
  <c r="P363" i="9" s="1"/>
  <c r="P435" i="9" s="1"/>
  <c r="P507" i="9" s="1"/>
  <c r="P579" i="9" s="1"/>
  <c r="P651" i="9" s="1"/>
  <c r="P723" i="9" s="1"/>
  <c r="P795" i="9" s="1"/>
  <c r="P867" i="9" s="1"/>
  <c r="P939" i="9" s="1"/>
  <c r="P1011" i="9" s="1"/>
  <c r="P1083" i="9" s="1"/>
  <c r="P1155" i="9" s="1"/>
  <c r="P1227" i="9" s="1"/>
  <c r="P1299" i="9" s="1"/>
  <c r="O219" i="9"/>
  <c r="O291" i="9" s="1"/>
  <c r="O363" i="9" s="1"/>
  <c r="O435" i="9" s="1"/>
  <c r="O507" i="9" s="1"/>
  <c r="O579" i="9" s="1"/>
  <c r="O651" i="9" s="1"/>
  <c r="O723" i="9" s="1"/>
  <c r="O795" i="9" s="1"/>
  <c r="O867" i="9" s="1"/>
  <c r="O939" i="9" s="1"/>
  <c r="O1011" i="9" s="1"/>
  <c r="O1083" i="9" s="1"/>
  <c r="O1155" i="9" s="1"/>
  <c r="O1227" i="9" s="1"/>
  <c r="O1299" i="9" s="1"/>
  <c r="N148" i="9"/>
  <c r="N220" i="9" s="1"/>
  <c r="N292" i="9" s="1"/>
  <c r="N364" i="9" s="1"/>
  <c r="N436" i="9" s="1"/>
  <c r="N508" i="9" s="1"/>
  <c r="N580" i="9" s="1"/>
  <c r="N652" i="9" s="1"/>
  <c r="N724" i="9" s="1"/>
  <c r="N796" i="9" s="1"/>
  <c r="N868" i="9" s="1"/>
  <c r="N940" i="9" s="1"/>
  <c r="N1012" i="9" s="1"/>
  <c r="N1084" i="9" s="1"/>
  <c r="N1156" i="9" s="1"/>
  <c r="N1228" i="9" s="1"/>
  <c r="N1300" i="9" s="1"/>
  <c r="F148" i="9"/>
  <c r="AB147" i="9"/>
  <c r="M148" i="9"/>
  <c r="M220" i="9" s="1"/>
  <c r="M292" i="9" s="1"/>
  <c r="M364" i="9" s="1"/>
  <c r="M436" i="9" s="1"/>
  <c r="M508" i="9" s="1"/>
  <c r="M580" i="9" s="1"/>
  <c r="M652" i="9" s="1"/>
  <c r="M724" i="9" s="1"/>
  <c r="M796" i="9" s="1"/>
  <c r="M868" i="9" s="1"/>
  <c r="M940" i="9" s="1"/>
  <c r="M1012" i="9" s="1"/>
  <c r="M1084" i="9" s="1"/>
  <c r="M1156" i="9" s="1"/>
  <c r="M1228" i="9" s="1"/>
  <c r="M1300" i="9" s="1"/>
  <c r="O148" i="9"/>
  <c r="J119" i="9"/>
  <c r="AF716" i="9"/>
  <c r="AB716" i="9"/>
  <c r="AF1284" i="9"/>
  <c r="AB1284" i="9"/>
  <c r="V644" i="9"/>
  <c r="S644" i="9"/>
  <c r="AF218" i="9"/>
  <c r="AB218" i="9"/>
  <c r="V999" i="9"/>
  <c r="S999" i="9"/>
  <c r="AF1283" i="9"/>
  <c r="AB1283" i="9"/>
  <c r="C149" i="9"/>
  <c r="M149" i="9" s="1"/>
  <c r="M221" i="9" s="1"/>
  <c r="M293" i="9" s="1"/>
  <c r="M365" i="9" s="1"/>
  <c r="M437" i="9" s="1"/>
  <c r="M509" i="9" s="1"/>
  <c r="M581" i="9" s="1"/>
  <c r="M653" i="9" s="1"/>
  <c r="M725" i="9" s="1"/>
  <c r="M797" i="9" s="1"/>
  <c r="M869" i="9" s="1"/>
  <c r="M941" i="9" s="1"/>
  <c r="M1013" i="9" s="1"/>
  <c r="M1085" i="9" s="1"/>
  <c r="M1157" i="9" s="1"/>
  <c r="M1229" i="9" s="1"/>
  <c r="M1301" i="9" s="1"/>
  <c r="D150" i="9"/>
  <c r="AF361" i="9"/>
  <c r="AB361" i="9"/>
  <c r="V928" i="9"/>
  <c r="S928" i="9"/>
  <c r="AF1213" i="9"/>
  <c r="AB1213" i="9"/>
  <c r="AF1071" i="9"/>
  <c r="AB1071" i="9"/>
  <c r="AF929" i="9"/>
  <c r="AB929" i="9"/>
  <c r="V360" i="9"/>
  <c r="S360" i="9"/>
  <c r="S289" i="9"/>
  <c r="V289" i="9"/>
  <c r="S1212" i="9"/>
  <c r="V1212" i="9"/>
  <c r="S573" i="9"/>
  <c r="V573" i="9"/>
  <c r="S715" i="9"/>
  <c r="V715" i="9"/>
  <c r="V502" i="9"/>
  <c r="S502" i="9"/>
  <c r="AF1000" i="9"/>
  <c r="AB1000" i="9"/>
  <c r="V857" i="9"/>
  <c r="S857" i="9"/>
  <c r="V147" i="9"/>
  <c r="S147" i="9"/>
  <c r="AB432" i="9"/>
  <c r="AF432" i="9"/>
  <c r="AF786" i="9"/>
  <c r="AB786" i="9"/>
  <c r="AF502" i="9"/>
  <c r="AB502" i="9"/>
  <c r="AF645" i="9"/>
  <c r="AB645" i="9"/>
  <c r="AF787" i="9"/>
  <c r="AB787" i="9"/>
  <c r="V1283" i="9"/>
  <c r="S1283" i="9"/>
  <c r="AF1070" i="9"/>
  <c r="AB1070" i="9"/>
  <c r="S1070" i="9"/>
  <c r="V1070" i="9"/>
  <c r="AE147" i="9"/>
  <c r="AF431" i="9"/>
  <c r="AB431" i="9"/>
  <c r="V786" i="9"/>
  <c r="S786" i="9"/>
  <c r="S218" i="9"/>
  <c r="V218" i="9"/>
  <c r="S431" i="9"/>
  <c r="V431" i="9"/>
  <c r="S1141" i="9"/>
  <c r="V1141" i="9"/>
  <c r="J118" i="6"/>
  <c r="K107" i="6"/>
  <c r="L106" i="6"/>
  <c r="M106" i="6" s="1"/>
  <c r="G120" i="9" s="1"/>
  <c r="J239" i="6"/>
  <c r="B240" i="6"/>
  <c r="C121" i="6"/>
  <c r="B120" i="6"/>
  <c r="H119" i="6"/>
  <c r="I119" i="6" s="1"/>
  <c r="K228" i="6"/>
  <c r="L227" i="6"/>
  <c r="M227" i="6" s="1"/>
  <c r="G119" i="6"/>
  <c r="G192" i="9" l="1"/>
  <c r="G264" i="9" s="1"/>
  <c r="G336" i="9" s="1"/>
  <c r="G408" i="9" s="1"/>
  <c r="G480" i="9" s="1"/>
  <c r="G552" i="9" s="1"/>
  <c r="G624" i="9" s="1"/>
  <c r="G696" i="9" s="1"/>
  <c r="G768" i="9" s="1"/>
  <c r="G840" i="9" s="1"/>
  <c r="G912" i="9" s="1"/>
  <c r="G984" i="9" s="1"/>
  <c r="G1056" i="9" s="1"/>
  <c r="G1128" i="9" s="1"/>
  <c r="G1200" i="9" s="1"/>
  <c r="G1272" i="9" s="1"/>
  <c r="Z32" i="9"/>
  <c r="AI32" i="9"/>
  <c r="AG32" i="9"/>
  <c r="AD32" i="9"/>
  <c r="T37" i="9"/>
  <c r="R38" i="9" s="1"/>
  <c r="W45" i="9"/>
  <c r="U46" i="9" s="1"/>
  <c r="H119" i="9"/>
  <c r="I119" i="9" s="1"/>
  <c r="L219" i="9"/>
  <c r="L361" i="9"/>
  <c r="L1142" i="9"/>
  <c r="L1284" i="9"/>
  <c r="L929" i="9"/>
  <c r="L1213" i="9"/>
  <c r="L1071" i="9"/>
  <c r="L645" i="9"/>
  <c r="L787" i="9"/>
  <c r="L574" i="9"/>
  <c r="L716" i="9"/>
  <c r="L148" i="9"/>
  <c r="L290" i="9"/>
  <c r="L432" i="9"/>
  <c r="L503" i="9"/>
  <c r="L858" i="9"/>
  <c r="L1000" i="9"/>
  <c r="F362" i="9"/>
  <c r="F1285" i="9"/>
  <c r="F1072" i="9"/>
  <c r="F1143" i="9"/>
  <c r="F646" i="9"/>
  <c r="F930" i="9"/>
  <c r="F433" i="9"/>
  <c r="F575" i="9"/>
  <c r="F220" i="9"/>
  <c r="F717" i="9"/>
  <c r="F859" i="9"/>
  <c r="F1214" i="9"/>
  <c r="F1001" i="9"/>
  <c r="F291" i="9"/>
  <c r="F788" i="9"/>
  <c r="F504" i="9"/>
  <c r="AF219" i="9"/>
  <c r="AB219" i="9"/>
  <c r="N149" i="9"/>
  <c r="N221" i="9" s="1"/>
  <c r="N293" i="9" s="1"/>
  <c r="N365" i="9" s="1"/>
  <c r="N437" i="9" s="1"/>
  <c r="N509" i="9" s="1"/>
  <c r="N581" i="9" s="1"/>
  <c r="N653" i="9" s="1"/>
  <c r="N725" i="9" s="1"/>
  <c r="N797" i="9" s="1"/>
  <c r="N869" i="9" s="1"/>
  <c r="N941" i="9" s="1"/>
  <c r="N1013" i="9" s="1"/>
  <c r="N1085" i="9" s="1"/>
  <c r="N1157" i="9" s="1"/>
  <c r="N1229" i="9" s="1"/>
  <c r="N1301" i="9" s="1"/>
  <c r="F149" i="9"/>
  <c r="O149" i="9"/>
  <c r="Q148" i="9"/>
  <c r="Q220" i="9" s="1"/>
  <c r="Q292" i="9" s="1"/>
  <c r="Q364" i="9" s="1"/>
  <c r="Q436" i="9" s="1"/>
  <c r="Q508" i="9" s="1"/>
  <c r="Q580" i="9" s="1"/>
  <c r="Q652" i="9" s="1"/>
  <c r="Q724" i="9" s="1"/>
  <c r="Q796" i="9" s="1"/>
  <c r="Q868" i="9" s="1"/>
  <c r="Q940" i="9" s="1"/>
  <c r="Q1012" i="9" s="1"/>
  <c r="Q1084" i="9" s="1"/>
  <c r="Q1156" i="9" s="1"/>
  <c r="Q1228" i="9" s="1"/>
  <c r="Q1300" i="9" s="1"/>
  <c r="P148" i="9"/>
  <c r="P220" i="9" s="1"/>
  <c r="P292" i="9" s="1"/>
  <c r="P364" i="9" s="1"/>
  <c r="P436" i="9" s="1"/>
  <c r="P508" i="9" s="1"/>
  <c r="P580" i="9" s="1"/>
  <c r="P652" i="9" s="1"/>
  <c r="P724" i="9" s="1"/>
  <c r="P796" i="9" s="1"/>
  <c r="P868" i="9" s="1"/>
  <c r="P940" i="9" s="1"/>
  <c r="P1012" i="9" s="1"/>
  <c r="P1084" i="9" s="1"/>
  <c r="P1156" i="9" s="1"/>
  <c r="P1228" i="9" s="1"/>
  <c r="P1300" i="9" s="1"/>
  <c r="O220" i="9"/>
  <c r="O292" i="9" s="1"/>
  <c r="O364" i="9" s="1"/>
  <c r="O436" i="9" s="1"/>
  <c r="O508" i="9" s="1"/>
  <c r="O580" i="9" s="1"/>
  <c r="O652" i="9" s="1"/>
  <c r="O724" i="9" s="1"/>
  <c r="O796" i="9" s="1"/>
  <c r="O868" i="9" s="1"/>
  <c r="O940" i="9" s="1"/>
  <c r="O1012" i="9" s="1"/>
  <c r="O1084" i="9" s="1"/>
  <c r="O1156" i="9" s="1"/>
  <c r="O1228" i="9" s="1"/>
  <c r="O1300" i="9" s="1"/>
  <c r="J120" i="9"/>
  <c r="S1213" i="9"/>
  <c r="V1213" i="9"/>
  <c r="S503" i="9"/>
  <c r="V503" i="9"/>
  <c r="S148" i="9"/>
  <c r="V148" i="9"/>
  <c r="AF717" i="9"/>
  <c r="AB717" i="9"/>
  <c r="AF858" i="9"/>
  <c r="AB858" i="9"/>
  <c r="S787" i="9"/>
  <c r="V787" i="9"/>
  <c r="S361" i="9"/>
  <c r="V361" i="9"/>
  <c r="AB1285" i="9"/>
  <c r="AF1285" i="9"/>
  <c r="AB290" i="9"/>
  <c r="AF290" i="9"/>
  <c r="AF148" i="9"/>
  <c r="AE148" i="9" s="1"/>
  <c r="AB148" i="9"/>
  <c r="AF574" i="9"/>
  <c r="AB574" i="9"/>
  <c r="S574" i="9"/>
  <c r="V574" i="9"/>
  <c r="AF1143" i="9"/>
  <c r="AB1143" i="9"/>
  <c r="V1071" i="9"/>
  <c r="S1071" i="9"/>
  <c r="AF291" i="9"/>
  <c r="AB291" i="9"/>
  <c r="AB788" i="9"/>
  <c r="AF788" i="9"/>
  <c r="S858" i="9"/>
  <c r="V858" i="9"/>
  <c r="AF1142" i="9"/>
  <c r="AB1142" i="9"/>
  <c r="AB504" i="9"/>
  <c r="AF504" i="9"/>
  <c r="AF1072" i="9"/>
  <c r="AB1072" i="9"/>
  <c r="S1284" i="9"/>
  <c r="V1284" i="9"/>
  <c r="AB1001" i="9"/>
  <c r="AF1001" i="9"/>
  <c r="AF433" i="9"/>
  <c r="AB433" i="9"/>
  <c r="S290" i="9"/>
  <c r="V290" i="9"/>
  <c r="AF503" i="9"/>
  <c r="AB503" i="9"/>
  <c r="S1142" i="9"/>
  <c r="V1142" i="9"/>
  <c r="AB859" i="9"/>
  <c r="AF859" i="9"/>
  <c r="V219" i="9"/>
  <c r="S219" i="9"/>
  <c r="S929" i="9"/>
  <c r="V929" i="9"/>
  <c r="S645" i="9"/>
  <c r="V645" i="9"/>
  <c r="S432" i="9"/>
  <c r="V432" i="9"/>
  <c r="S1000" i="9"/>
  <c r="V1000" i="9"/>
  <c r="C150" i="9"/>
  <c r="D151" i="9"/>
  <c r="V716" i="9"/>
  <c r="S716" i="9"/>
  <c r="J119" i="6"/>
  <c r="L107" i="6"/>
  <c r="M107" i="6" s="1"/>
  <c r="G121" i="9" s="1"/>
  <c r="K108" i="6"/>
  <c r="J240" i="6"/>
  <c r="H120" i="6"/>
  <c r="I120" i="6" s="1"/>
  <c r="C122" i="6"/>
  <c r="B121" i="6"/>
  <c r="B241" i="6"/>
  <c r="K229" i="6"/>
  <c r="L228" i="6"/>
  <c r="M228" i="6" s="1"/>
  <c r="G120" i="6"/>
  <c r="G193" i="9" l="1"/>
  <c r="G265" i="9" s="1"/>
  <c r="G337" i="9" s="1"/>
  <c r="G409" i="9" s="1"/>
  <c r="G481" i="9" s="1"/>
  <c r="G553" i="9" s="1"/>
  <c r="G625" i="9" s="1"/>
  <c r="G697" i="9" s="1"/>
  <c r="G769" i="9" s="1"/>
  <c r="G841" i="9" s="1"/>
  <c r="G913" i="9" s="1"/>
  <c r="G985" i="9" s="1"/>
  <c r="G1057" i="9" s="1"/>
  <c r="G1129" i="9" s="1"/>
  <c r="G1201" i="9" s="1"/>
  <c r="G1273" i="9" s="1"/>
  <c r="Y32" i="9"/>
  <c r="X33" i="9" s="1"/>
  <c r="AH32" i="9"/>
  <c r="AC32" i="9" a="1"/>
  <c r="AC32" i="9" s="1"/>
  <c r="AA33" i="9" s="1"/>
  <c r="W46" i="9"/>
  <c r="U47" i="9" s="1"/>
  <c r="T38" i="9"/>
  <c r="H120" i="9"/>
  <c r="I120" i="9" s="1"/>
  <c r="L646" i="9"/>
  <c r="L504" i="9"/>
  <c r="L1143" i="9"/>
  <c r="L788" i="9"/>
  <c r="L1072" i="9"/>
  <c r="L291" i="9"/>
  <c r="L1285" i="9"/>
  <c r="L1001" i="9"/>
  <c r="L362" i="9"/>
  <c r="L1214" i="9"/>
  <c r="L859" i="9"/>
  <c r="L930" i="9"/>
  <c r="L717" i="9"/>
  <c r="L220" i="9"/>
  <c r="L575" i="9"/>
  <c r="L149" i="9"/>
  <c r="L433" i="9"/>
  <c r="F1144" i="9"/>
  <c r="F1286" i="9"/>
  <c r="F931" i="9"/>
  <c r="F718" i="9"/>
  <c r="F860" i="9"/>
  <c r="F292" i="9"/>
  <c r="F363" i="9"/>
  <c r="F647" i="9"/>
  <c r="F221" i="9"/>
  <c r="F1073" i="9"/>
  <c r="F505" i="9"/>
  <c r="F434" i="9"/>
  <c r="F1002" i="9"/>
  <c r="F576" i="9"/>
  <c r="F789" i="9"/>
  <c r="F1215" i="9"/>
  <c r="N150" i="9"/>
  <c r="N222" i="9" s="1"/>
  <c r="N294" i="9" s="1"/>
  <c r="N366" i="9" s="1"/>
  <c r="N438" i="9" s="1"/>
  <c r="N510" i="9" s="1"/>
  <c r="N582" i="9" s="1"/>
  <c r="N654" i="9" s="1"/>
  <c r="N726" i="9" s="1"/>
  <c r="N798" i="9" s="1"/>
  <c r="N870" i="9" s="1"/>
  <c r="N942" i="9" s="1"/>
  <c r="N1014" i="9" s="1"/>
  <c r="N1086" i="9" s="1"/>
  <c r="N1158" i="9" s="1"/>
  <c r="N1230" i="9" s="1"/>
  <c r="N1302" i="9" s="1"/>
  <c r="F150" i="9"/>
  <c r="Q149" i="9"/>
  <c r="Q221" i="9" s="1"/>
  <c r="Q293" i="9" s="1"/>
  <c r="Q365" i="9" s="1"/>
  <c r="Q437" i="9" s="1"/>
  <c r="Q509" i="9" s="1"/>
  <c r="Q581" i="9" s="1"/>
  <c r="Q653" i="9" s="1"/>
  <c r="Q725" i="9" s="1"/>
  <c r="Q797" i="9" s="1"/>
  <c r="Q869" i="9" s="1"/>
  <c r="Q941" i="9" s="1"/>
  <c r="Q1013" i="9" s="1"/>
  <c r="Q1085" i="9" s="1"/>
  <c r="Q1157" i="9" s="1"/>
  <c r="Q1229" i="9" s="1"/>
  <c r="Q1301" i="9" s="1"/>
  <c r="P149" i="9"/>
  <c r="P221" i="9" s="1"/>
  <c r="P293" i="9" s="1"/>
  <c r="P365" i="9" s="1"/>
  <c r="P437" i="9" s="1"/>
  <c r="P509" i="9" s="1"/>
  <c r="P581" i="9" s="1"/>
  <c r="P653" i="9" s="1"/>
  <c r="P725" i="9" s="1"/>
  <c r="P797" i="9" s="1"/>
  <c r="P869" i="9" s="1"/>
  <c r="P941" i="9" s="1"/>
  <c r="P1013" i="9" s="1"/>
  <c r="P1085" i="9" s="1"/>
  <c r="P1157" i="9" s="1"/>
  <c r="P1229" i="9" s="1"/>
  <c r="P1301" i="9" s="1"/>
  <c r="O221" i="9"/>
  <c r="O293" i="9" s="1"/>
  <c r="O365" i="9" s="1"/>
  <c r="O437" i="9" s="1"/>
  <c r="O509" i="9" s="1"/>
  <c r="O581" i="9" s="1"/>
  <c r="O653" i="9" s="1"/>
  <c r="O725" i="9" s="1"/>
  <c r="O797" i="9" s="1"/>
  <c r="O869" i="9" s="1"/>
  <c r="O941" i="9" s="1"/>
  <c r="O1013" i="9" s="1"/>
  <c r="O1085" i="9" s="1"/>
  <c r="O1157" i="9" s="1"/>
  <c r="O1229" i="9" s="1"/>
  <c r="O1301" i="9" s="1"/>
  <c r="M150" i="9"/>
  <c r="M222" i="9" s="1"/>
  <c r="M294" i="9" s="1"/>
  <c r="M366" i="9" s="1"/>
  <c r="M438" i="9" s="1"/>
  <c r="M510" i="9" s="1"/>
  <c r="M582" i="9" s="1"/>
  <c r="M654" i="9" s="1"/>
  <c r="M726" i="9" s="1"/>
  <c r="M798" i="9" s="1"/>
  <c r="M870" i="9" s="1"/>
  <c r="M942" i="9" s="1"/>
  <c r="M1014" i="9" s="1"/>
  <c r="M1086" i="9" s="1"/>
  <c r="M1158" i="9" s="1"/>
  <c r="M1230" i="9" s="1"/>
  <c r="M1302" i="9" s="1"/>
  <c r="O150" i="9"/>
  <c r="AF150" i="9" s="1"/>
  <c r="J121" i="9"/>
  <c r="S504" i="9"/>
  <c r="V504" i="9"/>
  <c r="S1001" i="9"/>
  <c r="V1001" i="9"/>
  <c r="AF1214" i="9"/>
  <c r="AB1214" i="9"/>
  <c r="V930" i="9"/>
  <c r="S930" i="9"/>
  <c r="AB362" i="9"/>
  <c r="AF362" i="9"/>
  <c r="V859" i="9"/>
  <c r="S859" i="9"/>
  <c r="S717" i="9"/>
  <c r="V717" i="9"/>
  <c r="V1214" i="9"/>
  <c r="S1214" i="9"/>
  <c r="S362" i="9"/>
  <c r="V362" i="9"/>
  <c r="AB1073" i="9"/>
  <c r="AF1073" i="9"/>
  <c r="AF576" i="9"/>
  <c r="AB576" i="9"/>
  <c r="V1143" i="9"/>
  <c r="S1143" i="9"/>
  <c r="AF1215" i="9"/>
  <c r="AB1215" i="9"/>
  <c r="S149" i="9"/>
  <c r="V149" i="9"/>
  <c r="S433" i="9"/>
  <c r="V433" i="9"/>
  <c r="S220" i="9"/>
  <c r="V220" i="9"/>
  <c r="S1285" i="9"/>
  <c r="V1285" i="9"/>
  <c r="S788" i="9"/>
  <c r="V788" i="9"/>
  <c r="D152" i="9"/>
  <c r="C151" i="9"/>
  <c r="M151" i="9" s="1"/>
  <c r="M223" i="9" s="1"/>
  <c r="M295" i="9" s="1"/>
  <c r="M367" i="9" s="1"/>
  <c r="M439" i="9" s="1"/>
  <c r="M511" i="9" s="1"/>
  <c r="M583" i="9" s="1"/>
  <c r="M655" i="9" s="1"/>
  <c r="M727" i="9" s="1"/>
  <c r="M799" i="9" s="1"/>
  <c r="M871" i="9" s="1"/>
  <c r="M943" i="9" s="1"/>
  <c r="M1015" i="9" s="1"/>
  <c r="M1087" i="9" s="1"/>
  <c r="M1159" i="9" s="1"/>
  <c r="M1231" i="9" s="1"/>
  <c r="AF931" i="9"/>
  <c r="AB931" i="9"/>
  <c r="AF505" i="9"/>
  <c r="AB505" i="9"/>
  <c r="AF1144" i="9"/>
  <c r="AB1144" i="9"/>
  <c r="AF363" i="9"/>
  <c r="AB363" i="9"/>
  <c r="AB149" i="9"/>
  <c r="AF149" i="9"/>
  <c r="AE149" i="9" s="1"/>
  <c r="S646" i="9"/>
  <c r="V646" i="9"/>
  <c r="AF220" i="9"/>
  <c r="AB220" i="9"/>
  <c r="AF789" i="9"/>
  <c r="AB789" i="9"/>
  <c r="V575" i="9"/>
  <c r="S575" i="9"/>
  <c r="S1072" i="9"/>
  <c r="V1072" i="9"/>
  <c r="S291" i="9"/>
  <c r="V291" i="9"/>
  <c r="AF575" i="9"/>
  <c r="AB575" i="9"/>
  <c r="AF860" i="9"/>
  <c r="AB860" i="9"/>
  <c r="AB646" i="9"/>
  <c r="AF646" i="9"/>
  <c r="AB930" i="9"/>
  <c r="AF930" i="9"/>
  <c r="J120" i="6"/>
  <c r="L108" i="6"/>
  <c r="M108" i="6" s="1"/>
  <c r="G122" i="9" s="1"/>
  <c r="K109" i="6"/>
  <c r="J241" i="6"/>
  <c r="B242" i="6"/>
  <c r="G121" i="6"/>
  <c r="K230" i="6"/>
  <c r="L229" i="6"/>
  <c r="M229" i="6" s="1"/>
  <c r="B122" i="6"/>
  <c r="C123" i="6"/>
  <c r="H121" i="6"/>
  <c r="I121" i="6" s="1"/>
  <c r="G194" i="9" l="1"/>
  <c r="G266" i="9" s="1"/>
  <c r="G338" i="9" s="1"/>
  <c r="G410" i="9" s="1"/>
  <c r="G482" i="9" s="1"/>
  <c r="G554" i="9" s="1"/>
  <c r="G626" i="9" s="1"/>
  <c r="G698" i="9" s="1"/>
  <c r="G770" i="9" s="1"/>
  <c r="G842" i="9" s="1"/>
  <c r="G914" i="9" s="1"/>
  <c r="G986" i="9" s="1"/>
  <c r="G1058" i="9" s="1"/>
  <c r="G1130" i="9" s="1"/>
  <c r="G1202" i="9" s="1"/>
  <c r="G1274" i="9" s="1"/>
  <c r="AD33" i="9"/>
  <c r="Z33" i="9"/>
  <c r="AG33" i="9"/>
  <c r="AI33" i="9"/>
  <c r="R39" i="9"/>
  <c r="W47" i="9"/>
  <c r="U48" i="9" s="1"/>
  <c r="H121" i="9"/>
  <c r="I121" i="9" s="1"/>
  <c r="L1215" i="9"/>
  <c r="L150" i="9"/>
  <c r="L363" i="9"/>
  <c r="L292" i="9"/>
  <c r="L718" i="9"/>
  <c r="L789" i="9"/>
  <c r="L931" i="9"/>
  <c r="L576" i="9"/>
  <c r="L1286" i="9"/>
  <c r="L860" i="9"/>
  <c r="L1002" i="9"/>
  <c r="L1144" i="9"/>
  <c r="L434" i="9"/>
  <c r="L505" i="9"/>
  <c r="L1073" i="9"/>
  <c r="L221" i="9"/>
  <c r="L647" i="9"/>
  <c r="F222" i="9"/>
  <c r="F364" i="9"/>
  <c r="F577" i="9"/>
  <c r="F932" i="9"/>
  <c r="F506" i="9"/>
  <c r="F1287" i="9"/>
  <c r="F1145" i="9"/>
  <c r="F790" i="9"/>
  <c r="F861" i="9"/>
  <c r="F293" i="9"/>
  <c r="F1003" i="9"/>
  <c r="F648" i="9"/>
  <c r="F719" i="9"/>
  <c r="F1074" i="9"/>
  <c r="F435" i="9"/>
  <c r="F1216" i="9"/>
  <c r="AB150" i="9"/>
  <c r="N151" i="9"/>
  <c r="N223" i="9" s="1"/>
  <c r="N295" i="9" s="1"/>
  <c r="N367" i="9" s="1"/>
  <c r="N439" i="9" s="1"/>
  <c r="N511" i="9" s="1"/>
  <c r="N583" i="9" s="1"/>
  <c r="N655" i="9" s="1"/>
  <c r="N727" i="9" s="1"/>
  <c r="N799" i="9" s="1"/>
  <c r="N871" i="9" s="1"/>
  <c r="N943" i="9" s="1"/>
  <c r="N1015" i="9" s="1"/>
  <c r="N1087" i="9" s="1"/>
  <c r="N1159" i="9" s="1"/>
  <c r="N1231" i="9" s="1"/>
  <c r="F151" i="9"/>
  <c r="Q150" i="9"/>
  <c r="Q222" i="9" s="1"/>
  <c r="Q294" i="9" s="1"/>
  <c r="Q366" i="9" s="1"/>
  <c r="Q438" i="9" s="1"/>
  <c r="Q510" i="9" s="1"/>
  <c r="Q582" i="9" s="1"/>
  <c r="Q654" i="9" s="1"/>
  <c r="Q726" i="9" s="1"/>
  <c r="Q798" i="9" s="1"/>
  <c r="Q870" i="9" s="1"/>
  <c r="Q942" i="9" s="1"/>
  <c r="Q1014" i="9" s="1"/>
  <c r="Q1086" i="9" s="1"/>
  <c r="Q1158" i="9" s="1"/>
  <c r="Q1230" i="9" s="1"/>
  <c r="Q1302" i="9" s="1"/>
  <c r="P150" i="9"/>
  <c r="P222" i="9" s="1"/>
  <c r="P294" i="9" s="1"/>
  <c r="P366" i="9" s="1"/>
  <c r="P438" i="9" s="1"/>
  <c r="P510" i="9" s="1"/>
  <c r="P582" i="9" s="1"/>
  <c r="P654" i="9" s="1"/>
  <c r="P726" i="9" s="1"/>
  <c r="P798" i="9" s="1"/>
  <c r="P870" i="9" s="1"/>
  <c r="P942" i="9" s="1"/>
  <c r="P1014" i="9" s="1"/>
  <c r="P1086" i="9" s="1"/>
  <c r="P1158" i="9" s="1"/>
  <c r="P1230" i="9" s="1"/>
  <c r="P1302" i="9" s="1"/>
  <c r="O222" i="9"/>
  <c r="O294" i="9" s="1"/>
  <c r="O366" i="9" s="1"/>
  <c r="O438" i="9" s="1"/>
  <c r="O510" i="9" s="1"/>
  <c r="O582" i="9" s="1"/>
  <c r="O654" i="9" s="1"/>
  <c r="O726" i="9" s="1"/>
  <c r="O798" i="9" s="1"/>
  <c r="O870" i="9" s="1"/>
  <c r="O942" i="9" s="1"/>
  <c r="O1014" i="9" s="1"/>
  <c r="O1086" i="9" s="1"/>
  <c r="O1158" i="9" s="1"/>
  <c r="O1230" i="9" s="1"/>
  <c r="O1302" i="9" s="1"/>
  <c r="J122" i="9"/>
  <c r="AE150" i="9"/>
  <c r="AF647" i="9"/>
  <c r="AB647" i="9"/>
  <c r="S647" i="9"/>
  <c r="V647" i="9"/>
  <c r="AB221" i="9"/>
  <c r="AF221" i="9"/>
  <c r="AB1216" i="9"/>
  <c r="AF1216" i="9"/>
  <c r="S860" i="9"/>
  <c r="V860" i="9"/>
  <c r="AB1145" i="9"/>
  <c r="AF1145" i="9"/>
  <c r="S576" i="9"/>
  <c r="V576" i="9"/>
  <c r="AF1002" i="9"/>
  <c r="AB1002" i="9"/>
  <c r="AB718" i="9"/>
  <c r="AF718" i="9"/>
  <c r="AB932" i="9"/>
  <c r="AF932" i="9"/>
  <c r="S363" i="9"/>
  <c r="V363" i="9"/>
  <c r="AF435" i="9"/>
  <c r="AB435" i="9"/>
  <c r="D153" i="9"/>
  <c r="C152" i="9"/>
  <c r="O151" i="9" s="1"/>
  <c r="V292" i="9"/>
  <c r="S292" i="9"/>
  <c r="S221" i="9"/>
  <c r="V221" i="9"/>
  <c r="S1215" i="9"/>
  <c r="V1215" i="9"/>
  <c r="S789" i="9"/>
  <c r="V789" i="9"/>
  <c r="S931" i="9"/>
  <c r="V931" i="9"/>
  <c r="S1073" i="9"/>
  <c r="V1073" i="9"/>
  <c r="S1144" i="9"/>
  <c r="V1144" i="9"/>
  <c r="AB861" i="9"/>
  <c r="AF861" i="9"/>
  <c r="AF292" i="9"/>
  <c r="AB292" i="9"/>
  <c r="AF1003" i="9"/>
  <c r="AB1003" i="9"/>
  <c r="S505" i="9"/>
  <c r="V505" i="9"/>
  <c r="AF1287" i="9"/>
  <c r="AB1287" i="9"/>
  <c r="S1286" i="9"/>
  <c r="V1286" i="9"/>
  <c r="AF1286" i="9"/>
  <c r="AB1286" i="9"/>
  <c r="S150" i="9"/>
  <c r="V150" i="9"/>
  <c r="S718" i="9"/>
  <c r="V718" i="9"/>
  <c r="AB577" i="9"/>
  <c r="AF577" i="9"/>
  <c r="AF648" i="9"/>
  <c r="AB648" i="9"/>
  <c r="V434" i="9"/>
  <c r="S434" i="9"/>
  <c r="AF434" i="9"/>
  <c r="AB434" i="9"/>
  <c r="S1002" i="9"/>
  <c r="V1002" i="9"/>
  <c r="J121" i="6"/>
  <c r="K110" i="6"/>
  <c r="L109" i="6"/>
  <c r="M109" i="6" s="1"/>
  <c r="G123" i="9" s="1"/>
  <c r="J242" i="6"/>
  <c r="H122" i="6"/>
  <c r="I122" i="6" s="1"/>
  <c r="B243" i="6"/>
  <c r="B123" i="6"/>
  <c r="C124" i="6"/>
  <c r="G122" i="6"/>
  <c r="K231" i="6"/>
  <c r="L230" i="6"/>
  <c r="M230" i="6" s="1"/>
  <c r="G195" i="9" l="1"/>
  <c r="G267" i="9" s="1"/>
  <c r="G339" i="9" s="1"/>
  <c r="G411" i="9" s="1"/>
  <c r="G483" i="9" s="1"/>
  <c r="G555" i="9" s="1"/>
  <c r="G627" i="9" s="1"/>
  <c r="G699" i="9" s="1"/>
  <c r="G771" i="9" s="1"/>
  <c r="G843" i="9" s="1"/>
  <c r="G915" i="9" s="1"/>
  <c r="G987" i="9" s="1"/>
  <c r="G1059" i="9" s="1"/>
  <c r="G1131" i="9" s="1"/>
  <c r="G1203" i="9" s="1"/>
  <c r="G1275" i="9" s="1"/>
  <c r="AH33" i="9"/>
  <c r="Y33" i="9"/>
  <c r="X34" i="9" s="1"/>
  <c r="AC33" i="9" a="1"/>
  <c r="AC33" i="9" s="1"/>
  <c r="AA34" i="9" s="1"/>
  <c r="W48" i="9"/>
  <c r="U49" i="9" s="1"/>
  <c r="T39" i="9"/>
  <c r="R40" i="9" s="1"/>
  <c r="H122" i="9"/>
  <c r="I122" i="9" s="1"/>
  <c r="L1145" i="9"/>
  <c r="L1287" i="9"/>
  <c r="L1216" i="9"/>
  <c r="L932" i="9"/>
  <c r="L506" i="9"/>
  <c r="L435" i="9"/>
  <c r="L577" i="9"/>
  <c r="L1074" i="9"/>
  <c r="L364" i="9"/>
  <c r="L719" i="9"/>
  <c r="L222" i="9"/>
  <c r="L648" i="9"/>
  <c r="L151" i="9"/>
  <c r="L1003" i="9"/>
  <c r="L293" i="9"/>
  <c r="L861" i="9"/>
  <c r="L790" i="9"/>
  <c r="F649" i="9"/>
  <c r="F862" i="9"/>
  <c r="F1075" i="9"/>
  <c r="F578" i="9"/>
  <c r="F1288" i="9"/>
  <c r="F1004" i="9"/>
  <c r="F1146" i="9"/>
  <c r="F223" i="9"/>
  <c r="F720" i="9"/>
  <c r="F365" i="9"/>
  <c r="F436" i="9"/>
  <c r="F933" i="9"/>
  <c r="F507" i="9"/>
  <c r="F791" i="9"/>
  <c r="F1217" i="9"/>
  <c r="F294" i="9"/>
  <c r="AB222" i="9"/>
  <c r="Q151" i="9"/>
  <c r="Q223" i="9" s="1"/>
  <c r="Q295" i="9" s="1"/>
  <c r="Q367" i="9" s="1"/>
  <c r="Q439" i="9" s="1"/>
  <c r="Q511" i="9" s="1"/>
  <c r="Q583" i="9" s="1"/>
  <c r="Q655" i="9" s="1"/>
  <c r="Q727" i="9" s="1"/>
  <c r="Q799" i="9" s="1"/>
  <c r="Q871" i="9" s="1"/>
  <c r="Q943" i="9" s="1"/>
  <c r="Q1015" i="9" s="1"/>
  <c r="Q1087" i="9" s="1"/>
  <c r="Q1159" i="9" s="1"/>
  <c r="Q1231" i="9" s="1"/>
  <c r="P151" i="9"/>
  <c r="P223" i="9" s="1"/>
  <c r="P295" i="9" s="1"/>
  <c r="P367" i="9" s="1"/>
  <c r="P439" i="9" s="1"/>
  <c r="P511" i="9" s="1"/>
  <c r="P583" i="9" s="1"/>
  <c r="P655" i="9" s="1"/>
  <c r="P727" i="9" s="1"/>
  <c r="P799" i="9" s="1"/>
  <c r="P871" i="9" s="1"/>
  <c r="P943" i="9" s="1"/>
  <c r="P1015" i="9" s="1"/>
  <c r="P1087" i="9" s="1"/>
  <c r="P1159" i="9" s="1"/>
  <c r="P1231" i="9" s="1"/>
  <c r="O223" i="9"/>
  <c r="O295" i="9" s="1"/>
  <c r="O367" i="9" s="1"/>
  <c r="O439" i="9" s="1"/>
  <c r="O511" i="9" s="1"/>
  <c r="O583" i="9" s="1"/>
  <c r="O655" i="9" s="1"/>
  <c r="O727" i="9" s="1"/>
  <c r="O799" i="9" s="1"/>
  <c r="O871" i="9" s="1"/>
  <c r="O943" i="9" s="1"/>
  <c r="O1015" i="9" s="1"/>
  <c r="O1087" i="9" s="1"/>
  <c r="O1159" i="9" s="1"/>
  <c r="O1231" i="9" s="1"/>
  <c r="AF222" i="9"/>
  <c r="M152" i="9"/>
  <c r="M224" i="9" s="1"/>
  <c r="M296" i="9" s="1"/>
  <c r="M368" i="9" s="1"/>
  <c r="M440" i="9" s="1"/>
  <c r="M512" i="9" s="1"/>
  <c r="M584" i="9" s="1"/>
  <c r="M656" i="9" s="1"/>
  <c r="M728" i="9" s="1"/>
  <c r="M800" i="9" s="1"/>
  <c r="M872" i="9" s="1"/>
  <c r="M944" i="9" s="1"/>
  <c r="M1016" i="9" s="1"/>
  <c r="M1088" i="9" s="1"/>
  <c r="M1160" i="9" s="1"/>
  <c r="M1232" i="9" s="1"/>
  <c r="O152" i="9"/>
  <c r="N152" i="9"/>
  <c r="N224" i="9" s="1"/>
  <c r="N296" i="9" s="1"/>
  <c r="N368" i="9" s="1"/>
  <c r="N440" i="9" s="1"/>
  <c r="N512" i="9" s="1"/>
  <c r="N584" i="9" s="1"/>
  <c r="N656" i="9" s="1"/>
  <c r="N728" i="9" s="1"/>
  <c r="N800" i="9" s="1"/>
  <c r="N872" i="9" s="1"/>
  <c r="N944" i="9" s="1"/>
  <c r="N1016" i="9" s="1"/>
  <c r="N1088" i="9" s="1"/>
  <c r="N1160" i="9" s="1"/>
  <c r="N1232" i="9" s="1"/>
  <c r="F152" i="9"/>
  <c r="J123" i="9"/>
  <c r="V151" i="9"/>
  <c r="AF1075" i="9"/>
  <c r="AB1075" i="9"/>
  <c r="V1003" i="9"/>
  <c r="S1003" i="9"/>
  <c r="AF507" i="9"/>
  <c r="AB507" i="9"/>
  <c r="AF1074" i="9"/>
  <c r="AB1074" i="9"/>
  <c r="V932" i="9"/>
  <c r="S932" i="9"/>
  <c r="AF720" i="9"/>
  <c r="AB720" i="9"/>
  <c r="AF649" i="9"/>
  <c r="AB649" i="9"/>
  <c r="V790" i="9"/>
  <c r="S790" i="9"/>
  <c r="S577" i="9"/>
  <c r="V577" i="9"/>
  <c r="AF364" i="9"/>
  <c r="AB364" i="9"/>
  <c r="S1216" i="9"/>
  <c r="V1216" i="9"/>
  <c r="S1145" i="9"/>
  <c r="V1145" i="9"/>
  <c r="S293" i="9"/>
  <c r="V293" i="9"/>
  <c r="AF790" i="9"/>
  <c r="AB790" i="9"/>
  <c r="AF1217" i="9"/>
  <c r="AB1217" i="9"/>
  <c r="S1074" i="9"/>
  <c r="V1074" i="9"/>
  <c r="S222" i="9"/>
  <c r="V222" i="9"/>
  <c r="AF933" i="9"/>
  <c r="AB933" i="9"/>
  <c r="AB294" i="9"/>
  <c r="AF294" i="9"/>
  <c r="V1287" i="9"/>
  <c r="S1287" i="9"/>
  <c r="AF1004" i="9"/>
  <c r="AB1004" i="9"/>
  <c r="V648" i="9"/>
  <c r="S648" i="9"/>
  <c r="AF293" i="9"/>
  <c r="AB293" i="9"/>
  <c r="S719" i="9"/>
  <c r="V719" i="9"/>
  <c r="AF506" i="9"/>
  <c r="AB506" i="9"/>
  <c r="V506" i="9"/>
  <c r="S506" i="9"/>
  <c r="V861" i="9"/>
  <c r="S861" i="9"/>
  <c r="V364" i="9"/>
  <c r="S364" i="9"/>
  <c r="C153" i="9"/>
  <c r="M153" i="9" s="1"/>
  <c r="M225" i="9" s="1"/>
  <c r="M297" i="9" s="1"/>
  <c r="M369" i="9" s="1"/>
  <c r="M441" i="9" s="1"/>
  <c r="M513" i="9" s="1"/>
  <c r="M585" i="9" s="1"/>
  <c r="M657" i="9" s="1"/>
  <c r="M729" i="9" s="1"/>
  <c r="M801" i="9" s="1"/>
  <c r="M873" i="9" s="1"/>
  <c r="M945" i="9" s="1"/>
  <c r="M1017" i="9" s="1"/>
  <c r="M1089" i="9" s="1"/>
  <c r="M1161" i="9" s="1"/>
  <c r="M1233" i="9" s="1"/>
  <c r="D154" i="9"/>
  <c r="S435" i="9"/>
  <c r="V435" i="9"/>
  <c r="AF1288" i="9"/>
  <c r="AB1288" i="9"/>
  <c r="AF719" i="9"/>
  <c r="AB719" i="9"/>
  <c r="J122" i="6"/>
  <c r="K111" i="6"/>
  <c r="L110" i="6"/>
  <c r="M110" i="6" s="1"/>
  <c r="G124" i="9" s="1"/>
  <c r="K232" i="6"/>
  <c r="L231" i="6"/>
  <c r="M231" i="6" s="1"/>
  <c r="B124" i="6"/>
  <c r="H123" i="6"/>
  <c r="I123" i="6" s="1"/>
  <c r="J243" i="6"/>
  <c r="B244" i="6"/>
  <c r="G123" i="6"/>
  <c r="G196" i="9" l="1"/>
  <c r="G268" i="9" s="1"/>
  <c r="G340" i="9" s="1"/>
  <c r="G412" i="9" s="1"/>
  <c r="G484" i="9" s="1"/>
  <c r="G556" i="9" s="1"/>
  <c r="G628" i="9" s="1"/>
  <c r="G700" i="9" s="1"/>
  <c r="G772" i="9" s="1"/>
  <c r="G844" i="9" s="1"/>
  <c r="G916" i="9" s="1"/>
  <c r="G988" i="9" s="1"/>
  <c r="G1060" i="9" s="1"/>
  <c r="G1132" i="9" s="1"/>
  <c r="G1204" i="9" s="1"/>
  <c r="G1276" i="9" s="1"/>
  <c r="AD34" i="9"/>
  <c r="Z34" i="9"/>
  <c r="AI34" i="9"/>
  <c r="AG34" i="9"/>
  <c r="T40" i="9"/>
  <c r="R41" i="9" s="1"/>
  <c r="W49" i="9"/>
  <c r="U50" i="9" s="1"/>
  <c r="H123" i="9"/>
  <c r="I123" i="9" s="1"/>
  <c r="L223" i="9"/>
  <c r="L1004" i="9"/>
  <c r="L1288" i="9"/>
  <c r="L294" i="9"/>
  <c r="L578" i="9"/>
  <c r="L1217" i="9"/>
  <c r="L1075" i="9"/>
  <c r="L152" i="9"/>
  <c r="L791" i="9"/>
  <c r="L862" i="9"/>
  <c r="L507" i="9"/>
  <c r="L649" i="9"/>
  <c r="L933" i="9"/>
  <c r="L365" i="9"/>
  <c r="L1146" i="9"/>
  <c r="L436" i="9"/>
  <c r="L720" i="9"/>
  <c r="F224" i="9"/>
  <c r="F366" i="9"/>
  <c r="F650" i="9"/>
  <c r="F1289" i="9"/>
  <c r="F1147" i="9"/>
  <c r="F934" i="9"/>
  <c r="F1005" i="9"/>
  <c r="F1076" i="9"/>
  <c r="F508" i="9"/>
  <c r="F792" i="9"/>
  <c r="F863" i="9"/>
  <c r="F437" i="9"/>
  <c r="F295" i="9"/>
  <c r="F579" i="9"/>
  <c r="F1218" i="9"/>
  <c r="F721" i="9"/>
  <c r="Q152" i="9"/>
  <c r="Q224" i="9" s="1"/>
  <c r="Q296" i="9" s="1"/>
  <c r="Q368" i="9" s="1"/>
  <c r="Q440" i="9" s="1"/>
  <c r="Q512" i="9" s="1"/>
  <c r="Q584" i="9" s="1"/>
  <c r="Q656" i="9" s="1"/>
  <c r="Q728" i="9" s="1"/>
  <c r="Q800" i="9" s="1"/>
  <c r="Q872" i="9" s="1"/>
  <c r="Q944" i="9" s="1"/>
  <c r="Q1016" i="9" s="1"/>
  <c r="Q1088" i="9" s="1"/>
  <c r="Q1160" i="9" s="1"/>
  <c r="Q1232" i="9" s="1"/>
  <c r="P152" i="9"/>
  <c r="P224" i="9" s="1"/>
  <c r="P296" i="9" s="1"/>
  <c r="P368" i="9" s="1"/>
  <c r="P440" i="9" s="1"/>
  <c r="P512" i="9" s="1"/>
  <c r="P584" i="9" s="1"/>
  <c r="P656" i="9" s="1"/>
  <c r="P728" i="9" s="1"/>
  <c r="P800" i="9" s="1"/>
  <c r="P872" i="9" s="1"/>
  <c r="P944" i="9" s="1"/>
  <c r="P1016" i="9" s="1"/>
  <c r="P1088" i="9" s="1"/>
  <c r="P1160" i="9" s="1"/>
  <c r="P1232" i="9" s="1"/>
  <c r="O224" i="9"/>
  <c r="O296" i="9" s="1"/>
  <c r="O368" i="9" s="1"/>
  <c r="O440" i="9" s="1"/>
  <c r="O512" i="9" s="1"/>
  <c r="O584" i="9" s="1"/>
  <c r="O656" i="9" s="1"/>
  <c r="O728" i="9" s="1"/>
  <c r="O800" i="9" s="1"/>
  <c r="O872" i="9" s="1"/>
  <c r="O944" i="9" s="1"/>
  <c r="O1016" i="9" s="1"/>
  <c r="O1088" i="9" s="1"/>
  <c r="O1160" i="9" s="1"/>
  <c r="O1232" i="9" s="1"/>
  <c r="N153" i="9"/>
  <c r="N225" i="9" s="1"/>
  <c r="N297" i="9" s="1"/>
  <c r="N369" i="9" s="1"/>
  <c r="N441" i="9" s="1"/>
  <c r="N513" i="9" s="1"/>
  <c r="N585" i="9" s="1"/>
  <c r="N657" i="9" s="1"/>
  <c r="N729" i="9" s="1"/>
  <c r="N801" i="9" s="1"/>
  <c r="N873" i="9" s="1"/>
  <c r="N945" i="9" s="1"/>
  <c r="N1017" i="9" s="1"/>
  <c r="N1089" i="9" s="1"/>
  <c r="N1161" i="9" s="1"/>
  <c r="N1233" i="9" s="1"/>
  <c r="F153" i="9"/>
  <c r="O153" i="9"/>
  <c r="J124" i="9"/>
  <c r="AF365" i="9"/>
  <c r="AB365" i="9"/>
  <c r="AF1076" i="9"/>
  <c r="AB1076" i="9"/>
  <c r="S294" i="9"/>
  <c r="V294" i="9"/>
  <c r="AF578" i="9"/>
  <c r="AB578" i="9"/>
  <c r="AF152" i="9"/>
  <c r="AB152" i="9"/>
  <c r="AB366" i="9"/>
  <c r="AF366" i="9"/>
  <c r="AB1005" i="9"/>
  <c r="AF1005" i="9"/>
  <c r="S1146" i="9"/>
  <c r="V1146" i="9"/>
  <c r="AF862" i="9"/>
  <c r="AB862" i="9"/>
  <c r="AB436" i="9"/>
  <c r="AF436" i="9"/>
  <c r="AB792" i="9"/>
  <c r="AF792" i="9"/>
  <c r="V1075" i="9"/>
  <c r="S1075" i="9"/>
  <c r="V223" i="9"/>
  <c r="AF791" i="9"/>
  <c r="AB791" i="9"/>
  <c r="S507" i="9"/>
  <c r="V507" i="9"/>
  <c r="S578" i="9"/>
  <c r="V578" i="9"/>
  <c r="S152" i="9"/>
  <c r="V152" i="9"/>
  <c r="S1288" i="9"/>
  <c r="V1288" i="9"/>
  <c r="AF579" i="9"/>
  <c r="AB579" i="9"/>
  <c r="C154" i="9"/>
  <c r="O154" i="9" s="1"/>
  <c r="D155" i="9"/>
  <c r="S436" i="9"/>
  <c r="V436" i="9"/>
  <c r="S933" i="9"/>
  <c r="V933" i="9"/>
  <c r="S791" i="9"/>
  <c r="V791" i="9"/>
  <c r="AB1289" i="9"/>
  <c r="AF1289" i="9"/>
  <c r="S1217" i="9"/>
  <c r="V1217" i="9"/>
  <c r="S862" i="9"/>
  <c r="V862" i="9"/>
  <c r="AF1146" i="9"/>
  <c r="AB1146" i="9"/>
  <c r="AF1147" i="9"/>
  <c r="AB1147" i="9"/>
  <c r="V720" i="9"/>
  <c r="S720" i="9"/>
  <c r="S365" i="9"/>
  <c r="V365" i="9"/>
  <c r="S649" i="9"/>
  <c r="V649" i="9"/>
  <c r="AF721" i="9"/>
  <c r="AB721" i="9"/>
  <c r="S1004" i="9"/>
  <c r="V1004" i="9"/>
  <c r="J123" i="6"/>
  <c r="L111" i="6"/>
  <c r="M111" i="6" s="1"/>
  <c r="G125" i="9" s="1"/>
  <c r="K112" i="6"/>
  <c r="H124" i="6"/>
  <c r="I124" i="6" s="1"/>
  <c r="G124" i="6"/>
  <c r="J244" i="6"/>
  <c r="K233" i="6" s="1"/>
  <c r="L232" i="6"/>
  <c r="M232" i="6" s="1"/>
  <c r="G197" i="9" l="1"/>
  <c r="G269" i="9" s="1"/>
  <c r="G341" i="9" s="1"/>
  <c r="G413" i="9" s="1"/>
  <c r="G485" i="9" s="1"/>
  <c r="G557" i="9" s="1"/>
  <c r="G629" i="9" s="1"/>
  <c r="G701" i="9" s="1"/>
  <c r="G773" i="9" s="1"/>
  <c r="G845" i="9" s="1"/>
  <c r="G917" i="9" s="1"/>
  <c r="G989" i="9" s="1"/>
  <c r="G1061" i="9" s="1"/>
  <c r="G1133" i="9" s="1"/>
  <c r="G1205" i="9" s="1"/>
  <c r="G1277" i="9" s="1"/>
  <c r="AH34" i="9"/>
  <c r="AC34" i="9" a="1"/>
  <c r="AC34" i="9" s="1"/>
  <c r="AA35" i="9" s="1"/>
  <c r="Y34" i="9"/>
  <c r="X35" i="9" s="1"/>
  <c r="W50" i="9"/>
  <c r="U51" i="9" s="1"/>
  <c r="T41" i="9"/>
  <c r="H124" i="9"/>
  <c r="I124" i="9" s="1"/>
  <c r="L1289" i="9"/>
  <c r="L1218" i="9"/>
  <c r="L650" i="9"/>
  <c r="L579" i="9"/>
  <c r="L366" i="9"/>
  <c r="L295" i="9"/>
  <c r="L224" i="9"/>
  <c r="L437" i="9"/>
  <c r="L1147" i="9"/>
  <c r="L863" i="9"/>
  <c r="L792" i="9"/>
  <c r="L934" i="9"/>
  <c r="L153" i="9"/>
  <c r="L508" i="9"/>
  <c r="L1076" i="9"/>
  <c r="L721" i="9"/>
  <c r="L1005" i="9"/>
  <c r="F651" i="9"/>
  <c r="F1148" i="9"/>
  <c r="F509" i="9"/>
  <c r="F1006" i="9"/>
  <c r="F225" i="9"/>
  <c r="F367" i="9"/>
  <c r="F1077" i="9"/>
  <c r="F296" i="9"/>
  <c r="F935" i="9"/>
  <c r="F438" i="9"/>
  <c r="F1219" i="9"/>
  <c r="F793" i="9"/>
  <c r="F864" i="9"/>
  <c r="F1290" i="9"/>
  <c r="F580" i="9"/>
  <c r="F722" i="9"/>
  <c r="Q154" i="9"/>
  <c r="Q226" i="9" s="1"/>
  <c r="Q298" i="9" s="1"/>
  <c r="Q370" i="9" s="1"/>
  <c r="Q442" i="9" s="1"/>
  <c r="Q514" i="9" s="1"/>
  <c r="Q586" i="9" s="1"/>
  <c r="Q658" i="9" s="1"/>
  <c r="Q730" i="9" s="1"/>
  <c r="Q802" i="9" s="1"/>
  <c r="Q874" i="9" s="1"/>
  <c r="Q946" i="9" s="1"/>
  <c r="Q1018" i="9" s="1"/>
  <c r="Q1090" i="9" s="1"/>
  <c r="Q1162" i="9" s="1"/>
  <c r="Q1234" i="9" s="1"/>
  <c r="P154" i="9"/>
  <c r="P226" i="9" s="1"/>
  <c r="P298" i="9" s="1"/>
  <c r="P370" i="9" s="1"/>
  <c r="P442" i="9" s="1"/>
  <c r="P514" i="9" s="1"/>
  <c r="P586" i="9" s="1"/>
  <c r="P658" i="9" s="1"/>
  <c r="P730" i="9" s="1"/>
  <c r="P802" i="9" s="1"/>
  <c r="P874" i="9" s="1"/>
  <c r="P946" i="9" s="1"/>
  <c r="P1018" i="9" s="1"/>
  <c r="P1090" i="9" s="1"/>
  <c r="P1162" i="9" s="1"/>
  <c r="P1234" i="9" s="1"/>
  <c r="O226" i="9"/>
  <c r="O298" i="9" s="1"/>
  <c r="O370" i="9" s="1"/>
  <c r="O442" i="9" s="1"/>
  <c r="O514" i="9" s="1"/>
  <c r="O586" i="9" s="1"/>
  <c r="O658" i="9" s="1"/>
  <c r="O730" i="9" s="1"/>
  <c r="O802" i="9" s="1"/>
  <c r="O874" i="9" s="1"/>
  <c r="O946" i="9" s="1"/>
  <c r="O1018" i="9" s="1"/>
  <c r="O1090" i="9" s="1"/>
  <c r="O1162" i="9" s="1"/>
  <c r="O1234" i="9" s="1"/>
  <c r="Q153" i="9"/>
  <c r="Q225" i="9" s="1"/>
  <c r="Q297" i="9" s="1"/>
  <c r="Q369" i="9" s="1"/>
  <c r="Q441" i="9" s="1"/>
  <c r="Q513" i="9" s="1"/>
  <c r="Q585" i="9" s="1"/>
  <c r="Q657" i="9" s="1"/>
  <c r="Q729" i="9" s="1"/>
  <c r="Q801" i="9" s="1"/>
  <c r="Q873" i="9" s="1"/>
  <c r="Q945" i="9" s="1"/>
  <c r="Q1017" i="9" s="1"/>
  <c r="Q1089" i="9" s="1"/>
  <c r="Q1161" i="9" s="1"/>
  <c r="Q1233" i="9" s="1"/>
  <c r="P153" i="9"/>
  <c r="P225" i="9" s="1"/>
  <c r="P297" i="9" s="1"/>
  <c r="P369" i="9" s="1"/>
  <c r="P441" i="9" s="1"/>
  <c r="P513" i="9" s="1"/>
  <c r="P585" i="9" s="1"/>
  <c r="P657" i="9" s="1"/>
  <c r="P729" i="9" s="1"/>
  <c r="P801" i="9" s="1"/>
  <c r="P873" i="9" s="1"/>
  <c r="P945" i="9" s="1"/>
  <c r="P1017" i="9" s="1"/>
  <c r="P1089" i="9" s="1"/>
  <c r="P1161" i="9" s="1"/>
  <c r="P1233" i="9" s="1"/>
  <c r="O225" i="9"/>
  <c r="O297" i="9" s="1"/>
  <c r="O369" i="9" s="1"/>
  <c r="O441" i="9" s="1"/>
  <c r="O513" i="9" s="1"/>
  <c r="O585" i="9" s="1"/>
  <c r="O657" i="9" s="1"/>
  <c r="O729" i="9" s="1"/>
  <c r="O801" i="9" s="1"/>
  <c r="O873" i="9" s="1"/>
  <c r="O945" i="9" s="1"/>
  <c r="O1017" i="9" s="1"/>
  <c r="O1089" i="9" s="1"/>
  <c r="O1161" i="9" s="1"/>
  <c r="O1233" i="9" s="1"/>
  <c r="M154" i="9"/>
  <c r="M226" i="9" s="1"/>
  <c r="M298" i="9" s="1"/>
  <c r="M370" i="9" s="1"/>
  <c r="M442" i="9" s="1"/>
  <c r="M514" i="9" s="1"/>
  <c r="M586" i="9" s="1"/>
  <c r="M658" i="9" s="1"/>
  <c r="M730" i="9" s="1"/>
  <c r="M802" i="9" s="1"/>
  <c r="M874" i="9" s="1"/>
  <c r="M946" i="9" s="1"/>
  <c r="M1018" i="9" s="1"/>
  <c r="M1090" i="9" s="1"/>
  <c r="M1162" i="9" s="1"/>
  <c r="M1234" i="9" s="1"/>
  <c r="N154" i="9"/>
  <c r="N226" i="9" s="1"/>
  <c r="N298" i="9" s="1"/>
  <c r="N370" i="9" s="1"/>
  <c r="N442" i="9" s="1"/>
  <c r="N514" i="9" s="1"/>
  <c r="N586" i="9" s="1"/>
  <c r="N658" i="9" s="1"/>
  <c r="N730" i="9" s="1"/>
  <c r="N802" i="9" s="1"/>
  <c r="N874" i="9" s="1"/>
  <c r="N946" i="9" s="1"/>
  <c r="N1018" i="9" s="1"/>
  <c r="N1090" i="9" s="1"/>
  <c r="N1162" i="9" s="1"/>
  <c r="N1234" i="9" s="1"/>
  <c r="F154" i="9"/>
  <c r="J125" i="9"/>
  <c r="AB151" i="9"/>
  <c r="S151" i="9"/>
  <c r="S223" i="9"/>
  <c r="AF151" i="9"/>
  <c r="AE151" i="9" s="1"/>
  <c r="AE152" i="9" s="1"/>
  <c r="AF793" i="9"/>
  <c r="AB793" i="9"/>
  <c r="AF1219" i="9"/>
  <c r="AB1219" i="9"/>
  <c r="S1289" i="9"/>
  <c r="V1289" i="9"/>
  <c r="S1005" i="9"/>
  <c r="V1005" i="9"/>
  <c r="D156" i="9"/>
  <c r="C155" i="9"/>
  <c r="O155" i="9" s="1"/>
  <c r="V579" i="9"/>
  <c r="S579" i="9"/>
  <c r="AF864" i="9"/>
  <c r="AB864" i="9"/>
  <c r="AB1077" i="9"/>
  <c r="AF1077" i="9"/>
  <c r="AF224" i="9"/>
  <c r="AB224" i="9"/>
  <c r="AB153" i="9"/>
  <c r="AF153" i="9"/>
  <c r="S1076" i="9"/>
  <c r="V1076" i="9"/>
  <c r="S792" i="9"/>
  <c r="V792" i="9"/>
  <c r="V934" i="9"/>
  <c r="S934" i="9"/>
  <c r="S508" i="9"/>
  <c r="V508" i="9"/>
  <c r="V1147" i="9"/>
  <c r="S1147" i="9"/>
  <c r="V1218" i="9"/>
  <c r="S1218" i="9"/>
  <c r="S366" i="9"/>
  <c r="V366" i="9"/>
  <c r="AF437" i="9"/>
  <c r="AB437" i="9"/>
  <c r="S437" i="9"/>
  <c r="V437" i="9"/>
  <c r="AF1218" i="9"/>
  <c r="AB1218" i="9"/>
  <c r="V863" i="9"/>
  <c r="S863" i="9"/>
  <c r="AF651" i="9"/>
  <c r="AB651" i="9"/>
  <c r="V295" i="9"/>
  <c r="AB508" i="9"/>
  <c r="AF508" i="9"/>
  <c r="AB934" i="9"/>
  <c r="AF934" i="9"/>
  <c r="AF1148" i="9"/>
  <c r="AB1148" i="9"/>
  <c r="S153" i="9"/>
  <c r="V153" i="9"/>
  <c r="S721" i="9"/>
  <c r="V721" i="9"/>
  <c r="AF223" i="9"/>
  <c r="AB223" i="9"/>
  <c r="S224" i="9"/>
  <c r="V224" i="9"/>
  <c r="S650" i="9"/>
  <c r="V650" i="9"/>
  <c r="AB863" i="9"/>
  <c r="AF863" i="9"/>
  <c r="AF438" i="9"/>
  <c r="AB438" i="9"/>
  <c r="AB650" i="9"/>
  <c r="AF650" i="9"/>
  <c r="J124" i="6"/>
  <c r="K113" i="6" s="1"/>
  <c r="L112" i="6"/>
  <c r="M112" i="6" s="1"/>
  <c r="G126" i="9" s="1"/>
  <c r="K234" i="6"/>
  <c r="L233" i="6"/>
  <c r="M233" i="6" s="1"/>
  <c r="G198" i="9" l="1"/>
  <c r="G270" i="9" s="1"/>
  <c r="G342" i="9" s="1"/>
  <c r="G414" i="9" s="1"/>
  <c r="G486" i="9" s="1"/>
  <c r="G558" i="9" s="1"/>
  <c r="G630" i="9" s="1"/>
  <c r="G702" i="9" s="1"/>
  <c r="G774" i="9" s="1"/>
  <c r="G846" i="9" s="1"/>
  <c r="G918" i="9" s="1"/>
  <c r="G990" i="9" s="1"/>
  <c r="G1062" i="9" s="1"/>
  <c r="G1134" i="9" s="1"/>
  <c r="G1206" i="9" s="1"/>
  <c r="G1278" i="9" s="1"/>
  <c r="Z35" i="9"/>
  <c r="AI35" i="9"/>
  <c r="AG35" i="9"/>
  <c r="AD35" i="9"/>
  <c r="R42" i="9"/>
  <c r="W51" i="9"/>
  <c r="U52" i="9" s="1"/>
  <c r="H125" i="9"/>
  <c r="I125" i="9" s="1"/>
  <c r="L367" i="9"/>
  <c r="L225" i="9"/>
  <c r="L722" i="9"/>
  <c r="L1006" i="9"/>
  <c r="L580" i="9"/>
  <c r="L509" i="9"/>
  <c r="L154" i="9"/>
  <c r="L1290" i="9"/>
  <c r="L1148" i="9"/>
  <c r="L864" i="9"/>
  <c r="L651" i="9"/>
  <c r="L793" i="9"/>
  <c r="L1077" i="9"/>
  <c r="L1219" i="9"/>
  <c r="L438" i="9"/>
  <c r="L935" i="9"/>
  <c r="L296" i="9"/>
  <c r="F1007" i="9"/>
  <c r="F865" i="9"/>
  <c r="F439" i="9"/>
  <c r="F652" i="9"/>
  <c r="F1291" i="9"/>
  <c r="F297" i="9"/>
  <c r="F226" i="9"/>
  <c r="F794" i="9"/>
  <c r="F510" i="9"/>
  <c r="F1078" i="9"/>
  <c r="F581" i="9"/>
  <c r="F368" i="9"/>
  <c r="F1220" i="9"/>
  <c r="F936" i="9"/>
  <c r="F1149" i="9"/>
  <c r="F723" i="9"/>
  <c r="Q155" i="9"/>
  <c r="Q227" i="9" s="1"/>
  <c r="Q299" i="9" s="1"/>
  <c r="Q371" i="9" s="1"/>
  <c r="Q443" i="9" s="1"/>
  <c r="Q515" i="9" s="1"/>
  <c r="Q587" i="9" s="1"/>
  <c r="Q659" i="9" s="1"/>
  <c r="Q731" i="9" s="1"/>
  <c r="Q803" i="9" s="1"/>
  <c r="Q875" i="9" s="1"/>
  <c r="Q947" i="9" s="1"/>
  <c r="Q1019" i="9" s="1"/>
  <c r="Q1091" i="9" s="1"/>
  <c r="Q1163" i="9" s="1"/>
  <c r="Q1235" i="9" s="1"/>
  <c r="P155" i="9"/>
  <c r="P227" i="9" s="1"/>
  <c r="P299" i="9" s="1"/>
  <c r="P371" i="9" s="1"/>
  <c r="P443" i="9" s="1"/>
  <c r="P515" i="9" s="1"/>
  <c r="P587" i="9" s="1"/>
  <c r="P659" i="9" s="1"/>
  <c r="P731" i="9" s="1"/>
  <c r="P803" i="9" s="1"/>
  <c r="P875" i="9" s="1"/>
  <c r="P947" i="9" s="1"/>
  <c r="P1019" i="9" s="1"/>
  <c r="P1091" i="9" s="1"/>
  <c r="P1163" i="9" s="1"/>
  <c r="P1235" i="9" s="1"/>
  <c r="O227" i="9"/>
  <c r="O299" i="9" s="1"/>
  <c r="O371" i="9" s="1"/>
  <c r="O443" i="9" s="1"/>
  <c r="O515" i="9" s="1"/>
  <c r="O587" i="9" s="1"/>
  <c r="O659" i="9" s="1"/>
  <c r="O731" i="9" s="1"/>
  <c r="O803" i="9" s="1"/>
  <c r="O875" i="9" s="1"/>
  <c r="O947" i="9" s="1"/>
  <c r="O1019" i="9" s="1"/>
  <c r="O1091" i="9" s="1"/>
  <c r="O1163" i="9" s="1"/>
  <c r="O1235" i="9" s="1"/>
  <c r="N155" i="9"/>
  <c r="N227" i="9" s="1"/>
  <c r="N299" i="9" s="1"/>
  <c r="N371" i="9" s="1"/>
  <c r="N443" i="9" s="1"/>
  <c r="N515" i="9" s="1"/>
  <c r="N587" i="9" s="1"/>
  <c r="N659" i="9" s="1"/>
  <c r="N731" i="9" s="1"/>
  <c r="N803" i="9" s="1"/>
  <c r="N875" i="9" s="1"/>
  <c r="N947" i="9" s="1"/>
  <c r="N1019" i="9" s="1"/>
  <c r="N1091" i="9" s="1"/>
  <c r="N1163" i="9" s="1"/>
  <c r="N1235" i="9" s="1"/>
  <c r="F155" i="9"/>
  <c r="M155" i="9"/>
  <c r="M227" i="9" s="1"/>
  <c r="M299" i="9" s="1"/>
  <c r="M371" i="9" s="1"/>
  <c r="M443" i="9" s="1"/>
  <c r="M515" i="9" s="1"/>
  <c r="M587" i="9" s="1"/>
  <c r="M659" i="9" s="1"/>
  <c r="M731" i="9" s="1"/>
  <c r="M803" i="9" s="1"/>
  <c r="M875" i="9" s="1"/>
  <c r="M947" i="9" s="1"/>
  <c r="M1019" i="9" s="1"/>
  <c r="M1091" i="9" s="1"/>
  <c r="M1163" i="9" s="1"/>
  <c r="M1235" i="9" s="1"/>
  <c r="J126" i="9"/>
  <c r="AE153" i="9"/>
  <c r="AF510" i="9"/>
  <c r="AB510" i="9"/>
  <c r="S793" i="9"/>
  <c r="V793" i="9"/>
  <c r="AF580" i="9"/>
  <c r="AB580" i="9"/>
  <c r="AF509" i="9"/>
  <c r="AB509" i="9"/>
  <c r="S1148" i="9"/>
  <c r="V1148" i="9"/>
  <c r="AB936" i="9"/>
  <c r="AF936" i="9"/>
  <c r="AF935" i="9"/>
  <c r="AB935" i="9"/>
  <c r="S225" i="9"/>
  <c r="V225" i="9"/>
  <c r="AF1006" i="9"/>
  <c r="AB1006" i="9"/>
  <c r="V367" i="9"/>
  <c r="AF723" i="9"/>
  <c r="AB723" i="9"/>
  <c r="S935" i="9"/>
  <c r="V935" i="9"/>
  <c r="S1219" i="9"/>
  <c r="V1219" i="9"/>
  <c r="S154" i="9"/>
  <c r="V154" i="9"/>
  <c r="S864" i="9"/>
  <c r="V864" i="9"/>
  <c r="AB225" i="9"/>
  <c r="AF225" i="9"/>
  <c r="AB1149" i="9"/>
  <c r="AF1149" i="9"/>
  <c r="S1077" i="9"/>
  <c r="V1077" i="9"/>
  <c r="AB865" i="9"/>
  <c r="AF865" i="9"/>
  <c r="AB722" i="9"/>
  <c r="AF722" i="9"/>
  <c r="S722" i="9"/>
  <c r="V722" i="9"/>
  <c r="AB1220" i="9"/>
  <c r="AF1220" i="9"/>
  <c r="AF154" i="9"/>
  <c r="AB154" i="9"/>
  <c r="AF1290" i="9"/>
  <c r="AB1290" i="9"/>
  <c r="S1290" i="9"/>
  <c r="V1290" i="9"/>
  <c r="S1006" i="9"/>
  <c r="V1006" i="9"/>
  <c r="AF296" i="9"/>
  <c r="AB296" i="9"/>
  <c r="S651" i="9"/>
  <c r="V651" i="9"/>
  <c r="D157" i="9"/>
  <c r="C156" i="9"/>
  <c r="O156" i="9" s="1"/>
  <c r="AF1291" i="9"/>
  <c r="AB1291" i="9"/>
  <c r="V296" i="9"/>
  <c r="S296" i="9"/>
  <c r="AF295" i="9"/>
  <c r="AB295" i="9"/>
  <c r="S295" i="9"/>
  <c r="S509" i="9"/>
  <c r="V509" i="9"/>
  <c r="V438" i="9"/>
  <c r="S438" i="9"/>
  <c r="S580" i="9"/>
  <c r="V580" i="9"/>
  <c r="L113" i="6"/>
  <c r="M113" i="6" s="1"/>
  <c r="G127" i="9" s="1"/>
  <c r="K114" i="6"/>
  <c r="K115" i="6" s="1"/>
  <c r="K235" i="6"/>
  <c r="L234" i="6"/>
  <c r="M234" i="6" s="1"/>
  <c r="G199" i="9" l="1"/>
  <c r="G271" i="9" s="1"/>
  <c r="G343" i="9" s="1"/>
  <c r="G415" i="9" s="1"/>
  <c r="G487" i="9" s="1"/>
  <c r="G559" i="9" s="1"/>
  <c r="G631" i="9" s="1"/>
  <c r="G703" i="9" s="1"/>
  <c r="G775" i="9" s="1"/>
  <c r="G847" i="9" s="1"/>
  <c r="G919" i="9" s="1"/>
  <c r="G991" i="9" s="1"/>
  <c r="G1063" i="9" s="1"/>
  <c r="G1135" i="9" s="1"/>
  <c r="G1207" i="9" s="1"/>
  <c r="G1279" i="9" s="1"/>
  <c r="AH35" i="9"/>
  <c r="Y35" i="9"/>
  <c r="X36" i="9" s="1"/>
  <c r="AC35" i="9" a="1"/>
  <c r="AC35" i="9" s="1"/>
  <c r="AA36" i="9" s="1"/>
  <c r="W52" i="9"/>
  <c r="U53" i="9" s="1"/>
  <c r="T42" i="9"/>
  <c r="R43" i="9" s="1"/>
  <c r="H126" i="9"/>
  <c r="I126" i="9" s="1"/>
  <c r="L226" i="9"/>
  <c r="L1291" i="9"/>
  <c r="L723" i="9"/>
  <c r="L652" i="9"/>
  <c r="L1149" i="9"/>
  <c r="L439" i="9"/>
  <c r="L936" i="9"/>
  <c r="L865" i="9"/>
  <c r="L1220" i="9"/>
  <c r="L1007" i="9"/>
  <c r="L368" i="9"/>
  <c r="L297" i="9"/>
  <c r="L581" i="9"/>
  <c r="L1078" i="9"/>
  <c r="L155" i="9"/>
  <c r="L510" i="9"/>
  <c r="L794" i="9"/>
  <c r="F440" i="9"/>
  <c r="F369" i="9"/>
  <c r="F795" i="9"/>
  <c r="F1150" i="9"/>
  <c r="F724" i="9"/>
  <c r="F1221" i="9"/>
  <c r="F582" i="9"/>
  <c r="F511" i="9"/>
  <c r="F1008" i="9"/>
  <c r="F866" i="9"/>
  <c r="F937" i="9"/>
  <c r="F653" i="9"/>
  <c r="F227" i="9"/>
  <c r="F1292" i="9"/>
  <c r="F298" i="9"/>
  <c r="F1079" i="9"/>
  <c r="Q156" i="9"/>
  <c r="Q228" i="9" s="1"/>
  <c r="Q300" i="9" s="1"/>
  <c r="Q372" i="9" s="1"/>
  <c r="Q444" i="9" s="1"/>
  <c r="Q516" i="9" s="1"/>
  <c r="Q588" i="9" s="1"/>
  <c r="Q660" i="9" s="1"/>
  <c r="Q732" i="9" s="1"/>
  <c r="Q804" i="9" s="1"/>
  <c r="Q876" i="9" s="1"/>
  <c r="Q948" i="9" s="1"/>
  <c r="Q1020" i="9" s="1"/>
  <c r="Q1092" i="9" s="1"/>
  <c r="Q1164" i="9" s="1"/>
  <c r="Q1236" i="9" s="1"/>
  <c r="P156" i="9"/>
  <c r="P228" i="9" s="1"/>
  <c r="P300" i="9" s="1"/>
  <c r="P372" i="9" s="1"/>
  <c r="P444" i="9" s="1"/>
  <c r="P516" i="9" s="1"/>
  <c r="P588" i="9" s="1"/>
  <c r="P660" i="9" s="1"/>
  <c r="P732" i="9" s="1"/>
  <c r="P804" i="9" s="1"/>
  <c r="P876" i="9" s="1"/>
  <c r="P948" i="9" s="1"/>
  <c r="P1020" i="9" s="1"/>
  <c r="P1092" i="9" s="1"/>
  <c r="P1164" i="9" s="1"/>
  <c r="P1236" i="9" s="1"/>
  <c r="O228" i="9"/>
  <c r="O300" i="9" s="1"/>
  <c r="O372" i="9" s="1"/>
  <c r="O444" i="9" s="1"/>
  <c r="O516" i="9" s="1"/>
  <c r="O588" i="9" s="1"/>
  <c r="O660" i="9" s="1"/>
  <c r="O732" i="9" s="1"/>
  <c r="O804" i="9" s="1"/>
  <c r="O876" i="9" s="1"/>
  <c r="O948" i="9" s="1"/>
  <c r="O1020" i="9" s="1"/>
  <c r="O1092" i="9" s="1"/>
  <c r="O1164" i="9" s="1"/>
  <c r="O1236" i="9" s="1"/>
  <c r="M156" i="9"/>
  <c r="M228" i="9" s="1"/>
  <c r="M300" i="9" s="1"/>
  <c r="M372" i="9" s="1"/>
  <c r="M444" i="9" s="1"/>
  <c r="M516" i="9" s="1"/>
  <c r="M588" i="9" s="1"/>
  <c r="M660" i="9" s="1"/>
  <c r="M732" i="9" s="1"/>
  <c r="M804" i="9" s="1"/>
  <c r="M876" i="9" s="1"/>
  <c r="M948" i="9" s="1"/>
  <c r="M1020" i="9" s="1"/>
  <c r="M1092" i="9" s="1"/>
  <c r="M1164" i="9" s="1"/>
  <c r="M1236" i="9" s="1"/>
  <c r="N156" i="9"/>
  <c r="N228" i="9" s="1"/>
  <c r="N300" i="9" s="1"/>
  <c r="N372" i="9" s="1"/>
  <c r="N444" i="9" s="1"/>
  <c r="N516" i="9" s="1"/>
  <c r="N588" i="9" s="1"/>
  <c r="N660" i="9" s="1"/>
  <c r="N732" i="9" s="1"/>
  <c r="N804" i="9" s="1"/>
  <c r="N876" i="9" s="1"/>
  <c r="N948" i="9" s="1"/>
  <c r="N1020" i="9" s="1"/>
  <c r="N1092" i="9" s="1"/>
  <c r="N1164" i="9" s="1"/>
  <c r="N1236" i="9" s="1"/>
  <c r="F156" i="9"/>
  <c r="J127" i="9"/>
  <c r="AE154" i="9"/>
  <c r="S723" i="9"/>
  <c r="V723" i="9"/>
  <c r="S1078" i="9"/>
  <c r="V1078" i="9"/>
  <c r="AF1292" i="9"/>
  <c r="AB1292" i="9"/>
  <c r="S581" i="9"/>
  <c r="V581" i="9"/>
  <c r="AF226" i="9"/>
  <c r="AB226" i="9"/>
  <c r="AF794" i="9"/>
  <c r="AB794" i="9"/>
  <c r="AF795" i="9"/>
  <c r="AB795" i="9"/>
  <c r="V155" i="9"/>
  <c r="S155" i="9"/>
  <c r="AF652" i="9"/>
  <c r="AB652" i="9"/>
  <c r="V368" i="9"/>
  <c r="S368" i="9"/>
  <c r="V652" i="9"/>
  <c r="S652" i="9"/>
  <c r="V794" i="9"/>
  <c r="S794" i="9"/>
  <c r="AF297" i="9"/>
  <c r="AB297" i="9"/>
  <c r="S226" i="9"/>
  <c r="V226" i="9"/>
  <c r="V1007" i="9"/>
  <c r="S1007" i="9"/>
  <c r="S297" i="9"/>
  <c r="V297" i="9"/>
  <c r="S1220" i="9"/>
  <c r="V1220" i="9"/>
  <c r="V865" i="9"/>
  <c r="S865" i="9"/>
  <c r="AF582" i="9"/>
  <c r="AB582" i="9"/>
  <c r="V510" i="9"/>
  <c r="S510" i="9"/>
  <c r="S439" i="9"/>
  <c r="AF367" i="9"/>
  <c r="AB367" i="9"/>
  <c r="C157" i="9"/>
  <c r="O157" i="9" s="1"/>
  <c r="D158" i="9"/>
  <c r="AF368" i="9"/>
  <c r="AB368" i="9"/>
  <c r="S1149" i="9"/>
  <c r="V1149" i="9"/>
  <c r="AF1221" i="9"/>
  <c r="AB1221" i="9"/>
  <c r="S1291" i="9"/>
  <c r="V1291" i="9"/>
  <c r="S367" i="9"/>
  <c r="AF1078" i="9"/>
  <c r="AB1078" i="9"/>
  <c r="AF1008" i="9"/>
  <c r="AB1008" i="9"/>
  <c r="AF937" i="9"/>
  <c r="AB937" i="9"/>
  <c r="AF155" i="9"/>
  <c r="AB155" i="9"/>
  <c r="V936" i="9"/>
  <c r="S936" i="9"/>
  <c r="V439" i="9"/>
  <c r="AF1007" i="9"/>
  <c r="AB1007" i="9"/>
  <c r="AB581" i="9"/>
  <c r="AF581" i="9"/>
  <c r="L114" i="6"/>
  <c r="M114" i="6" s="1"/>
  <c r="G128" i="9" s="1"/>
  <c r="K116" i="6"/>
  <c r="L115" i="6"/>
  <c r="M115" i="6" s="1"/>
  <c r="K236" i="6"/>
  <c r="L235" i="6"/>
  <c r="M235" i="6" s="1"/>
  <c r="G129" i="9" l="1"/>
  <c r="G200" i="9"/>
  <c r="G272" i="9" s="1"/>
  <c r="G344" i="9" s="1"/>
  <c r="G416" i="9" s="1"/>
  <c r="G488" i="9" s="1"/>
  <c r="G560" i="9" s="1"/>
  <c r="G632" i="9" s="1"/>
  <c r="G704" i="9" s="1"/>
  <c r="G776" i="9" s="1"/>
  <c r="G848" i="9" s="1"/>
  <c r="G920" i="9" s="1"/>
  <c r="G992" i="9" s="1"/>
  <c r="G1064" i="9" s="1"/>
  <c r="G1136" i="9" s="1"/>
  <c r="G1208" i="9" s="1"/>
  <c r="G1280" i="9" s="1"/>
  <c r="AD36" i="9"/>
  <c r="Z36" i="9"/>
  <c r="AG36" i="9"/>
  <c r="AI36" i="9"/>
  <c r="T43" i="9"/>
  <c r="R44" i="9" s="1"/>
  <c r="W53" i="9"/>
  <c r="U54" i="9" s="1"/>
  <c r="H127" i="9"/>
  <c r="I127" i="9" s="1"/>
  <c r="L724" i="9"/>
  <c r="L582" i="9"/>
  <c r="L1079" i="9"/>
  <c r="L1150" i="9"/>
  <c r="L298" i="9"/>
  <c r="L795" i="9"/>
  <c r="L1292" i="9"/>
  <c r="L369" i="9"/>
  <c r="L227" i="9"/>
  <c r="L440" i="9"/>
  <c r="L511" i="9"/>
  <c r="L1221" i="9"/>
  <c r="L653" i="9"/>
  <c r="L866" i="9"/>
  <c r="L156" i="9"/>
  <c r="L937" i="9"/>
  <c r="L1008" i="9"/>
  <c r="F725" i="9"/>
  <c r="F1293" i="9"/>
  <c r="F1009" i="9"/>
  <c r="F1151" i="9"/>
  <c r="F938" i="9"/>
  <c r="F1222" i="9"/>
  <c r="F796" i="9"/>
  <c r="F1080" i="9"/>
  <c r="F867" i="9"/>
  <c r="F370" i="9"/>
  <c r="F228" i="9"/>
  <c r="F583" i="9"/>
  <c r="F441" i="9"/>
  <c r="F299" i="9"/>
  <c r="F654" i="9"/>
  <c r="F512" i="9"/>
  <c r="M157" i="9"/>
  <c r="M229" i="9" s="1"/>
  <c r="M301" i="9" s="1"/>
  <c r="M373" i="9" s="1"/>
  <c r="M445" i="9" s="1"/>
  <c r="M517" i="9" s="1"/>
  <c r="M589" i="9" s="1"/>
  <c r="M661" i="9" s="1"/>
  <c r="M733" i="9" s="1"/>
  <c r="M805" i="9" s="1"/>
  <c r="M877" i="9" s="1"/>
  <c r="M949" i="9" s="1"/>
  <c r="M1021" i="9" s="1"/>
  <c r="M1093" i="9" s="1"/>
  <c r="M1165" i="9" s="1"/>
  <c r="M1237" i="9" s="1"/>
  <c r="Q157" i="9"/>
  <c r="Q229" i="9" s="1"/>
  <c r="Q301" i="9" s="1"/>
  <c r="Q373" i="9" s="1"/>
  <c r="Q445" i="9" s="1"/>
  <c r="Q517" i="9" s="1"/>
  <c r="Q589" i="9" s="1"/>
  <c r="Q661" i="9" s="1"/>
  <c r="Q733" i="9" s="1"/>
  <c r="Q805" i="9" s="1"/>
  <c r="Q877" i="9" s="1"/>
  <c r="Q949" i="9" s="1"/>
  <c r="Q1021" i="9" s="1"/>
  <c r="Q1093" i="9" s="1"/>
  <c r="Q1165" i="9" s="1"/>
  <c r="Q1237" i="9" s="1"/>
  <c r="P157" i="9"/>
  <c r="P229" i="9" s="1"/>
  <c r="P301" i="9" s="1"/>
  <c r="P373" i="9" s="1"/>
  <c r="P445" i="9" s="1"/>
  <c r="P517" i="9" s="1"/>
  <c r="P589" i="9" s="1"/>
  <c r="P661" i="9" s="1"/>
  <c r="P733" i="9" s="1"/>
  <c r="P805" i="9" s="1"/>
  <c r="P877" i="9" s="1"/>
  <c r="P949" i="9" s="1"/>
  <c r="P1021" i="9" s="1"/>
  <c r="P1093" i="9" s="1"/>
  <c r="P1165" i="9" s="1"/>
  <c r="P1237" i="9" s="1"/>
  <c r="O229" i="9"/>
  <c r="O301" i="9" s="1"/>
  <c r="O373" i="9" s="1"/>
  <c r="O445" i="9" s="1"/>
  <c r="O517" i="9" s="1"/>
  <c r="O589" i="9" s="1"/>
  <c r="O661" i="9" s="1"/>
  <c r="O733" i="9" s="1"/>
  <c r="O805" i="9" s="1"/>
  <c r="O877" i="9" s="1"/>
  <c r="O949" i="9" s="1"/>
  <c r="O1021" i="9" s="1"/>
  <c r="O1093" i="9" s="1"/>
  <c r="O1165" i="9" s="1"/>
  <c r="O1237" i="9" s="1"/>
  <c r="N157" i="9"/>
  <c r="N229" i="9" s="1"/>
  <c r="N301" i="9" s="1"/>
  <c r="N373" i="9" s="1"/>
  <c r="N445" i="9" s="1"/>
  <c r="N517" i="9" s="1"/>
  <c r="N589" i="9" s="1"/>
  <c r="N661" i="9" s="1"/>
  <c r="N733" i="9" s="1"/>
  <c r="N805" i="9" s="1"/>
  <c r="N877" i="9" s="1"/>
  <c r="N949" i="9" s="1"/>
  <c r="N1021" i="9" s="1"/>
  <c r="N1093" i="9" s="1"/>
  <c r="N1165" i="9" s="1"/>
  <c r="N1237" i="9" s="1"/>
  <c r="F157" i="9"/>
  <c r="J128" i="9"/>
  <c r="AE155" i="9"/>
  <c r="V511" i="9"/>
  <c r="AF227" i="9"/>
  <c r="AB227" i="9"/>
  <c r="S1221" i="9"/>
  <c r="V1221" i="9"/>
  <c r="AF439" i="9"/>
  <c r="AB439" i="9"/>
  <c r="S1292" i="9"/>
  <c r="V1292" i="9"/>
  <c r="V724" i="9"/>
  <c r="S724" i="9"/>
  <c r="AF724" i="9"/>
  <c r="AB724" i="9"/>
  <c r="V227" i="9"/>
  <c r="S227" i="9"/>
  <c r="S653" i="9"/>
  <c r="V653" i="9"/>
  <c r="S795" i="9"/>
  <c r="V795" i="9"/>
  <c r="AF653" i="9"/>
  <c r="AB653" i="9"/>
  <c r="AF1079" i="9"/>
  <c r="AB1079" i="9"/>
  <c r="AB1293" i="9"/>
  <c r="AF1293" i="9"/>
  <c r="S937" i="9"/>
  <c r="V937" i="9"/>
  <c r="S298" i="9"/>
  <c r="V298" i="9"/>
  <c r="AB298" i="9"/>
  <c r="AF298" i="9"/>
  <c r="S1150" i="9"/>
  <c r="V1150" i="9"/>
  <c r="AF1080" i="9"/>
  <c r="AB1080" i="9"/>
  <c r="AB440" i="9"/>
  <c r="AF440" i="9"/>
  <c r="AB654" i="9"/>
  <c r="AF654" i="9"/>
  <c r="V1079" i="9"/>
  <c r="S1079" i="9"/>
  <c r="AF369" i="9"/>
  <c r="AB369" i="9"/>
  <c r="AF156" i="9"/>
  <c r="AB156" i="9"/>
  <c r="AF866" i="9"/>
  <c r="AB866" i="9"/>
  <c r="S156" i="9"/>
  <c r="V156" i="9"/>
  <c r="S1008" i="9"/>
  <c r="V1008" i="9"/>
  <c r="AB1009" i="9"/>
  <c r="AF1009" i="9"/>
  <c r="AF1150" i="9"/>
  <c r="AB1150" i="9"/>
  <c r="C158" i="9"/>
  <c r="D159" i="9"/>
  <c r="S582" i="9"/>
  <c r="V582" i="9"/>
  <c r="S369" i="9"/>
  <c r="V369" i="9"/>
  <c r="S866" i="9"/>
  <c r="V866" i="9"/>
  <c r="S440" i="9"/>
  <c r="V440" i="9"/>
  <c r="AB867" i="9"/>
  <c r="AF867" i="9"/>
  <c r="K237" i="6"/>
  <c r="L236" i="6"/>
  <c r="M236" i="6" s="1"/>
  <c r="K117" i="6"/>
  <c r="L116" i="6"/>
  <c r="M116" i="6" s="1"/>
  <c r="G201" i="9" l="1"/>
  <c r="G273" i="9" s="1"/>
  <c r="G345" i="9" s="1"/>
  <c r="G417" i="9" s="1"/>
  <c r="G489" i="9" s="1"/>
  <c r="G561" i="9" s="1"/>
  <c r="G633" i="9" s="1"/>
  <c r="G705" i="9" s="1"/>
  <c r="G777" i="9" s="1"/>
  <c r="G849" i="9" s="1"/>
  <c r="G921" i="9" s="1"/>
  <c r="G993" i="9" s="1"/>
  <c r="G1065" i="9" s="1"/>
  <c r="G1137" i="9" s="1"/>
  <c r="G1209" i="9" s="1"/>
  <c r="G1281" i="9" s="1"/>
  <c r="G130" i="9"/>
  <c r="AH36" i="9"/>
  <c r="Y36" i="9"/>
  <c r="X37" i="9" s="1"/>
  <c r="AC36" i="9" a="1"/>
  <c r="AC36" i="9" s="1"/>
  <c r="AA37" i="9" s="1"/>
  <c r="W54" i="9"/>
  <c r="U55" i="9" s="1"/>
  <c r="T44" i="9"/>
  <c r="H128" i="9"/>
  <c r="I128" i="9" s="1"/>
  <c r="L654" i="9"/>
  <c r="L938" i="9"/>
  <c r="L1009" i="9"/>
  <c r="L299" i="9"/>
  <c r="L1293" i="9"/>
  <c r="L512" i="9"/>
  <c r="L441" i="9"/>
  <c r="L725" i="9"/>
  <c r="L583" i="9"/>
  <c r="L228" i="9"/>
  <c r="L157" i="9"/>
  <c r="L370" i="9"/>
  <c r="L867" i="9"/>
  <c r="L1080" i="9"/>
  <c r="L1222" i="9"/>
  <c r="L1151" i="9"/>
  <c r="L796" i="9"/>
  <c r="F655" i="9"/>
  <c r="F1294" i="9"/>
  <c r="F300" i="9"/>
  <c r="F1010" i="9"/>
  <c r="F584" i="9"/>
  <c r="F442" i="9"/>
  <c r="F1223" i="9"/>
  <c r="F726" i="9"/>
  <c r="F939" i="9"/>
  <c r="F1081" i="9"/>
  <c r="F229" i="9"/>
  <c r="F371" i="9"/>
  <c r="F1152" i="9"/>
  <c r="F513" i="9"/>
  <c r="F868" i="9"/>
  <c r="F797" i="9"/>
  <c r="N158" i="9"/>
  <c r="N230" i="9" s="1"/>
  <c r="N302" i="9" s="1"/>
  <c r="N374" i="9" s="1"/>
  <c r="N446" i="9" s="1"/>
  <c r="N518" i="9" s="1"/>
  <c r="N590" i="9" s="1"/>
  <c r="N662" i="9" s="1"/>
  <c r="N734" i="9" s="1"/>
  <c r="N806" i="9" s="1"/>
  <c r="N878" i="9" s="1"/>
  <c r="N950" i="9" s="1"/>
  <c r="N1022" i="9" s="1"/>
  <c r="N1094" i="9" s="1"/>
  <c r="N1166" i="9" s="1"/>
  <c r="N1238" i="9" s="1"/>
  <c r="F158" i="9"/>
  <c r="M158" i="9"/>
  <c r="M230" i="9" s="1"/>
  <c r="M302" i="9" s="1"/>
  <c r="M374" i="9" s="1"/>
  <c r="M446" i="9" s="1"/>
  <c r="M518" i="9" s="1"/>
  <c r="M590" i="9" s="1"/>
  <c r="M662" i="9" s="1"/>
  <c r="M734" i="9" s="1"/>
  <c r="M806" i="9" s="1"/>
  <c r="M878" i="9" s="1"/>
  <c r="M950" i="9" s="1"/>
  <c r="M1022" i="9" s="1"/>
  <c r="M1094" i="9" s="1"/>
  <c r="M1166" i="9" s="1"/>
  <c r="M1238" i="9" s="1"/>
  <c r="O158" i="9"/>
  <c r="AF158" i="9" s="1"/>
  <c r="J129" i="9"/>
  <c r="AE156" i="9"/>
  <c r="S512" i="9"/>
  <c r="V512" i="9"/>
  <c r="S441" i="9"/>
  <c r="V441" i="9"/>
  <c r="D160" i="9"/>
  <c r="C159" i="9"/>
  <c r="AF1222" i="9"/>
  <c r="AB1222" i="9"/>
  <c r="AB938" i="9"/>
  <c r="AF938" i="9"/>
  <c r="AF441" i="9"/>
  <c r="AB441" i="9"/>
  <c r="AB512" i="9"/>
  <c r="AF512" i="9"/>
  <c r="AF1152" i="9"/>
  <c r="AB1152" i="9"/>
  <c r="AB157" i="9"/>
  <c r="AF157" i="9"/>
  <c r="AF1151" i="9"/>
  <c r="AB1151" i="9"/>
  <c r="S299" i="9"/>
  <c r="V299" i="9"/>
  <c r="S157" i="9"/>
  <c r="V157" i="9"/>
  <c r="V583" i="9"/>
  <c r="AF939" i="9"/>
  <c r="AB939" i="9"/>
  <c r="V938" i="9"/>
  <c r="S938" i="9"/>
  <c r="S654" i="9"/>
  <c r="V654" i="9"/>
  <c r="S228" i="9"/>
  <c r="V228" i="9"/>
  <c r="AF228" i="9"/>
  <c r="AB228" i="9"/>
  <c r="AB726" i="9"/>
  <c r="AF726" i="9"/>
  <c r="AB370" i="9"/>
  <c r="AF370" i="9"/>
  <c r="AF725" i="9"/>
  <c r="AB725" i="9"/>
  <c r="S725" i="9"/>
  <c r="V725" i="9"/>
  <c r="S583" i="9"/>
  <c r="AF511" i="9"/>
  <c r="AB511" i="9"/>
  <c r="AF299" i="9"/>
  <c r="AB299" i="9"/>
  <c r="S1080" i="9"/>
  <c r="V1080" i="9"/>
  <c r="S370" i="9"/>
  <c r="V370" i="9"/>
  <c r="V867" i="9"/>
  <c r="S867" i="9"/>
  <c r="S796" i="9"/>
  <c r="V796" i="9"/>
  <c r="S1293" i="9"/>
  <c r="V1293" i="9"/>
  <c r="AB1081" i="9"/>
  <c r="AF1081" i="9"/>
  <c r="V1151" i="9"/>
  <c r="S1151" i="9"/>
  <c r="S1222" i="9"/>
  <c r="V1222" i="9"/>
  <c r="S1009" i="9"/>
  <c r="V1009" i="9"/>
  <c r="AB796" i="9"/>
  <c r="AF796" i="9"/>
  <c r="S511" i="9"/>
  <c r="K118" i="6"/>
  <c r="L117" i="6"/>
  <c r="M117" i="6" s="1"/>
  <c r="K238" i="6"/>
  <c r="L237" i="6"/>
  <c r="M237" i="6" s="1"/>
  <c r="G202" i="9" l="1"/>
  <c r="G274" i="9" s="1"/>
  <c r="G346" i="9" s="1"/>
  <c r="G418" i="9" s="1"/>
  <c r="G490" i="9" s="1"/>
  <c r="G562" i="9" s="1"/>
  <c r="G634" i="9" s="1"/>
  <c r="G706" i="9" s="1"/>
  <c r="G778" i="9" s="1"/>
  <c r="G850" i="9" s="1"/>
  <c r="G922" i="9" s="1"/>
  <c r="G994" i="9" s="1"/>
  <c r="G1066" i="9" s="1"/>
  <c r="G1138" i="9" s="1"/>
  <c r="G1210" i="9" s="1"/>
  <c r="G1282" i="9" s="1"/>
  <c r="G131" i="9"/>
  <c r="AD37" i="9"/>
  <c r="Z37" i="9"/>
  <c r="AG37" i="9"/>
  <c r="AI37" i="9"/>
  <c r="R45" i="9"/>
  <c r="W55" i="9"/>
  <c r="U56" i="9" s="1"/>
  <c r="H129" i="9"/>
  <c r="I129" i="9" s="1"/>
  <c r="L1010" i="9"/>
  <c r="L797" i="9"/>
  <c r="L868" i="9"/>
  <c r="L300" i="9"/>
  <c r="L513" i="9"/>
  <c r="L1294" i="9"/>
  <c r="L584" i="9"/>
  <c r="L1152" i="9"/>
  <c r="L655" i="9"/>
  <c r="L371" i="9"/>
  <c r="L442" i="9"/>
  <c r="L229" i="9"/>
  <c r="L1081" i="9"/>
  <c r="L939" i="9"/>
  <c r="L158" i="9"/>
  <c r="L1223" i="9"/>
  <c r="L726" i="9"/>
  <c r="F585" i="9"/>
  <c r="F727" i="9"/>
  <c r="F230" i="9"/>
  <c r="F514" i="9"/>
  <c r="F301" i="9"/>
  <c r="F656" i="9"/>
  <c r="F1224" i="9"/>
  <c r="F443" i="9"/>
  <c r="F869" i="9"/>
  <c r="F1153" i="9"/>
  <c r="F1082" i="9"/>
  <c r="F1295" i="9"/>
  <c r="F798" i="9"/>
  <c r="F940" i="9"/>
  <c r="F1011" i="9"/>
  <c r="F372" i="9"/>
  <c r="AB158" i="9"/>
  <c r="Q158" i="9"/>
  <c r="Q230" i="9" s="1"/>
  <c r="Q302" i="9" s="1"/>
  <c r="Q374" i="9" s="1"/>
  <c r="Q446" i="9" s="1"/>
  <c r="Q518" i="9" s="1"/>
  <c r="Q590" i="9" s="1"/>
  <c r="Q662" i="9" s="1"/>
  <c r="Q734" i="9" s="1"/>
  <c r="Q806" i="9" s="1"/>
  <c r="Q878" i="9" s="1"/>
  <c r="Q950" i="9" s="1"/>
  <c r="Q1022" i="9" s="1"/>
  <c r="Q1094" i="9" s="1"/>
  <c r="Q1166" i="9" s="1"/>
  <c r="Q1238" i="9" s="1"/>
  <c r="P158" i="9"/>
  <c r="P230" i="9" s="1"/>
  <c r="P302" i="9" s="1"/>
  <c r="P374" i="9" s="1"/>
  <c r="P446" i="9" s="1"/>
  <c r="P518" i="9" s="1"/>
  <c r="P590" i="9" s="1"/>
  <c r="P662" i="9" s="1"/>
  <c r="P734" i="9" s="1"/>
  <c r="P806" i="9" s="1"/>
  <c r="P878" i="9" s="1"/>
  <c r="P950" i="9" s="1"/>
  <c r="P1022" i="9" s="1"/>
  <c r="P1094" i="9" s="1"/>
  <c r="P1166" i="9" s="1"/>
  <c r="P1238" i="9" s="1"/>
  <c r="O230" i="9"/>
  <c r="O302" i="9" s="1"/>
  <c r="O374" i="9" s="1"/>
  <c r="O446" i="9" s="1"/>
  <c r="O518" i="9" s="1"/>
  <c r="O590" i="9" s="1"/>
  <c r="O662" i="9" s="1"/>
  <c r="O734" i="9" s="1"/>
  <c r="O806" i="9" s="1"/>
  <c r="O878" i="9" s="1"/>
  <c r="O950" i="9" s="1"/>
  <c r="O1022" i="9" s="1"/>
  <c r="O1094" i="9" s="1"/>
  <c r="O1166" i="9" s="1"/>
  <c r="O1238" i="9" s="1"/>
  <c r="N159" i="9"/>
  <c r="N231" i="9" s="1"/>
  <c r="N303" i="9" s="1"/>
  <c r="N375" i="9" s="1"/>
  <c r="N447" i="9" s="1"/>
  <c r="N519" i="9" s="1"/>
  <c r="N591" i="9" s="1"/>
  <c r="N663" i="9" s="1"/>
  <c r="N735" i="9" s="1"/>
  <c r="N807" i="9" s="1"/>
  <c r="N879" i="9" s="1"/>
  <c r="N951" i="9" s="1"/>
  <c r="N1023" i="9" s="1"/>
  <c r="N1095" i="9" s="1"/>
  <c r="N1167" i="9" s="1"/>
  <c r="N1239" i="9" s="1"/>
  <c r="F159" i="9"/>
  <c r="M159" i="9"/>
  <c r="M231" i="9" s="1"/>
  <c r="M303" i="9" s="1"/>
  <c r="M375" i="9" s="1"/>
  <c r="M447" i="9" s="1"/>
  <c r="M519" i="9" s="1"/>
  <c r="M591" i="9" s="1"/>
  <c r="M663" i="9" s="1"/>
  <c r="M735" i="9" s="1"/>
  <c r="M807" i="9" s="1"/>
  <c r="M879" i="9" s="1"/>
  <c r="M951" i="9" s="1"/>
  <c r="M1023" i="9" s="1"/>
  <c r="M1095" i="9" s="1"/>
  <c r="M1167" i="9" s="1"/>
  <c r="M1239" i="9" s="1"/>
  <c r="O159" i="9"/>
  <c r="AB159" i="9" s="1"/>
  <c r="J130" i="9"/>
  <c r="AE157" i="9"/>
  <c r="AE158" i="9" s="1"/>
  <c r="V1223" i="9"/>
  <c r="S1223" i="9"/>
  <c r="V442" i="9"/>
  <c r="S442" i="9"/>
  <c r="S797" i="9"/>
  <c r="V797" i="9"/>
  <c r="AF300" i="9"/>
  <c r="AB300" i="9"/>
  <c r="V655" i="9"/>
  <c r="AF513" i="9"/>
  <c r="AB513" i="9"/>
  <c r="D161" i="9"/>
  <c r="C160" i="9"/>
  <c r="O160" i="9" s="1"/>
  <c r="AF868" i="9"/>
  <c r="AB868" i="9"/>
  <c r="S1294" i="9"/>
  <c r="V1294" i="9"/>
  <c r="S939" i="9"/>
  <c r="V939" i="9"/>
  <c r="S655" i="9"/>
  <c r="AF583" i="9"/>
  <c r="AB583" i="9"/>
  <c r="AF442" i="9"/>
  <c r="AB442" i="9"/>
  <c r="AF798" i="9"/>
  <c r="AB798" i="9"/>
  <c r="S371" i="9"/>
  <c r="V371" i="9"/>
  <c r="AB229" i="9"/>
  <c r="AF229" i="9"/>
  <c r="AF584" i="9"/>
  <c r="AB584" i="9"/>
  <c r="S513" i="9"/>
  <c r="V513" i="9"/>
  <c r="S1081" i="9"/>
  <c r="V1081" i="9"/>
  <c r="S868" i="9"/>
  <c r="V868" i="9"/>
  <c r="AF371" i="9"/>
  <c r="AB371" i="9"/>
  <c r="S158" i="9"/>
  <c r="V158" i="9"/>
  <c r="S726" i="9"/>
  <c r="V726" i="9"/>
  <c r="AF1011" i="9"/>
  <c r="AB1011" i="9"/>
  <c r="S229" i="9"/>
  <c r="V229" i="9"/>
  <c r="AF1223" i="9"/>
  <c r="AB1223" i="9"/>
  <c r="AF1224" i="9"/>
  <c r="AB1224" i="9"/>
  <c r="AF1294" i="9"/>
  <c r="AB1294" i="9"/>
  <c r="V584" i="9"/>
  <c r="S584" i="9"/>
  <c r="AB1153" i="9"/>
  <c r="AF1153" i="9"/>
  <c r="S1152" i="9"/>
  <c r="V1152" i="9"/>
  <c r="AF797" i="9"/>
  <c r="AB797" i="9"/>
  <c r="V300" i="9"/>
  <c r="S300" i="9"/>
  <c r="S1010" i="9"/>
  <c r="V1010" i="9"/>
  <c r="AF1010" i="9"/>
  <c r="AB1010" i="9"/>
  <c r="K239" i="6"/>
  <c r="L238" i="6"/>
  <c r="M238" i="6" s="1"/>
  <c r="K119" i="6"/>
  <c r="L118" i="6"/>
  <c r="M118" i="6" s="1"/>
  <c r="G203" i="9" l="1"/>
  <c r="G275" i="9" s="1"/>
  <c r="G347" i="9" s="1"/>
  <c r="G419" i="9" s="1"/>
  <c r="G491" i="9" s="1"/>
  <c r="G563" i="9" s="1"/>
  <c r="G635" i="9" s="1"/>
  <c r="G707" i="9" s="1"/>
  <c r="G779" i="9" s="1"/>
  <c r="G851" i="9" s="1"/>
  <c r="G923" i="9" s="1"/>
  <c r="G995" i="9" s="1"/>
  <c r="G1067" i="9" s="1"/>
  <c r="G1139" i="9" s="1"/>
  <c r="G1211" i="9" s="1"/>
  <c r="G1283" i="9" s="1"/>
  <c r="G132" i="9"/>
  <c r="AC37" i="9" a="1"/>
  <c r="AC37" i="9" s="1"/>
  <c r="AA38" i="9" s="1"/>
  <c r="Y37" i="9"/>
  <c r="X38" i="9" s="1"/>
  <c r="AH37" i="9"/>
  <c r="W56" i="9"/>
  <c r="U57" i="9" s="1"/>
  <c r="T45" i="9"/>
  <c r="R46" i="9" s="1"/>
  <c r="H130" i="9"/>
  <c r="I130" i="9" s="1"/>
  <c r="L1011" i="9"/>
  <c r="L230" i="9"/>
  <c r="L301" i="9"/>
  <c r="L940" i="9"/>
  <c r="L727" i="9"/>
  <c r="L798" i="9"/>
  <c r="L1295" i="9"/>
  <c r="L1082" i="9"/>
  <c r="L372" i="9"/>
  <c r="L585" i="9"/>
  <c r="L159" i="9"/>
  <c r="L1153" i="9"/>
  <c r="L656" i="9"/>
  <c r="L514" i="9"/>
  <c r="L869" i="9"/>
  <c r="L443" i="9"/>
  <c r="L1224" i="9"/>
  <c r="F231" i="9"/>
  <c r="F515" i="9"/>
  <c r="F1154" i="9"/>
  <c r="F373" i="9"/>
  <c r="F728" i="9"/>
  <c r="F799" i="9"/>
  <c r="F444" i="9"/>
  <c r="F1225" i="9"/>
  <c r="F586" i="9"/>
  <c r="F1083" i="9"/>
  <c r="F941" i="9"/>
  <c r="F302" i="9"/>
  <c r="F1012" i="9"/>
  <c r="F870" i="9"/>
  <c r="F1296" i="9"/>
  <c r="F657" i="9"/>
  <c r="AB230" i="9"/>
  <c r="AF230" i="9"/>
  <c r="AF159" i="9"/>
  <c r="AE159" i="9" s="1"/>
  <c r="Q160" i="9"/>
  <c r="Q232" i="9" s="1"/>
  <c r="Q304" i="9" s="1"/>
  <c r="Q376" i="9" s="1"/>
  <c r="Q448" i="9" s="1"/>
  <c r="Q520" i="9" s="1"/>
  <c r="Q592" i="9" s="1"/>
  <c r="Q664" i="9" s="1"/>
  <c r="Q736" i="9" s="1"/>
  <c r="Q808" i="9" s="1"/>
  <c r="Q880" i="9" s="1"/>
  <c r="Q952" i="9" s="1"/>
  <c r="Q1024" i="9" s="1"/>
  <c r="Q1096" i="9" s="1"/>
  <c r="Q1168" i="9" s="1"/>
  <c r="Q1240" i="9" s="1"/>
  <c r="P160" i="9"/>
  <c r="P232" i="9" s="1"/>
  <c r="P304" i="9" s="1"/>
  <c r="P376" i="9" s="1"/>
  <c r="P448" i="9" s="1"/>
  <c r="P520" i="9" s="1"/>
  <c r="P592" i="9" s="1"/>
  <c r="P664" i="9" s="1"/>
  <c r="P736" i="9" s="1"/>
  <c r="P808" i="9" s="1"/>
  <c r="P880" i="9" s="1"/>
  <c r="P952" i="9" s="1"/>
  <c r="P1024" i="9" s="1"/>
  <c r="P1096" i="9" s="1"/>
  <c r="P1168" i="9" s="1"/>
  <c r="P1240" i="9" s="1"/>
  <c r="O232" i="9"/>
  <c r="O304" i="9" s="1"/>
  <c r="O376" i="9" s="1"/>
  <c r="O448" i="9" s="1"/>
  <c r="O520" i="9" s="1"/>
  <c r="O592" i="9" s="1"/>
  <c r="O664" i="9" s="1"/>
  <c r="O736" i="9" s="1"/>
  <c r="O808" i="9" s="1"/>
  <c r="O880" i="9" s="1"/>
  <c r="O952" i="9" s="1"/>
  <c r="O1024" i="9" s="1"/>
  <c r="O1096" i="9" s="1"/>
  <c r="O1168" i="9" s="1"/>
  <c r="O1240" i="9" s="1"/>
  <c r="M160" i="9"/>
  <c r="M232" i="9" s="1"/>
  <c r="M304" i="9" s="1"/>
  <c r="M376" i="9" s="1"/>
  <c r="M448" i="9" s="1"/>
  <c r="M520" i="9" s="1"/>
  <c r="M592" i="9" s="1"/>
  <c r="M664" i="9" s="1"/>
  <c r="M736" i="9" s="1"/>
  <c r="M808" i="9" s="1"/>
  <c r="M880" i="9" s="1"/>
  <c r="M952" i="9" s="1"/>
  <c r="M1024" i="9" s="1"/>
  <c r="M1096" i="9" s="1"/>
  <c r="M1168" i="9" s="1"/>
  <c r="M1240" i="9" s="1"/>
  <c r="N160" i="9"/>
  <c r="N232" i="9" s="1"/>
  <c r="N304" i="9" s="1"/>
  <c r="N376" i="9" s="1"/>
  <c r="N448" i="9" s="1"/>
  <c r="N520" i="9" s="1"/>
  <c r="N592" i="9" s="1"/>
  <c r="N664" i="9" s="1"/>
  <c r="N736" i="9" s="1"/>
  <c r="N808" i="9" s="1"/>
  <c r="N880" i="9" s="1"/>
  <c r="N952" i="9" s="1"/>
  <c r="N1024" i="9" s="1"/>
  <c r="N1096" i="9" s="1"/>
  <c r="N1168" i="9" s="1"/>
  <c r="N1240" i="9" s="1"/>
  <c r="F160" i="9"/>
  <c r="Q159" i="9"/>
  <c r="Q231" i="9" s="1"/>
  <c r="Q303" i="9" s="1"/>
  <c r="Q375" i="9" s="1"/>
  <c r="Q447" i="9" s="1"/>
  <c r="Q519" i="9" s="1"/>
  <c r="Q591" i="9" s="1"/>
  <c r="Q663" i="9" s="1"/>
  <c r="Q735" i="9" s="1"/>
  <c r="Q807" i="9" s="1"/>
  <c r="Q879" i="9" s="1"/>
  <c r="Q951" i="9" s="1"/>
  <c r="Q1023" i="9" s="1"/>
  <c r="Q1095" i="9" s="1"/>
  <c r="Q1167" i="9" s="1"/>
  <c r="Q1239" i="9" s="1"/>
  <c r="P159" i="9"/>
  <c r="P231" i="9" s="1"/>
  <c r="P303" i="9" s="1"/>
  <c r="P375" i="9" s="1"/>
  <c r="P447" i="9" s="1"/>
  <c r="P519" i="9" s="1"/>
  <c r="P591" i="9" s="1"/>
  <c r="P663" i="9" s="1"/>
  <c r="P735" i="9" s="1"/>
  <c r="P807" i="9" s="1"/>
  <c r="P879" i="9" s="1"/>
  <c r="P951" i="9" s="1"/>
  <c r="P1023" i="9" s="1"/>
  <c r="P1095" i="9" s="1"/>
  <c r="P1167" i="9" s="1"/>
  <c r="P1239" i="9" s="1"/>
  <c r="O231" i="9"/>
  <c r="O303" i="9" s="1"/>
  <c r="O375" i="9" s="1"/>
  <c r="O447" i="9" s="1"/>
  <c r="O519" i="9" s="1"/>
  <c r="O591" i="9" s="1"/>
  <c r="O663" i="9" s="1"/>
  <c r="O735" i="9" s="1"/>
  <c r="O807" i="9" s="1"/>
  <c r="O879" i="9" s="1"/>
  <c r="O951" i="9" s="1"/>
  <c r="O1023" i="9" s="1"/>
  <c r="O1095" i="9" s="1"/>
  <c r="O1167" i="9" s="1"/>
  <c r="O1239" i="9" s="1"/>
  <c r="J131" i="9"/>
  <c r="V159" i="9"/>
  <c r="S159" i="9"/>
  <c r="AF1296" i="9"/>
  <c r="AB1296" i="9"/>
  <c r="V798" i="9"/>
  <c r="S798" i="9"/>
  <c r="S1153" i="9"/>
  <c r="V1153" i="9"/>
  <c r="V869" i="9"/>
  <c r="S869" i="9"/>
  <c r="S1082" i="9"/>
  <c r="V1082" i="9"/>
  <c r="AB1225" i="9"/>
  <c r="AF1225" i="9"/>
  <c r="AF1083" i="9"/>
  <c r="AB1083" i="9"/>
  <c r="S230" i="9"/>
  <c r="V230" i="9"/>
  <c r="V940" i="9"/>
  <c r="S940" i="9"/>
  <c r="AF870" i="9"/>
  <c r="AB870" i="9"/>
  <c r="AF585" i="9"/>
  <c r="AB585" i="9"/>
  <c r="V514" i="9"/>
  <c r="S514" i="9"/>
  <c r="V1295" i="9"/>
  <c r="S1295" i="9"/>
  <c r="AF1082" i="9"/>
  <c r="AB1082" i="9"/>
  <c r="S1224" i="9"/>
  <c r="V1224" i="9"/>
  <c r="V656" i="9"/>
  <c r="S656" i="9"/>
  <c r="S301" i="9"/>
  <c r="V301" i="9"/>
  <c r="AF443" i="9"/>
  <c r="AB443" i="9"/>
  <c r="S585" i="9"/>
  <c r="V585" i="9"/>
  <c r="AF656" i="9"/>
  <c r="AB656" i="9"/>
  <c r="S443" i="9"/>
  <c r="V443" i="9"/>
  <c r="AF514" i="9"/>
  <c r="AB514" i="9"/>
  <c r="V1011" i="9"/>
  <c r="S1011" i="9"/>
  <c r="C161" i="9"/>
  <c r="O161" i="9" s="1"/>
  <c r="D162" i="9"/>
  <c r="V727" i="9"/>
  <c r="V372" i="9"/>
  <c r="S372" i="9"/>
  <c r="AB869" i="9"/>
  <c r="AF869" i="9"/>
  <c r="AF1295" i="9"/>
  <c r="AB1295" i="9"/>
  <c r="AF301" i="9"/>
  <c r="AB301" i="9"/>
  <c r="AF655" i="9"/>
  <c r="AB655" i="9"/>
  <c r="AB940" i="9"/>
  <c r="AF940" i="9"/>
  <c r="AF372" i="9"/>
  <c r="AB372" i="9"/>
  <c r="AB302" i="9"/>
  <c r="AF302" i="9"/>
  <c r="K120" i="6"/>
  <c r="L119" i="6"/>
  <c r="M119" i="6" s="1"/>
  <c r="K240" i="6"/>
  <c r="L239" i="6"/>
  <c r="M239" i="6" s="1"/>
  <c r="G204" i="9" l="1"/>
  <c r="G276" i="9" s="1"/>
  <c r="G348" i="9" s="1"/>
  <c r="G420" i="9" s="1"/>
  <c r="G492" i="9" s="1"/>
  <c r="G564" i="9" s="1"/>
  <c r="G636" i="9" s="1"/>
  <c r="G708" i="9" s="1"/>
  <c r="G780" i="9" s="1"/>
  <c r="G852" i="9" s="1"/>
  <c r="G924" i="9" s="1"/>
  <c r="G996" i="9" s="1"/>
  <c r="G1068" i="9" s="1"/>
  <c r="G1140" i="9" s="1"/>
  <c r="G1212" i="9" s="1"/>
  <c r="G1284" i="9" s="1"/>
  <c r="G133" i="9"/>
  <c r="Z38" i="9"/>
  <c r="AI38" i="9"/>
  <c r="AG38" i="9"/>
  <c r="AD38" i="9"/>
  <c r="T46" i="9"/>
  <c r="W57" i="9"/>
  <c r="U58" i="9" s="1"/>
  <c r="H131" i="9"/>
  <c r="I131" i="9" s="1"/>
  <c r="L799" i="9"/>
  <c r="L728" i="9"/>
  <c r="L657" i="9"/>
  <c r="L373" i="9"/>
  <c r="L1296" i="9"/>
  <c r="L1154" i="9"/>
  <c r="L160" i="9"/>
  <c r="L870" i="9"/>
  <c r="L515" i="9"/>
  <c r="L444" i="9"/>
  <c r="L1012" i="9"/>
  <c r="L231" i="9"/>
  <c r="L302" i="9"/>
  <c r="L941" i="9"/>
  <c r="L1225" i="9"/>
  <c r="L1083" i="9"/>
  <c r="L586" i="9"/>
  <c r="F374" i="9"/>
  <c r="F871" i="9"/>
  <c r="F1013" i="9"/>
  <c r="F800" i="9"/>
  <c r="F232" i="9"/>
  <c r="F729" i="9"/>
  <c r="F1155" i="9"/>
  <c r="F445" i="9"/>
  <c r="F658" i="9"/>
  <c r="F942" i="9"/>
  <c r="F1297" i="9"/>
  <c r="F587" i="9"/>
  <c r="F1226" i="9"/>
  <c r="F1084" i="9"/>
  <c r="F516" i="9"/>
  <c r="F303" i="9"/>
  <c r="AB231" i="9"/>
  <c r="AF231" i="9"/>
  <c r="Q161" i="9"/>
  <c r="Q233" i="9" s="1"/>
  <c r="Q305" i="9" s="1"/>
  <c r="Q377" i="9" s="1"/>
  <c r="Q449" i="9" s="1"/>
  <c r="Q521" i="9" s="1"/>
  <c r="Q593" i="9" s="1"/>
  <c r="Q665" i="9" s="1"/>
  <c r="Q737" i="9" s="1"/>
  <c r="Q809" i="9" s="1"/>
  <c r="Q881" i="9" s="1"/>
  <c r="Q953" i="9" s="1"/>
  <c r="Q1025" i="9" s="1"/>
  <c r="Q1097" i="9" s="1"/>
  <c r="Q1169" i="9" s="1"/>
  <c r="Q1241" i="9" s="1"/>
  <c r="P161" i="9"/>
  <c r="P233" i="9" s="1"/>
  <c r="P305" i="9" s="1"/>
  <c r="P377" i="9" s="1"/>
  <c r="P449" i="9" s="1"/>
  <c r="P521" i="9" s="1"/>
  <c r="P593" i="9" s="1"/>
  <c r="P665" i="9" s="1"/>
  <c r="P737" i="9" s="1"/>
  <c r="P809" i="9" s="1"/>
  <c r="P881" i="9" s="1"/>
  <c r="P953" i="9" s="1"/>
  <c r="P1025" i="9" s="1"/>
  <c r="P1097" i="9" s="1"/>
  <c r="P1169" i="9" s="1"/>
  <c r="P1241" i="9" s="1"/>
  <c r="O233" i="9"/>
  <c r="O305" i="9" s="1"/>
  <c r="O377" i="9" s="1"/>
  <c r="O449" i="9" s="1"/>
  <c r="O521" i="9" s="1"/>
  <c r="O593" i="9" s="1"/>
  <c r="O665" i="9" s="1"/>
  <c r="O737" i="9" s="1"/>
  <c r="O809" i="9" s="1"/>
  <c r="O881" i="9" s="1"/>
  <c r="O953" i="9" s="1"/>
  <c r="O1025" i="9" s="1"/>
  <c r="O1097" i="9" s="1"/>
  <c r="O1169" i="9" s="1"/>
  <c r="O1241" i="9" s="1"/>
  <c r="M161" i="9"/>
  <c r="M233" i="9" s="1"/>
  <c r="M305" i="9" s="1"/>
  <c r="M377" i="9" s="1"/>
  <c r="M449" i="9" s="1"/>
  <c r="M521" i="9" s="1"/>
  <c r="M593" i="9" s="1"/>
  <c r="M665" i="9" s="1"/>
  <c r="M737" i="9" s="1"/>
  <c r="M809" i="9" s="1"/>
  <c r="M881" i="9" s="1"/>
  <c r="M953" i="9" s="1"/>
  <c r="M1025" i="9" s="1"/>
  <c r="M1097" i="9" s="1"/>
  <c r="M1169" i="9" s="1"/>
  <c r="M1241" i="9" s="1"/>
  <c r="N161" i="9"/>
  <c r="N233" i="9" s="1"/>
  <c r="N305" i="9" s="1"/>
  <c r="N377" i="9" s="1"/>
  <c r="N449" i="9" s="1"/>
  <c r="N521" i="9" s="1"/>
  <c r="N593" i="9" s="1"/>
  <c r="N665" i="9" s="1"/>
  <c r="N737" i="9" s="1"/>
  <c r="N809" i="9" s="1"/>
  <c r="N881" i="9" s="1"/>
  <c r="N953" i="9" s="1"/>
  <c r="N1025" i="9" s="1"/>
  <c r="N1097" i="9" s="1"/>
  <c r="N1169" i="9" s="1"/>
  <c r="N1241" i="9" s="1"/>
  <c r="F161" i="9"/>
  <c r="J132" i="9"/>
  <c r="S799" i="9"/>
  <c r="AF727" i="9"/>
  <c r="AB727" i="9"/>
  <c r="V1083" i="9"/>
  <c r="S1083" i="9"/>
  <c r="S657" i="9"/>
  <c r="V657" i="9"/>
  <c r="AB942" i="9"/>
  <c r="AF942" i="9"/>
  <c r="AB1297" i="9"/>
  <c r="AF1297" i="9"/>
  <c r="S1225" i="9"/>
  <c r="V1225" i="9"/>
  <c r="AF1012" i="9"/>
  <c r="AB1012" i="9"/>
  <c r="AF373" i="9"/>
  <c r="AB373" i="9"/>
  <c r="AF941" i="9"/>
  <c r="AB941" i="9"/>
  <c r="S727" i="9"/>
  <c r="AF515" i="9"/>
  <c r="AB515" i="9"/>
  <c r="AF1154" i="9"/>
  <c r="AB1154" i="9"/>
  <c r="AB1155" i="9"/>
  <c r="AF1155" i="9"/>
  <c r="S941" i="9"/>
  <c r="V941" i="9"/>
  <c r="AB374" i="9"/>
  <c r="AF374" i="9"/>
  <c r="AB444" i="9"/>
  <c r="AF444" i="9"/>
  <c r="V799" i="9"/>
  <c r="S515" i="9"/>
  <c r="V515" i="9"/>
  <c r="S373" i="9"/>
  <c r="V373" i="9"/>
  <c r="V728" i="9"/>
  <c r="S728" i="9"/>
  <c r="S1296" i="9"/>
  <c r="V1296" i="9"/>
  <c r="S586" i="9"/>
  <c r="V586" i="9"/>
  <c r="AF160" i="9"/>
  <c r="AE160" i="9" s="1"/>
  <c r="AB160" i="9"/>
  <c r="S302" i="9"/>
  <c r="V302" i="9"/>
  <c r="S160" i="9"/>
  <c r="V160" i="9"/>
  <c r="S444" i="9"/>
  <c r="V444" i="9"/>
  <c r="AF303" i="9"/>
  <c r="AB303" i="9"/>
  <c r="C162" i="9"/>
  <c r="O162" i="9" s="1"/>
  <c r="D163" i="9"/>
  <c r="AB586" i="9"/>
  <c r="AF586" i="9"/>
  <c r="AF728" i="9"/>
  <c r="AB728" i="9"/>
  <c r="AF657" i="9"/>
  <c r="AB657" i="9"/>
  <c r="S1012" i="9"/>
  <c r="V1012" i="9"/>
  <c r="S1154" i="9"/>
  <c r="V1154" i="9"/>
  <c r="S870" i="9"/>
  <c r="V870" i="9"/>
  <c r="V231" i="9"/>
  <c r="S231" i="9"/>
  <c r="K241" i="6"/>
  <c r="L240" i="6"/>
  <c r="M240" i="6" s="1"/>
  <c r="K121" i="6"/>
  <c r="L120" i="6"/>
  <c r="M120" i="6" s="1"/>
  <c r="G205" i="9" l="1"/>
  <c r="G277" i="9" s="1"/>
  <c r="G349" i="9" s="1"/>
  <c r="G421" i="9" s="1"/>
  <c r="G493" i="9" s="1"/>
  <c r="G565" i="9" s="1"/>
  <c r="G637" i="9" s="1"/>
  <c r="G709" i="9" s="1"/>
  <c r="G781" i="9" s="1"/>
  <c r="G853" i="9" s="1"/>
  <c r="G925" i="9" s="1"/>
  <c r="G997" i="9" s="1"/>
  <c r="G1069" i="9" s="1"/>
  <c r="G1141" i="9" s="1"/>
  <c r="G1213" i="9" s="1"/>
  <c r="G1285" i="9" s="1"/>
  <c r="G134" i="9"/>
  <c r="AC38" i="9" a="1"/>
  <c r="AC38" i="9" s="1"/>
  <c r="AA39" i="9" s="1"/>
  <c r="Y38" i="9"/>
  <c r="X39" i="9" s="1"/>
  <c r="AH38" i="9"/>
  <c r="W58" i="9"/>
  <c r="U59" i="9" s="1"/>
  <c r="R47" i="9"/>
  <c r="H132" i="9"/>
  <c r="I132" i="9" s="1"/>
  <c r="L303" i="9"/>
  <c r="L800" i="9"/>
  <c r="L516" i="9"/>
  <c r="L1013" i="9"/>
  <c r="L1084" i="9"/>
  <c r="L871" i="9"/>
  <c r="L1226" i="9"/>
  <c r="L374" i="9"/>
  <c r="L161" i="9"/>
  <c r="L587" i="9"/>
  <c r="L232" i="9"/>
  <c r="L1297" i="9"/>
  <c r="L942" i="9"/>
  <c r="L1155" i="9"/>
  <c r="L729" i="9"/>
  <c r="L658" i="9"/>
  <c r="L445" i="9"/>
  <c r="F233" i="9"/>
  <c r="F588" i="9"/>
  <c r="F659" i="9"/>
  <c r="F801" i="9"/>
  <c r="F1085" i="9"/>
  <c r="F304" i="9"/>
  <c r="F730" i="9"/>
  <c r="F375" i="9"/>
  <c r="F1014" i="9"/>
  <c r="F872" i="9"/>
  <c r="F1156" i="9"/>
  <c r="F517" i="9"/>
  <c r="F943" i="9"/>
  <c r="F1298" i="9"/>
  <c r="F1227" i="9"/>
  <c r="F446" i="9"/>
  <c r="M162" i="9"/>
  <c r="M234" i="9" s="1"/>
  <c r="M306" i="9" s="1"/>
  <c r="M378" i="9" s="1"/>
  <c r="M450" i="9" s="1"/>
  <c r="M522" i="9" s="1"/>
  <c r="M594" i="9" s="1"/>
  <c r="M666" i="9" s="1"/>
  <c r="M738" i="9" s="1"/>
  <c r="M810" i="9" s="1"/>
  <c r="M882" i="9" s="1"/>
  <c r="M954" i="9" s="1"/>
  <c r="M1026" i="9" s="1"/>
  <c r="M1098" i="9" s="1"/>
  <c r="M1170" i="9" s="1"/>
  <c r="M1242" i="9" s="1"/>
  <c r="Q162" i="9"/>
  <c r="Q234" i="9" s="1"/>
  <c r="Q306" i="9" s="1"/>
  <c r="Q378" i="9" s="1"/>
  <c r="Q450" i="9" s="1"/>
  <c r="Q522" i="9" s="1"/>
  <c r="Q594" i="9" s="1"/>
  <c r="Q666" i="9" s="1"/>
  <c r="Q738" i="9" s="1"/>
  <c r="Q810" i="9" s="1"/>
  <c r="Q882" i="9" s="1"/>
  <c r="Q954" i="9" s="1"/>
  <c r="Q1026" i="9" s="1"/>
  <c r="Q1098" i="9" s="1"/>
  <c r="Q1170" i="9" s="1"/>
  <c r="Q1242" i="9" s="1"/>
  <c r="P162" i="9"/>
  <c r="P234" i="9" s="1"/>
  <c r="P306" i="9" s="1"/>
  <c r="P378" i="9" s="1"/>
  <c r="P450" i="9" s="1"/>
  <c r="P522" i="9" s="1"/>
  <c r="P594" i="9" s="1"/>
  <c r="P666" i="9" s="1"/>
  <c r="P738" i="9" s="1"/>
  <c r="P810" i="9" s="1"/>
  <c r="P882" i="9" s="1"/>
  <c r="P954" i="9" s="1"/>
  <c r="P1026" i="9" s="1"/>
  <c r="P1098" i="9" s="1"/>
  <c r="P1170" i="9" s="1"/>
  <c r="P1242" i="9" s="1"/>
  <c r="O234" i="9"/>
  <c r="O306" i="9" s="1"/>
  <c r="O378" i="9" s="1"/>
  <c r="O450" i="9" s="1"/>
  <c r="O522" i="9" s="1"/>
  <c r="O594" i="9" s="1"/>
  <c r="O666" i="9" s="1"/>
  <c r="O738" i="9" s="1"/>
  <c r="O810" i="9" s="1"/>
  <c r="O882" i="9" s="1"/>
  <c r="O954" i="9" s="1"/>
  <c r="O1026" i="9" s="1"/>
  <c r="O1098" i="9" s="1"/>
  <c r="O1170" i="9" s="1"/>
  <c r="O1242" i="9" s="1"/>
  <c r="N162" i="9"/>
  <c r="N234" i="9" s="1"/>
  <c r="N306" i="9" s="1"/>
  <c r="N378" i="9" s="1"/>
  <c r="N450" i="9" s="1"/>
  <c r="N522" i="9" s="1"/>
  <c r="N594" i="9" s="1"/>
  <c r="N666" i="9" s="1"/>
  <c r="N738" i="9" s="1"/>
  <c r="N810" i="9" s="1"/>
  <c r="N882" i="9" s="1"/>
  <c r="N954" i="9" s="1"/>
  <c r="N1026" i="9" s="1"/>
  <c r="N1098" i="9" s="1"/>
  <c r="N1170" i="9" s="1"/>
  <c r="N1242" i="9" s="1"/>
  <c r="F162" i="9"/>
  <c r="J133" i="9"/>
  <c r="V942" i="9"/>
  <c r="S942" i="9"/>
  <c r="S1084" i="9"/>
  <c r="V1084" i="9"/>
  <c r="AF729" i="9"/>
  <c r="AB729" i="9"/>
  <c r="S374" i="9"/>
  <c r="V374" i="9"/>
  <c r="S658" i="9"/>
  <c r="V658" i="9"/>
  <c r="AF1227" i="9"/>
  <c r="AB1227" i="9"/>
  <c r="S1297" i="9"/>
  <c r="V1297" i="9"/>
  <c r="S729" i="9"/>
  <c r="V729" i="9"/>
  <c r="S161" i="9"/>
  <c r="V161" i="9"/>
  <c r="S303" i="9"/>
  <c r="V303" i="9"/>
  <c r="S1226" i="9"/>
  <c r="V1226" i="9"/>
  <c r="AB800" i="9"/>
  <c r="AF800" i="9"/>
  <c r="D164" i="9"/>
  <c r="C163" i="9"/>
  <c r="S587" i="9"/>
  <c r="V587" i="9"/>
  <c r="AF446" i="9"/>
  <c r="AB446" i="9"/>
  <c r="S1013" i="9"/>
  <c r="V1013" i="9"/>
  <c r="AF1084" i="9"/>
  <c r="AB1084" i="9"/>
  <c r="AF1014" i="9"/>
  <c r="AB1014" i="9"/>
  <c r="AF375" i="9"/>
  <c r="AB375" i="9"/>
  <c r="S445" i="9"/>
  <c r="V445" i="9"/>
  <c r="AB516" i="9"/>
  <c r="AF516" i="9"/>
  <c r="AF587" i="9"/>
  <c r="AB587" i="9"/>
  <c r="AF445" i="9"/>
  <c r="AB445" i="9"/>
  <c r="S871" i="9"/>
  <c r="AF799" i="9"/>
  <c r="AB799" i="9"/>
  <c r="AB658" i="9"/>
  <c r="AF658" i="9"/>
  <c r="S516" i="9"/>
  <c r="V516" i="9"/>
  <c r="S232" i="9"/>
  <c r="V232" i="9"/>
  <c r="AF232" i="9"/>
  <c r="AB232" i="9"/>
  <c r="S800" i="9"/>
  <c r="V800" i="9"/>
  <c r="V871" i="9"/>
  <c r="AF1226" i="9"/>
  <c r="AB1226" i="9"/>
  <c r="AB161" i="9"/>
  <c r="AF161" i="9"/>
  <c r="AE161" i="9" s="1"/>
  <c r="AB1013" i="9"/>
  <c r="AF1013" i="9"/>
  <c r="V1155" i="9"/>
  <c r="S1155" i="9"/>
  <c r="K122" i="6"/>
  <c r="L121" i="6"/>
  <c r="M121" i="6" s="1"/>
  <c r="K242" i="6"/>
  <c r="L241" i="6"/>
  <c r="M241" i="6" s="1"/>
  <c r="G206" i="9" l="1"/>
  <c r="G278" i="9" s="1"/>
  <c r="G350" i="9" s="1"/>
  <c r="G422" i="9" s="1"/>
  <c r="G494" i="9" s="1"/>
  <c r="G566" i="9" s="1"/>
  <c r="G638" i="9" s="1"/>
  <c r="G710" i="9" s="1"/>
  <c r="G782" i="9" s="1"/>
  <c r="G854" i="9" s="1"/>
  <c r="G926" i="9" s="1"/>
  <c r="G998" i="9" s="1"/>
  <c r="G1070" i="9" s="1"/>
  <c r="G1142" i="9" s="1"/>
  <c r="G1214" i="9" s="1"/>
  <c r="G1286" i="9" s="1"/>
  <c r="G135" i="9"/>
  <c r="AI39" i="9"/>
  <c r="AG39" i="9"/>
  <c r="Z39" i="9"/>
  <c r="AD39" i="9"/>
  <c r="T47" i="9"/>
  <c r="R48" i="9" s="1"/>
  <c r="W59" i="9"/>
  <c r="U60" i="9" s="1"/>
  <c r="H133" i="9"/>
  <c r="I133" i="9" s="1"/>
  <c r="L1085" i="9"/>
  <c r="L801" i="9"/>
  <c r="L730" i="9"/>
  <c r="L304" i="9"/>
  <c r="L446" i="9"/>
  <c r="L1227" i="9"/>
  <c r="L659" i="9"/>
  <c r="L1298" i="9"/>
  <c r="L588" i="9"/>
  <c r="L943" i="9"/>
  <c r="L233" i="9"/>
  <c r="L517" i="9"/>
  <c r="L162" i="9"/>
  <c r="L1156" i="9"/>
  <c r="L872" i="9"/>
  <c r="L1014" i="9"/>
  <c r="L375" i="9"/>
  <c r="F376" i="9"/>
  <c r="F1228" i="9"/>
  <c r="F1157" i="9"/>
  <c r="F589" i="9"/>
  <c r="F518" i="9"/>
  <c r="F944" i="9"/>
  <c r="F873" i="9"/>
  <c r="F1299" i="9"/>
  <c r="F1086" i="9"/>
  <c r="F731" i="9"/>
  <c r="F234" i="9"/>
  <c r="F447" i="9"/>
  <c r="F660" i="9"/>
  <c r="F1015" i="9"/>
  <c r="F802" i="9"/>
  <c r="F305" i="9"/>
  <c r="J134" i="9"/>
  <c r="S872" i="9"/>
  <c r="V872" i="9"/>
  <c r="AF304" i="9"/>
  <c r="AB304" i="9"/>
  <c r="AF517" i="9"/>
  <c r="AB517" i="9"/>
  <c r="AF447" i="9"/>
  <c r="AB447" i="9"/>
  <c r="AF872" i="9"/>
  <c r="AB872" i="9"/>
  <c r="AF1299" i="9"/>
  <c r="AB1299" i="9"/>
  <c r="AF801" i="9"/>
  <c r="AB801" i="9"/>
  <c r="AB233" i="9"/>
  <c r="AF233" i="9"/>
  <c r="V943" i="9"/>
  <c r="AB730" i="9"/>
  <c r="AF730" i="9"/>
  <c r="S162" i="9"/>
  <c r="V162" i="9"/>
  <c r="S1085" i="9"/>
  <c r="V1085" i="9"/>
  <c r="S659" i="9"/>
  <c r="V659" i="9"/>
  <c r="D165" i="9"/>
  <c r="C164" i="9"/>
  <c r="S730" i="9"/>
  <c r="V730" i="9"/>
  <c r="AB1085" i="9"/>
  <c r="AF1085" i="9"/>
  <c r="AF1298" i="9"/>
  <c r="AB1298" i="9"/>
  <c r="V588" i="9"/>
  <c r="S588" i="9"/>
  <c r="AF588" i="9"/>
  <c r="AB588" i="9"/>
  <c r="AF1156" i="9"/>
  <c r="AB1156" i="9"/>
  <c r="AF518" i="9"/>
  <c r="AB518" i="9"/>
  <c r="S1298" i="9"/>
  <c r="V1298" i="9"/>
  <c r="S233" i="9"/>
  <c r="V233" i="9"/>
  <c r="V446" i="9"/>
  <c r="S446" i="9"/>
  <c r="S1014" i="9"/>
  <c r="V1014" i="9"/>
  <c r="V1227" i="9"/>
  <c r="S1227" i="9"/>
  <c r="V304" i="9"/>
  <c r="S304" i="9"/>
  <c r="AF162" i="9"/>
  <c r="AE162" i="9" s="1"/>
  <c r="AE163" i="9" s="1"/>
  <c r="AE164" i="9" s="1"/>
  <c r="AE165" i="9" s="1"/>
  <c r="AE166" i="9" s="1"/>
  <c r="AE167" i="9" s="1"/>
  <c r="AE168" i="9" s="1"/>
  <c r="AE169" i="9" s="1"/>
  <c r="AE170" i="9" s="1"/>
  <c r="AE171" i="9" s="1"/>
  <c r="AE172" i="9" s="1"/>
  <c r="AE173" i="9" s="1"/>
  <c r="AE174" i="9" s="1"/>
  <c r="AE175" i="9" s="1"/>
  <c r="AE176" i="9" s="1"/>
  <c r="AE177" i="9" s="1"/>
  <c r="AE178" i="9" s="1"/>
  <c r="AE179" i="9" s="1"/>
  <c r="AE180" i="9" s="1"/>
  <c r="AE181" i="9" s="1"/>
  <c r="AE182" i="9" s="1"/>
  <c r="AE183" i="9" s="1"/>
  <c r="AE184" i="9" s="1"/>
  <c r="AE185" i="9" s="1"/>
  <c r="AE186" i="9" s="1"/>
  <c r="AE187" i="9" s="1"/>
  <c r="AE188" i="9" s="1"/>
  <c r="AE189" i="9" s="1"/>
  <c r="AE190" i="9" s="1"/>
  <c r="AE191" i="9" s="1"/>
  <c r="AE192" i="9" s="1"/>
  <c r="AE193" i="9" s="1"/>
  <c r="AE194" i="9" s="1"/>
  <c r="AE195" i="9" s="1"/>
  <c r="AE196" i="9" s="1"/>
  <c r="AE197" i="9" s="1"/>
  <c r="AE198" i="9" s="1"/>
  <c r="AE199" i="9" s="1"/>
  <c r="AE200" i="9" s="1"/>
  <c r="AE201" i="9" s="1"/>
  <c r="AE202" i="9" s="1"/>
  <c r="AE203" i="9" s="1"/>
  <c r="AE204" i="9" s="1"/>
  <c r="AE205" i="9" s="1"/>
  <c r="AE206" i="9" s="1"/>
  <c r="AE207" i="9" s="1"/>
  <c r="AE208" i="9" s="1"/>
  <c r="AE209" i="9" s="1"/>
  <c r="AE210" i="9" s="1"/>
  <c r="AE211" i="9" s="1"/>
  <c r="AE212" i="9" s="1"/>
  <c r="AE213" i="9" s="1"/>
  <c r="AE214" i="9" s="1"/>
  <c r="AE215" i="9" s="1"/>
  <c r="AE216" i="9" s="1"/>
  <c r="AE217" i="9" s="1"/>
  <c r="AE218" i="9" s="1"/>
  <c r="AE219" i="9" s="1"/>
  <c r="AE220" i="9" s="1"/>
  <c r="AE221" i="9" s="1"/>
  <c r="AE222" i="9" s="1"/>
  <c r="AE223" i="9" s="1"/>
  <c r="AE224" i="9" s="1"/>
  <c r="AE225" i="9" s="1"/>
  <c r="AE226" i="9" s="1"/>
  <c r="AE227" i="9" s="1"/>
  <c r="AE228" i="9" s="1"/>
  <c r="AE229" i="9" s="1"/>
  <c r="AE230" i="9" s="1"/>
  <c r="AE231" i="9" s="1"/>
  <c r="AE232" i="9" s="1"/>
  <c r="AB162" i="9"/>
  <c r="AB871" i="9"/>
  <c r="AF871" i="9"/>
  <c r="AF659" i="9"/>
  <c r="AB659" i="9"/>
  <c r="S517" i="9"/>
  <c r="V517" i="9"/>
  <c r="AF1086" i="9"/>
  <c r="AB1086" i="9"/>
  <c r="S375" i="9"/>
  <c r="V375" i="9"/>
  <c r="S801" i="9"/>
  <c r="V801" i="9"/>
  <c r="S1156" i="9"/>
  <c r="V1156" i="9"/>
  <c r="K243" i="6"/>
  <c r="L242" i="6"/>
  <c r="M242" i="6" s="1"/>
  <c r="K123" i="6"/>
  <c r="L122" i="6"/>
  <c r="M122" i="6" s="1"/>
  <c r="G207" i="9" l="1"/>
  <c r="G279" i="9" s="1"/>
  <c r="G351" i="9" s="1"/>
  <c r="G423" i="9" s="1"/>
  <c r="G495" i="9" s="1"/>
  <c r="G567" i="9" s="1"/>
  <c r="G639" i="9" s="1"/>
  <c r="G711" i="9" s="1"/>
  <c r="G783" i="9" s="1"/>
  <c r="G855" i="9" s="1"/>
  <c r="G927" i="9" s="1"/>
  <c r="G999" i="9" s="1"/>
  <c r="G1071" i="9" s="1"/>
  <c r="G1143" i="9" s="1"/>
  <c r="G1215" i="9" s="1"/>
  <c r="G1287" i="9" s="1"/>
  <c r="G136" i="9"/>
  <c r="AC39" i="9" a="1"/>
  <c r="AC39" i="9" s="1"/>
  <c r="AA40" i="9" s="1"/>
  <c r="AH39" i="9"/>
  <c r="Y39" i="9"/>
  <c r="X40" i="9" s="1"/>
  <c r="T48" i="9"/>
  <c r="W60" i="9"/>
  <c r="U61" i="9" s="1"/>
  <c r="H134" i="9"/>
  <c r="I134" i="9" s="1"/>
  <c r="L1157" i="9"/>
  <c r="L944" i="9"/>
  <c r="L802" i="9"/>
  <c r="L1015" i="9"/>
  <c r="L1228" i="9"/>
  <c r="L518" i="9"/>
  <c r="L660" i="9"/>
  <c r="L376" i="9"/>
  <c r="L447" i="9"/>
  <c r="L234" i="9"/>
  <c r="L731" i="9"/>
  <c r="L305" i="9"/>
  <c r="L589" i="9"/>
  <c r="L1086" i="9"/>
  <c r="L1299" i="9"/>
  <c r="L873" i="9"/>
  <c r="F519" i="9"/>
  <c r="F1016" i="9"/>
  <c r="F377" i="9"/>
  <c r="F803" i="9"/>
  <c r="F661" i="9"/>
  <c r="F590" i="9"/>
  <c r="F1158" i="9"/>
  <c r="F306" i="9"/>
  <c r="F874" i="9"/>
  <c r="F1229" i="9"/>
  <c r="F1087" i="9"/>
  <c r="F1300" i="9"/>
  <c r="F732" i="9"/>
  <c r="F945" i="9"/>
  <c r="F448" i="9"/>
  <c r="J135" i="9"/>
  <c r="AE233" i="9"/>
  <c r="V376" i="9"/>
  <c r="S376" i="9"/>
  <c r="V1299" i="9"/>
  <c r="S1299" i="9"/>
  <c r="V518" i="9"/>
  <c r="S518" i="9"/>
  <c r="S305" i="9"/>
  <c r="V305" i="9"/>
  <c r="AF1228" i="9"/>
  <c r="AB1228" i="9"/>
  <c r="S731" i="9"/>
  <c r="V731" i="9"/>
  <c r="AB873" i="9"/>
  <c r="AF873" i="9"/>
  <c r="AF376" i="9"/>
  <c r="AB376" i="9"/>
  <c r="V873" i="9"/>
  <c r="S873" i="9"/>
  <c r="AF943" i="9"/>
  <c r="AB943" i="9"/>
  <c r="AB590" i="9"/>
  <c r="AF590" i="9"/>
  <c r="AF660" i="9"/>
  <c r="AB660" i="9"/>
  <c r="V660" i="9"/>
  <c r="S660" i="9"/>
  <c r="V802" i="9"/>
  <c r="S802" i="9"/>
  <c r="V1157" i="9"/>
  <c r="S1157" i="9"/>
  <c r="S943" i="9"/>
  <c r="AF305" i="9"/>
  <c r="AB305" i="9"/>
  <c r="AB944" i="9"/>
  <c r="AF944" i="9"/>
  <c r="V944" i="9"/>
  <c r="S944" i="9"/>
  <c r="S1228" i="9"/>
  <c r="V1228" i="9"/>
  <c r="AF1158" i="9"/>
  <c r="AB1158" i="9"/>
  <c r="AF731" i="9"/>
  <c r="AB731" i="9"/>
  <c r="AF234" i="9"/>
  <c r="AB234" i="9"/>
  <c r="S1086" i="9"/>
  <c r="V1086" i="9"/>
  <c r="S234" i="9"/>
  <c r="V234" i="9"/>
  <c r="V1015" i="9"/>
  <c r="S1015" i="9"/>
  <c r="AF519" i="9"/>
  <c r="AB519" i="9"/>
  <c r="S447" i="9"/>
  <c r="V447" i="9"/>
  <c r="S589" i="9"/>
  <c r="V589" i="9"/>
  <c r="AF1157" i="9"/>
  <c r="AB1157" i="9"/>
  <c r="C165" i="9"/>
  <c r="D166" i="9"/>
  <c r="AF802" i="9"/>
  <c r="AB802" i="9"/>
  <c r="AF589" i="9"/>
  <c r="AB589" i="9"/>
  <c r="K124" i="6"/>
  <c r="L123" i="6"/>
  <c r="M123" i="6" s="1"/>
  <c r="K244" i="6"/>
  <c r="L243" i="6"/>
  <c r="M243" i="6" s="1"/>
  <c r="G208" i="9" l="1"/>
  <c r="G280" i="9" s="1"/>
  <c r="G352" i="9" s="1"/>
  <c r="G424" i="9" s="1"/>
  <c r="G496" i="9" s="1"/>
  <c r="G568" i="9" s="1"/>
  <c r="G640" i="9" s="1"/>
  <c r="G712" i="9" s="1"/>
  <c r="G784" i="9" s="1"/>
  <c r="G856" i="9" s="1"/>
  <c r="G928" i="9" s="1"/>
  <c r="G1000" i="9" s="1"/>
  <c r="G1072" i="9" s="1"/>
  <c r="G1144" i="9" s="1"/>
  <c r="G1216" i="9" s="1"/>
  <c r="G1288" i="9" s="1"/>
  <c r="G137" i="9"/>
  <c r="Z40" i="9"/>
  <c r="AG40" i="9"/>
  <c r="AI40" i="9"/>
  <c r="AD40" i="9"/>
  <c r="W61" i="9"/>
  <c r="U62" i="9" s="1"/>
  <c r="R49" i="9"/>
  <c r="H135" i="9"/>
  <c r="I135" i="9" s="1"/>
  <c r="L1229" i="9"/>
  <c r="L306" i="9"/>
  <c r="L590" i="9"/>
  <c r="L803" i="9"/>
  <c r="L945" i="9"/>
  <c r="L732" i="9"/>
  <c r="L1300" i="9"/>
  <c r="L874" i="9"/>
  <c r="L1158" i="9"/>
  <c r="L661" i="9"/>
  <c r="L448" i="9"/>
  <c r="L377" i="9"/>
  <c r="L1016" i="9"/>
  <c r="L519" i="9"/>
  <c r="L1087" i="9"/>
  <c r="F1159" i="9"/>
  <c r="F733" i="9"/>
  <c r="F1301" i="9"/>
  <c r="F875" i="9"/>
  <c r="F520" i="9"/>
  <c r="F946" i="9"/>
  <c r="F1017" i="9"/>
  <c r="F378" i="9"/>
  <c r="F1088" i="9"/>
  <c r="F662" i="9"/>
  <c r="F449" i="9"/>
  <c r="F804" i="9"/>
  <c r="F1230" i="9"/>
  <c r="F591" i="9"/>
  <c r="J136" i="9"/>
  <c r="AE234" i="9"/>
  <c r="AE235" i="9" s="1"/>
  <c r="AE236" i="9" s="1"/>
  <c r="AE237" i="9" s="1"/>
  <c r="AE238" i="9" s="1"/>
  <c r="AE239" i="9" s="1"/>
  <c r="AE240" i="9" s="1"/>
  <c r="AE241" i="9" s="1"/>
  <c r="AE242" i="9" s="1"/>
  <c r="AE243" i="9" s="1"/>
  <c r="AE244" i="9" s="1"/>
  <c r="AE245" i="9" s="1"/>
  <c r="AE246" i="9" s="1"/>
  <c r="AE247" i="9" s="1"/>
  <c r="AE248" i="9" s="1"/>
  <c r="AE249" i="9" s="1"/>
  <c r="AE250" i="9" s="1"/>
  <c r="AE251" i="9" s="1"/>
  <c r="AE252" i="9" s="1"/>
  <c r="AE253" i="9" s="1"/>
  <c r="AE254" i="9" s="1"/>
  <c r="AE255" i="9" s="1"/>
  <c r="AE256" i="9" s="1"/>
  <c r="AE257" i="9" s="1"/>
  <c r="AE258" i="9" s="1"/>
  <c r="AE259" i="9" s="1"/>
  <c r="AE260" i="9" s="1"/>
  <c r="AE261" i="9" s="1"/>
  <c r="AE262" i="9" s="1"/>
  <c r="AE263" i="9" s="1"/>
  <c r="AE264" i="9" s="1"/>
  <c r="AE265" i="9" s="1"/>
  <c r="AE266" i="9" s="1"/>
  <c r="AE267" i="9" s="1"/>
  <c r="AE268" i="9" s="1"/>
  <c r="AE269" i="9" s="1"/>
  <c r="AE270" i="9" s="1"/>
  <c r="AE271" i="9" s="1"/>
  <c r="AE272" i="9" s="1"/>
  <c r="AE273" i="9" s="1"/>
  <c r="AE274" i="9" s="1"/>
  <c r="AE275" i="9" s="1"/>
  <c r="AE276" i="9" s="1"/>
  <c r="AE277" i="9" s="1"/>
  <c r="AE278" i="9" s="1"/>
  <c r="AE279" i="9" s="1"/>
  <c r="AE280" i="9" s="1"/>
  <c r="AE281" i="9" s="1"/>
  <c r="AE282" i="9" s="1"/>
  <c r="AE283" i="9" s="1"/>
  <c r="AE284" i="9" s="1"/>
  <c r="AE285" i="9" s="1"/>
  <c r="AE286" i="9" s="1"/>
  <c r="AE287" i="9" s="1"/>
  <c r="AE288" i="9" s="1"/>
  <c r="AE289" i="9" s="1"/>
  <c r="AE290" i="9" s="1"/>
  <c r="AE291" i="9" s="1"/>
  <c r="AE292" i="9" s="1"/>
  <c r="AE293" i="9" s="1"/>
  <c r="AE294" i="9" s="1"/>
  <c r="AE295" i="9" s="1"/>
  <c r="AE296" i="9" s="1"/>
  <c r="AE297" i="9" s="1"/>
  <c r="AE298" i="9" s="1"/>
  <c r="AE299" i="9" s="1"/>
  <c r="AE300" i="9" s="1"/>
  <c r="AE301" i="9" s="1"/>
  <c r="AE302" i="9" s="1"/>
  <c r="AE303" i="9" s="1"/>
  <c r="AE304" i="9" s="1"/>
  <c r="AE305" i="9" s="1"/>
  <c r="AF874" i="9"/>
  <c r="AB874" i="9"/>
  <c r="S661" i="9"/>
  <c r="V661" i="9"/>
  <c r="V1087" i="9"/>
  <c r="AB306" i="9"/>
  <c r="AF306" i="9"/>
  <c r="S1016" i="9"/>
  <c r="V1016" i="9"/>
  <c r="AF377" i="9"/>
  <c r="AB377" i="9"/>
  <c r="AB448" i="9"/>
  <c r="AF448" i="9"/>
  <c r="S377" i="9"/>
  <c r="V377" i="9"/>
  <c r="S448" i="9"/>
  <c r="V448" i="9"/>
  <c r="C166" i="9"/>
  <c r="D167" i="9"/>
  <c r="AB1229" i="9"/>
  <c r="AF1229" i="9"/>
  <c r="AF591" i="9"/>
  <c r="AB591" i="9"/>
  <c r="S1158" i="9"/>
  <c r="V1158" i="9"/>
  <c r="S1300" i="9"/>
  <c r="V1300" i="9"/>
  <c r="S874" i="9"/>
  <c r="V874" i="9"/>
  <c r="AF732" i="9"/>
  <c r="AB732" i="9"/>
  <c r="AB662" i="9"/>
  <c r="AF662" i="9"/>
  <c r="AF1015" i="9"/>
  <c r="AB1015" i="9"/>
  <c r="AF1300" i="9"/>
  <c r="AB1300" i="9"/>
  <c r="S519" i="9"/>
  <c r="V519" i="9"/>
  <c r="AF1230" i="9"/>
  <c r="AB1230" i="9"/>
  <c r="S1229" i="9"/>
  <c r="V1229" i="9"/>
  <c r="S945" i="9"/>
  <c r="V945" i="9"/>
  <c r="S803" i="9"/>
  <c r="V803" i="9"/>
  <c r="AF661" i="9"/>
  <c r="AB661" i="9"/>
  <c r="S306" i="9"/>
  <c r="V306" i="9"/>
  <c r="AF803" i="9"/>
  <c r="AB803" i="9"/>
  <c r="AF1016" i="9"/>
  <c r="AB1016" i="9"/>
  <c r="V732" i="9"/>
  <c r="S732" i="9"/>
  <c r="AF945" i="9"/>
  <c r="AB945" i="9"/>
  <c r="S590" i="9"/>
  <c r="V590" i="9"/>
  <c r="L244" i="6"/>
  <c r="M244" i="6" s="1"/>
  <c r="L124" i="6"/>
  <c r="M124" i="6" s="1"/>
  <c r="G209" i="9" l="1"/>
  <c r="G281" i="9" s="1"/>
  <c r="G353" i="9" s="1"/>
  <c r="G425" i="9" s="1"/>
  <c r="G497" i="9" s="1"/>
  <c r="G569" i="9" s="1"/>
  <c r="G641" i="9" s="1"/>
  <c r="G713" i="9" s="1"/>
  <c r="G785" i="9" s="1"/>
  <c r="G857" i="9" s="1"/>
  <c r="G929" i="9" s="1"/>
  <c r="G1001" i="9" s="1"/>
  <c r="G1073" i="9" s="1"/>
  <c r="G1145" i="9" s="1"/>
  <c r="G1217" i="9" s="1"/>
  <c r="G1289" i="9" s="1"/>
  <c r="G138" i="9"/>
  <c r="J163" i="9"/>
  <c r="H163" i="9"/>
  <c r="I163" i="9" s="1"/>
  <c r="Y40" i="9"/>
  <c r="X41" i="9" s="1"/>
  <c r="AH40" i="9"/>
  <c r="AC40" i="9" a="1"/>
  <c r="AC40" i="9" s="1"/>
  <c r="AA41" i="9" s="1"/>
  <c r="T49" i="9"/>
  <c r="R50" i="9" s="1"/>
  <c r="W62" i="9"/>
  <c r="U63" i="9" s="1"/>
  <c r="H136" i="9"/>
  <c r="I136" i="9" s="1"/>
  <c r="L378" i="9"/>
  <c r="L1017" i="9"/>
  <c r="L946" i="9"/>
  <c r="L520" i="9"/>
  <c r="L449" i="9"/>
  <c r="L875" i="9"/>
  <c r="L1301" i="9"/>
  <c r="L662" i="9"/>
  <c r="L591" i="9"/>
  <c r="L733" i="9"/>
  <c r="L1088" i="9"/>
  <c r="L1230" i="9"/>
  <c r="L1159" i="9"/>
  <c r="L804" i="9"/>
  <c r="F876" i="9"/>
  <c r="F1018" i="9"/>
  <c r="F521" i="9"/>
  <c r="F592" i="9"/>
  <c r="F734" i="9"/>
  <c r="F947" i="9"/>
  <c r="F1160" i="9"/>
  <c r="F663" i="9"/>
  <c r="F450" i="9"/>
  <c r="F805" i="9"/>
  <c r="F1302" i="9"/>
  <c r="F1089" i="9"/>
  <c r="F1231" i="9"/>
  <c r="J137" i="9"/>
  <c r="AE306" i="9"/>
  <c r="AE307" i="9" s="1"/>
  <c r="AE308" i="9" s="1"/>
  <c r="AE309" i="9" s="1"/>
  <c r="AE310" i="9" s="1"/>
  <c r="AE311" i="9" s="1"/>
  <c r="AE312" i="9" s="1"/>
  <c r="AE313" i="9" s="1"/>
  <c r="AE314" i="9" s="1"/>
  <c r="AE315" i="9" s="1"/>
  <c r="AE316" i="9" s="1"/>
  <c r="AE317" i="9" s="1"/>
  <c r="AE318" i="9" s="1"/>
  <c r="AE319" i="9" s="1"/>
  <c r="AE320" i="9" s="1"/>
  <c r="AE321" i="9" s="1"/>
  <c r="AE322" i="9" s="1"/>
  <c r="AE323" i="9" s="1"/>
  <c r="AE324" i="9" s="1"/>
  <c r="AE325" i="9" s="1"/>
  <c r="AE326" i="9" s="1"/>
  <c r="AE327" i="9" s="1"/>
  <c r="AE328" i="9" s="1"/>
  <c r="AE329" i="9" s="1"/>
  <c r="AE330" i="9" s="1"/>
  <c r="AE331" i="9" s="1"/>
  <c r="AE332" i="9" s="1"/>
  <c r="AE333" i="9" s="1"/>
  <c r="AE334" i="9" s="1"/>
  <c r="AE335" i="9" s="1"/>
  <c r="AE336" i="9" s="1"/>
  <c r="AE337" i="9" s="1"/>
  <c r="AE338" i="9" s="1"/>
  <c r="AE339" i="9" s="1"/>
  <c r="AE340" i="9" s="1"/>
  <c r="AE341" i="9" s="1"/>
  <c r="AE342" i="9" s="1"/>
  <c r="AE343" i="9" s="1"/>
  <c r="AE344" i="9" s="1"/>
  <c r="AE345" i="9" s="1"/>
  <c r="AE346" i="9" s="1"/>
  <c r="AE347" i="9" s="1"/>
  <c r="AE348" i="9" s="1"/>
  <c r="AE349" i="9" s="1"/>
  <c r="AE350" i="9" s="1"/>
  <c r="AE351" i="9" s="1"/>
  <c r="AE352" i="9" s="1"/>
  <c r="AE353" i="9" s="1"/>
  <c r="AE354" i="9" s="1"/>
  <c r="AE355" i="9" s="1"/>
  <c r="AE356" i="9" s="1"/>
  <c r="AE357" i="9" s="1"/>
  <c r="AE358" i="9" s="1"/>
  <c r="AE359" i="9" s="1"/>
  <c r="AE360" i="9" s="1"/>
  <c r="AE361" i="9" s="1"/>
  <c r="AE362" i="9" s="1"/>
  <c r="AE363" i="9" s="1"/>
  <c r="AE364" i="9" s="1"/>
  <c r="AE365" i="9" s="1"/>
  <c r="AE366" i="9" s="1"/>
  <c r="AE367" i="9" s="1"/>
  <c r="AE368" i="9" s="1"/>
  <c r="AE369" i="9" s="1"/>
  <c r="AE370" i="9" s="1"/>
  <c r="AE371" i="9" s="1"/>
  <c r="AE372" i="9" s="1"/>
  <c r="AE373" i="9" s="1"/>
  <c r="AE374" i="9" s="1"/>
  <c r="AE375" i="9" s="1"/>
  <c r="AE376" i="9" s="1"/>
  <c r="AE377" i="9" s="1"/>
  <c r="AB875" i="9"/>
  <c r="AF875" i="9"/>
  <c r="V875" i="9"/>
  <c r="S875" i="9"/>
  <c r="S591" i="9"/>
  <c r="V591" i="9"/>
  <c r="S1159" i="9"/>
  <c r="AF1087" i="9"/>
  <c r="AB1087" i="9"/>
  <c r="AF663" i="9"/>
  <c r="AB663" i="9"/>
  <c r="D168" i="9"/>
  <c r="C167" i="9"/>
  <c r="S1088" i="9"/>
  <c r="V1088" i="9"/>
  <c r="S1087" i="9"/>
  <c r="AB946" i="9"/>
  <c r="AF946" i="9"/>
  <c r="AF1088" i="9"/>
  <c r="AB1088" i="9"/>
  <c r="S378" i="9"/>
  <c r="V378" i="9"/>
  <c r="AF1302" i="9"/>
  <c r="AB1302" i="9"/>
  <c r="V946" i="9"/>
  <c r="S946" i="9"/>
  <c r="AB520" i="9"/>
  <c r="AF520" i="9"/>
  <c r="AF449" i="9"/>
  <c r="AB449" i="9"/>
  <c r="S733" i="9"/>
  <c r="V733" i="9"/>
  <c r="S662" i="9"/>
  <c r="V662" i="9"/>
  <c r="S804" i="9"/>
  <c r="V804" i="9"/>
  <c r="S1301" i="9"/>
  <c r="V1301" i="9"/>
  <c r="AB734" i="9"/>
  <c r="AF734" i="9"/>
  <c r="AB804" i="9"/>
  <c r="AF804" i="9"/>
  <c r="S1230" i="9"/>
  <c r="V1230" i="9"/>
  <c r="S520" i="9"/>
  <c r="V520" i="9"/>
  <c r="AB378" i="9"/>
  <c r="AF378" i="9"/>
  <c r="V1159" i="9"/>
  <c r="AB1017" i="9"/>
  <c r="AF1017" i="9"/>
  <c r="AF733" i="9"/>
  <c r="AB733" i="9"/>
  <c r="S1017" i="9"/>
  <c r="V1017" i="9"/>
  <c r="AB1301" i="9"/>
  <c r="AF1301" i="9"/>
  <c r="S449" i="9"/>
  <c r="V449" i="9"/>
  <c r="G210" i="9" l="1"/>
  <c r="G282" i="9" s="1"/>
  <c r="G354" i="9" s="1"/>
  <c r="G426" i="9" s="1"/>
  <c r="G498" i="9" s="1"/>
  <c r="G570" i="9" s="1"/>
  <c r="G642" i="9" s="1"/>
  <c r="G714" i="9" s="1"/>
  <c r="G786" i="9" s="1"/>
  <c r="G858" i="9" s="1"/>
  <c r="G930" i="9" s="1"/>
  <c r="G1002" i="9" s="1"/>
  <c r="G1074" i="9" s="1"/>
  <c r="G1146" i="9" s="1"/>
  <c r="G1218" i="9" s="1"/>
  <c r="G1290" i="9" s="1"/>
  <c r="G139" i="9"/>
  <c r="J164" i="9"/>
  <c r="H164" i="9"/>
  <c r="I164" i="9" s="1"/>
  <c r="AD41" i="9"/>
  <c r="Z41" i="9"/>
  <c r="AG41" i="9"/>
  <c r="AI41" i="9"/>
  <c r="T50" i="9"/>
  <c r="W63" i="9"/>
  <c r="U64" i="9" s="1"/>
  <c r="H137" i="9"/>
  <c r="I137" i="9" s="1"/>
  <c r="L876" i="9"/>
  <c r="L450" i="9"/>
  <c r="L663" i="9"/>
  <c r="L805" i="9"/>
  <c r="L1160" i="9"/>
  <c r="L947" i="9"/>
  <c r="L1231" i="9"/>
  <c r="L734" i="9"/>
  <c r="L1302" i="9"/>
  <c r="L592" i="9"/>
  <c r="L521" i="9"/>
  <c r="L1089" i="9"/>
  <c r="L1018" i="9"/>
  <c r="F877" i="9"/>
  <c r="F593" i="9"/>
  <c r="F1161" i="9"/>
  <c r="F1019" i="9"/>
  <c r="F806" i="9"/>
  <c r="F664" i="9"/>
  <c r="F522" i="9"/>
  <c r="F735" i="9"/>
  <c r="F1090" i="9"/>
  <c r="F1232" i="9"/>
  <c r="F948" i="9"/>
  <c r="J138" i="9"/>
  <c r="AE378" i="9"/>
  <c r="AE379" i="9" s="1"/>
  <c r="AE380" i="9" s="1"/>
  <c r="AE381" i="9" s="1"/>
  <c r="AE382" i="9" s="1"/>
  <c r="AE383" i="9" s="1"/>
  <c r="AE384" i="9" s="1"/>
  <c r="AE385" i="9" s="1"/>
  <c r="AE386" i="9" s="1"/>
  <c r="AE387" i="9" s="1"/>
  <c r="AE388" i="9" s="1"/>
  <c r="AE389" i="9" s="1"/>
  <c r="AE390" i="9" s="1"/>
  <c r="AE391" i="9" s="1"/>
  <c r="AE392" i="9" s="1"/>
  <c r="AE393" i="9" s="1"/>
  <c r="AE394" i="9" s="1"/>
  <c r="AE395" i="9" s="1"/>
  <c r="AE396" i="9" s="1"/>
  <c r="AE397" i="9" s="1"/>
  <c r="AE398" i="9" s="1"/>
  <c r="AE399" i="9" s="1"/>
  <c r="AE400" i="9" s="1"/>
  <c r="AE401" i="9" s="1"/>
  <c r="AE402" i="9" s="1"/>
  <c r="AE403" i="9" s="1"/>
  <c r="AE404" i="9" s="1"/>
  <c r="AE405" i="9" s="1"/>
  <c r="AE406" i="9" s="1"/>
  <c r="AE407" i="9" s="1"/>
  <c r="AE408" i="9" s="1"/>
  <c r="AE409" i="9" s="1"/>
  <c r="AE410" i="9" s="1"/>
  <c r="AE411" i="9" s="1"/>
  <c r="AE412" i="9" s="1"/>
  <c r="AE413" i="9" s="1"/>
  <c r="AE414" i="9" s="1"/>
  <c r="AE415" i="9" s="1"/>
  <c r="AE416" i="9" s="1"/>
  <c r="AE417" i="9" s="1"/>
  <c r="AE418" i="9" s="1"/>
  <c r="AE419" i="9" s="1"/>
  <c r="AE420" i="9" s="1"/>
  <c r="AE421" i="9" s="1"/>
  <c r="AE422" i="9" s="1"/>
  <c r="AE423" i="9" s="1"/>
  <c r="AE424" i="9" s="1"/>
  <c r="AE425" i="9" s="1"/>
  <c r="AE426" i="9" s="1"/>
  <c r="AE427" i="9" s="1"/>
  <c r="AE428" i="9" s="1"/>
  <c r="AE429" i="9" s="1"/>
  <c r="AE430" i="9" s="1"/>
  <c r="AE431" i="9" s="1"/>
  <c r="AE432" i="9" s="1"/>
  <c r="AE433" i="9" s="1"/>
  <c r="AE434" i="9" s="1"/>
  <c r="AE435" i="9" s="1"/>
  <c r="AE436" i="9" s="1"/>
  <c r="AE437" i="9" s="1"/>
  <c r="AE438" i="9" s="1"/>
  <c r="AE439" i="9" s="1"/>
  <c r="AE440" i="9" s="1"/>
  <c r="AE441" i="9" s="1"/>
  <c r="AE442" i="9" s="1"/>
  <c r="AE443" i="9" s="1"/>
  <c r="AE444" i="9" s="1"/>
  <c r="AE445" i="9" s="1"/>
  <c r="AE446" i="9" s="1"/>
  <c r="AE447" i="9" s="1"/>
  <c r="AE448" i="9" s="1"/>
  <c r="AE449" i="9" s="1"/>
  <c r="AF805" i="9"/>
  <c r="AB805" i="9"/>
  <c r="AF450" i="9"/>
  <c r="AB450" i="9"/>
  <c r="V592" i="9"/>
  <c r="S592" i="9"/>
  <c r="AF1018" i="9"/>
  <c r="AB1018" i="9"/>
  <c r="S1160" i="9"/>
  <c r="V1160" i="9"/>
  <c r="AB1159" i="9"/>
  <c r="AF1159" i="9"/>
  <c r="S1089" i="9"/>
  <c r="V1089" i="9"/>
  <c r="AF806" i="9"/>
  <c r="AB806" i="9"/>
  <c r="S876" i="9"/>
  <c r="V876" i="9"/>
  <c r="AF592" i="9"/>
  <c r="AB592" i="9"/>
  <c r="AF1160" i="9"/>
  <c r="AB1160" i="9"/>
  <c r="AF735" i="9"/>
  <c r="AB735" i="9"/>
  <c r="S663" i="9"/>
  <c r="V663" i="9"/>
  <c r="AF947" i="9"/>
  <c r="AB947" i="9"/>
  <c r="V1231" i="9"/>
  <c r="AF876" i="9"/>
  <c r="AB876" i="9"/>
  <c r="S734" i="9"/>
  <c r="V734" i="9"/>
  <c r="AB521" i="9"/>
  <c r="AF521" i="9"/>
  <c r="V450" i="9"/>
  <c r="S450" i="9"/>
  <c r="D169" i="9"/>
  <c r="C168" i="9"/>
  <c r="S947" i="9"/>
  <c r="V947" i="9"/>
  <c r="S521" i="9"/>
  <c r="V521" i="9"/>
  <c r="AB1089" i="9"/>
  <c r="AF1089" i="9"/>
  <c r="S1302" i="9"/>
  <c r="V1302" i="9"/>
  <c r="S805" i="9"/>
  <c r="V805" i="9"/>
  <c r="S1018" i="9"/>
  <c r="V1018" i="9"/>
  <c r="G211" i="9" l="1"/>
  <c r="G283" i="9" s="1"/>
  <c r="G355" i="9" s="1"/>
  <c r="G427" i="9" s="1"/>
  <c r="G499" i="9" s="1"/>
  <c r="G571" i="9" s="1"/>
  <c r="G643" i="9" s="1"/>
  <c r="G715" i="9" s="1"/>
  <c r="G787" i="9" s="1"/>
  <c r="G859" i="9" s="1"/>
  <c r="G931" i="9" s="1"/>
  <c r="G1003" i="9" s="1"/>
  <c r="G1075" i="9" s="1"/>
  <c r="G1147" i="9" s="1"/>
  <c r="G1219" i="9" s="1"/>
  <c r="G1291" i="9" s="1"/>
  <c r="G140" i="9"/>
  <c r="J165" i="9"/>
  <c r="H165" i="9"/>
  <c r="I165" i="9" s="1"/>
  <c r="AH41" i="9"/>
  <c r="Y41" i="9"/>
  <c r="X42" i="9" s="1"/>
  <c r="AC41" i="9" a="1"/>
  <c r="AC41" i="9" s="1"/>
  <c r="AA42" i="9" s="1"/>
  <c r="W64" i="9"/>
  <c r="U65" i="9" s="1"/>
  <c r="R51" i="9"/>
  <c r="H138" i="9"/>
  <c r="I138" i="9" s="1"/>
  <c r="L1090" i="9"/>
  <c r="L735" i="9"/>
  <c r="L1232" i="9"/>
  <c r="L522" i="9"/>
  <c r="L877" i="9"/>
  <c r="L1161" i="9"/>
  <c r="L593" i="9"/>
  <c r="L806" i="9"/>
  <c r="L948" i="9"/>
  <c r="L664" i="9"/>
  <c r="L1019" i="9"/>
  <c r="F1162" i="9"/>
  <c r="F807" i="9"/>
  <c r="F736" i="9"/>
  <c r="F1020" i="9"/>
  <c r="F878" i="9"/>
  <c r="F1091" i="9"/>
  <c r="F1233" i="9"/>
  <c r="F665" i="9"/>
  <c r="F594" i="9"/>
  <c r="F949" i="9"/>
  <c r="J139" i="9"/>
  <c r="AE450" i="9"/>
  <c r="AE451" i="9" s="1"/>
  <c r="AE452" i="9" s="1"/>
  <c r="AE453" i="9" s="1"/>
  <c r="AE454" i="9" s="1"/>
  <c r="AE455" i="9" s="1"/>
  <c r="AE456" i="9" s="1"/>
  <c r="AE457" i="9" s="1"/>
  <c r="AE458" i="9" s="1"/>
  <c r="AE459" i="9" s="1"/>
  <c r="AE460" i="9" s="1"/>
  <c r="AE461" i="9" s="1"/>
  <c r="AE462" i="9" s="1"/>
  <c r="AE463" i="9" s="1"/>
  <c r="AE464" i="9" s="1"/>
  <c r="AE465" i="9" s="1"/>
  <c r="AE466" i="9" s="1"/>
  <c r="AE467" i="9" s="1"/>
  <c r="AE468" i="9" s="1"/>
  <c r="AE469" i="9" s="1"/>
  <c r="AE470" i="9" s="1"/>
  <c r="AE471" i="9" s="1"/>
  <c r="AE472" i="9" s="1"/>
  <c r="AE473" i="9" s="1"/>
  <c r="AE474" i="9" s="1"/>
  <c r="AE475" i="9" s="1"/>
  <c r="AE476" i="9" s="1"/>
  <c r="AE477" i="9" s="1"/>
  <c r="AE478" i="9" s="1"/>
  <c r="AE479" i="9" s="1"/>
  <c r="AE480" i="9" s="1"/>
  <c r="AE481" i="9" s="1"/>
  <c r="AE482" i="9" s="1"/>
  <c r="AE483" i="9" s="1"/>
  <c r="AE484" i="9" s="1"/>
  <c r="AE485" i="9" s="1"/>
  <c r="AE486" i="9" s="1"/>
  <c r="AE487" i="9" s="1"/>
  <c r="AE488" i="9" s="1"/>
  <c r="AE489" i="9" s="1"/>
  <c r="AE490" i="9" s="1"/>
  <c r="AE491" i="9" s="1"/>
  <c r="AE492" i="9" s="1"/>
  <c r="AE493" i="9" s="1"/>
  <c r="AE494" i="9" s="1"/>
  <c r="AE495" i="9" s="1"/>
  <c r="AE496" i="9" s="1"/>
  <c r="AE497" i="9" s="1"/>
  <c r="AE498" i="9" s="1"/>
  <c r="AE499" i="9" s="1"/>
  <c r="AE500" i="9" s="1"/>
  <c r="AE501" i="9" s="1"/>
  <c r="AE502" i="9" s="1"/>
  <c r="AE503" i="9" s="1"/>
  <c r="AE504" i="9" s="1"/>
  <c r="AE505" i="9" s="1"/>
  <c r="AE506" i="9" s="1"/>
  <c r="AE507" i="9" s="1"/>
  <c r="AE508" i="9" s="1"/>
  <c r="AE509" i="9" s="1"/>
  <c r="AE510" i="9" s="1"/>
  <c r="AE511" i="9" s="1"/>
  <c r="AE512" i="9" s="1"/>
  <c r="AE513" i="9" s="1"/>
  <c r="AE514" i="9" s="1"/>
  <c r="AE515" i="9" s="1"/>
  <c r="AE516" i="9" s="1"/>
  <c r="AE517" i="9" s="1"/>
  <c r="AE518" i="9" s="1"/>
  <c r="AE519" i="9" s="1"/>
  <c r="AE520" i="9" s="1"/>
  <c r="AE521" i="9" s="1"/>
  <c r="V806" i="9"/>
  <c r="S806" i="9"/>
  <c r="S735" i="9"/>
  <c r="V735" i="9"/>
  <c r="AF1232" i="9"/>
  <c r="AB1232" i="9"/>
  <c r="V1161" i="9"/>
  <c r="S1161" i="9"/>
  <c r="AF1090" i="9"/>
  <c r="AB1090" i="9"/>
  <c r="V877" i="9"/>
  <c r="S877" i="9"/>
  <c r="S593" i="9"/>
  <c r="V593" i="9"/>
  <c r="V1019" i="9"/>
  <c r="S1019" i="9"/>
  <c r="S522" i="9"/>
  <c r="V522" i="9"/>
  <c r="AF593" i="9"/>
  <c r="AB593" i="9"/>
  <c r="AF807" i="9"/>
  <c r="AB807" i="9"/>
  <c r="AF664" i="9"/>
  <c r="AB664" i="9"/>
  <c r="AF878" i="9"/>
  <c r="AB878" i="9"/>
  <c r="S1232" i="9"/>
  <c r="V1232" i="9"/>
  <c r="V664" i="9"/>
  <c r="S664" i="9"/>
  <c r="AF522" i="9"/>
  <c r="AB522" i="9"/>
  <c r="S1090" i="9"/>
  <c r="V1090" i="9"/>
  <c r="AF1161" i="9"/>
  <c r="AB1161" i="9"/>
  <c r="AB948" i="9"/>
  <c r="AF948" i="9"/>
  <c r="V948" i="9"/>
  <c r="S948" i="9"/>
  <c r="AF1231" i="9"/>
  <c r="AB1231" i="9"/>
  <c r="C169" i="9"/>
  <c r="D170" i="9"/>
  <c r="S1231" i="9"/>
  <c r="AF1019" i="9"/>
  <c r="AB1019" i="9"/>
  <c r="AB877" i="9"/>
  <c r="AF877" i="9"/>
  <c r="G141" i="9" l="1"/>
  <c r="G212" i="9"/>
  <c r="G284" i="9" s="1"/>
  <c r="G356" i="9" s="1"/>
  <c r="G428" i="9" s="1"/>
  <c r="G500" i="9" s="1"/>
  <c r="G572" i="9" s="1"/>
  <c r="G644" i="9" s="1"/>
  <c r="G716" i="9" s="1"/>
  <c r="G788" i="9" s="1"/>
  <c r="G860" i="9" s="1"/>
  <c r="G932" i="9" s="1"/>
  <c r="G1004" i="9" s="1"/>
  <c r="G1076" i="9" s="1"/>
  <c r="G1148" i="9" s="1"/>
  <c r="G1220" i="9" s="1"/>
  <c r="G1292" i="9" s="1"/>
  <c r="J166" i="9"/>
  <c r="H166" i="9"/>
  <c r="I166" i="9" s="1"/>
  <c r="AD42" i="9"/>
  <c r="Z42" i="9"/>
  <c r="AG42" i="9"/>
  <c r="AI42" i="9"/>
  <c r="T51" i="9"/>
  <c r="W65" i="9"/>
  <c r="U66" i="9" s="1"/>
  <c r="H139" i="9"/>
  <c r="I139" i="9" s="1"/>
  <c r="L878" i="9"/>
  <c r="L736" i="9"/>
  <c r="L665" i="9"/>
  <c r="L807" i="9"/>
  <c r="L1233" i="9"/>
  <c r="L1020" i="9"/>
  <c r="L1162" i="9"/>
  <c r="L949" i="9"/>
  <c r="L1091" i="9"/>
  <c r="L594" i="9"/>
  <c r="F666" i="9"/>
  <c r="F1163" i="9"/>
  <c r="F879" i="9"/>
  <c r="F950" i="9"/>
  <c r="F1021" i="9"/>
  <c r="F1092" i="9"/>
  <c r="F808" i="9"/>
  <c r="F737" i="9"/>
  <c r="F1234" i="9"/>
  <c r="J140" i="9"/>
  <c r="AE522" i="9"/>
  <c r="AE523" i="9" s="1"/>
  <c r="AE524" i="9" s="1"/>
  <c r="AE525" i="9" s="1"/>
  <c r="AE526" i="9" s="1"/>
  <c r="AE527" i="9" s="1"/>
  <c r="AE528" i="9" s="1"/>
  <c r="AE529" i="9" s="1"/>
  <c r="AE530" i="9" s="1"/>
  <c r="AE531" i="9" s="1"/>
  <c r="AE532" i="9" s="1"/>
  <c r="AE533" i="9" s="1"/>
  <c r="AE534" i="9" s="1"/>
  <c r="AE535" i="9" s="1"/>
  <c r="AE536" i="9" s="1"/>
  <c r="AE537" i="9" s="1"/>
  <c r="AE538" i="9" s="1"/>
  <c r="AE539" i="9" s="1"/>
  <c r="AE540" i="9" s="1"/>
  <c r="AE541" i="9" s="1"/>
  <c r="AE542" i="9" s="1"/>
  <c r="AE543" i="9" s="1"/>
  <c r="AE544" i="9" s="1"/>
  <c r="AE545" i="9" s="1"/>
  <c r="AE546" i="9" s="1"/>
  <c r="AE547" i="9" s="1"/>
  <c r="AE548" i="9" s="1"/>
  <c r="AE549" i="9" s="1"/>
  <c r="AE550" i="9" s="1"/>
  <c r="AE551" i="9" s="1"/>
  <c r="AE552" i="9" s="1"/>
  <c r="AE553" i="9" s="1"/>
  <c r="AE554" i="9" s="1"/>
  <c r="AE555" i="9" s="1"/>
  <c r="AE556" i="9" s="1"/>
  <c r="AE557" i="9" s="1"/>
  <c r="AE558" i="9" s="1"/>
  <c r="AE559" i="9" s="1"/>
  <c r="AE560" i="9" s="1"/>
  <c r="AE561" i="9" s="1"/>
  <c r="AE562" i="9" s="1"/>
  <c r="AE563" i="9" s="1"/>
  <c r="AE564" i="9" s="1"/>
  <c r="AE565" i="9" s="1"/>
  <c r="AE566" i="9" s="1"/>
  <c r="AE567" i="9" s="1"/>
  <c r="AE568" i="9" s="1"/>
  <c r="AE569" i="9" s="1"/>
  <c r="AE570" i="9" s="1"/>
  <c r="AE571" i="9" s="1"/>
  <c r="AE572" i="9" s="1"/>
  <c r="AE573" i="9" s="1"/>
  <c r="AE574" i="9" s="1"/>
  <c r="AE575" i="9" s="1"/>
  <c r="AE576" i="9" s="1"/>
  <c r="AE577" i="9" s="1"/>
  <c r="AE578" i="9" s="1"/>
  <c r="AE579" i="9" s="1"/>
  <c r="AE580" i="9" s="1"/>
  <c r="AE581" i="9" s="1"/>
  <c r="AE582" i="9" s="1"/>
  <c r="AE583" i="9" s="1"/>
  <c r="AE584" i="9" s="1"/>
  <c r="AE585" i="9" s="1"/>
  <c r="AE586" i="9" s="1"/>
  <c r="AE587" i="9" s="1"/>
  <c r="AE588" i="9" s="1"/>
  <c r="AE589" i="9" s="1"/>
  <c r="AE590" i="9" s="1"/>
  <c r="AE591" i="9" s="1"/>
  <c r="AE592" i="9" s="1"/>
  <c r="AE593" i="9" s="1"/>
  <c r="AF665" i="9"/>
  <c r="AB665" i="9"/>
  <c r="V1091" i="9"/>
  <c r="S1091" i="9"/>
  <c r="S1233" i="9"/>
  <c r="V1233" i="9"/>
  <c r="S878" i="9"/>
  <c r="V878" i="9"/>
  <c r="AF1091" i="9"/>
  <c r="AB1091" i="9"/>
  <c r="C170" i="9"/>
  <c r="D171" i="9"/>
  <c r="AB594" i="9"/>
  <c r="AF594" i="9"/>
  <c r="AB950" i="9"/>
  <c r="AF950" i="9"/>
  <c r="S594" i="9"/>
  <c r="V594" i="9"/>
  <c r="AF1162" i="9"/>
  <c r="AB1162" i="9"/>
  <c r="S807" i="9"/>
  <c r="V807" i="9"/>
  <c r="AF1020" i="9"/>
  <c r="AB1020" i="9"/>
  <c r="S1162" i="9"/>
  <c r="V1162" i="9"/>
  <c r="AF736" i="9"/>
  <c r="AB736" i="9"/>
  <c r="S949" i="9"/>
  <c r="V949" i="9"/>
  <c r="AF949" i="9"/>
  <c r="AB949" i="9"/>
  <c r="S1020" i="9"/>
  <c r="V1020" i="9"/>
  <c r="AB1233" i="9"/>
  <c r="AF1233" i="9"/>
  <c r="V736" i="9"/>
  <c r="S736" i="9"/>
  <c r="AB879" i="9"/>
  <c r="AF879" i="9"/>
  <c r="S665" i="9"/>
  <c r="V665" i="9"/>
  <c r="G213" i="9" l="1"/>
  <c r="G285" i="9" s="1"/>
  <c r="G357" i="9" s="1"/>
  <c r="G429" i="9" s="1"/>
  <c r="G501" i="9" s="1"/>
  <c r="G573" i="9" s="1"/>
  <c r="G645" i="9" s="1"/>
  <c r="G717" i="9" s="1"/>
  <c r="G789" i="9" s="1"/>
  <c r="G861" i="9" s="1"/>
  <c r="G933" i="9" s="1"/>
  <c r="G1005" i="9" s="1"/>
  <c r="G1077" i="9" s="1"/>
  <c r="G1149" i="9" s="1"/>
  <c r="G1221" i="9" s="1"/>
  <c r="G1293" i="9" s="1"/>
  <c r="G142" i="9"/>
  <c r="J167" i="9"/>
  <c r="H167" i="9"/>
  <c r="I167" i="9" s="1"/>
  <c r="AH42" i="9"/>
  <c r="AC42" i="9" a="1"/>
  <c r="AC42" i="9" s="1"/>
  <c r="AA43" i="9" s="1"/>
  <c r="Y42" i="9"/>
  <c r="X43" i="9" s="1"/>
  <c r="W66" i="9"/>
  <c r="U67" i="9" s="1"/>
  <c r="R52" i="9"/>
  <c r="H140" i="9"/>
  <c r="I140" i="9" s="1"/>
  <c r="L737" i="9"/>
  <c r="L1092" i="9"/>
  <c r="L1021" i="9"/>
  <c r="L950" i="9"/>
  <c r="L879" i="9"/>
  <c r="L1163" i="9"/>
  <c r="L666" i="9"/>
  <c r="L808" i="9"/>
  <c r="L1234" i="9"/>
  <c r="F809" i="9"/>
  <c r="F1235" i="9"/>
  <c r="F880" i="9"/>
  <c r="F738" i="9"/>
  <c r="F1164" i="9"/>
  <c r="F1022" i="9"/>
  <c r="F1093" i="9"/>
  <c r="F951" i="9"/>
  <c r="J141" i="9"/>
  <c r="AE594" i="9"/>
  <c r="AE595" i="9" s="1"/>
  <c r="AE596" i="9" s="1"/>
  <c r="AE597" i="9" s="1"/>
  <c r="AE598" i="9" s="1"/>
  <c r="AE599" i="9" s="1"/>
  <c r="AE600" i="9" s="1"/>
  <c r="AE601" i="9" s="1"/>
  <c r="AE602" i="9" s="1"/>
  <c r="AE603" i="9" s="1"/>
  <c r="AE604" i="9" s="1"/>
  <c r="AE605" i="9" s="1"/>
  <c r="AE606" i="9" s="1"/>
  <c r="AE607" i="9" s="1"/>
  <c r="AE608" i="9" s="1"/>
  <c r="AE609" i="9" s="1"/>
  <c r="AE610" i="9" s="1"/>
  <c r="AE611" i="9" s="1"/>
  <c r="AE612" i="9" s="1"/>
  <c r="AE613" i="9" s="1"/>
  <c r="AE614" i="9" s="1"/>
  <c r="AE615" i="9" s="1"/>
  <c r="AE616" i="9" s="1"/>
  <c r="AE617" i="9" s="1"/>
  <c r="AE618" i="9" s="1"/>
  <c r="AE619" i="9" s="1"/>
  <c r="AE620" i="9" s="1"/>
  <c r="AE621" i="9" s="1"/>
  <c r="AE622" i="9" s="1"/>
  <c r="AE623" i="9" s="1"/>
  <c r="AE624" i="9" s="1"/>
  <c r="AE625" i="9" s="1"/>
  <c r="AE626" i="9" s="1"/>
  <c r="AE627" i="9" s="1"/>
  <c r="AE628" i="9" s="1"/>
  <c r="AE629" i="9" s="1"/>
  <c r="AE630" i="9" s="1"/>
  <c r="AE631" i="9" s="1"/>
  <c r="AE632" i="9" s="1"/>
  <c r="AE633" i="9" s="1"/>
  <c r="AE634" i="9" s="1"/>
  <c r="AE635" i="9" s="1"/>
  <c r="AE636" i="9" s="1"/>
  <c r="AE637" i="9" s="1"/>
  <c r="AE638" i="9" s="1"/>
  <c r="AE639" i="9" s="1"/>
  <c r="AE640" i="9" s="1"/>
  <c r="AE641" i="9" s="1"/>
  <c r="AE642" i="9" s="1"/>
  <c r="AE643" i="9" s="1"/>
  <c r="AE644" i="9" s="1"/>
  <c r="AE645" i="9" s="1"/>
  <c r="AE646" i="9" s="1"/>
  <c r="AE647" i="9" s="1"/>
  <c r="AE648" i="9" s="1"/>
  <c r="AE649" i="9" s="1"/>
  <c r="AE650" i="9" s="1"/>
  <c r="AE651" i="9" s="1"/>
  <c r="AE652" i="9" s="1"/>
  <c r="AE653" i="9" s="1"/>
  <c r="AE654" i="9" s="1"/>
  <c r="AE655" i="9" s="1"/>
  <c r="AE656" i="9" s="1"/>
  <c r="AE657" i="9" s="1"/>
  <c r="AE658" i="9" s="1"/>
  <c r="AE659" i="9" s="1"/>
  <c r="AE660" i="9" s="1"/>
  <c r="AE661" i="9" s="1"/>
  <c r="AE662" i="9" s="1"/>
  <c r="AE663" i="9" s="1"/>
  <c r="AE664" i="9" s="1"/>
  <c r="AE665" i="9" s="1"/>
  <c r="AB1021" i="9"/>
  <c r="AF1021" i="9"/>
  <c r="S808" i="9"/>
  <c r="V808" i="9"/>
  <c r="S1092" i="9"/>
  <c r="V1092" i="9"/>
  <c r="S1234" i="9"/>
  <c r="V1234" i="9"/>
  <c r="AF1234" i="9"/>
  <c r="AB1234" i="9"/>
  <c r="AB666" i="9"/>
  <c r="AF666" i="9"/>
  <c r="V950" i="9"/>
  <c r="S950" i="9"/>
  <c r="AF951" i="9"/>
  <c r="AB951" i="9"/>
  <c r="AB808" i="9"/>
  <c r="AF808" i="9"/>
  <c r="V879" i="9"/>
  <c r="S879" i="9"/>
  <c r="S666" i="9"/>
  <c r="V666" i="9"/>
  <c r="S1163" i="9"/>
  <c r="V1163" i="9"/>
  <c r="S737" i="9"/>
  <c r="V737" i="9"/>
  <c r="S1021" i="9"/>
  <c r="V1021" i="9"/>
  <c r="AF1092" i="9"/>
  <c r="AB1092" i="9"/>
  <c r="AF1022" i="9"/>
  <c r="AB1022" i="9"/>
  <c r="D172" i="9"/>
  <c r="C171" i="9"/>
  <c r="AB1163" i="9"/>
  <c r="AF1163" i="9"/>
  <c r="AF737" i="9"/>
  <c r="AB737" i="9"/>
  <c r="G214" i="9" l="1"/>
  <c r="G286" i="9" s="1"/>
  <c r="G358" i="9" s="1"/>
  <c r="G430" i="9" s="1"/>
  <c r="G502" i="9" s="1"/>
  <c r="G574" i="9" s="1"/>
  <c r="G646" i="9" s="1"/>
  <c r="G718" i="9" s="1"/>
  <c r="G790" i="9" s="1"/>
  <c r="G862" i="9" s="1"/>
  <c r="G934" i="9" s="1"/>
  <c r="G1006" i="9" s="1"/>
  <c r="G1078" i="9" s="1"/>
  <c r="G1150" i="9" s="1"/>
  <c r="G1222" i="9" s="1"/>
  <c r="G1294" i="9" s="1"/>
  <c r="G143" i="9"/>
  <c r="J168" i="9"/>
  <c r="H168" i="9"/>
  <c r="I168" i="9" s="1"/>
  <c r="Z43" i="9"/>
  <c r="AG43" i="9"/>
  <c r="AI43" i="9"/>
  <c r="AD43" i="9"/>
  <c r="T52" i="9"/>
  <c r="R53" i="9" s="1"/>
  <c r="W67" i="9"/>
  <c r="U68" i="9" s="1"/>
  <c r="H141" i="9"/>
  <c r="I141" i="9" s="1"/>
  <c r="L951" i="9"/>
  <c r="L1093" i="9"/>
  <c r="L1022" i="9"/>
  <c r="L1164" i="9"/>
  <c r="L738" i="9"/>
  <c r="L880" i="9"/>
  <c r="L1235" i="9"/>
  <c r="L809" i="9"/>
  <c r="F1094" i="9"/>
  <c r="F810" i="9"/>
  <c r="F952" i="9"/>
  <c r="F1023" i="9"/>
  <c r="F1236" i="9"/>
  <c r="F1165" i="9"/>
  <c r="F881" i="9"/>
  <c r="J142" i="9"/>
  <c r="AE666" i="9"/>
  <c r="AE667" i="9" s="1"/>
  <c r="AE668" i="9" s="1"/>
  <c r="AE669" i="9" s="1"/>
  <c r="AE670" i="9" s="1"/>
  <c r="AE671" i="9" s="1"/>
  <c r="AE672" i="9" s="1"/>
  <c r="AE673" i="9" s="1"/>
  <c r="AE674" i="9" s="1"/>
  <c r="AE675" i="9" s="1"/>
  <c r="AE676" i="9" s="1"/>
  <c r="AE677" i="9" s="1"/>
  <c r="AE678" i="9" s="1"/>
  <c r="AE679" i="9" s="1"/>
  <c r="AE680" i="9" s="1"/>
  <c r="AE681" i="9" s="1"/>
  <c r="AE682" i="9" s="1"/>
  <c r="AE683" i="9" s="1"/>
  <c r="AE684" i="9" s="1"/>
  <c r="AE685" i="9" s="1"/>
  <c r="AE686" i="9" s="1"/>
  <c r="AE687" i="9" s="1"/>
  <c r="AE688" i="9" s="1"/>
  <c r="AE689" i="9" s="1"/>
  <c r="AE690" i="9" s="1"/>
  <c r="AE691" i="9" s="1"/>
  <c r="AE692" i="9" s="1"/>
  <c r="AE693" i="9" s="1"/>
  <c r="AE694" i="9" s="1"/>
  <c r="AE695" i="9" s="1"/>
  <c r="AE696" i="9" s="1"/>
  <c r="AE697" i="9" s="1"/>
  <c r="AE698" i="9" s="1"/>
  <c r="AE699" i="9" s="1"/>
  <c r="AE700" i="9" s="1"/>
  <c r="AE701" i="9" s="1"/>
  <c r="AE702" i="9" s="1"/>
  <c r="AE703" i="9" s="1"/>
  <c r="AE704" i="9" s="1"/>
  <c r="AE705" i="9" s="1"/>
  <c r="AE706" i="9" s="1"/>
  <c r="AE707" i="9" s="1"/>
  <c r="AE708" i="9" s="1"/>
  <c r="AE709" i="9" s="1"/>
  <c r="AE710" i="9" s="1"/>
  <c r="AE711" i="9" s="1"/>
  <c r="AE712" i="9" s="1"/>
  <c r="AE713" i="9" s="1"/>
  <c r="AE714" i="9" s="1"/>
  <c r="AE715" i="9" s="1"/>
  <c r="AE716" i="9" s="1"/>
  <c r="AE717" i="9" s="1"/>
  <c r="AE718" i="9" s="1"/>
  <c r="AE719" i="9" s="1"/>
  <c r="AE720" i="9" s="1"/>
  <c r="AE721" i="9" s="1"/>
  <c r="AE722" i="9" s="1"/>
  <c r="AE723" i="9" s="1"/>
  <c r="AE724" i="9" s="1"/>
  <c r="AE725" i="9" s="1"/>
  <c r="AE726" i="9" s="1"/>
  <c r="AE727" i="9" s="1"/>
  <c r="AE728" i="9" s="1"/>
  <c r="AE729" i="9" s="1"/>
  <c r="AE730" i="9" s="1"/>
  <c r="AE731" i="9" s="1"/>
  <c r="AE732" i="9" s="1"/>
  <c r="AE733" i="9" s="1"/>
  <c r="AE734" i="9" s="1"/>
  <c r="AE735" i="9" s="1"/>
  <c r="AE736" i="9" s="1"/>
  <c r="AE737" i="9" s="1"/>
  <c r="AF809" i="9"/>
  <c r="AB809" i="9"/>
  <c r="AF1094" i="9"/>
  <c r="AB1094" i="9"/>
  <c r="AF1023" i="9"/>
  <c r="AB1023" i="9"/>
  <c r="S880" i="9"/>
  <c r="V880" i="9"/>
  <c r="D173" i="9"/>
  <c r="C172" i="9"/>
  <c r="V1235" i="9"/>
  <c r="S1235" i="9"/>
  <c r="S738" i="9"/>
  <c r="V738" i="9"/>
  <c r="AF880" i="9"/>
  <c r="AB880" i="9"/>
  <c r="AB738" i="9"/>
  <c r="AF738" i="9"/>
  <c r="S1164" i="9"/>
  <c r="V1164" i="9"/>
  <c r="S809" i="9"/>
  <c r="V809" i="9"/>
  <c r="S951" i="9"/>
  <c r="V951" i="9"/>
  <c r="AF1235" i="9"/>
  <c r="AB1235" i="9"/>
  <c r="AF1164" i="9"/>
  <c r="AB1164" i="9"/>
  <c r="S1093" i="9"/>
  <c r="V1093" i="9"/>
  <c r="S1022" i="9"/>
  <c r="V1022" i="9"/>
  <c r="AB1093" i="9"/>
  <c r="AF1093" i="9"/>
  <c r="G215" i="9" l="1"/>
  <c r="G287" i="9" s="1"/>
  <c r="G359" i="9" s="1"/>
  <c r="G431" i="9" s="1"/>
  <c r="G503" i="9" s="1"/>
  <c r="G575" i="9" s="1"/>
  <c r="G647" i="9" s="1"/>
  <c r="G719" i="9" s="1"/>
  <c r="G791" i="9" s="1"/>
  <c r="G863" i="9" s="1"/>
  <c r="G935" i="9" s="1"/>
  <c r="G1007" i="9" s="1"/>
  <c r="G1079" i="9" s="1"/>
  <c r="G1151" i="9" s="1"/>
  <c r="G1223" i="9" s="1"/>
  <c r="G1295" i="9" s="1"/>
  <c r="G144" i="9"/>
  <c r="J169" i="9"/>
  <c r="H169" i="9"/>
  <c r="I169" i="9" s="1"/>
  <c r="Y43" i="9"/>
  <c r="X44" i="9" s="1"/>
  <c r="AH43" i="9"/>
  <c r="AC43" i="9" a="1"/>
  <c r="AC43" i="9" s="1"/>
  <c r="AA44" i="9" s="1"/>
  <c r="W68" i="9"/>
  <c r="U69" i="9" s="1"/>
  <c r="T53" i="9"/>
  <c r="H142" i="9"/>
  <c r="I142" i="9" s="1"/>
  <c r="L1094" i="9"/>
  <c r="L881" i="9"/>
  <c r="L1165" i="9"/>
  <c r="L1236" i="9"/>
  <c r="L1023" i="9"/>
  <c r="L952" i="9"/>
  <c r="L810" i="9"/>
  <c r="F1237" i="9"/>
  <c r="F1095" i="9"/>
  <c r="F882" i="9"/>
  <c r="F1024" i="9"/>
  <c r="F953" i="9"/>
  <c r="F1166" i="9"/>
  <c r="J143" i="9"/>
  <c r="AE738" i="9"/>
  <c r="AE739" i="9" s="1"/>
  <c r="AE740" i="9" s="1"/>
  <c r="AE741" i="9" s="1"/>
  <c r="AE742" i="9" s="1"/>
  <c r="AE743" i="9" s="1"/>
  <c r="AE744" i="9" s="1"/>
  <c r="AE745" i="9" s="1"/>
  <c r="AE746" i="9" s="1"/>
  <c r="AE747" i="9" s="1"/>
  <c r="AE748" i="9" s="1"/>
  <c r="AE749" i="9" s="1"/>
  <c r="AE750" i="9" s="1"/>
  <c r="AE751" i="9" s="1"/>
  <c r="AE752" i="9" s="1"/>
  <c r="AE753" i="9" s="1"/>
  <c r="AE754" i="9" s="1"/>
  <c r="AE755" i="9" s="1"/>
  <c r="AE756" i="9" s="1"/>
  <c r="AE757" i="9" s="1"/>
  <c r="AE758" i="9" s="1"/>
  <c r="AE759" i="9" s="1"/>
  <c r="AE760" i="9" s="1"/>
  <c r="AE761" i="9" s="1"/>
  <c r="AE762" i="9" s="1"/>
  <c r="AE763" i="9" s="1"/>
  <c r="AE764" i="9" s="1"/>
  <c r="AE765" i="9" s="1"/>
  <c r="AE766" i="9" s="1"/>
  <c r="AE767" i="9" s="1"/>
  <c r="AE768" i="9" s="1"/>
  <c r="AE769" i="9" s="1"/>
  <c r="AE770" i="9" s="1"/>
  <c r="AE771" i="9" s="1"/>
  <c r="AE772" i="9" s="1"/>
  <c r="AE773" i="9" s="1"/>
  <c r="AE774" i="9" s="1"/>
  <c r="AE775" i="9" s="1"/>
  <c r="AE776" i="9" s="1"/>
  <c r="AE777" i="9" s="1"/>
  <c r="AE778" i="9" s="1"/>
  <c r="AE779" i="9" s="1"/>
  <c r="AE780" i="9" s="1"/>
  <c r="AE781" i="9" s="1"/>
  <c r="AE782" i="9" s="1"/>
  <c r="AE783" i="9" s="1"/>
  <c r="AE784" i="9" s="1"/>
  <c r="AE785" i="9" s="1"/>
  <c r="AE786" i="9" s="1"/>
  <c r="AE787" i="9" s="1"/>
  <c r="AE788" i="9" s="1"/>
  <c r="AE789" i="9" s="1"/>
  <c r="AE790" i="9" s="1"/>
  <c r="AE791" i="9" s="1"/>
  <c r="AE792" i="9" s="1"/>
  <c r="AE793" i="9" s="1"/>
  <c r="AE794" i="9" s="1"/>
  <c r="AE795" i="9" s="1"/>
  <c r="AE796" i="9" s="1"/>
  <c r="AE797" i="9" s="1"/>
  <c r="AE798" i="9" s="1"/>
  <c r="AE799" i="9" s="1"/>
  <c r="AE800" i="9" s="1"/>
  <c r="AE801" i="9" s="1"/>
  <c r="AE802" i="9" s="1"/>
  <c r="AE803" i="9" s="1"/>
  <c r="AE804" i="9" s="1"/>
  <c r="AE805" i="9" s="1"/>
  <c r="AE806" i="9" s="1"/>
  <c r="AE807" i="9" s="1"/>
  <c r="AE808" i="9" s="1"/>
  <c r="AE809" i="9" s="1"/>
  <c r="V1165" i="9"/>
  <c r="S1165" i="9"/>
  <c r="V1023" i="9"/>
  <c r="S1023" i="9"/>
  <c r="AB952" i="9"/>
  <c r="AF952" i="9"/>
  <c r="V952" i="9"/>
  <c r="S952" i="9"/>
  <c r="AF1095" i="9"/>
  <c r="AB1095" i="9"/>
  <c r="AB881" i="9"/>
  <c r="AF881" i="9"/>
  <c r="S1094" i="9"/>
  <c r="V1094" i="9"/>
  <c r="AF810" i="9"/>
  <c r="AB810" i="9"/>
  <c r="AF1166" i="9"/>
  <c r="AB1166" i="9"/>
  <c r="AF1165" i="9"/>
  <c r="AB1165" i="9"/>
  <c r="S1236" i="9"/>
  <c r="V1236" i="9"/>
  <c r="AF1236" i="9"/>
  <c r="AB1236" i="9"/>
  <c r="V881" i="9"/>
  <c r="S881" i="9"/>
  <c r="V810" i="9"/>
  <c r="S810" i="9"/>
  <c r="C173" i="9"/>
  <c r="D174" i="9"/>
  <c r="G216" i="9" l="1"/>
  <c r="G288" i="9" s="1"/>
  <c r="G360" i="9" s="1"/>
  <c r="G432" i="9" s="1"/>
  <c r="G504" i="9" s="1"/>
  <c r="G576" i="9" s="1"/>
  <c r="G648" i="9" s="1"/>
  <c r="G720" i="9" s="1"/>
  <c r="G792" i="9" s="1"/>
  <c r="G864" i="9" s="1"/>
  <c r="G936" i="9" s="1"/>
  <c r="G1008" i="9" s="1"/>
  <c r="G1080" i="9" s="1"/>
  <c r="G1152" i="9" s="1"/>
  <c r="G1224" i="9" s="1"/>
  <c r="G1296" i="9" s="1"/>
  <c r="G145" i="9"/>
  <c r="J170" i="9"/>
  <c r="H170" i="9"/>
  <c r="I170" i="9" s="1"/>
  <c r="AD44" i="9"/>
  <c r="Z44" i="9"/>
  <c r="AG44" i="9"/>
  <c r="AI44" i="9"/>
  <c r="R54" i="9"/>
  <c r="W69" i="9"/>
  <c r="U70" i="9" s="1"/>
  <c r="H143" i="9"/>
  <c r="I143" i="9" s="1"/>
  <c r="L1166" i="9"/>
  <c r="L882" i="9"/>
  <c r="L1095" i="9"/>
  <c r="L1237" i="9"/>
  <c r="L953" i="9"/>
  <c r="L1024" i="9"/>
  <c r="F1167" i="9"/>
  <c r="F1025" i="9"/>
  <c r="F1238" i="9"/>
  <c r="F954" i="9"/>
  <c r="F1096" i="9"/>
  <c r="J144" i="9"/>
  <c r="AE810" i="9"/>
  <c r="AE811" i="9" s="1"/>
  <c r="AE812" i="9" s="1"/>
  <c r="AE813" i="9" s="1"/>
  <c r="AE814" i="9" s="1"/>
  <c r="AE815" i="9" s="1"/>
  <c r="AE816" i="9" s="1"/>
  <c r="AE817" i="9" s="1"/>
  <c r="AE818" i="9" s="1"/>
  <c r="AE819" i="9" s="1"/>
  <c r="AE820" i="9" s="1"/>
  <c r="AE821" i="9" s="1"/>
  <c r="AE822" i="9" s="1"/>
  <c r="AE823" i="9" s="1"/>
  <c r="AE824" i="9" s="1"/>
  <c r="AE825" i="9" s="1"/>
  <c r="AE826" i="9" s="1"/>
  <c r="AE827" i="9" s="1"/>
  <c r="AE828" i="9" s="1"/>
  <c r="AE829" i="9" s="1"/>
  <c r="AE830" i="9" s="1"/>
  <c r="AE831" i="9" s="1"/>
  <c r="AE832" i="9" s="1"/>
  <c r="AE833" i="9" s="1"/>
  <c r="AE834" i="9" s="1"/>
  <c r="AE835" i="9" s="1"/>
  <c r="AE836" i="9" s="1"/>
  <c r="AE837" i="9" s="1"/>
  <c r="AE838" i="9" s="1"/>
  <c r="AE839" i="9" s="1"/>
  <c r="AE840" i="9" s="1"/>
  <c r="AE841" i="9" s="1"/>
  <c r="AE842" i="9" s="1"/>
  <c r="AE843" i="9" s="1"/>
  <c r="AE844" i="9" s="1"/>
  <c r="AE845" i="9" s="1"/>
  <c r="AE846" i="9" s="1"/>
  <c r="AE847" i="9" s="1"/>
  <c r="AE848" i="9" s="1"/>
  <c r="AE849" i="9" s="1"/>
  <c r="AE850" i="9" s="1"/>
  <c r="AE851" i="9" s="1"/>
  <c r="AE852" i="9" s="1"/>
  <c r="AE853" i="9" s="1"/>
  <c r="AE854" i="9" s="1"/>
  <c r="AE855" i="9" s="1"/>
  <c r="AE856" i="9" s="1"/>
  <c r="AE857" i="9" s="1"/>
  <c r="AE858" i="9" s="1"/>
  <c r="AE859" i="9" s="1"/>
  <c r="AE860" i="9" s="1"/>
  <c r="AE861" i="9" s="1"/>
  <c r="AE862" i="9" s="1"/>
  <c r="AE863" i="9" s="1"/>
  <c r="AE864" i="9" s="1"/>
  <c r="AE865" i="9" s="1"/>
  <c r="AE866" i="9" s="1"/>
  <c r="AE867" i="9" s="1"/>
  <c r="AE868" i="9" s="1"/>
  <c r="AE869" i="9" s="1"/>
  <c r="AE870" i="9" s="1"/>
  <c r="AE871" i="9" s="1"/>
  <c r="AE872" i="9" s="1"/>
  <c r="AE873" i="9" s="1"/>
  <c r="AE874" i="9" s="1"/>
  <c r="AE875" i="9" s="1"/>
  <c r="AE876" i="9" s="1"/>
  <c r="AE877" i="9" s="1"/>
  <c r="AE878" i="9" s="1"/>
  <c r="AE879" i="9" s="1"/>
  <c r="AE880" i="9" s="1"/>
  <c r="AE881" i="9" s="1"/>
  <c r="C174" i="9"/>
  <c r="D175" i="9"/>
  <c r="S882" i="9"/>
  <c r="V882" i="9"/>
  <c r="AF1238" i="9"/>
  <c r="AB1238" i="9"/>
  <c r="AF953" i="9"/>
  <c r="AB953" i="9"/>
  <c r="AB1237" i="9"/>
  <c r="AF1237" i="9"/>
  <c r="S1166" i="9"/>
  <c r="V1166" i="9"/>
  <c r="S1237" i="9"/>
  <c r="V1237" i="9"/>
  <c r="AF882" i="9"/>
  <c r="AB882" i="9"/>
  <c r="S1024" i="9"/>
  <c r="V1024" i="9"/>
  <c r="V1095" i="9"/>
  <c r="S1095" i="9"/>
  <c r="S953" i="9"/>
  <c r="V953" i="9"/>
  <c r="AB1167" i="9"/>
  <c r="AF1167" i="9"/>
  <c r="AF1024" i="9"/>
  <c r="AB1024" i="9"/>
  <c r="G217" i="9" l="1"/>
  <c r="G289" i="9" s="1"/>
  <c r="G361" i="9" s="1"/>
  <c r="G433" i="9" s="1"/>
  <c r="G505" i="9" s="1"/>
  <c r="G577" i="9" s="1"/>
  <c r="G649" i="9" s="1"/>
  <c r="G721" i="9" s="1"/>
  <c r="G793" i="9" s="1"/>
  <c r="G865" i="9" s="1"/>
  <c r="G937" i="9" s="1"/>
  <c r="G1009" i="9" s="1"/>
  <c r="G1081" i="9" s="1"/>
  <c r="G1153" i="9" s="1"/>
  <c r="G1225" i="9" s="1"/>
  <c r="G1297" i="9" s="1"/>
  <c r="G146" i="9"/>
  <c r="J171" i="9"/>
  <c r="H171" i="9"/>
  <c r="I171" i="9" s="1"/>
  <c r="Y44" i="9"/>
  <c r="X45" i="9" s="1"/>
  <c r="AH44" i="9"/>
  <c r="AC44" i="9" a="1"/>
  <c r="AC44" i="9" s="1"/>
  <c r="AA45" i="9" s="1"/>
  <c r="W70" i="9"/>
  <c r="U71" i="9" s="1"/>
  <c r="T54" i="9"/>
  <c r="H144" i="9"/>
  <c r="I144" i="9" s="1"/>
  <c r="L954" i="9"/>
  <c r="L1167" i="9"/>
  <c r="L1096" i="9"/>
  <c r="L1238" i="9"/>
  <c r="L1025" i="9"/>
  <c r="F1097" i="9"/>
  <c r="F1168" i="9"/>
  <c r="F1026" i="9"/>
  <c r="F1239" i="9"/>
  <c r="J145" i="9"/>
  <c r="AE882" i="9"/>
  <c r="AE883" i="9" s="1"/>
  <c r="AE884" i="9" s="1"/>
  <c r="AE885" i="9" s="1"/>
  <c r="AE886" i="9" s="1"/>
  <c r="AE887" i="9" s="1"/>
  <c r="AE888" i="9" s="1"/>
  <c r="AE889" i="9" s="1"/>
  <c r="AE890" i="9" s="1"/>
  <c r="AE891" i="9" s="1"/>
  <c r="AE892" i="9" s="1"/>
  <c r="AE893" i="9" s="1"/>
  <c r="AE894" i="9" s="1"/>
  <c r="AE895" i="9" s="1"/>
  <c r="AE896" i="9" s="1"/>
  <c r="AE897" i="9" s="1"/>
  <c r="AE898" i="9" s="1"/>
  <c r="AE899" i="9" s="1"/>
  <c r="AE900" i="9" s="1"/>
  <c r="AE901" i="9" s="1"/>
  <c r="AE902" i="9" s="1"/>
  <c r="AE903" i="9" s="1"/>
  <c r="AE904" i="9" s="1"/>
  <c r="AE905" i="9" s="1"/>
  <c r="AE906" i="9" s="1"/>
  <c r="AE907" i="9" s="1"/>
  <c r="AE908" i="9" s="1"/>
  <c r="AE909" i="9" s="1"/>
  <c r="AE910" i="9" s="1"/>
  <c r="AE911" i="9" s="1"/>
  <c r="AE912" i="9" s="1"/>
  <c r="AE913" i="9" s="1"/>
  <c r="AE914" i="9" s="1"/>
  <c r="AE915" i="9" s="1"/>
  <c r="AE916" i="9" s="1"/>
  <c r="AE917" i="9" s="1"/>
  <c r="AE918" i="9" s="1"/>
  <c r="AE919" i="9" s="1"/>
  <c r="AE920" i="9" s="1"/>
  <c r="AE921" i="9" s="1"/>
  <c r="AE922" i="9" s="1"/>
  <c r="AE923" i="9" s="1"/>
  <c r="AE924" i="9" s="1"/>
  <c r="AE925" i="9" s="1"/>
  <c r="AE926" i="9" s="1"/>
  <c r="AE927" i="9" s="1"/>
  <c r="AE928" i="9" s="1"/>
  <c r="AE929" i="9" s="1"/>
  <c r="AE930" i="9" s="1"/>
  <c r="AE931" i="9" s="1"/>
  <c r="AE932" i="9" s="1"/>
  <c r="AE933" i="9" s="1"/>
  <c r="AE934" i="9" s="1"/>
  <c r="AE935" i="9" s="1"/>
  <c r="AE936" i="9" s="1"/>
  <c r="AE937" i="9" s="1"/>
  <c r="AE938" i="9" s="1"/>
  <c r="AE939" i="9" s="1"/>
  <c r="AE940" i="9" s="1"/>
  <c r="AE941" i="9" s="1"/>
  <c r="AE942" i="9" s="1"/>
  <c r="AE943" i="9" s="1"/>
  <c r="AE944" i="9" s="1"/>
  <c r="AE945" i="9" s="1"/>
  <c r="AE946" i="9" s="1"/>
  <c r="AE947" i="9" s="1"/>
  <c r="AE948" i="9" s="1"/>
  <c r="AE949" i="9" s="1"/>
  <c r="AE950" i="9" s="1"/>
  <c r="AE951" i="9" s="1"/>
  <c r="AE952" i="9" s="1"/>
  <c r="AE953" i="9" s="1"/>
  <c r="S1025" i="9"/>
  <c r="V1025" i="9"/>
  <c r="S1238" i="9"/>
  <c r="V1238" i="9"/>
  <c r="AB954" i="9"/>
  <c r="AF954" i="9"/>
  <c r="AB1025" i="9"/>
  <c r="AF1025" i="9"/>
  <c r="AF1239" i="9"/>
  <c r="AB1239" i="9"/>
  <c r="S1096" i="9"/>
  <c r="V1096" i="9"/>
  <c r="V954" i="9"/>
  <c r="S954" i="9"/>
  <c r="AF1096" i="9"/>
  <c r="AB1096" i="9"/>
  <c r="S1167" i="9"/>
  <c r="V1167" i="9"/>
  <c r="D176" i="9"/>
  <c r="C175" i="9"/>
  <c r="G218" i="9" l="1"/>
  <c r="G290" i="9" s="1"/>
  <c r="G362" i="9" s="1"/>
  <c r="G434" i="9" s="1"/>
  <c r="G506" i="9" s="1"/>
  <c r="G578" i="9" s="1"/>
  <c r="G650" i="9" s="1"/>
  <c r="G722" i="9" s="1"/>
  <c r="G794" i="9" s="1"/>
  <c r="G866" i="9" s="1"/>
  <c r="G938" i="9" s="1"/>
  <c r="G1010" i="9" s="1"/>
  <c r="G1082" i="9" s="1"/>
  <c r="G1154" i="9" s="1"/>
  <c r="G1226" i="9" s="1"/>
  <c r="G1298" i="9" s="1"/>
  <c r="G147" i="9"/>
  <c r="J172" i="9"/>
  <c r="H172" i="9"/>
  <c r="I172" i="9" s="1"/>
  <c r="AD45" i="9"/>
  <c r="Z45" i="9"/>
  <c r="AG45" i="9"/>
  <c r="AI45" i="9"/>
  <c r="R55" i="9"/>
  <c r="W71" i="9"/>
  <c r="U72" i="9" s="1"/>
  <c r="H145" i="9"/>
  <c r="I145" i="9" s="1"/>
  <c r="L1239" i="9"/>
  <c r="L1168" i="9"/>
  <c r="L1097" i="9"/>
  <c r="L1026" i="9"/>
  <c r="F1240" i="9"/>
  <c r="F1098" i="9"/>
  <c r="F1169" i="9"/>
  <c r="J146" i="9"/>
  <c r="AE954" i="9"/>
  <c r="AE955" i="9" s="1"/>
  <c r="AE956" i="9" s="1"/>
  <c r="AE957" i="9" s="1"/>
  <c r="AE958" i="9" s="1"/>
  <c r="AE959" i="9" s="1"/>
  <c r="AE960" i="9" s="1"/>
  <c r="AE961" i="9" s="1"/>
  <c r="AE962" i="9" s="1"/>
  <c r="AE963" i="9" s="1"/>
  <c r="AE964" i="9" s="1"/>
  <c r="AE965" i="9" s="1"/>
  <c r="AE966" i="9" s="1"/>
  <c r="AE967" i="9" s="1"/>
  <c r="AE968" i="9" s="1"/>
  <c r="AE969" i="9" s="1"/>
  <c r="AE970" i="9" s="1"/>
  <c r="AE971" i="9" s="1"/>
  <c r="AE972" i="9" s="1"/>
  <c r="AE973" i="9" s="1"/>
  <c r="AE974" i="9" s="1"/>
  <c r="AE975" i="9" s="1"/>
  <c r="AE976" i="9" s="1"/>
  <c r="AE977" i="9" s="1"/>
  <c r="AE978" i="9" s="1"/>
  <c r="AE979" i="9" s="1"/>
  <c r="AE980" i="9" s="1"/>
  <c r="AE981" i="9" s="1"/>
  <c r="AE982" i="9" s="1"/>
  <c r="AE983" i="9" s="1"/>
  <c r="AE984" i="9" s="1"/>
  <c r="AE985" i="9" s="1"/>
  <c r="AE986" i="9" s="1"/>
  <c r="AE987" i="9" s="1"/>
  <c r="AE988" i="9" s="1"/>
  <c r="AE989" i="9" s="1"/>
  <c r="AE990" i="9" s="1"/>
  <c r="AE991" i="9" s="1"/>
  <c r="AE992" i="9" s="1"/>
  <c r="AE993" i="9" s="1"/>
  <c r="AE994" i="9" s="1"/>
  <c r="AE995" i="9" s="1"/>
  <c r="AE996" i="9" s="1"/>
  <c r="AE997" i="9" s="1"/>
  <c r="AE998" i="9" s="1"/>
  <c r="AE999" i="9" s="1"/>
  <c r="AE1000" i="9" s="1"/>
  <c r="AE1001" i="9" s="1"/>
  <c r="AE1002" i="9" s="1"/>
  <c r="AE1003" i="9" s="1"/>
  <c r="AE1004" i="9" s="1"/>
  <c r="AE1005" i="9" s="1"/>
  <c r="AE1006" i="9" s="1"/>
  <c r="AE1007" i="9" s="1"/>
  <c r="AE1008" i="9" s="1"/>
  <c r="AE1009" i="9" s="1"/>
  <c r="AE1010" i="9" s="1"/>
  <c r="AE1011" i="9" s="1"/>
  <c r="AE1012" i="9" s="1"/>
  <c r="AE1013" i="9" s="1"/>
  <c r="AE1014" i="9" s="1"/>
  <c r="AE1015" i="9" s="1"/>
  <c r="AE1016" i="9" s="1"/>
  <c r="AE1017" i="9" s="1"/>
  <c r="AE1018" i="9" s="1"/>
  <c r="AE1019" i="9" s="1"/>
  <c r="AE1020" i="9" s="1"/>
  <c r="AE1021" i="9" s="1"/>
  <c r="AE1022" i="9" s="1"/>
  <c r="AE1023" i="9" s="1"/>
  <c r="AE1024" i="9" s="1"/>
  <c r="AE1025" i="9" s="1"/>
  <c r="D177" i="9"/>
  <c r="C176" i="9"/>
  <c r="S1026" i="9"/>
  <c r="V1026" i="9"/>
  <c r="AB1097" i="9"/>
  <c r="AF1097" i="9"/>
  <c r="AF1168" i="9"/>
  <c r="AB1168" i="9"/>
  <c r="S1097" i="9"/>
  <c r="V1097" i="9"/>
  <c r="V1239" i="9"/>
  <c r="S1239" i="9"/>
  <c r="S1168" i="9"/>
  <c r="V1168" i="9"/>
  <c r="AF1026" i="9"/>
  <c r="AB1026" i="9"/>
  <c r="G219" i="9" l="1"/>
  <c r="G291" i="9" s="1"/>
  <c r="G363" i="9" s="1"/>
  <c r="G435" i="9" s="1"/>
  <c r="G507" i="9" s="1"/>
  <c r="G579" i="9" s="1"/>
  <c r="G651" i="9" s="1"/>
  <c r="G723" i="9" s="1"/>
  <c r="G795" i="9" s="1"/>
  <c r="G867" i="9" s="1"/>
  <c r="G939" i="9" s="1"/>
  <c r="G1011" i="9" s="1"/>
  <c r="G1083" i="9" s="1"/>
  <c r="G1155" i="9" s="1"/>
  <c r="G1227" i="9" s="1"/>
  <c r="G1299" i="9" s="1"/>
  <c r="G148" i="9"/>
  <c r="J173" i="9"/>
  <c r="H173" i="9"/>
  <c r="I173" i="9" s="1"/>
  <c r="AC45" i="9" a="1"/>
  <c r="AC45" i="9" s="1"/>
  <c r="AA46" i="9" s="1"/>
  <c r="AH45" i="9"/>
  <c r="Y45" i="9"/>
  <c r="X46" i="9" s="1"/>
  <c r="W72" i="9"/>
  <c r="U73" i="9" s="1"/>
  <c r="T55" i="9"/>
  <c r="R56" i="9" s="1"/>
  <c r="H146" i="9"/>
  <c r="I146" i="9" s="1"/>
  <c r="L1169" i="9"/>
  <c r="L1098" i="9"/>
  <c r="L1240" i="9"/>
  <c r="F1241" i="9"/>
  <c r="F1170" i="9"/>
  <c r="J147" i="9"/>
  <c r="AE1026" i="9"/>
  <c r="AE1027" i="9" s="1"/>
  <c r="AE1028" i="9" s="1"/>
  <c r="AE1029" i="9" s="1"/>
  <c r="AE1030" i="9" s="1"/>
  <c r="AE1031" i="9" s="1"/>
  <c r="AE1032" i="9" s="1"/>
  <c r="AE1033" i="9" s="1"/>
  <c r="AE1034" i="9" s="1"/>
  <c r="AE1035" i="9" s="1"/>
  <c r="AE1036" i="9" s="1"/>
  <c r="AE1037" i="9" s="1"/>
  <c r="AE1038" i="9" s="1"/>
  <c r="AE1039" i="9" s="1"/>
  <c r="AE1040" i="9" s="1"/>
  <c r="AE1041" i="9" s="1"/>
  <c r="AE1042" i="9" s="1"/>
  <c r="AE1043" i="9" s="1"/>
  <c r="AE1044" i="9" s="1"/>
  <c r="AE1045" i="9" s="1"/>
  <c r="AE1046" i="9" s="1"/>
  <c r="AE1047" i="9" s="1"/>
  <c r="AE1048" i="9" s="1"/>
  <c r="AE1049" i="9" s="1"/>
  <c r="AE1050" i="9" s="1"/>
  <c r="AE1051" i="9" s="1"/>
  <c r="AE1052" i="9" s="1"/>
  <c r="AE1053" i="9" s="1"/>
  <c r="AE1054" i="9" s="1"/>
  <c r="AE1055" i="9" s="1"/>
  <c r="AE1056" i="9" s="1"/>
  <c r="AE1057" i="9" s="1"/>
  <c r="AE1058" i="9" s="1"/>
  <c r="AE1059" i="9" s="1"/>
  <c r="AE1060" i="9" s="1"/>
  <c r="AE1061" i="9" s="1"/>
  <c r="AE1062" i="9" s="1"/>
  <c r="AE1063" i="9" s="1"/>
  <c r="AE1064" i="9" s="1"/>
  <c r="AE1065" i="9" s="1"/>
  <c r="AE1066" i="9" s="1"/>
  <c r="AE1067" i="9" s="1"/>
  <c r="AE1068" i="9" s="1"/>
  <c r="AE1069" i="9" s="1"/>
  <c r="AE1070" i="9" s="1"/>
  <c r="AE1071" i="9" s="1"/>
  <c r="AE1072" i="9" s="1"/>
  <c r="AE1073" i="9" s="1"/>
  <c r="AE1074" i="9" s="1"/>
  <c r="AE1075" i="9" s="1"/>
  <c r="AE1076" i="9" s="1"/>
  <c r="AE1077" i="9" s="1"/>
  <c r="AE1078" i="9" s="1"/>
  <c r="AE1079" i="9" s="1"/>
  <c r="AE1080" i="9" s="1"/>
  <c r="AE1081" i="9" s="1"/>
  <c r="AE1082" i="9" s="1"/>
  <c r="AE1083" i="9" s="1"/>
  <c r="AE1084" i="9" s="1"/>
  <c r="AE1085" i="9" s="1"/>
  <c r="AE1086" i="9" s="1"/>
  <c r="AE1087" i="9" s="1"/>
  <c r="AE1088" i="9" s="1"/>
  <c r="AE1089" i="9" s="1"/>
  <c r="AE1090" i="9" s="1"/>
  <c r="AE1091" i="9" s="1"/>
  <c r="AE1092" i="9" s="1"/>
  <c r="AE1093" i="9" s="1"/>
  <c r="AE1094" i="9" s="1"/>
  <c r="AE1095" i="9" s="1"/>
  <c r="AE1096" i="9" s="1"/>
  <c r="AE1097" i="9" s="1"/>
  <c r="AF1098" i="9"/>
  <c r="AB1098" i="9"/>
  <c r="AF1169" i="9"/>
  <c r="AB1169" i="9"/>
  <c r="AF1240" i="9"/>
  <c r="AB1240" i="9"/>
  <c r="C177" i="9"/>
  <c r="D178" i="9"/>
  <c r="V1169" i="9"/>
  <c r="S1169" i="9"/>
  <c r="S1240" i="9"/>
  <c r="V1240" i="9"/>
  <c r="S1098" i="9"/>
  <c r="V1098" i="9"/>
  <c r="G220" i="9" l="1"/>
  <c r="G292" i="9" s="1"/>
  <c r="G364" i="9" s="1"/>
  <c r="G436" i="9" s="1"/>
  <c r="G508" i="9" s="1"/>
  <c r="G580" i="9" s="1"/>
  <c r="G652" i="9" s="1"/>
  <c r="G724" i="9" s="1"/>
  <c r="G796" i="9" s="1"/>
  <c r="G868" i="9" s="1"/>
  <c r="G940" i="9" s="1"/>
  <c r="G1012" i="9" s="1"/>
  <c r="G1084" i="9" s="1"/>
  <c r="G1156" i="9" s="1"/>
  <c r="G1228" i="9" s="1"/>
  <c r="G1300" i="9" s="1"/>
  <c r="G149" i="9"/>
  <c r="J174" i="9"/>
  <c r="H174" i="9"/>
  <c r="I174" i="9" s="1"/>
  <c r="Z46" i="9"/>
  <c r="AG46" i="9"/>
  <c r="AI46" i="9"/>
  <c r="AD46" i="9"/>
  <c r="T56" i="9"/>
  <c r="W73" i="9"/>
  <c r="U74" i="9" s="1"/>
  <c r="H147" i="9"/>
  <c r="I147" i="9" s="1"/>
  <c r="L1170" i="9"/>
  <c r="L1241" i="9"/>
  <c r="F1242" i="9"/>
  <c r="J148" i="9"/>
  <c r="AE1098" i="9"/>
  <c r="AE1099" i="9" s="1"/>
  <c r="AE1100" i="9" s="1"/>
  <c r="AE1101" i="9" s="1"/>
  <c r="AE1102" i="9" s="1"/>
  <c r="AE1103" i="9" s="1"/>
  <c r="AE1104" i="9" s="1"/>
  <c r="AE1105" i="9" s="1"/>
  <c r="AE1106" i="9" s="1"/>
  <c r="AE1107" i="9" s="1"/>
  <c r="AE1108" i="9" s="1"/>
  <c r="AE1109" i="9" s="1"/>
  <c r="AE1110" i="9" s="1"/>
  <c r="AE1111" i="9" s="1"/>
  <c r="AE1112" i="9" s="1"/>
  <c r="AE1113" i="9" s="1"/>
  <c r="AE1114" i="9" s="1"/>
  <c r="AE1115" i="9" s="1"/>
  <c r="AE1116" i="9" s="1"/>
  <c r="AE1117" i="9" s="1"/>
  <c r="AE1118" i="9" s="1"/>
  <c r="AE1119" i="9" s="1"/>
  <c r="AE1120" i="9" s="1"/>
  <c r="AE1121" i="9" s="1"/>
  <c r="AE1122" i="9" s="1"/>
  <c r="AE1123" i="9" s="1"/>
  <c r="AE1124" i="9" s="1"/>
  <c r="AE1125" i="9" s="1"/>
  <c r="AE1126" i="9" s="1"/>
  <c r="AE1127" i="9" s="1"/>
  <c r="AE1128" i="9" s="1"/>
  <c r="AE1129" i="9" s="1"/>
  <c r="AE1130" i="9" s="1"/>
  <c r="AE1131" i="9" s="1"/>
  <c r="AE1132" i="9" s="1"/>
  <c r="AE1133" i="9" s="1"/>
  <c r="AE1134" i="9" s="1"/>
  <c r="AE1135" i="9" s="1"/>
  <c r="AE1136" i="9" s="1"/>
  <c r="AE1137" i="9" s="1"/>
  <c r="AE1138" i="9" s="1"/>
  <c r="AE1139" i="9" s="1"/>
  <c r="AE1140" i="9" s="1"/>
  <c r="AE1141" i="9" s="1"/>
  <c r="AE1142" i="9" s="1"/>
  <c r="AE1143" i="9" s="1"/>
  <c r="AE1144" i="9" s="1"/>
  <c r="AE1145" i="9" s="1"/>
  <c r="AE1146" i="9" s="1"/>
  <c r="AE1147" i="9" s="1"/>
  <c r="AE1148" i="9" s="1"/>
  <c r="AE1149" i="9" s="1"/>
  <c r="AE1150" i="9" s="1"/>
  <c r="AE1151" i="9" s="1"/>
  <c r="AE1152" i="9" s="1"/>
  <c r="AE1153" i="9" s="1"/>
  <c r="AE1154" i="9" s="1"/>
  <c r="AE1155" i="9" s="1"/>
  <c r="AE1156" i="9" s="1"/>
  <c r="AE1157" i="9" s="1"/>
  <c r="AE1158" i="9" s="1"/>
  <c r="AE1159" i="9" s="1"/>
  <c r="AE1160" i="9" s="1"/>
  <c r="AE1161" i="9" s="1"/>
  <c r="AE1162" i="9" s="1"/>
  <c r="AE1163" i="9" s="1"/>
  <c r="AE1164" i="9" s="1"/>
  <c r="AE1165" i="9" s="1"/>
  <c r="AE1166" i="9" s="1"/>
  <c r="AE1167" i="9" s="1"/>
  <c r="AE1168" i="9" s="1"/>
  <c r="AE1169" i="9" s="1"/>
  <c r="S1241" i="9"/>
  <c r="V1241" i="9"/>
  <c r="AB1241" i="9"/>
  <c r="AF1241" i="9"/>
  <c r="S1170" i="9"/>
  <c r="V1170" i="9"/>
  <c r="C178" i="9"/>
  <c r="D179" i="9"/>
  <c r="AF1170" i="9"/>
  <c r="AB1170" i="9"/>
  <c r="G150" i="9" l="1"/>
  <c r="G221" i="9"/>
  <c r="G293" i="9" s="1"/>
  <c r="G365" i="9" s="1"/>
  <c r="G437" i="9" s="1"/>
  <c r="G509" i="9" s="1"/>
  <c r="G581" i="9" s="1"/>
  <c r="G653" i="9" s="1"/>
  <c r="G725" i="9" s="1"/>
  <c r="G797" i="9" s="1"/>
  <c r="G869" i="9" s="1"/>
  <c r="G941" i="9" s="1"/>
  <c r="G1013" i="9" s="1"/>
  <c r="G1085" i="9" s="1"/>
  <c r="G1157" i="9" s="1"/>
  <c r="G1229" i="9" s="1"/>
  <c r="G1301" i="9" s="1"/>
  <c r="J175" i="9"/>
  <c r="H175" i="9"/>
  <c r="I175" i="9" s="1"/>
  <c r="AC46" i="9" a="1"/>
  <c r="AC46" i="9" s="1"/>
  <c r="AA47" i="9" s="1"/>
  <c r="AH46" i="9"/>
  <c r="Y46" i="9"/>
  <c r="X47" i="9" s="1"/>
  <c r="R57" i="9"/>
  <c r="W74" i="9"/>
  <c r="U75" i="9" s="1"/>
  <c r="H148" i="9"/>
  <c r="I148" i="9" s="1"/>
  <c r="L1242" i="9"/>
  <c r="J149" i="9"/>
  <c r="AE1170" i="9"/>
  <c r="AE1171" i="9" s="1"/>
  <c r="AE1172" i="9" s="1"/>
  <c r="AE1173" i="9" s="1"/>
  <c r="AE1174" i="9" s="1"/>
  <c r="AE1175" i="9" s="1"/>
  <c r="AE1176" i="9" s="1"/>
  <c r="AE1177" i="9" s="1"/>
  <c r="AE1178" i="9" s="1"/>
  <c r="AE1179" i="9" s="1"/>
  <c r="AE1180" i="9" s="1"/>
  <c r="AE1181" i="9" s="1"/>
  <c r="AE1182" i="9" s="1"/>
  <c r="AE1183" i="9" s="1"/>
  <c r="AE1184" i="9" s="1"/>
  <c r="AE1185" i="9" s="1"/>
  <c r="AE1186" i="9" s="1"/>
  <c r="AE1187" i="9" s="1"/>
  <c r="AE1188" i="9" s="1"/>
  <c r="AE1189" i="9" s="1"/>
  <c r="AE1190" i="9" s="1"/>
  <c r="AE1191" i="9" s="1"/>
  <c r="AE1192" i="9" s="1"/>
  <c r="AE1193" i="9" s="1"/>
  <c r="AE1194" i="9" s="1"/>
  <c r="AE1195" i="9" s="1"/>
  <c r="AE1196" i="9" s="1"/>
  <c r="AE1197" i="9" s="1"/>
  <c r="AE1198" i="9" s="1"/>
  <c r="AE1199" i="9" s="1"/>
  <c r="AE1200" i="9" s="1"/>
  <c r="AE1201" i="9" s="1"/>
  <c r="AE1202" i="9" s="1"/>
  <c r="AE1203" i="9" s="1"/>
  <c r="AE1204" i="9" s="1"/>
  <c r="AE1205" i="9" s="1"/>
  <c r="AE1206" i="9" s="1"/>
  <c r="AE1207" i="9" s="1"/>
  <c r="AE1208" i="9" s="1"/>
  <c r="AE1209" i="9" s="1"/>
  <c r="AE1210" i="9" s="1"/>
  <c r="AE1211" i="9" s="1"/>
  <c r="AE1212" i="9" s="1"/>
  <c r="AE1213" i="9" s="1"/>
  <c r="AE1214" i="9" s="1"/>
  <c r="AE1215" i="9" s="1"/>
  <c r="AE1216" i="9" s="1"/>
  <c r="AE1217" i="9" s="1"/>
  <c r="AE1218" i="9" s="1"/>
  <c r="AE1219" i="9" s="1"/>
  <c r="AE1220" i="9" s="1"/>
  <c r="AE1221" i="9" s="1"/>
  <c r="AE1222" i="9" s="1"/>
  <c r="AE1223" i="9" s="1"/>
  <c r="AE1224" i="9" s="1"/>
  <c r="AE1225" i="9" s="1"/>
  <c r="AE1226" i="9" s="1"/>
  <c r="AE1227" i="9" s="1"/>
  <c r="AE1228" i="9" s="1"/>
  <c r="AE1229" i="9" s="1"/>
  <c r="AE1230" i="9" s="1"/>
  <c r="AE1231" i="9" s="1"/>
  <c r="AE1232" i="9" s="1"/>
  <c r="AE1233" i="9" s="1"/>
  <c r="AE1234" i="9" s="1"/>
  <c r="AE1235" i="9" s="1"/>
  <c r="AE1236" i="9" s="1"/>
  <c r="AE1237" i="9" s="1"/>
  <c r="AE1238" i="9" s="1"/>
  <c r="AE1239" i="9" s="1"/>
  <c r="AE1240" i="9" s="1"/>
  <c r="AE1241" i="9" s="1"/>
  <c r="AB1242" i="9"/>
  <c r="AF1242" i="9"/>
  <c r="D180" i="9"/>
  <c r="C179" i="9"/>
  <c r="S1242" i="9"/>
  <c r="V1242" i="9"/>
  <c r="G151" i="9" l="1"/>
  <c r="G222" i="9"/>
  <c r="G294" i="9" s="1"/>
  <c r="G366" i="9" s="1"/>
  <c r="G438" i="9" s="1"/>
  <c r="G510" i="9" s="1"/>
  <c r="G582" i="9" s="1"/>
  <c r="G654" i="9" s="1"/>
  <c r="G726" i="9" s="1"/>
  <c r="G798" i="9" s="1"/>
  <c r="G870" i="9" s="1"/>
  <c r="G942" i="9" s="1"/>
  <c r="G1014" i="9" s="1"/>
  <c r="G1086" i="9" s="1"/>
  <c r="G1158" i="9" s="1"/>
  <c r="G1230" i="9" s="1"/>
  <c r="G1302" i="9" s="1"/>
  <c r="J176" i="9"/>
  <c r="H176" i="9"/>
  <c r="I176" i="9" s="1"/>
  <c r="Z47" i="9"/>
  <c r="AG47" i="9"/>
  <c r="AI47" i="9"/>
  <c r="AD47" i="9"/>
  <c r="W75" i="9"/>
  <c r="U76" i="9" s="1"/>
  <c r="T57" i="9"/>
  <c r="R58" i="9" s="1"/>
  <c r="H149" i="9"/>
  <c r="I149" i="9" s="1"/>
  <c r="J150" i="9"/>
  <c r="AE1242" i="9"/>
  <c r="D181" i="9"/>
  <c r="C180" i="9"/>
  <c r="G152" i="9" l="1"/>
  <c r="G223" i="9"/>
  <c r="G295" i="9" s="1"/>
  <c r="G367" i="9" s="1"/>
  <c r="G439" i="9" s="1"/>
  <c r="G511" i="9" s="1"/>
  <c r="G583" i="9" s="1"/>
  <c r="G655" i="9" s="1"/>
  <c r="G727" i="9" s="1"/>
  <c r="G799" i="9" s="1"/>
  <c r="G871" i="9" s="1"/>
  <c r="G943" i="9" s="1"/>
  <c r="G1015" i="9" s="1"/>
  <c r="G1087" i="9" s="1"/>
  <c r="G1159" i="9" s="1"/>
  <c r="G1231" i="9" s="1"/>
  <c r="J177" i="9"/>
  <c r="H177" i="9"/>
  <c r="I177" i="9" s="1"/>
  <c r="AC47" i="9" a="1"/>
  <c r="AC47" i="9" s="1"/>
  <c r="AA48" i="9" s="1"/>
  <c r="Y47" i="9"/>
  <c r="X48" i="9" s="1"/>
  <c r="AH47" i="9"/>
  <c r="T58" i="9"/>
  <c r="R59" i="9" s="1"/>
  <c r="W76" i="9"/>
  <c r="U77" i="9" s="1"/>
  <c r="H150" i="9"/>
  <c r="I150" i="9" s="1"/>
  <c r="J151" i="9"/>
  <c r="AE1243" i="9"/>
  <c r="AE1244" i="9" s="1"/>
  <c r="AE1245" i="9" s="1"/>
  <c r="AE1246" i="9" s="1"/>
  <c r="AE1247" i="9" s="1"/>
  <c r="AE1248" i="9" s="1"/>
  <c r="AE1249" i="9" s="1"/>
  <c r="AE1250" i="9" s="1"/>
  <c r="AE1251" i="9" s="1"/>
  <c r="AE1252" i="9" s="1"/>
  <c r="AE1253" i="9" s="1"/>
  <c r="AE1254" i="9" s="1"/>
  <c r="AE1255" i="9" s="1"/>
  <c r="AE1256" i="9" s="1"/>
  <c r="AE1257" i="9" s="1"/>
  <c r="AE1258" i="9" s="1"/>
  <c r="AE1259" i="9" s="1"/>
  <c r="AE1260" i="9" s="1"/>
  <c r="AE1261" i="9" s="1"/>
  <c r="AE1262" i="9" s="1"/>
  <c r="AE1263" i="9" s="1"/>
  <c r="AE1264" i="9" s="1"/>
  <c r="AE1265" i="9" s="1"/>
  <c r="AE1266" i="9" s="1"/>
  <c r="AE1267" i="9" s="1"/>
  <c r="AE1268" i="9" s="1"/>
  <c r="AE1269" i="9" s="1"/>
  <c r="AE1270" i="9" s="1"/>
  <c r="AE1271" i="9" s="1"/>
  <c r="AE1272" i="9" s="1"/>
  <c r="AE1273" i="9" s="1"/>
  <c r="AE1274" i="9" s="1"/>
  <c r="AE1275" i="9" s="1"/>
  <c r="AE1276" i="9" s="1"/>
  <c r="AE1277" i="9" s="1"/>
  <c r="AE1278" i="9" s="1"/>
  <c r="AE1279" i="9" s="1"/>
  <c r="AE1280" i="9" s="1"/>
  <c r="AE1281" i="9" s="1"/>
  <c r="AE1282" i="9" s="1"/>
  <c r="AE1283" i="9" s="1"/>
  <c r="AE1284" i="9" s="1"/>
  <c r="AE1285" i="9" s="1"/>
  <c r="AE1286" i="9" s="1"/>
  <c r="AE1287" i="9" s="1"/>
  <c r="AE1288" i="9" s="1"/>
  <c r="AE1289" i="9" s="1"/>
  <c r="AE1290" i="9" s="1"/>
  <c r="AE1291" i="9" s="1"/>
  <c r="AE1292" i="9" s="1"/>
  <c r="AE1293" i="9" s="1"/>
  <c r="AE1294" i="9" s="1"/>
  <c r="AE1295" i="9" s="1"/>
  <c r="AE1296" i="9" s="1"/>
  <c r="AE1297" i="9" s="1"/>
  <c r="AE1298" i="9" s="1"/>
  <c r="AE1299" i="9" s="1"/>
  <c r="AE1300" i="9" s="1"/>
  <c r="AE1301" i="9" s="1"/>
  <c r="AE1302" i="9" s="1"/>
  <c r="AE18" i="9"/>
  <c r="C181" i="9"/>
  <c r="D182" i="9"/>
  <c r="G153" i="9" l="1"/>
  <c r="G224" i="9"/>
  <c r="G296" i="9" s="1"/>
  <c r="G368" i="9" s="1"/>
  <c r="G440" i="9" s="1"/>
  <c r="G512" i="9" s="1"/>
  <c r="G584" i="9" s="1"/>
  <c r="G656" i="9" s="1"/>
  <c r="G728" i="9" s="1"/>
  <c r="G800" i="9" s="1"/>
  <c r="G872" i="9" s="1"/>
  <c r="G944" i="9" s="1"/>
  <c r="G1016" i="9" s="1"/>
  <c r="G1088" i="9" s="1"/>
  <c r="G1160" i="9" s="1"/>
  <c r="G1232" i="9" s="1"/>
  <c r="J178" i="9"/>
  <c r="H178" i="9"/>
  <c r="I178" i="9" s="1"/>
  <c r="Z48" i="9"/>
  <c r="AG48" i="9"/>
  <c r="AI48" i="9"/>
  <c r="AD48" i="9"/>
  <c r="T59" i="9"/>
  <c r="R60" i="9" s="1"/>
  <c r="W77" i="9"/>
  <c r="U78" i="9" s="1"/>
  <c r="H151" i="9"/>
  <c r="I151" i="9" s="1"/>
  <c r="J152" i="9"/>
  <c r="AE15" i="9"/>
  <c r="C182" i="9"/>
  <c r="D183" i="9"/>
  <c r="G225" i="9" l="1"/>
  <c r="G297" i="9" s="1"/>
  <c r="G369" i="9" s="1"/>
  <c r="G441" i="9" s="1"/>
  <c r="G513" i="9" s="1"/>
  <c r="G585" i="9" s="1"/>
  <c r="G657" i="9" s="1"/>
  <c r="G729" i="9" s="1"/>
  <c r="G801" i="9" s="1"/>
  <c r="G873" i="9" s="1"/>
  <c r="G945" i="9" s="1"/>
  <c r="G1017" i="9" s="1"/>
  <c r="G1089" i="9" s="1"/>
  <c r="G1161" i="9" s="1"/>
  <c r="G1233" i="9" s="1"/>
  <c r="G154" i="9"/>
  <c r="J179" i="9"/>
  <c r="H179" i="9"/>
  <c r="I179" i="9" s="1"/>
  <c r="AC48" i="9" a="1"/>
  <c r="AC48" i="9" s="1"/>
  <c r="AA49" i="9" s="1"/>
  <c r="AH48" i="9"/>
  <c r="Y48" i="9"/>
  <c r="X49" i="9" s="1"/>
  <c r="W78" i="9"/>
  <c r="U79" i="9" s="1"/>
  <c r="T60" i="9"/>
  <c r="H152" i="9"/>
  <c r="I152" i="9" s="1"/>
  <c r="J153" i="9"/>
  <c r="D184" i="9"/>
  <c r="C183" i="9"/>
  <c r="G226" i="9" l="1"/>
  <c r="G298" i="9" s="1"/>
  <c r="G370" i="9" s="1"/>
  <c r="G442" i="9" s="1"/>
  <c r="G514" i="9" s="1"/>
  <c r="G586" i="9" s="1"/>
  <c r="G658" i="9" s="1"/>
  <c r="G730" i="9" s="1"/>
  <c r="G802" i="9" s="1"/>
  <c r="G874" i="9" s="1"/>
  <c r="G946" i="9" s="1"/>
  <c r="G1018" i="9" s="1"/>
  <c r="G1090" i="9" s="1"/>
  <c r="G1162" i="9" s="1"/>
  <c r="G1234" i="9" s="1"/>
  <c r="G155" i="9"/>
  <c r="J180" i="9"/>
  <c r="H180" i="9"/>
  <c r="I180" i="9" s="1"/>
  <c r="Z49" i="9"/>
  <c r="AG49" i="9"/>
  <c r="AI49" i="9"/>
  <c r="AD49" i="9"/>
  <c r="R61" i="9"/>
  <c r="W79" i="9"/>
  <c r="U80" i="9" s="1"/>
  <c r="H153" i="9"/>
  <c r="I153" i="9" s="1"/>
  <c r="J154" i="9"/>
  <c r="D185" i="9"/>
  <c r="C184" i="9"/>
  <c r="G227" i="9" l="1"/>
  <c r="G299" i="9" s="1"/>
  <c r="G371" i="9" s="1"/>
  <c r="G443" i="9" s="1"/>
  <c r="G515" i="9" s="1"/>
  <c r="G587" i="9" s="1"/>
  <c r="G659" i="9" s="1"/>
  <c r="G731" i="9" s="1"/>
  <c r="G803" i="9" s="1"/>
  <c r="G875" i="9" s="1"/>
  <c r="G947" i="9" s="1"/>
  <c r="G1019" i="9" s="1"/>
  <c r="G1091" i="9" s="1"/>
  <c r="G1163" i="9" s="1"/>
  <c r="G1235" i="9" s="1"/>
  <c r="G156" i="9"/>
  <c r="J181" i="9"/>
  <c r="H181" i="9"/>
  <c r="I181" i="9" s="1"/>
  <c r="Y49" i="9"/>
  <c r="X50" i="9" s="1"/>
  <c r="AC49" i="9" a="1"/>
  <c r="AC49" i="9" s="1"/>
  <c r="AA50" i="9" s="1"/>
  <c r="AH49" i="9"/>
  <c r="W80" i="9"/>
  <c r="U81" i="9" s="1"/>
  <c r="T61" i="9"/>
  <c r="H154" i="9"/>
  <c r="I154" i="9" s="1"/>
  <c r="J155" i="9"/>
  <c r="C185" i="9"/>
  <c r="D186" i="9"/>
  <c r="G228" i="9" l="1"/>
  <c r="G300" i="9" s="1"/>
  <c r="G372" i="9" s="1"/>
  <c r="G444" i="9" s="1"/>
  <c r="G516" i="9" s="1"/>
  <c r="G588" i="9" s="1"/>
  <c r="G660" i="9" s="1"/>
  <c r="G732" i="9" s="1"/>
  <c r="G804" i="9" s="1"/>
  <c r="G876" i="9" s="1"/>
  <c r="G948" i="9" s="1"/>
  <c r="G1020" i="9" s="1"/>
  <c r="G1092" i="9" s="1"/>
  <c r="G1164" i="9" s="1"/>
  <c r="G1236" i="9" s="1"/>
  <c r="G157" i="9"/>
  <c r="J182" i="9"/>
  <c r="H182" i="9"/>
  <c r="I182" i="9" s="1"/>
  <c r="AD50" i="9"/>
  <c r="Z50" i="9"/>
  <c r="AG50" i="9"/>
  <c r="AI50" i="9"/>
  <c r="R62" i="9"/>
  <c r="W81" i="9"/>
  <c r="U82" i="9" s="1"/>
  <c r="H155" i="9"/>
  <c r="I155" i="9" s="1"/>
  <c r="J156" i="9"/>
  <c r="C186" i="9"/>
  <c r="D187" i="9"/>
  <c r="G229" i="9" l="1"/>
  <c r="G301" i="9" s="1"/>
  <c r="G373" i="9" s="1"/>
  <c r="G445" i="9" s="1"/>
  <c r="G517" i="9" s="1"/>
  <c r="G589" i="9" s="1"/>
  <c r="G661" i="9" s="1"/>
  <c r="G733" i="9" s="1"/>
  <c r="G805" i="9" s="1"/>
  <c r="G877" i="9" s="1"/>
  <c r="G949" i="9" s="1"/>
  <c r="G1021" i="9" s="1"/>
  <c r="G1093" i="9" s="1"/>
  <c r="G1165" i="9" s="1"/>
  <c r="G1237" i="9" s="1"/>
  <c r="G158" i="9"/>
  <c r="J183" i="9"/>
  <c r="H183" i="9"/>
  <c r="I183" i="9" s="1"/>
  <c r="AH50" i="9"/>
  <c r="AC50" i="9" a="1"/>
  <c r="AC50" i="9" s="1"/>
  <c r="AA51" i="9" s="1"/>
  <c r="Y50" i="9"/>
  <c r="X51" i="9" s="1"/>
  <c r="W82" i="9"/>
  <c r="U83" i="9" s="1"/>
  <c r="T62" i="9"/>
  <c r="H156" i="9"/>
  <c r="I156" i="9" s="1"/>
  <c r="J157" i="9"/>
  <c r="D188" i="9"/>
  <c r="C187" i="9"/>
  <c r="G230" i="9" l="1"/>
  <c r="G302" i="9" s="1"/>
  <c r="G374" i="9" s="1"/>
  <c r="G446" i="9" s="1"/>
  <c r="G518" i="9" s="1"/>
  <c r="G590" i="9" s="1"/>
  <c r="G662" i="9" s="1"/>
  <c r="G734" i="9" s="1"/>
  <c r="G806" i="9" s="1"/>
  <c r="G878" i="9" s="1"/>
  <c r="G950" i="9" s="1"/>
  <c r="G1022" i="9" s="1"/>
  <c r="G1094" i="9" s="1"/>
  <c r="G1166" i="9" s="1"/>
  <c r="G1238" i="9" s="1"/>
  <c r="G159" i="9"/>
  <c r="J184" i="9"/>
  <c r="H184" i="9"/>
  <c r="I184" i="9" s="1"/>
  <c r="Z51" i="9"/>
  <c r="AG51" i="9"/>
  <c r="AI51" i="9"/>
  <c r="AD51" i="9"/>
  <c r="R63" i="9"/>
  <c r="W83" i="9"/>
  <c r="U84" i="9" s="1"/>
  <c r="H157" i="9"/>
  <c r="I157" i="9" s="1"/>
  <c r="J158" i="9"/>
  <c r="D189" i="9"/>
  <c r="C188" i="9"/>
  <c r="G231" i="9" l="1"/>
  <c r="G303" i="9" s="1"/>
  <c r="G375" i="9" s="1"/>
  <c r="G447" i="9" s="1"/>
  <c r="G519" i="9" s="1"/>
  <c r="G591" i="9" s="1"/>
  <c r="G663" i="9" s="1"/>
  <c r="G735" i="9" s="1"/>
  <c r="G807" i="9" s="1"/>
  <c r="G879" i="9" s="1"/>
  <c r="G951" i="9" s="1"/>
  <c r="G1023" i="9" s="1"/>
  <c r="G1095" i="9" s="1"/>
  <c r="G1167" i="9" s="1"/>
  <c r="G1239" i="9" s="1"/>
  <c r="G160" i="9"/>
  <c r="J185" i="9"/>
  <c r="H185" i="9"/>
  <c r="I185" i="9" s="1"/>
  <c r="AH51" i="9"/>
  <c r="AC51" i="9" a="1"/>
  <c r="AC51" i="9" s="1"/>
  <c r="AA52" i="9" s="1"/>
  <c r="Y51" i="9"/>
  <c r="X52" i="9" s="1"/>
  <c r="W84" i="9"/>
  <c r="U85" i="9" s="1"/>
  <c r="T63" i="9"/>
  <c r="H158" i="9"/>
  <c r="I158" i="9" s="1"/>
  <c r="J159" i="9"/>
  <c r="C189" i="9"/>
  <c r="D190" i="9"/>
  <c r="G232" i="9" l="1"/>
  <c r="G304" i="9" s="1"/>
  <c r="G376" i="9" s="1"/>
  <c r="G448" i="9" s="1"/>
  <c r="G520" i="9" s="1"/>
  <c r="G592" i="9" s="1"/>
  <c r="G664" i="9" s="1"/>
  <c r="G736" i="9" s="1"/>
  <c r="G808" i="9" s="1"/>
  <c r="G880" i="9" s="1"/>
  <c r="G952" i="9" s="1"/>
  <c r="G1024" i="9" s="1"/>
  <c r="G1096" i="9" s="1"/>
  <c r="G1168" i="9" s="1"/>
  <c r="G1240" i="9" s="1"/>
  <c r="G161" i="9"/>
  <c r="J186" i="9"/>
  <c r="H186" i="9"/>
  <c r="I186" i="9" s="1"/>
  <c r="Z52" i="9"/>
  <c r="AG52" i="9"/>
  <c r="AI52" i="9"/>
  <c r="AD52" i="9"/>
  <c r="R64" i="9"/>
  <c r="W85" i="9"/>
  <c r="U86" i="9" s="1"/>
  <c r="H159" i="9"/>
  <c r="I159" i="9" s="1"/>
  <c r="J160" i="9"/>
  <c r="C190" i="9"/>
  <c r="D191" i="9"/>
  <c r="G233" i="9" l="1"/>
  <c r="G305" i="9" s="1"/>
  <c r="G377" i="9" s="1"/>
  <c r="G449" i="9" s="1"/>
  <c r="G521" i="9" s="1"/>
  <c r="G593" i="9" s="1"/>
  <c r="G665" i="9" s="1"/>
  <c r="G737" i="9" s="1"/>
  <c r="G809" i="9" s="1"/>
  <c r="G881" i="9" s="1"/>
  <c r="G953" i="9" s="1"/>
  <c r="G1025" i="9" s="1"/>
  <c r="G1097" i="9" s="1"/>
  <c r="G1169" i="9" s="1"/>
  <c r="G1241" i="9" s="1"/>
  <c r="G162" i="9"/>
  <c r="G234" i="9" s="1"/>
  <c r="G306" i="9" s="1"/>
  <c r="G378" i="9" s="1"/>
  <c r="G450" i="9" s="1"/>
  <c r="G522" i="9" s="1"/>
  <c r="G594" i="9" s="1"/>
  <c r="G666" i="9" s="1"/>
  <c r="G738" i="9" s="1"/>
  <c r="G810" i="9" s="1"/>
  <c r="G882" i="9" s="1"/>
  <c r="G954" i="9" s="1"/>
  <c r="G1026" i="9" s="1"/>
  <c r="G1098" i="9" s="1"/>
  <c r="G1170" i="9" s="1"/>
  <c r="G1242" i="9" s="1"/>
  <c r="J187" i="9"/>
  <c r="H187" i="9"/>
  <c r="I187" i="9" s="1"/>
  <c r="Y52" i="9"/>
  <c r="X53" i="9" s="1"/>
  <c r="AH52" i="9"/>
  <c r="AC52" i="9" a="1"/>
  <c r="AC52" i="9" s="1"/>
  <c r="AA53" i="9" s="1"/>
  <c r="W86" i="9"/>
  <c r="U87" i="9" s="1"/>
  <c r="T64" i="9"/>
  <c r="H160" i="9"/>
  <c r="I160" i="9" s="1"/>
  <c r="J161" i="9"/>
  <c r="D192" i="9"/>
  <c r="C191" i="9"/>
  <c r="J188" i="9" l="1"/>
  <c r="H188" i="9"/>
  <c r="I188" i="9" s="1"/>
  <c r="AD53" i="9"/>
  <c r="AG53" i="9"/>
  <c r="AI53" i="9"/>
  <c r="Z53" i="9"/>
  <c r="R65" i="9"/>
  <c r="W87" i="9"/>
  <c r="U88" i="9" s="1"/>
  <c r="H161" i="9"/>
  <c r="I161" i="9" s="1"/>
  <c r="J162" i="9"/>
  <c r="D193" i="9"/>
  <c r="C192" i="9"/>
  <c r="J189" i="9" l="1"/>
  <c r="H189" i="9"/>
  <c r="I189" i="9" s="1"/>
  <c r="Y53" i="9"/>
  <c r="X54" i="9" s="1"/>
  <c r="AC53" i="9" a="1"/>
  <c r="AC53" i="9" s="1"/>
  <c r="AA54" i="9" s="1"/>
  <c r="AH53" i="9"/>
  <c r="W88" i="9"/>
  <c r="U89" i="9" s="1"/>
  <c r="T65" i="9"/>
  <c r="H162" i="9"/>
  <c r="I162" i="9" s="1"/>
  <c r="C193" i="9"/>
  <c r="D194" i="9"/>
  <c r="J190" i="9" l="1"/>
  <c r="H190" i="9"/>
  <c r="I190" i="9" s="1"/>
  <c r="AD54" i="9"/>
  <c r="Z54" i="9"/>
  <c r="AG54" i="9"/>
  <c r="AI54" i="9"/>
  <c r="R66" i="9"/>
  <c r="W89" i="9"/>
  <c r="U90" i="9" s="1"/>
  <c r="C194" i="9"/>
  <c r="D195" i="9"/>
  <c r="J191" i="9" l="1"/>
  <c r="H191" i="9"/>
  <c r="I191" i="9" s="1"/>
  <c r="AC54" i="9" a="1"/>
  <c r="AC54" i="9" s="1"/>
  <c r="AA55" i="9" s="1"/>
  <c r="Y54" i="9"/>
  <c r="X55" i="9" s="1"/>
  <c r="AH54" i="9"/>
  <c r="W90" i="9"/>
  <c r="U91" i="9" s="1"/>
  <c r="T66" i="9"/>
  <c r="R67" i="9" s="1"/>
  <c r="D196" i="9"/>
  <c r="C195" i="9"/>
  <c r="J192" i="9" l="1"/>
  <c r="H192" i="9"/>
  <c r="I192" i="9" s="1"/>
  <c r="Z55" i="9"/>
  <c r="AG55" i="9"/>
  <c r="AI55" i="9"/>
  <c r="AD55" i="9"/>
  <c r="T67" i="9"/>
  <c r="R68" i="9" s="1"/>
  <c r="W91" i="9"/>
  <c r="U92" i="9" s="1"/>
  <c r="D197" i="9"/>
  <c r="C196" i="9"/>
  <c r="J193" i="9" l="1"/>
  <c r="H193" i="9"/>
  <c r="I193" i="9" s="1"/>
  <c r="AH55" i="9"/>
  <c r="AC55" i="9" a="1"/>
  <c r="AC55" i="9" s="1"/>
  <c r="AA56" i="9" s="1"/>
  <c r="Y55" i="9"/>
  <c r="X56" i="9" s="1"/>
  <c r="W92" i="9"/>
  <c r="U93" i="9" s="1"/>
  <c r="T68" i="9"/>
  <c r="R69" i="9" s="1"/>
  <c r="C197" i="9"/>
  <c r="D198" i="9"/>
  <c r="J194" i="9" l="1"/>
  <c r="H194" i="9"/>
  <c r="I194" i="9" s="1"/>
  <c r="Z56" i="9"/>
  <c r="AG56" i="9"/>
  <c r="AI56" i="9"/>
  <c r="AD56" i="9"/>
  <c r="T69" i="9"/>
  <c r="R70" i="9" s="1"/>
  <c r="W93" i="9"/>
  <c r="U94" i="9" s="1"/>
  <c r="C198" i="9"/>
  <c r="D199" i="9"/>
  <c r="J195" i="9" l="1"/>
  <c r="H195" i="9"/>
  <c r="I195" i="9" s="1"/>
  <c r="AH56" i="9"/>
  <c r="AC56" i="9" a="1"/>
  <c r="AC56" i="9" s="1"/>
  <c r="AA57" i="9" s="1"/>
  <c r="Y56" i="9"/>
  <c r="X57" i="9" s="1"/>
  <c r="T70" i="9"/>
  <c r="W94" i="9"/>
  <c r="U95" i="9" s="1"/>
  <c r="D200" i="9"/>
  <c r="C199" i="9"/>
  <c r="J196" i="9" l="1"/>
  <c r="H196" i="9"/>
  <c r="I196" i="9" s="1"/>
  <c r="Z57" i="9"/>
  <c r="AG57" i="9"/>
  <c r="AI57" i="9"/>
  <c r="AD57" i="9"/>
  <c r="W95" i="9"/>
  <c r="U96" i="9" s="1"/>
  <c r="R71" i="9"/>
  <c r="D201" i="9"/>
  <c r="C200" i="9"/>
  <c r="J197" i="9" l="1"/>
  <c r="H197" i="9"/>
  <c r="I197" i="9" s="1"/>
  <c r="AC57" i="9" a="1"/>
  <c r="AC57" i="9" s="1"/>
  <c r="AA58" i="9" s="1"/>
  <c r="AH57" i="9"/>
  <c r="Y57" i="9"/>
  <c r="X58" i="9" s="1"/>
  <c r="T71" i="9"/>
  <c r="W96" i="9"/>
  <c r="U97" i="9" s="1"/>
  <c r="C201" i="9"/>
  <c r="D202" i="9"/>
  <c r="J198" i="9" l="1"/>
  <c r="H198" i="9"/>
  <c r="I198" i="9" s="1"/>
  <c r="Z58" i="9"/>
  <c r="AG58" i="9"/>
  <c r="AI58" i="9"/>
  <c r="AD58" i="9"/>
  <c r="W97" i="9"/>
  <c r="U98" i="9" s="1"/>
  <c r="R72" i="9"/>
  <c r="C202" i="9"/>
  <c r="D203" i="9"/>
  <c r="J199" i="9" l="1"/>
  <c r="H199" i="9"/>
  <c r="I199" i="9" s="1"/>
  <c r="AC58" i="9" a="1"/>
  <c r="AC58" i="9" s="1"/>
  <c r="AA59" i="9" s="1"/>
  <c r="Y58" i="9"/>
  <c r="X59" i="9" s="1"/>
  <c r="AH58" i="9"/>
  <c r="W98" i="9"/>
  <c r="U99" i="9" s="1"/>
  <c r="T72" i="9"/>
  <c r="D204" i="9"/>
  <c r="C203" i="9"/>
  <c r="J200" i="9" l="1"/>
  <c r="H200" i="9"/>
  <c r="I200" i="9" s="1"/>
  <c r="Z59" i="9"/>
  <c r="AG59" i="9"/>
  <c r="AI59" i="9"/>
  <c r="AD59" i="9"/>
  <c r="R73" i="9"/>
  <c r="W99" i="9"/>
  <c r="U100" i="9" s="1"/>
  <c r="D205" i="9"/>
  <c r="C204" i="9"/>
  <c r="J201" i="9" l="1"/>
  <c r="H201" i="9"/>
  <c r="I201" i="9" s="1"/>
  <c r="AC59" i="9" a="1"/>
  <c r="AC59" i="9" s="1"/>
  <c r="AA60" i="9" s="1"/>
  <c r="AH59" i="9"/>
  <c r="Y59" i="9"/>
  <c r="X60" i="9" s="1"/>
  <c r="W100" i="9"/>
  <c r="U101" i="9" s="1"/>
  <c r="T73" i="9"/>
  <c r="C205" i="9"/>
  <c r="D206" i="9"/>
  <c r="J202" i="9" l="1"/>
  <c r="H202" i="9"/>
  <c r="I202" i="9" s="1"/>
  <c r="Z60" i="9"/>
  <c r="AG60" i="9"/>
  <c r="AI60" i="9"/>
  <c r="AD60" i="9"/>
  <c r="W101" i="9"/>
  <c r="U102" i="9" s="1"/>
  <c r="R74" i="9"/>
  <c r="C206" i="9"/>
  <c r="D207" i="9"/>
  <c r="J203" i="9" l="1"/>
  <c r="H203" i="9"/>
  <c r="I203" i="9" s="1"/>
  <c r="Y60" i="9"/>
  <c r="X61" i="9" s="1"/>
  <c r="AC60" i="9" a="1"/>
  <c r="AC60" i="9" s="1"/>
  <c r="AA61" i="9" s="1"/>
  <c r="AH60" i="9"/>
  <c r="T74" i="9"/>
  <c r="W102" i="9"/>
  <c r="U103" i="9" s="1"/>
  <c r="D208" i="9"/>
  <c r="C207" i="9"/>
  <c r="J204" i="9" l="1"/>
  <c r="H204" i="9"/>
  <c r="I204" i="9" s="1"/>
  <c r="AD61" i="9"/>
  <c r="Z61" i="9"/>
  <c r="AG61" i="9"/>
  <c r="AI61" i="9"/>
  <c r="W103" i="9"/>
  <c r="U104" i="9" s="1"/>
  <c r="R75" i="9"/>
  <c r="D209" i="9"/>
  <c r="C208" i="9"/>
  <c r="J205" i="9" l="1"/>
  <c r="H205" i="9"/>
  <c r="I205" i="9" s="1"/>
  <c r="AC61" i="9" a="1"/>
  <c r="AC61" i="9" s="1"/>
  <c r="AA62" i="9" s="1"/>
  <c r="Y61" i="9"/>
  <c r="X62" i="9" s="1"/>
  <c r="AH61" i="9"/>
  <c r="W104" i="9"/>
  <c r="U105" i="9" s="1"/>
  <c r="T75" i="9"/>
  <c r="C209" i="9"/>
  <c r="D210" i="9"/>
  <c r="J206" i="9" l="1"/>
  <c r="H206" i="9"/>
  <c r="I206" i="9" s="1"/>
  <c r="Z62" i="9"/>
  <c r="AG62" i="9"/>
  <c r="AI62" i="9"/>
  <c r="AD62" i="9"/>
  <c r="W105" i="9"/>
  <c r="U106" i="9" s="1"/>
  <c r="R76" i="9"/>
  <c r="C210" i="9"/>
  <c r="D211" i="9"/>
  <c r="J207" i="9" l="1"/>
  <c r="H207" i="9"/>
  <c r="I207" i="9" s="1"/>
  <c r="AC62" i="9" a="1"/>
  <c r="AC62" i="9" s="1"/>
  <c r="AA63" i="9" s="1"/>
  <c r="Y62" i="9"/>
  <c r="X63" i="9" s="1"/>
  <c r="AH62" i="9"/>
  <c r="T76" i="9"/>
  <c r="W106" i="9"/>
  <c r="U107" i="9" s="1"/>
  <c r="D212" i="9"/>
  <c r="C211" i="9"/>
  <c r="J208" i="9" l="1"/>
  <c r="H208" i="9"/>
  <c r="I208" i="9" s="1"/>
  <c r="Z63" i="9"/>
  <c r="AG63" i="9"/>
  <c r="AI63" i="9"/>
  <c r="AD63" i="9"/>
  <c r="W107" i="9"/>
  <c r="U108" i="9" s="1"/>
  <c r="R77" i="9"/>
  <c r="D213" i="9"/>
  <c r="C212" i="9"/>
  <c r="J209" i="9" l="1"/>
  <c r="H209" i="9"/>
  <c r="I209" i="9" s="1"/>
  <c r="Y63" i="9"/>
  <c r="X64" i="9" s="1"/>
  <c r="AC63" i="9" a="1"/>
  <c r="AC63" i="9" s="1"/>
  <c r="AA64" i="9" s="1"/>
  <c r="AH63" i="9"/>
  <c r="W108" i="9"/>
  <c r="U109" i="9" s="1"/>
  <c r="T77" i="9"/>
  <c r="C213" i="9"/>
  <c r="D214" i="9"/>
  <c r="J210" i="9" l="1"/>
  <c r="H210" i="9"/>
  <c r="I210" i="9" s="1"/>
  <c r="AD64" i="9"/>
  <c r="Z64" i="9"/>
  <c r="AG64" i="9"/>
  <c r="AI64" i="9"/>
  <c r="R78" i="9"/>
  <c r="W109" i="9"/>
  <c r="U110" i="9" s="1"/>
  <c r="C214" i="9"/>
  <c r="D215" i="9"/>
  <c r="J211" i="9" l="1"/>
  <c r="H211" i="9"/>
  <c r="I211" i="9" s="1"/>
  <c r="Y64" i="9"/>
  <c r="X65" i="9" s="1"/>
  <c r="AH64" i="9"/>
  <c r="AC64" i="9" a="1"/>
  <c r="AC64" i="9" s="1"/>
  <c r="AA65" i="9" s="1"/>
  <c r="T78" i="9"/>
  <c r="W110" i="9"/>
  <c r="U111" i="9" s="1"/>
  <c r="D216" i="9"/>
  <c r="C215" i="9"/>
  <c r="J212" i="9" l="1"/>
  <c r="H212" i="9"/>
  <c r="I212" i="9" s="1"/>
  <c r="AD65" i="9"/>
  <c r="Z65" i="9"/>
  <c r="AI65" i="9"/>
  <c r="AG65" i="9"/>
  <c r="R79" i="9"/>
  <c r="W111" i="9"/>
  <c r="U112" i="9" s="1"/>
  <c r="D217" i="9"/>
  <c r="C216" i="9"/>
  <c r="J213" i="9" l="1"/>
  <c r="H213" i="9"/>
  <c r="I213" i="9" s="1"/>
  <c r="AC65" i="9" a="1"/>
  <c r="AC65" i="9" s="1"/>
  <c r="AA66" i="9" s="1"/>
  <c r="Y65" i="9"/>
  <c r="X66" i="9" s="1"/>
  <c r="AH65" i="9"/>
  <c r="W112" i="9"/>
  <c r="U113" i="9" s="1"/>
  <c r="T79" i="9"/>
  <c r="C217" i="9"/>
  <c r="D218" i="9"/>
  <c r="J214" i="9" l="1"/>
  <c r="H214" i="9"/>
  <c r="I214" i="9" s="1"/>
  <c r="Z66" i="9"/>
  <c r="AG66" i="9"/>
  <c r="AI66" i="9"/>
  <c r="AD66" i="9"/>
  <c r="W113" i="9"/>
  <c r="U114" i="9" s="1"/>
  <c r="R80" i="9"/>
  <c r="C218" i="9"/>
  <c r="D219" i="9"/>
  <c r="J215" i="9" l="1"/>
  <c r="H215" i="9"/>
  <c r="I215" i="9" s="1"/>
  <c r="AH66" i="9"/>
  <c r="Y66" i="9"/>
  <c r="X67" i="9" s="1"/>
  <c r="AC66" i="9" a="1"/>
  <c r="AC66" i="9" s="1"/>
  <c r="AA67" i="9" s="1"/>
  <c r="T80" i="9"/>
  <c r="W114" i="9"/>
  <c r="U115" i="9" s="1"/>
  <c r="D220" i="9"/>
  <c r="C219" i="9"/>
  <c r="J216" i="9" l="1"/>
  <c r="H216" i="9"/>
  <c r="I216" i="9" s="1"/>
  <c r="Z67" i="9"/>
  <c r="AI67" i="9"/>
  <c r="AG67" i="9"/>
  <c r="AD67" i="9"/>
  <c r="W115" i="9"/>
  <c r="U116" i="9" s="1"/>
  <c r="R81" i="9"/>
  <c r="D221" i="9"/>
  <c r="C220" i="9"/>
  <c r="J217" i="9" l="1"/>
  <c r="H217" i="9"/>
  <c r="I217" i="9" s="1"/>
  <c r="AC67" i="9" a="1"/>
  <c r="AC67" i="9" s="1"/>
  <c r="AA68" i="9" s="1"/>
  <c r="Y67" i="9"/>
  <c r="X68" i="9" s="1"/>
  <c r="AH67" i="9"/>
  <c r="W116" i="9"/>
  <c r="U117" i="9" s="1"/>
  <c r="T81" i="9"/>
  <c r="C221" i="9"/>
  <c r="D222" i="9"/>
  <c r="J218" i="9" l="1"/>
  <c r="H218" i="9"/>
  <c r="I218" i="9" s="1"/>
  <c r="Z68" i="9"/>
  <c r="AG68" i="9"/>
  <c r="AI68" i="9"/>
  <c r="AD68" i="9"/>
  <c r="R82" i="9"/>
  <c r="W117" i="9"/>
  <c r="U118" i="9" s="1"/>
  <c r="C222" i="9"/>
  <c r="D223" i="9"/>
  <c r="J219" i="9" l="1"/>
  <c r="H219" i="9"/>
  <c r="I219" i="9" s="1"/>
  <c r="AH68" i="9"/>
  <c r="Y68" i="9"/>
  <c r="X69" i="9" s="1"/>
  <c r="AC68" i="9" a="1"/>
  <c r="AC68" i="9" s="1"/>
  <c r="AA69" i="9" s="1"/>
  <c r="W118" i="9"/>
  <c r="U119" i="9" s="1"/>
  <c r="T82" i="9"/>
  <c r="D224" i="9"/>
  <c r="C223" i="9"/>
  <c r="J220" i="9" l="1"/>
  <c r="H220" i="9"/>
  <c r="I220" i="9" s="1"/>
  <c r="Z69" i="9"/>
  <c r="AG69" i="9"/>
  <c r="AI69" i="9"/>
  <c r="AD69" i="9"/>
  <c r="R83" i="9"/>
  <c r="W119" i="9"/>
  <c r="U120" i="9" s="1"/>
  <c r="D225" i="9"/>
  <c r="C224" i="9"/>
  <c r="J221" i="9" l="1"/>
  <c r="H221" i="9"/>
  <c r="I221" i="9" s="1"/>
  <c r="AH69" i="9"/>
  <c r="AC69" i="9" a="1"/>
  <c r="AC69" i="9" s="1"/>
  <c r="AA70" i="9" s="1"/>
  <c r="Y69" i="9"/>
  <c r="X70" i="9" s="1"/>
  <c r="W120" i="9"/>
  <c r="U121" i="9" s="1"/>
  <c r="T83" i="9"/>
  <c r="R84" i="9" s="1"/>
  <c r="C225" i="9"/>
  <c r="D226" i="9"/>
  <c r="J222" i="9" l="1"/>
  <c r="H222" i="9"/>
  <c r="I222" i="9" s="1"/>
  <c r="AD70" i="9"/>
  <c r="Z70" i="9"/>
  <c r="AG70" i="9"/>
  <c r="AI70" i="9"/>
  <c r="T84" i="9"/>
  <c r="W121" i="9"/>
  <c r="U122" i="9" s="1"/>
  <c r="C226" i="9"/>
  <c r="D227" i="9"/>
  <c r="J223" i="9" l="1"/>
  <c r="H223" i="9"/>
  <c r="I223" i="9" s="1"/>
  <c r="AC70" i="9" a="1"/>
  <c r="AC70" i="9" s="1"/>
  <c r="AA71" i="9" s="1"/>
  <c r="Y70" i="9"/>
  <c r="X71" i="9" s="1"/>
  <c r="AH70" i="9"/>
  <c r="W122" i="9"/>
  <c r="U123" i="9" s="1"/>
  <c r="R85" i="9"/>
  <c r="D228" i="9"/>
  <c r="C227" i="9"/>
  <c r="J224" i="9" l="1"/>
  <c r="H224" i="9"/>
  <c r="I224" i="9" s="1"/>
  <c r="AD71" i="9"/>
  <c r="AG71" i="9"/>
  <c r="AI71" i="9"/>
  <c r="Z71" i="9"/>
  <c r="T85" i="9"/>
  <c r="R86" i="9" s="1"/>
  <c r="W123" i="9"/>
  <c r="U124" i="9" s="1"/>
  <c r="D229" i="9"/>
  <c r="C228" i="9"/>
  <c r="J225" i="9" l="1"/>
  <c r="H225" i="9"/>
  <c r="I225" i="9" s="1"/>
  <c r="Y71" i="9"/>
  <c r="X72" i="9" s="1"/>
  <c r="AH71" i="9"/>
  <c r="AC71" i="9" a="1"/>
  <c r="AC71" i="9" s="1"/>
  <c r="AA72" i="9" s="1"/>
  <c r="T86" i="9"/>
  <c r="W124" i="9"/>
  <c r="U125" i="9" s="1"/>
  <c r="C229" i="9"/>
  <c r="D230" i="9"/>
  <c r="J226" i="9" l="1"/>
  <c r="H226" i="9"/>
  <c r="I226" i="9" s="1"/>
  <c r="AD72" i="9"/>
  <c r="Z72" i="9"/>
  <c r="AI72" i="9"/>
  <c r="AG72" i="9"/>
  <c r="W125" i="9"/>
  <c r="U126" i="9" s="1"/>
  <c r="R87" i="9"/>
  <c r="C230" i="9"/>
  <c r="D231" i="9"/>
  <c r="J227" i="9" l="1"/>
  <c r="H227" i="9"/>
  <c r="I227" i="9" s="1"/>
  <c r="AH72" i="9"/>
  <c r="AC72" i="9" a="1"/>
  <c r="AC72" i="9" s="1"/>
  <c r="AA73" i="9" s="1"/>
  <c r="Y72" i="9"/>
  <c r="X73" i="9" s="1"/>
  <c r="T87" i="9"/>
  <c r="R88" i="9" s="1"/>
  <c r="W126" i="9"/>
  <c r="U127" i="9" s="1"/>
  <c r="D232" i="9"/>
  <c r="C231" i="9"/>
  <c r="J228" i="9" l="1"/>
  <c r="H228" i="9"/>
  <c r="I228" i="9" s="1"/>
  <c r="AD73" i="9"/>
  <c r="Z73" i="9"/>
  <c r="AI73" i="9"/>
  <c r="AG73" i="9"/>
  <c r="W127" i="9"/>
  <c r="U128" i="9" s="1"/>
  <c r="T88" i="9"/>
  <c r="D233" i="9"/>
  <c r="C232" i="9"/>
  <c r="J229" i="9" l="1"/>
  <c r="H229" i="9"/>
  <c r="I229" i="9" s="1"/>
  <c r="AH73" i="9"/>
  <c r="Y73" i="9"/>
  <c r="X74" i="9" s="1"/>
  <c r="AC73" i="9" a="1"/>
  <c r="AC73" i="9" s="1"/>
  <c r="AA74" i="9" s="1"/>
  <c r="W128" i="9"/>
  <c r="U129" i="9" s="1"/>
  <c r="R89" i="9"/>
  <c r="C233" i="9"/>
  <c r="D234" i="9"/>
  <c r="J230" i="9" l="1"/>
  <c r="H230" i="9"/>
  <c r="I230" i="9" s="1"/>
  <c r="AD74" i="9"/>
  <c r="Z74" i="9"/>
  <c r="AG74" i="9"/>
  <c r="AI74" i="9"/>
  <c r="W129" i="9"/>
  <c r="U130" i="9" s="1"/>
  <c r="T89" i="9"/>
  <c r="C234" i="9"/>
  <c r="D235" i="9"/>
  <c r="J231" i="9" l="1"/>
  <c r="H231" i="9"/>
  <c r="I231" i="9" s="1"/>
  <c r="Y74" i="9"/>
  <c r="X75" i="9" s="1"/>
  <c r="AH74" i="9"/>
  <c r="AC74" i="9" a="1"/>
  <c r="AC74" i="9" s="1"/>
  <c r="AA75" i="9" s="1"/>
  <c r="W130" i="9"/>
  <c r="U131" i="9" s="1"/>
  <c r="R90" i="9"/>
  <c r="D236" i="9"/>
  <c r="C235" i="9"/>
  <c r="J232" i="9" l="1"/>
  <c r="H232" i="9"/>
  <c r="I232" i="9" s="1"/>
  <c r="AD75" i="9"/>
  <c r="Z75" i="9"/>
  <c r="AI75" i="9"/>
  <c r="AG75" i="9"/>
  <c r="W131" i="9"/>
  <c r="U132" i="9" s="1"/>
  <c r="T90" i="9"/>
  <c r="D237" i="9"/>
  <c r="C236" i="9"/>
  <c r="J233" i="9" l="1"/>
  <c r="H233" i="9"/>
  <c r="I233" i="9" s="1"/>
  <c r="AC75" i="9" a="1"/>
  <c r="AC75" i="9" s="1"/>
  <c r="AA76" i="9" s="1"/>
  <c r="Y75" i="9"/>
  <c r="X76" i="9" s="1"/>
  <c r="AH75" i="9"/>
  <c r="R91" i="9"/>
  <c r="W132" i="9"/>
  <c r="U133" i="9" s="1"/>
  <c r="D238" i="9"/>
  <c r="C237" i="9"/>
  <c r="J234" i="9" l="1"/>
  <c r="H234" i="9"/>
  <c r="I234" i="9" s="1"/>
  <c r="AD76" i="9"/>
  <c r="AG76" i="9"/>
  <c r="AI76" i="9"/>
  <c r="Z76" i="9"/>
  <c r="W133" i="9"/>
  <c r="U134" i="9" s="1"/>
  <c r="T91" i="9"/>
  <c r="C238" i="9"/>
  <c r="D239" i="9"/>
  <c r="J235" i="9" l="1"/>
  <c r="H235" i="9"/>
  <c r="I235" i="9" s="1"/>
  <c r="Y76" i="9"/>
  <c r="X77" i="9" s="1"/>
  <c r="AC76" i="9" a="1"/>
  <c r="AC76" i="9" s="1"/>
  <c r="AA77" i="9" s="1"/>
  <c r="AH76" i="9"/>
  <c r="W134" i="9"/>
  <c r="U135" i="9" s="1"/>
  <c r="R92" i="9"/>
  <c r="C239" i="9"/>
  <c r="D240" i="9"/>
  <c r="J236" i="9" l="1"/>
  <c r="H236" i="9"/>
  <c r="I236" i="9" s="1"/>
  <c r="AD77" i="9"/>
  <c r="AI77" i="9"/>
  <c r="AG77" i="9"/>
  <c r="Z77" i="9"/>
  <c r="W135" i="9"/>
  <c r="U136" i="9" s="1"/>
  <c r="T92" i="9"/>
  <c r="D241" i="9"/>
  <c r="C240" i="9"/>
  <c r="J237" i="9" l="1"/>
  <c r="H237" i="9"/>
  <c r="I237" i="9" s="1"/>
  <c r="AH77" i="9"/>
  <c r="AC77" i="9" a="1"/>
  <c r="AC77" i="9" s="1"/>
  <c r="AA78" i="9" s="1"/>
  <c r="Y77" i="9"/>
  <c r="X78" i="9" s="1"/>
  <c r="R93" i="9"/>
  <c r="W136" i="9"/>
  <c r="U137" i="9" s="1"/>
  <c r="D242" i="9"/>
  <c r="C241" i="9"/>
  <c r="J238" i="9" l="1"/>
  <c r="H238" i="9"/>
  <c r="I238" i="9" s="1"/>
  <c r="AD78" i="9"/>
  <c r="AI78" i="9"/>
  <c r="AG78" i="9"/>
  <c r="Z78" i="9"/>
  <c r="W137" i="9"/>
  <c r="U138" i="9" s="1"/>
  <c r="T93" i="9"/>
  <c r="C242" i="9"/>
  <c r="D243" i="9"/>
  <c r="J239" i="9" l="1"/>
  <c r="H239" i="9"/>
  <c r="I239" i="9" s="1"/>
  <c r="AC78" i="9" a="1"/>
  <c r="AC78" i="9" s="1"/>
  <c r="AA79" i="9" s="1"/>
  <c r="AH78" i="9"/>
  <c r="Y78" i="9"/>
  <c r="X79" i="9" s="1"/>
  <c r="R94" i="9"/>
  <c r="W138" i="9"/>
  <c r="U139" i="9" s="1"/>
  <c r="C243" i="9"/>
  <c r="D244" i="9"/>
  <c r="J240" i="9" l="1"/>
  <c r="H240" i="9"/>
  <c r="I240" i="9" s="1"/>
  <c r="Z79" i="9"/>
  <c r="AI79" i="9"/>
  <c r="AG79" i="9"/>
  <c r="AD79" i="9"/>
  <c r="W139" i="9"/>
  <c r="U140" i="9" s="1"/>
  <c r="T94" i="9"/>
  <c r="R95" i="9" s="1"/>
  <c r="D245" i="9"/>
  <c r="C244" i="9"/>
  <c r="J241" i="9" l="1"/>
  <c r="H241" i="9"/>
  <c r="I241" i="9" s="1"/>
  <c r="AC79" i="9" a="1"/>
  <c r="AC79" i="9" s="1"/>
  <c r="AA80" i="9" s="1"/>
  <c r="AH79" i="9"/>
  <c r="Y79" i="9"/>
  <c r="X80" i="9" s="1"/>
  <c r="T95" i="9"/>
  <c r="W140" i="9"/>
  <c r="U141" i="9" s="1"/>
  <c r="D246" i="9"/>
  <c r="C245" i="9"/>
  <c r="J242" i="9" l="1"/>
  <c r="H242" i="9"/>
  <c r="I242" i="9" s="1"/>
  <c r="AD80" i="9"/>
  <c r="AG80" i="9"/>
  <c r="AI80" i="9"/>
  <c r="Z80" i="9"/>
  <c r="W141" i="9"/>
  <c r="U142" i="9" s="1"/>
  <c r="R96" i="9"/>
  <c r="C246" i="9"/>
  <c r="D247" i="9"/>
  <c r="J243" i="9" l="1"/>
  <c r="H243" i="9"/>
  <c r="I243" i="9" s="1"/>
  <c r="AH80" i="9"/>
  <c r="AC80" i="9" a="1"/>
  <c r="AC80" i="9" s="1"/>
  <c r="AA81" i="9" s="1"/>
  <c r="Y80" i="9"/>
  <c r="X81" i="9" s="1"/>
  <c r="T96" i="9"/>
  <c r="W142" i="9"/>
  <c r="U143" i="9" s="1"/>
  <c r="C247" i="9"/>
  <c r="D248" i="9"/>
  <c r="J244" i="9" l="1"/>
  <c r="H244" i="9"/>
  <c r="I244" i="9" s="1"/>
  <c r="AD81" i="9"/>
  <c r="AG81" i="9"/>
  <c r="AI81" i="9"/>
  <c r="Z81" i="9"/>
  <c r="R97" i="9"/>
  <c r="W143" i="9"/>
  <c r="U144" i="9" s="1"/>
  <c r="D249" i="9"/>
  <c r="C248" i="9"/>
  <c r="J245" i="9" l="1"/>
  <c r="H245" i="9"/>
  <c r="I245" i="9" s="1"/>
  <c r="AC81" i="9" a="1"/>
  <c r="AC81" i="9" s="1"/>
  <c r="AA82" i="9" s="1"/>
  <c r="Y81" i="9"/>
  <c r="X82" i="9" s="1"/>
  <c r="AH81" i="9"/>
  <c r="W144" i="9"/>
  <c r="U145" i="9" s="1"/>
  <c r="T97" i="9"/>
  <c r="D250" i="9"/>
  <c r="C249" i="9"/>
  <c r="J246" i="9" l="1"/>
  <c r="H246" i="9"/>
  <c r="I246" i="9" s="1"/>
  <c r="AG82" i="9"/>
  <c r="AI82" i="9"/>
  <c r="Z82" i="9"/>
  <c r="AD82" i="9"/>
  <c r="R98" i="9"/>
  <c r="W145" i="9"/>
  <c r="U146" i="9" s="1"/>
  <c r="C250" i="9"/>
  <c r="D251" i="9"/>
  <c r="J247" i="9" l="1"/>
  <c r="H247" i="9"/>
  <c r="I247" i="9" s="1"/>
  <c r="AC82" i="9" a="1"/>
  <c r="AC82" i="9" s="1"/>
  <c r="AA83" i="9" s="1"/>
  <c r="AH82" i="9"/>
  <c r="Y82" i="9"/>
  <c r="X83" i="9" s="1"/>
  <c r="W146" i="9"/>
  <c r="U147" i="9" s="1"/>
  <c r="T98" i="9"/>
  <c r="R99" i="9" s="1"/>
  <c r="C251" i="9"/>
  <c r="D252" i="9"/>
  <c r="J248" i="9" l="1"/>
  <c r="H248" i="9"/>
  <c r="I248" i="9" s="1"/>
  <c r="AI83" i="9"/>
  <c r="AG83" i="9"/>
  <c r="Z83" i="9"/>
  <c r="AD83" i="9"/>
  <c r="W147" i="9"/>
  <c r="U148" i="9" s="1"/>
  <c r="T99" i="9"/>
  <c r="D253" i="9"/>
  <c r="C252" i="9"/>
  <c r="J249" i="9" l="1"/>
  <c r="H249" i="9"/>
  <c r="I249" i="9" s="1"/>
  <c r="AC83" i="9" a="1"/>
  <c r="AC83" i="9" s="1"/>
  <c r="AA84" i="9" s="1"/>
  <c r="AH83" i="9"/>
  <c r="Y83" i="9"/>
  <c r="X84" i="9" s="1"/>
  <c r="R100" i="9"/>
  <c r="W148" i="9"/>
  <c r="U149" i="9" s="1"/>
  <c r="D254" i="9"/>
  <c r="C253" i="9"/>
  <c r="J250" i="9" l="1"/>
  <c r="H250" i="9"/>
  <c r="I250" i="9" s="1"/>
  <c r="Z84" i="9"/>
  <c r="AG84" i="9"/>
  <c r="AI84" i="9"/>
  <c r="AD84" i="9"/>
  <c r="W149" i="9"/>
  <c r="U150" i="9" s="1"/>
  <c r="T100" i="9"/>
  <c r="C254" i="9"/>
  <c r="D255" i="9"/>
  <c r="J251" i="9" l="1"/>
  <c r="H251" i="9"/>
  <c r="I251" i="9" s="1"/>
  <c r="AH84" i="9"/>
  <c r="AC84" i="9" a="1"/>
  <c r="AC84" i="9" s="1"/>
  <c r="AA85" i="9" s="1"/>
  <c r="Y84" i="9"/>
  <c r="X85" i="9" s="1"/>
  <c r="R101" i="9"/>
  <c r="W150" i="9"/>
  <c r="U151" i="9" s="1"/>
  <c r="C255" i="9"/>
  <c r="D256" i="9"/>
  <c r="J252" i="9" l="1"/>
  <c r="H252" i="9"/>
  <c r="I252" i="9" s="1"/>
  <c r="AI85" i="9"/>
  <c r="Z85" i="9"/>
  <c r="AG85" i="9"/>
  <c r="AD85" i="9"/>
  <c r="W151" i="9"/>
  <c r="U152" i="9" s="1"/>
  <c r="T101" i="9"/>
  <c r="R102" i="9" s="1"/>
  <c r="D257" i="9"/>
  <c r="C256" i="9"/>
  <c r="J253" i="9" l="1"/>
  <c r="H253" i="9"/>
  <c r="I253" i="9" s="1"/>
  <c r="Y85" i="9"/>
  <c r="X86" i="9" s="1"/>
  <c r="AH85" i="9"/>
  <c r="AC85" i="9" a="1"/>
  <c r="AC85" i="9" s="1"/>
  <c r="AA86" i="9" s="1"/>
  <c r="T102" i="9"/>
  <c r="W152" i="9"/>
  <c r="U153" i="9" s="1"/>
  <c r="D258" i="9"/>
  <c r="C257" i="9"/>
  <c r="J254" i="9" l="1"/>
  <c r="H254" i="9"/>
  <c r="I254" i="9" s="1"/>
  <c r="AD86" i="9"/>
  <c r="Z86" i="9"/>
  <c r="AG86" i="9"/>
  <c r="AI86" i="9"/>
  <c r="W153" i="9"/>
  <c r="U154" i="9" s="1"/>
  <c r="R103" i="9"/>
  <c r="C258" i="9"/>
  <c r="D259" i="9"/>
  <c r="J255" i="9" l="1"/>
  <c r="H255" i="9"/>
  <c r="I255" i="9" s="1"/>
  <c r="AC86" i="9" a="1"/>
  <c r="AC86" i="9" s="1"/>
  <c r="AA87" i="9" s="1"/>
  <c r="AH86" i="9"/>
  <c r="Y86" i="9"/>
  <c r="X87" i="9" s="1"/>
  <c r="W154" i="9"/>
  <c r="U155" i="9" s="1"/>
  <c r="T103" i="9"/>
  <c r="R104" i="9" s="1"/>
  <c r="C259" i="9"/>
  <c r="D260" i="9"/>
  <c r="J256" i="9" l="1"/>
  <c r="H256" i="9"/>
  <c r="I256" i="9" s="1"/>
  <c r="AI87" i="9"/>
  <c r="Z87" i="9"/>
  <c r="AG87" i="9"/>
  <c r="AD87" i="9"/>
  <c r="W155" i="9"/>
  <c r="U156" i="9" s="1"/>
  <c r="T104" i="9"/>
  <c r="D261" i="9"/>
  <c r="C260" i="9"/>
  <c r="J257" i="9" l="1"/>
  <c r="H257" i="9"/>
  <c r="I257" i="9" s="1"/>
  <c r="AC87" i="9" a="1"/>
  <c r="AC87" i="9" s="1"/>
  <c r="AA88" i="9" s="1"/>
  <c r="Y87" i="9"/>
  <c r="X88" i="9" s="1"/>
  <c r="AH87" i="9"/>
  <c r="R105" i="9"/>
  <c r="W156" i="9"/>
  <c r="U157" i="9" s="1"/>
  <c r="D262" i="9"/>
  <c r="C261" i="9"/>
  <c r="J258" i="9" l="1"/>
  <c r="H258" i="9"/>
  <c r="I258" i="9" s="1"/>
  <c r="Z88" i="9"/>
  <c r="AG88" i="9"/>
  <c r="AI88" i="9"/>
  <c r="AD88" i="9"/>
  <c r="T105" i="9"/>
  <c r="R106" i="9" s="1"/>
  <c r="W157" i="9"/>
  <c r="U158" i="9" s="1"/>
  <c r="C262" i="9"/>
  <c r="D263" i="9"/>
  <c r="J259" i="9" l="1"/>
  <c r="H259" i="9"/>
  <c r="I259" i="9" s="1"/>
  <c r="AC88" i="9" a="1"/>
  <c r="AC88" i="9" s="1"/>
  <c r="AA89" i="9" s="1"/>
  <c r="AH88" i="9"/>
  <c r="Y88" i="9"/>
  <c r="X89" i="9" s="1"/>
  <c r="W158" i="9"/>
  <c r="U159" i="9" s="1"/>
  <c r="T106" i="9"/>
  <c r="C263" i="9"/>
  <c r="D264" i="9"/>
  <c r="J260" i="9" l="1"/>
  <c r="H260" i="9"/>
  <c r="I260" i="9" s="1"/>
  <c r="AI89" i="9"/>
  <c r="AG89" i="9"/>
  <c r="Z89" i="9"/>
  <c r="AD89" i="9"/>
  <c r="R107" i="9"/>
  <c r="W159" i="9"/>
  <c r="U160" i="9" s="1"/>
  <c r="D265" i="9"/>
  <c r="C264" i="9"/>
  <c r="J261" i="9" l="1"/>
  <c r="H261" i="9"/>
  <c r="I261" i="9" s="1"/>
  <c r="AC89" i="9" a="1"/>
  <c r="AC89" i="9" s="1"/>
  <c r="AA90" i="9" s="1"/>
  <c r="Y89" i="9"/>
  <c r="X90" i="9" s="1"/>
  <c r="AH89" i="9"/>
  <c r="W160" i="9"/>
  <c r="U161" i="9" s="1"/>
  <c r="T107" i="9"/>
  <c r="R108" i="9" s="1"/>
  <c r="D266" i="9"/>
  <c r="C265" i="9"/>
  <c r="J262" i="9" l="1"/>
  <c r="H262" i="9"/>
  <c r="I262" i="9" s="1"/>
  <c r="AI90" i="9"/>
  <c r="Z90" i="9"/>
  <c r="AG90" i="9"/>
  <c r="AD90" i="9"/>
  <c r="T108" i="9"/>
  <c r="W161" i="9"/>
  <c r="U162" i="9" s="1"/>
  <c r="C266" i="9"/>
  <c r="D267" i="9"/>
  <c r="J263" i="9" l="1"/>
  <c r="H263" i="9"/>
  <c r="I263" i="9" s="1"/>
  <c r="Y90" i="9"/>
  <c r="X91" i="9" s="1"/>
  <c r="AH90" i="9"/>
  <c r="AC90" i="9" a="1"/>
  <c r="AC90" i="9" s="1"/>
  <c r="AA91" i="9" s="1"/>
  <c r="W162" i="9"/>
  <c r="U163" i="9" s="1"/>
  <c r="R109" i="9"/>
  <c r="C267" i="9"/>
  <c r="D268" i="9"/>
  <c r="J264" i="9" l="1"/>
  <c r="H264" i="9"/>
  <c r="I264" i="9" s="1"/>
  <c r="AD91" i="9"/>
  <c r="Z91" i="9"/>
  <c r="AI91" i="9"/>
  <c r="AG91" i="9"/>
  <c r="W163" i="9"/>
  <c r="U164" i="9" s="1"/>
  <c r="T109" i="9"/>
  <c r="D269" i="9"/>
  <c r="C268" i="9"/>
  <c r="J265" i="9" l="1"/>
  <c r="H265" i="9"/>
  <c r="I265" i="9" s="1"/>
  <c r="Y91" i="9"/>
  <c r="X92" i="9" s="1"/>
  <c r="AC91" i="9" a="1"/>
  <c r="AC91" i="9" s="1"/>
  <c r="AA92" i="9" s="1"/>
  <c r="AH91" i="9"/>
  <c r="R110" i="9"/>
  <c r="W164" i="9"/>
  <c r="U165" i="9" s="1"/>
  <c r="D270" i="9"/>
  <c r="C269" i="9"/>
  <c r="J266" i="9" l="1"/>
  <c r="H266" i="9"/>
  <c r="I266" i="9" s="1"/>
  <c r="AD92" i="9"/>
  <c r="AI92" i="9"/>
  <c r="Z92" i="9"/>
  <c r="AG92" i="9"/>
  <c r="W165" i="9"/>
  <c r="U166" i="9" s="1"/>
  <c r="T110" i="9"/>
  <c r="C270" i="9"/>
  <c r="D271" i="9"/>
  <c r="J267" i="9" l="1"/>
  <c r="H267" i="9"/>
  <c r="I267" i="9" s="1"/>
  <c r="AC92" i="9" a="1"/>
  <c r="AC92" i="9" s="1"/>
  <c r="AA93" i="9" s="1"/>
  <c r="Y92" i="9"/>
  <c r="X93" i="9" s="1"/>
  <c r="AH92" i="9"/>
  <c r="R111" i="9"/>
  <c r="W166" i="9"/>
  <c r="U167" i="9" s="1"/>
  <c r="C271" i="9"/>
  <c r="D272" i="9"/>
  <c r="J268" i="9" l="1"/>
  <c r="H268" i="9"/>
  <c r="I268" i="9" s="1"/>
  <c r="AI93" i="9"/>
  <c r="Z93" i="9"/>
  <c r="AG93" i="9"/>
  <c r="AD93" i="9"/>
  <c r="W167" i="9"/>
  <c r="U168" i="9" s="1"/>
  <c r="T111" i="9"/>
  <c r="R112" i="9" s="1"/>
  <c r="D273" i="9"/>
  <c r="C272" i="9"/>
  <c r="J269" i="9" l="1"/>
  <c r="H269" i="9"/>
  <c r="I269" i="9" s="1"/>
  <c r="AC93" i="9" a="1"/>
  <c r="AC93" i="9" s="1"/>
  <c r="AA94" i="9" s="1"/>
  <c r="Y93" i="9"/>
  <c r="X94" i="9" s="1"/>
  <c r="AH93" i="9"/>
  <c r="T112" i="9"/>
  <c r="W168" i="9"/>
  <c r="U169" i="9" s="1"/>
  <c r="D274" i="9"/>
  <c r="C273" i="9"/>
  <c r="J270" i="9" l="1"/>
  <c r="H270" i="9"/>
  <c r="I270" i="9" s="1"/>
  <c r="Z94" i="9"/>
  <c r="AI94" i="9"/>
  <c r="AG94" i="9"/>
  <c r="AD94" i="9"/>
  <c r="W169" i="9"/>
  <c r="U170" i="9" s="1"/>
  <c r="R113" i="9"/>
  <c r="C274" i="9"/>
  <c r="D275" i="9"/>
  <c r="J271" i="9" l="1"/>
  <c r="H271" i="9"/>
  <c r="I271" i="9" s="1"/>
  <c r="AH94" i="9"/>
  <c r="Y94" i="9"/>
  <c r="X95" i="9" s="1"/>
  <c r="AC94" i="9" a="1"/>
  <c r="AC94" i="9" s="1"/>
  <c r="AA95" i="9" s="1"/>
  <c r="T113" i="9"/>
  <c r="W170" i="9"/>
  <c r="U171" i="9" s="1"/>
  <c r="C275" i="9"/>
  <c r="D276" i="9"/>
  <c r="J272" i="9" l="1"/>
  <c r="H272" i="9"/>
  <c r="I272" i="9" s="1"/>
  <c r="AD95" i="9"/>
  <c r="AI95" i="9"/>
  <c r="Z95" i="9"/>
  <c r="AG95" i="9"/>
  <c r="W171" i="9"/>
  <c r="U172" i="9" s="1"/>
  <c r="R114" i="9"/>
  <c r="D277" i="9"/>
  <c r="C276" i="9"/>
  <c r="J273" i="9" l="1"/>
  <c r="H273" i="9"/>
  <c r="I273" i="9" s="1"/>
  <c r="AC95" i="9" a="1"/>
  <c r="AC95" i="9" s="1"/>
  <c r="AA96" i="9" s="1"/>
  <c r="AH95" i="9"/>
  <c r="Y95" i="9"/>
  <c r="X96" i="9" s="1"/>
  <c r="T114" i="9"/>
  <c r="W172" i="9"/>
  <c r="U173" i="9" s="1"/>
  <c r="D278" i="9"/>
  <c r="C277" i="9"/>
  <c r="J274" i="9" l="1"/>
  <c r="H274" i="9"/>
  <c r="I274" i="9" s="1"/>
  <c r="AI96" i="9"/>
  <c r="Z96" i="9"/>
  <c r="AG96" i="9"/>
  <c r="AD96" i="9"/>
  <c r="R115" i="9"/>
  <c r="W173" i="9"/>
  <c r="U174" i="9" s="1"/>
  <c r="C278" i="9"/>
  <c r="D279" i="9"/>
  <c r="J275" i="9" l="1"/>
  <c r="H275" i="9"/>
  <c r="I275" i="9" s="1"/>
  <c r="AC96" i="9" a="1"/>
  <c r="AC96" i="9" s="1"/>
  <c r="AA97" i="9" s="1"/>
  <c r="AH96" i="9"/>
  <c r="Y96" i="9"/>
  <c r="X97" i="9" s="1"/>
  <c r="W174" i="9"/>
  <c r="U175" i="9" s="1"/>
  <c r="T115" i="9"/>
  <c r="R116" i="9" s="1"/>
  <c r="C279" i="9"/>
  <c r="D280" i="9"/>
  <c r="J276" i="9" l="1"/>
  <c r="H276" i="9"/>
  <c r="I276" i="9" s="1"/>
  <c r="Z97" i="9"/>
  <c r="AI97" i="9"/>
  <c r="AG97" i="9"/>
  <c r="AD97" i="9"/>
  <c r="T116" i="9"/>
  <c r="R117" i="9" s="1"/>
  <c r="W175" i="9"/>
  <c r="U176" i="9" s="1"/>
  <c r="D281" i="9"/>
  <c r="C280" i="9"/>
  <c r="J277" i="9" l="1"/>
  <c r="H277" i="9"/>
  <c r="I277" i="9" s="1"/>
  <c r="AC97" i="9" a="1"/>
  <c r="AC97" i="9" s="1"/>
  <c r="AA98" i="9" s="1"/>
  <c r="Y97" i="9"/>
  <c r="X98" i="9" s="1"/>
  <c r="AH97" i="9"/>
  <c r="W176" i="9"/>
  <c r="U177" i="9" s="1"/>
  <c r="T117" i="9"/>
  <c r="D282" i="9"/>
  <c r="C281" i="9"/>
  <c r="J278" i="9" l="1"/>
  <c r="H278" i="9"/>
  <c r="I278" i="9" s="1"/>
  <c r="Z98" i="9"/>
  <c r="AG98" i="9"/>
  <c r="AI98" i="9"/>
  <c r="AD98" i="9"/>
  <c r="R118" i="9"/>
  <c r="W177" i="9"/>
  <c r="U178" i="9" s="1"/>
  <c r="C282" i="9"/>
  <c r="D283" i="9"/>
  <c r="J279" i="9" l="1"/>
  <c r="H279" i="9"/>
  <c r="I279" i="9" s="1"/>
  <c r="AC98" i="9" a="1"/>
  <c r="AC98" i="9" s="1"/>
  <c r="AA99" i="9" s="1"/>
  <c r="Y98" i="9"/>
  <c r="X99" i="9" s="1"/>
  <c r="AH98" i="9"/>
  <c r="W178" i="9"/>
  <c r="U179" i="9" s="1"/>
  <c r="T118" i="9"/>
  <c r="C283" i="9"/>
  <c r="D284" i="9"/>
  <c r="J280" i="9" l="1"/>
  <c r="H280" i="9"/>
  <c r="I280" i="9" s="1"/>
  <c r="Z99" i="9"/>
  <c r="AG99" i="9"/>
  <c r="AI99" i="9"/>
  <c r="AD99" i="9"/>
  <c r="R119" i="9"/>
  <c r="W179" i="9"/>
  <c r="U180" i="9" s="1"/>
  <c r="D285" i="9"/>
  <c r="C284" i="9"/>
  <c r="J281" i="9" l="1"/>
  <c r="H281" i="9"/>
  <c r="I281" i="9" s="1"/>
  <c r="AC99" i="9" a="1"/>
  <c r="AC99" i="9" s="1"/>
  <c r="AA100" i="9" s="1"/>
  <c r="AH99" i="9"/>
  <c r="Y99" i="9"/>
  <c r="X100" i="9" s="1"/>
  <c r="W180" i="9"/>
  <c r="U181" i="9" s="1"/>
  <c r="T119" i="9"/>
  <c r="R120" i="9" s="1"/>
  <c r="D286" i="9"/>
  <c r="C285" i="9"/>
  <c r="J282" i="9" l="1"/>
  <c r="H282" i="9"/>
  <c r="I282" i="9" s="1"/>
  <c r="Z100" i="9"/>
  <c r="AG100" i="9"/>
  <c r="AI100" i="9"/>
  <c r="AD100" i="9"/>
  <c r="T120" i="9"/>
  <c r="R121" i="9" s="1"/>
  <c r="W181" i="9"/>
  <c r="U182" i="9" s="1"/>
  <c r="C286" i="9"/>
  <c r="D287" i="9"/>
  <c r="J283" i="9" l="1"/>
  <c r="H283" i="9"/>
  <c r="I283" i="9" s="1"/>
  <c r="Y100" i="9"/>
  <c r="X101" i="9" s="1"/>
  <c r="AC100" i="9" a="1"/>
  <c r="AC100" i="9" s="1"/>
  <c r="AA101" i="9" s="1"/>
  <c r="AH100" i="9"/>
  <c r="T121" i="9"/>
  <c r="W182" i="9"/>
  <c r="U183" i="9" s="1"/>
  <c r="C287" i="9"/>
  <c r="D288" i="9"/>
  <c r="J284" i="9" l="1"/>
  <c r="H284" i="9"/>
  <c r="I284" i="9" s="1"/>
  <c r="AD101" i="9"/>
  <c r="AG101" i="9"/>
  <c r="AI101" i="9"/>
  <c r="Z101" i="9"/>
  <c r="W183" i="9"/>
  <c r="U184" i="9" s="1"/>
  <c r="R122" i="9"/>
  <c r="D289" i="9"/>
  <c r="C288" i="9"/>
  <c r="J285" i="9" l="1"/>
  <c r="H285" i="9"/>
  <c r="I285" i="9" s="1"/>
  <c r="AC101" i="9" a="1"/>
  <c r="AC101" i="9" s="1"/>
  <c r="AA102" i="9" s="1"/>
  <c r="Y101" i="9"/>
  <c r="X102" i="9" s="1"/>
  <c r="AH101" i="9"/>
  <c r="W184" i="9"/>
  <c r="U185" i="9" s="1"/>
  <c r="T122" i="9"/>
  <c r="D290" i="9"/>
  <c r="C289" i="9"/>
  <c r="J286" i="9" l="1"/>
  <c r="H286" i="9"/>
  <c r="I286" i="9" s="1"/>
  <c r="AI102" i="9"/>
  <c r="Z102" i="9"/>
  <c r="AG102" i="9"/>
  <c r="AD102" i="9"/>
  <c r="W185" i="9"/>
  <c r="U186" i="9" s="1"/>
  <c r="R123" i="9"/>
  <c r="C290" i="9"/>
  <c r="D291" i="9"/>
  <c r="J287" i="9" l="1"/>
  <c r="H287" i="9"/>
  <c r="I287" i="9" s="1"/>
  <c r="AC102" i="9" a="1"/>
  <c r="AC102" i="9" s="1"/>
  <c r="AA103" i="9" s="1"/>
  <c r="Y102" i="9"/>
  <c r="X103" i="9" s="1"/>
  <c r="AH102" i="9"/>
  <c r="W186" i="9"/>
  <c r="U187" i="9" s="1"/>
  <c r="T123" i="9"/>
  <c r="C291" i="9"/>
  <c r="D292" i="9"/>
  <c r="J288" i="9" l="1"/>
  <c r="H288" i="9"/>
  <c r="I288" i="9" s="1"/>
  <c r="AI103" i="9"/>
  <c r="Z103" i="9"/>
  <c r="AG103" i="9"/>
  <c r="AD103" i="9"/>
  <c r="W187" i="9"/>
  <c r="U188" i="9" s="1"/>
  <c r="R124" i="9"/>
  <c r="D293" i="9"/>
  <c r="C292" i="9"/>
  <c r="J289" i="9" l="1"/>
  <c r="H289" i="9"/>
  <c r="I289" i="9" s="1"/>
  <c r="Y103" i="9"/>
  <c r="X104" i="9" s="1"/>
  <c r="AC103" i="9" a="1"/>
  <c r="AC103" i="9" s="1"/>
  <c r="AA104" i="9" s="1"/>
  <c r="AH103" i="9"/>
  <c r="W188" i="9"/>
  <c r="U189" i="9" s="1"/>
  <c r="T124" i="9"/>
  <c r="D294" i="9"/>
  <c r="C293" i="9"/>
  <c r="J290" i="9" l="1"/>
  <c r="H290" i="9"/>
  <c r="I290" i="9" s="1"/>
  <c r="AD104" i="9"/>
  <c r="AG104" i="9"/>
  <c r="Z104" i="9"/>
  <c r="AI104" i="9"/>
  <c r="R125" i="9"/>
  <c r="W189" i="9"/>
  <c r="U190" i="9" s="1"/>
  <c r="C294" i="9"/>
  <c r="D295" i="9"/>
  <c r="J291" i="9" l="1"/>
  <c r="H291" i="9"/>
  <c r="I291" i="9" s="1"/>
  <c r="Y104" i="9"/>
  <c r="X105" i="9" s="1"/>
  <c r="AH104" i="9"/>
  <c r="AC104" i="9" a="1"/>
  <c r="AC104" i="9" s="1"/>
  <c r="AA105" i="9" s="1"/>
  <c r="W190" i="9"/>
  <c r="U191" i="9" s="1"/>
  <c r="T125" i="9"/>
  <c r="C295" i="9"/>
  <c r="D296" i="9"/>
  <c r="J292" i="9" l="1"/>
  <c r="H292" i="9"/>
  <c r="I292" i="9" s="1"/>
  <c r="AD105" i="9"/>
  <c r="Z105" i="9"/>
  <c r="AG105" i="9"/>
  <c r="AI105" i="9"/>
  <c r="R126" i="9"/>
  <c r="W191" i="9"/>
  <c r="U192" i="9" s="1"/>
  <c r="D297" i="9"/>
  <c r="C296" i="9"/>
  <c r="J293" i="9" l="1"/>
  <c r="H293" i="9"/>
  <c r="I293" i="9" s="1"/>
  <c r="AH105" i="9"/>
  <c r="AC105" i="9" a="1"/>
  <c r="AC105" i="9" s="1"/>
  <c r="AA106" i="9" s="1"/>
  <c r="Y105" i="9"/>
  <c r="X106" i="9" s="1"/>
  <c r="W192" i="9"/>
  <c r="U193" i="9" s="1"/>
  <c r="T126" i="9"/>
  <c r="D298" i="9"/>
  <c r="C297" i="9"/>
  <c r="J294" i="9" l="1"/>
  <c r="H294" i="9"/>
  <c r="I294" i="9" s="1"/>
  <c r="Z106" i="9"/>
  <c r="AG106" i="9"/>
  <c r="AI106" i="9"/>
  <c r="AD106" i="9"/>
  <c r="R127" i="9"/>
  <c r="W193" i="9"/>
  <c r="U194" i="9" s="1"/>
  <c r="C298" i="9"/>
  <c r="D299" i="9"/>
  <c r="J295" i="9" l="1"/>
  <c r="H295" i="9"/>
  <c r="I295" i="9" s="1"/>
  <c r="AC106" i="9" a="1"/>
  <c r="AC106" i="9" s="1"/>
  <c r="AA107" i="9" s="1"/>
  <c r="AH106" i="9"/>
  <c r="Y106" i="9"/>
  <c r="X107" i="9" s="1"/>
  <c r="W194" i="9"/>
  <c r="U195" i="9" s="1"/>
  <c r="T127" i="9"/>
  <c r="R128" i="9" s="1"/>
  <c r="C299" i="9"/>
  <c r="D300" i="9"/>
  <c r="J296" i="9" l="1"/>
  <c r="H296" i="9"/>
  <c r="I296" i="9" s="1"/>
  <c r="AG107" i="9"/>
  <c r="Z107" i="9"/>
  <c r="AI107" i="9"/>
  <c r="AD107" i="9"/>
  <c r="W195" i="9"/>
  <c r="U196" i="9" s="1"/>
  <c r="T128" i="9"/>
  <c r="D301" i="9"/>
  <c r="C300" i="9"/>
  <c r="J297" i="9" l="1"/>
  <c r="H297" i="9"/>
  <c r="I297" i="9" s="1"/>
  <c r="AC107" i="9" a="1"/>
  <c r="AC107" i="9" s="1"/>
  <c r="AA108" i="9" s="1"/>
  <c r="Y107" i="9"/>
  <c r="X108" i="9" s="1"/>
  <c r="AH107" i="9"/>
  <c r="W196" i="9"/>
  <c r="U197" i="9" s="1"/>
  <c r="R129" i="9"/>
  <c r="D302" i="9"/>
  <c r="C301" i="9"/>
  <c r="J298" i="9" l="1"/>
  <c r="H298" i="9"/>
  <c r="I298" i="9" s="1"/>
  <c r="AG108" i="9"/>
  <c r="AI108" i="9"/>
  <c r="Z108" i="9"/>
  <c r="AD108" i="9"/>
  <c r="T129" i="9"/>
  <c r="R130" i="9" s="1"/>
  <c r="W197" i="9"/>
  <c r="U198" i="9" s="1"/>
  <c r="C302" i="9"/>
  <c r="D303" i="9"/>
  <c r="J299" i="9" l="1"/>
  <c r="H299" i="9"/>
  <c r="I299" i="9" s="1"/>
  <c r="AC108" i="9" a="1"/>
  <c r="AC108" i="9" s="1"/>
  <c r="AA109" i="9" s="1"/>
  <c r="AH108" i="9"/>
  <c r="Y108" i="9"/>
  <c r="X109" i="9" s="1"/>
  <c r="W198" i="9"/>
  <c r="U199" i="9" s="1"/>
  <c r="T130" i="9"/>
  <c r="C303" i="9"/>
  <c r="D304" i="9"/>
  <c r="J300" i="9" l="1"/>
  <c r="H300" i="9"/>
  <c r="I300" i="9" s="1"/>
  <c r="AI109" i="9"/>
  <c r="AG109" i="9"/>
  <c r="Z109" i="9"/>
  <c r="AD109" i="9"/>
  <c r="R131" i="9"/>
  <c r="W199" i="9"/>
  <c r="U200" i="9" s="1"/>
  <c r="D305" i="9"/>
  <c r="C304" i="9"/>
  <c r="J301" i="9" l="1"/>
  <c r="H301" i="9"/>
  <c r="I301" i="9" s="1"/>
  <c r="AC109" i="9" a="1"/>
  <c r="AC109" i="9" s="1"/>
  <c r="AA110" i="9" s="1"/>
  <c r="Y109" i="9"/>
  <c r="X110" i="9" s="1"/>
  <c r="AH109" i="9"/>
  <c r="W200" i="9"/>
  <c r="U201" i="9" s="1"/>
  <c r="T131" i="9"/>
  <c r="R132" i="9" s="1"/>
  <c r="D306" i="9"/>
  <c r="C305" i="9"/>
  <c r="J302" i="9" l="1"/>
  <c r="H302" i="9"/>
  <c r="I302" i="9" s="1"/>
  <c r="Z110" i="9"/>
  <c r="AG110" i="9"/>
  <c r="AI110" i="9"/>
  <c r="AD110" i="9"/>
  <c r="T132" i="9"/>
  <c r="W201" i="9"/>
  <c r="U202" i="9" s="1"/>
  <c r="C306" i="9"/>
  <c r="D307" i="9"/>
  <c r="J303" i="9" l="1"/>
  <c r="H303" i="9"/>
  <c r="I303" i="9" s="1"/>
  <c r="AH110" i="9"/>
  <c r="Y110" i="9"/>
  <c r="X111" i="9" s="1"/>
  <c r="AC110" i="9" a="1"/>
  <c r="AC110" i="9" s="1"/>
  <c r="AA111" i="9" s="1"/>
  <c r="R133" i="9"/>
  <c r="W202" i="9"/>
  <c r="U203" i="9" s="1"/>
  <c r="C307" i="9"/>
  <c r="D308" i="9"/>
  <c r="J304" i="9" l="1"/>
  <c r="H304" i="9"/>
  <c r="I304" i="9" s="1"/>
  <c r="AD111" i="9"/>
  <c r="Z111" i="9"/>
  <c r="AG111" i="9"/>
  <c r="AI111" i="9"/>
  <c r="W203" i="9"/>
  <c r="U204" i="9" s="1"/>
  <c r="T133" i="9"/>
  <c r="D309" i="9"/>
  <c r="C308" i="9"/>
  <c r="J305" i="9" l="1"/>
  <c r="H305" i="9"/>
  <c r="I305" i="9" s="1"/>
  <c r="AC111" i="9" a="1"/>
  <c r="AC111" i="9" s="1"/>
  <c r="AA112" i="9" s="1"/>
  <c r="AH111" i="9"/>
  <c r="Y111" i="9"/>
  <c r="X112" i="9" s="1"/>
  <c r="R134" i="9"/>
  <c r="W204" i="9"/>
  <c r="U205" i="9" s="1"/>
  <c r="D310" i="9"/>
  <c r="C309" i="9"/>
  <c r="J306" i="9" l="1"/>
  <c r="H306" i="9"/>
  <c r="I306" i="9" s="1"/>
  <c r="AI112" i="9"/>
  <c r="Z112" i="9"/>
  <c r="AG112" i="9"/>
  <c r="AD112" i="9"/>
  <c r="T134" i="9"/>
  <c r="W205" i="9"/>
  <c r="U206" i="9" s="1"/>
  <c r="C310" i="9"/>
  <c r="D311" i="9"/>
  <c r="J307" i="9" l="1"/>
  <c r="H307" i="9"/>
  <c r="I307" i="9" s="1"/>
  <c r="Y112" i="9"/>
  <c r="X113" i="9" s="1"/>
  <c r="AH112" i="9"/>
  <c r="AC112" i="9" a="1"/>
  <c r="AC112" i="9" s="1"/>
  <c r="AA113" i="9" s="1"/>
  <c r="R135" i="9"/>
  <c r="W206" i="9"/>
  <c r="U207" i="9" s="1"/>
  <c r="C311" i="9"/>
  <c r="D312" i="9"/>
  <c r="J308" i="9" l="1"/>
  <c r="H308" i="9"/>
  <c r="I308" i="9" s="1"/>
  <c r="AD113" i="9"/>
  <c r="Z113" i="9"/>
  <c r="AG113" i="9"/>
  <c r="AI113" i="9"/>
  <c r="W207" i="9"/>
  <c r="U208" i="9" s="1"/>
  <c r="T135" i="9"/>
  <c r="R136" i="9" s="1"/>
  <c r="D313" i="9"/>
  <c r="C312" i="9"/>
  <c r="J309" i="9" l="1"/>
  <c r="H309" i="9"/>
  <c r="I309" i="9" s="1"/>
  <c r="Y113" i="9"/>
  <c r="X114" i="9" s="1"/>
  <c r="AC113" i="9" a="1"/>
  <c r="AC113" i="9" s="1"/>
  <c r="AA114" i="9" s="1"/>
  <c r="AH113" i="9"/>
  <c r="W208" i="9"/>
  <c r="U209" i="9" s="1"/>
  <c r="T136" i="9"/>
  <c r="R137" i="9" s="1"/>
  <c r="D314" i="9"/>
  <c r="C313" i="9"/>
  <c r="J310" i="9" l="1"/>
  <c r="H310" i="9"/>
  <c r="I310" i="9" s="1"/>
  <c r="AD114" i="9"/>
  <c r="AG114" i="9"/>
  <c r="Z114" i="9"/>
  <c r="AI114" i="9"/>
  <c r="T137" i="9"/>
  <c r="R138" i="9" s="1"/>
  <c r="W209" i="9"/>
  <c r="U210" i="9" s="1"/>
  <c r="C314" i="9"/>
  <c r="D315" i="9"/>
  <c r="J311" i="9" l="1"/>
  <c r="H311" i="9"/>
  <c r="I311" i="9" s="1"/>
  <c r="AC114" i="9" a="1"/>
  <c r="AC114" i="9" s="1"/>
  <c r="AA115" i="9" s="1"/>
  <c r="AH114" i="9"/>
  <c r="Y114" i="9"/>
  <c r="X115" i="9" s="1"/>
  <c r="W210" i="9"/>
  <c r="U211" i="9" s="1"/>
  <c r="T138" i="9"/>
  <c r="C315" i="9"/>
  <c r="D316" i="9"/>
  <c r="J312" i="9" l="1"/>
  <c r="H312" i="9"/>
  <c r="I312" i="9" s="1"/>
  <c r="Z115" i="9"/>
  <c r="AI115" i="9"/>
  <c r="AG115" i="9"/>
  <c r="AD115" i="9"/>
  <c r="R139" i="9"/>
  <c r="W211" i="9"/>
  <c r="U212" i="9" s="1"/>
  <c r="D317" i="9"/>
  <c r="C316" i="9"/>
  <c r="J313" i="9" l="1"/>
  <c r="H313" i="9"/>
  <c r="I313" i="9" s="1"/>
  <c r="Y115" i="9"/>
  <c r="X116" i="9" s="1"/>
  <c r="AH115" i="9"/>
  <c r="AC115" i="9" a="1"/>
  <c r="AC115" i="9" s="1"/>
  <c r="AA116" i="9" s="1"/>
  <c r="W212" i="9"/>
  <c r="U213" i="9" s="1"/>
  <c r="T139" i="9"/>
  <c r="D318" i="9"/>
  <c r="C317" i="9"/>
  <c r="J314" i="9" l="1"/>
  <c r="H314" i="9"/>
  <c r="I314" i="9" s="1"/>
  <c r="AD116" i="9"/>
  <c r="AG116" i="9"/>
  <c r="Z116" i="9"/>
  <c r="AI116" i="9"/>
  <c r="R140" i="9"/>
  <c r="W213" i="9"/>
  <c r="U214" i="9" s="1"/>
  <c r="C318" i="9"/>
  <c r="D319" i="9"/>
  <c r="J315" i="9" l="1"/>
  <c r="H315" i="9"/>
  <c r="I315" i="9" s="1"/>
  <c r="AC116" i="9" a="1"/>
  <c r="AC116" i="9" s="1"/>
  <c r="AA117" i="9" s="1"/>
  <c r="Y116" i="9"/>
  <c r="X117" i="9" s="1"/>
  <c r="AH116" i="9"/>
  <c r="W214" i="9"/>
  <c r="U215" i="9" s="1"/>
  <c r="T140" i="9"/>
  <c r="C319" i="9"/>
  <c r="D320" i="9"/>
  <c r="J316" i="9" l="1"/>
  <c r="H316" i="9"/>
  <c r="I316" i="9" s="1"/>
  <c r="AG117" i="9"/>
  <c r="Z117" i="9"/>
  <c r="AI117" i="9"/>
  <c r="AD117" i="9"/>
  <c r="R141" i="9"/>
  <c r="W215" i="9"/>
  <c r="U216" i="9" s="1"/>
  <c r="D321" i="9"/>
  <c r="C320" i="9"/>
  <c r="J317" i="9" l="1"/>
  <c r="H317" i="9"/>
  <c r="I317" i="9" s="1"/>
  <c r="AH117" i="9"/>
  <c r="AC117" i="9" a="1"/>
  <c r="AC117" i="9" s="1"/>
  <c r="AA118" i="9" s="1"/>
  <c r="Y117" i="9"/>
  <c r="X118" i="9" s="1"/>
  <c r="W216" i="9"/>
  <c r="U217" i="9" s="1"/>
  <c r="T141" i="9"/>
  <c r="D322" i="9"/>
  <c r="C321" i="9"/>
  <c r="J318" i="9" l="1"/>
  <c r="H318" i="9"/>
  <c r="I318" i="9" s="1"/>
  <c r="Z118" i="9"/>
  <c r="AG118" i="9"/>
  <c r="AI118" i="9"/>
  <c r="AD118" i="9"/>
  <c r="R142" i="9"/>
  <c r="W217" i="9"/>
  <c r="U218" i="9" s="1"/>
  <c r="C322" i="9"/>
  <c r="D323" i="9"/>
  <c r="J319" i="9" l="1"/>
  <c r="H319" i="9"/>
  <c r="I319" i="9" s="1"/>
  <c r="AH118" i="9"/>
  <c r="AC118" i="9" a="1"/>
  <c r="AC118" i="9" s="1"/>
  <c r="AA119" i="9" s="1"/>
  <c r="Y118" i="9"/>
  <c r="X119" i="9" s="1"/>
  <c r="W218" i="9"/>
  <c r="U219" i="9" s="1"/>
  <c r="T142" i="9"/>
  <c r="C323" i="9"/>
  <c r="D324" i="9"/>
  <c r="J320" i="9" l="1"/>
  <c r="H320" i="9"/>
  <c r="I320" i="9" s="1"/>
  <c r="AG119" i="9"/>
  <c r="Z119" i="9"/>
  <c r="AI119" i="9"/>
  <c r="AD119" i="9"/>
  <c r="R143" i="9"/>
  <c r="W219" i="9"/>
  <c r="U220" i="9" s="1"/>
  <c r="D325" i="9"/>
  <c r="C324" i="9"/>
  <c r="J321" i="9" l="1"/>
  <c r="H321" i="9"/>
  <c r="I321" i="9" s="1"/>
  <c r="AC119" i="9" a="1"/>
  <c r="AC119" i="9" s="1"/>
  <c r="AA120" i="9" s="1"/>
  <c r="Y119" i="9"/>
  <c r="X120" i="9" s="1"/>
  <c r="AH119" i="9"/>
  <c r="W220" i="9"/>
  <c r="U221" i="9" s="1"/>
  <c r="T143" i="9"/>
  <c r="R144" i="9" s="1"/>
  <c r="D326" i="9"/>
  <c r="C325" i="9"/>
  <c r="J322" i="9" l="1"/>
  <c r="H322" i="9"/>
  <c r="I322" i="9" s="1"/>
  <c r="AG120" i="9"/>
  <c r="AI120" i="9"/>
  <c r="Z120" i="9"/>
  <c r="AD120" i="9"/>
  <c r="T144" i="9"/>
  <c r="R145" i="9" s="1"/>
  <c r="W221" i="9"/>
  <c r="U222" i="9" s="1"/>
  <c r="C326" i="9"/>
  <c r="D327" i="9"/>
  <c r="J323" i="9" l="1"/>
  <c r="H323" i="9"/>
  <c r="I323" i="9" s="1"/>
  <c r="AC120" i="9" a="1"/>
  <c r="AC120" i="9" s="1"/>
  <c r="AA121" i="9" s="1"/>
  <c r="Y120" i="9"/>
  <c r="X121" i="9" s="1"/>
  <c r="AH120" i="9"/>
  <c r="W222" i="9"/>
  <c r="U223" i="9" s="1"/>
  <c r="T145" i="9"/>
  <c r="R146" i="9" s="1"/>
  <c r="C327" i="9"/>
  <c r="D328" i="9"/>
  <c r="J324" i="9" l="1"/>
  <c r="H324" i="9"/>
  <c r="I324" i="9" s="1"/>
  <c r="Z121" i="9"/>
  <c r="AI121" i="9"/>
  <c r="AG121" i="9"/>
  <c r="AD121" i="9"/>
  <c r="T146" i="9"/>
  <c r="W223" i="9"/>
  <c r="U224" i="9" s="1"/>
  <c r="D329" i="9"/>
  <c r="C328" i="9"/>
  <c r="J325" i="9" l="1"/>
  <c r="H325" i="9"/>
  <c r="I325" i="9" s="1"/>
  <c r="Y121" i="9"/>
  <c r="X122" i="9" s="1"/>
  <c r="AH121" i="9"/>
  <c r="AC121" i="9" a="1"/>
  <c r="AC121" i="9" s="1"/>
  <c r="AA122" i="9" s="1"/>
  <c r="R147" i="9"/>
  <c r="W224" i="9"/>
  <c r="U225" i="9" s="1"/>
  <c r="D330" i="9"/>
  <c r="C329" i="9"/>
  <c r="J326" i="9" l="1"/>
  <c r="H326" i="9"/>
  <c r="I326" i="9" s="1"/>
  <c r="AD122" i="9"/>
  <c r="AG122" i="9"/>
  <c r="Z122" i="9"/>
  <c r="AI122" i="9"/>
  <c r="W225" i="9"/>
  <c r="U226" i="9" s="1"/>
  <c r="T147" i="9"/>
  <c r="C330" i="9"/>
  <c r="D331" i="9"/>
  <c r="J327" i="9" l="1"/>
  <c r="H327" i="9"/>
  <c r="I327" i="9" s="1"/>
  <c r="Y122" i="9"/>
  <c r="X123" i="9" s="1"/>
  <c r="AH122" i="9"/>
  <c r="AC122" i="9" a="1"/>
  <c r="AC122" i="9" s="1"/>
  <c r="AA123" i="9" s="1"/>
  <c r="R148" i="9"/>
  <c r="W226" i="9"/>
  <c r="U227" i="9" s="1"/>
  <c r="C331" i="9"/>
  <c r="D332" i="9"/>
  <c r="J328" i="9" l="1"/>
  <c r="H328" i="9"/>
  <c r="I328" i="9" s="1"/>
  <c r="AD123" i="9"/>
  <c r="AG123" i="9"/>
  <c r="Z123" i="9"/>
  <c r="AI123" i="9"/>
  <c r="W227" i="9"/>
  <c r="U228" i="9" s="1"/>
  <c r="T148" i="9"/>
  <c r="R149" i="9" s="1"/>
  <c r="D333" i="9"/>
  <c r="C332" i="9"/>
  <c r="J329" i="9" l="1"/>
  <c r="H329" i="9"/>
  <c r="I329" i="9" s="1"/>
  <c r="AC123" i="9" a="1"/>
  <c r="AC123" i="9" s="1"/>
  <c r="AA124" i="9" s="1"/>
  <c r="AH123" i="9"/>
  <c r="Y123" i="9"/>
  <c r="X124" i="9" s="1"/>
  <c r="T149" i="9"/>
  <c r="R150" i="9" s="1"/>
  <c r="W228" i="9"/>
  <c r="U229" i="9" s="1"/>
  <c r="D334" i="9"/>
  <c r="C333" i="9"/>
  <c r="J330" i="9" l="1"/>
  <c r="H330" i="9"/>
  <c r="I330" i="9" s="1"/>
  <c r="AG124" i="9"/>
  <c r="Z124" i="9"/>
  <c r="AI124" i="9"/>
  <c r="AD124" i="9"/>
  <c r="W229" i="9"/>
  <c r="U230" i="9" s="1"/>
  <c r="T150" i="9"/>
  <c r="C334" i="9"/>
  <c r="D335" i="9"/>
  <c r="J331" i="9" l="1"/>
  <c r="H331" i="9"/>
  <c r="I331" i="9" s="1"/>
  <c r="AC124" i="9" a="1"/>
  <c r="AC124" i="9" s="1"/>
  <c r="AA125" i="9" s="1"/>
  <c r="AH124" i="9"/>
  <c r="Y124" i="9"/>
  <c r="X125" i="9" s="1"/>
  <c r="R151" i="9"/>
  <c r="W230" i="9"/>
  <c r="U231" i="9" s="1"/>
  <c r="C335" i="9"/>
  <c r="D336" i="9"/>
  <c r="J332" i="9" l="1"/>
  <c r="H332" i="9"/>
  <c r="I332" i="9" s="1"/>
  <c r="Z125" i="9"/>
  <c r="AG125" i="9"/>
  <c r="AI125" i="9"/>
  <c r="AD125" i="9"/>
  <c r="W231" i="9"/>
  <c r="U232" i="9" s="1"/>
  <c r="T151" i="9"/>
  <c r="D337" i="9"/>
  <c r="C336" i="9"/>
  <c r="J333" i="9" l="1"/>
  <c r="H333" i="9"/>
  <c r="I333" i="9" s="1"/>
  <c r="AH125" i="9"/>
  <c r="AC125" i="9" a="1"/>
  <c r="AC125" i="9" s="1"/>
  <c r="AA126" i="9" s="1"/>
  <c r="Y125" i="9"/>
  <c r="X126" i="9" s="1"/>
  <c r="W232" i="9"/>
  <c r="U233" i="9" s="1"/>
  <c r="R152" i="9"/>
  <c r="D338" i="9"/>
  <c r="C337" i="9"/>
  <c r="J334" i="9" l="1"/>
  <c r="H334" i="9"/>
  <c r="I334" i="9" s="1"/>
  <c r="AG126" i="9"/>
  <c r="AI126" i="9"/>
  <c r="Z126" i="9"/>
  <c r="AD126" i="9"/>
  <c r="W233" i="9"/>
  <c r="U234" i="9" s="1"/>
  <c r="T152" i="9"/>
  <c r="R153" i="9" s="1"/>
  <c r="C338" i="9"/>
  <c r="D339" i="9"/>
  <c r="J335" i="9" l="1"/>
  <c r="H335" i="9"/>
  <c r="I335" i="9" s="1"/>
  <c r="AC126" i="9" a="1"/>
  <c r="AC126" i="9" s="1"/>
  <c r="AA127" i="9" s="1"/>
  <c r="AH126" i="9"/>
  <c r="Y126" i="9"/>
  <c r="X127" i="9" s="1"/>
  <c r="T153" i="9"/>
  <c r="W234" i="9"/>
  <c r="U235" i="9" s="1"/>
  <c r="C339" i="9"/>
  <c r="D340" i="9"/>
  <c r="J336" i="9" l="1"/>
  <c r="H336" i="9"/>
  <c r="I336" i="9" s="1"/>
  <c r="Z127" i="9"/>
  <c r="AG127" i="9"/>
  <c r="AI127" i="9"/>
  <c r="AD127" i="9"/>
  <c r="W235" i="9"/>
  <c r="U236" i="9" s="1"/>
  <c r="R154" i="9"/>
  <c r="D341" i="9"/>
  <c r="C340" i="9"/>
  <c r="J337" i="9" l="1"/>
  <c r="H337" i="9"/>
  <c r="I337" i="9" s="1"/>
  <c r="AH127" i="9"/>
  <c r="Y127" i="9"/>
  <c r="X128" i="9" s="1"/>
  <c r="AC127" i="9" a="1"/>
  <c r="AC127" i="9" s="1"/>
  <c r="AA128" i="9" s="1"/>
  <c r="W236" i="9"/>
  <c r="U237" i="9" s="1"/>
  <c r="T154" i="9"/>
  <c r="D342" i="9"/>
  <c r="C341" i="9"/>
  <c r="J338" i="9" l="1"/>
  <c r="H338" i="9"/>
  <c r="I338" i="9" s="1"/>
  <c r="AD128" i="9"/>
  <c r="Z128" i="9"/>
  <c r="AI128" i="9"/>
  <c r="AG128" i="9"/>
  <c r="W237" i="9"/>
  <c r="U238" i="9" s="1"/>
  <c r="R155" i="9"/>
  <c r="C342" i="9"/>
  <c r="D343" i="9"/>
  <c r="J339" i="9" l="1"/>
  <c r="H339" i="9"/>
  <c r="I339" i="9" s="1"/>
  <c r="AH128" i="9"/>
  <c r="AC128" i="9" a="1"/>
  <c r="AC128" i="9" s="1"/>
  <c r="AA129" i="9" s="1"/>
  <c r="Y128" i="9"/>
  <c r="X129" i="9" s="1"/>
  <c r="T155" i="9"/>
  <c r="W238" i="9"/>
  <c r="U239" i="9" s="1"/>
  <c r="C343" i="9"/>
  <c r="D344" i="9"/>
  <c r="J340" i="9" l="1"/>
  <c r="H340" i="9"/>
  <c r="I340" i="9" s="1"/>
  <c r="AI129" i="9"/>
  <c r="Z129" i="9"/>
  <c r="AG129" i="9"/>
  <c r="AD129" i="9"/>
  <c r="R156" i="9"/>
  <c r="W239" i="9"/>
  <c r="U240" i="9" s="1"/>
  <c r="D345" i="9"/>
  <c r="C344" i="9"/>
  <c r="J341" i="9" l="1"/>
  <c r="H341" i="9"/>
  <c r="I341" i="9" s="1"/>
  <c r="AH129" i="9"/>
  <c r="AC129" i="9" a="1"/>
  <c r="AC129" i="9" s="1"/>
  <c r="AA130" i="9" s="1"/>
  <c r="Y129" i="9"/>
  <c r="X130" i="9" s="1"/>
  <c r="W240" i="9"/>
  <c r="U241" i="9" s="1"/>
  <c r="T156" i="9"/>
  <c r="D346" i="9"/>
  <c r="C345" i="9"/>
  <c r="J342" i="9" l="1"/>
  <c r="H342" i="9"/>
  <c r="I342" i="9" s="1"/>
  <c r="AI130" i="9"/>
  <c r="AG130" i="9"/>
  <c r="Z130" i="9"/>
  <c r="AD130" i="9"/>
  <c r="R157" i="9"/>
  <c r="W241" i="9"/>
  <c r="U242" i="9" s="1"/>
  <c r="C346" i="9"/>
  <c r="D347" i="9"/>
  <c r="J343" i="9" l="1"/>
  <c r="H343" i="9"/>
  <c r="I343" i="9" s="1"/>
  <c r="AC130" i="9" a="1"/>
  <c r="AC130" i="9" s="1"/>
  <c r="AA131" i="9" s="1"/>
  <c r="AH130" i="9"/>
  <c r="Y130" i="9"/>
  <c r="X131" i="9" s="1"/>
  <c r="W242" i="9"/>
  <c r="U243" i="9" s="1"/>
  <c r="T157" i="9"/>
  <c r="C347" i="9"/>
  <c r="D348" i="9"/>
  <c r="J344" i="9" l="1"/>
  <c r="H344" i="9"/>
  <c r="I344" i="9" s="1"/>
  <c r="AG131" i="9"/>
  <c r="Z131" i="9"/>
  <c r="AI131" i="9"/>
  <c r="AD131" i="9"/>
  <c r="R158" i="9"/>
  <c r="W243" i="9"/>
  <c r="U244" i="9" s="1"/>
  <c r="D349" i="9"/>
  <c r="C348" i="9"/>
  <c r="J345" i="9" l="1"/>
  <c r="H345" i="9"/>
  <c r="I345" i="9" s="1"/>
  <c r="AC131" i="9" a="1"/>
  <c r="AC131" i="9" s="1"/>
  <c r="AA132" i="9" s="1"/>
  <c r="AH131" i="9"/>
  <c r="Y131" i="9"/>
  <c r="X132" i="9" s="1"/>
  <c r="W244" i="9"/>
  <c r="U245" i="9" s="1"/>
  <c r="T158" i="9"/>
  <c r="D350" i="9"/>
  <c r="C349" i="9"/>
  <c r="J346" i="9" l="1"/>
  <c r="H346" i="9"/>
  <c r="I346" i="9" s="1"/>
  <c r="Z132" i="9"/>
  <c r="AI132" i="9"/>
  <c r="AG132" i="9"/>
  <c r="AD132" i="9"/>
  <c r="W245" i="9"/>
  <c r="U246" i="9" s="1"/>
  <c r="R159" i="9"/>
  <c r="C350" i="9"/>
  <c r="D351" i="9"/>
  <c r="J347" i="9" l="1"/>
  <c r="H347" i="9"/>
  <c r="I347" i="9" s="1"/>
  <c r="Y132" i="9"/>
  <c r="X133" i="9" s="1"/>
  <c r="AH132" i="9"/>
  <c r="AC132" i="9" a="1"/>
  <c r="AC132" i="9" s="1"/>
  <c r="AA133" i="9" s="1"/>
  <c r="T159" i="9"/>
  <c r="W246" i="9"/>
  <c r="U247" i="9" s="1"/>
  <c r="C351" i="9"/>
  <c r="D352" i="9"/>
  <c r="J348" i="9" l="1"/>
  <c r="H348" i="9"/>
  <c r="I348" i="9" s="1"/>
  <c r="AD133" i="9"/>
  <c r="AI133" i="9"/>
  <c r="Z133" i="9"/>
  <c r="AG133" i="9"/>
  <c r="W247" i="9"/>
  <c r="U248" i="9" s="1"/>
  <c r="R160" i="9"/>
  <c r="D353" i="9"/>
  <c r="C352" i="9"/>
  <c r="J349" i="9" l="1"/>
  <c r="H349" i="9"/>
  <c r="I349" i="9" s="1"/>
  <c r="AH133" i="9"/>
  <c r="Y133" i="9"/>
  <c r="X134" i="9" s="1"/>
  <c r="AC133" i="9" a="1"/>
  <c r="AC133" i="9" s="1"/>
  <c r="AA134" i="9" s="1"/>
  <c r="T160" i="9"/>
  <c r="W248" i="9"/>
  <c r="U249" i="9" s="1"/>
  <c r="D354" i="9"/>
  <c r="C353" i="9"/>
  <c r="J350" i="9" l="1"/>
  <c r="H350" i="9"/>
  <c r="I350" i="9" s="1"/>
  <c r="AD134" i="9"/>
  <c r="AG134" i="9"/>
  <c r="AI134" i="9"/>
  <c r="Z134" i="9"/>
  <c r="R161" i="9"/>
  <c r="W249" i="9"/>
  <c r="U250" i="9" s="1"/>
  <c r="C354" i="9"/>
  <c r="D355" i="9"/>
  <c r="J351" i="9" l="1"/>
  <c r="H351" i="9"/>
  <c r="I351" i="9" s="1"/>
  <c r="AC134" i="9" a="1"/>
  <c r="AC134" i="9" s="1"/>
  <c r="AA135" i="9" s="1"/>
  <c r="Y134" i="9"/>
  <c r="X135" i="9" s="1"/>
  <c r="AH134" i="9"/>
  <c r="W250" i="9"/>
  <c r="U251" i="9" s="1"/>
  <c r="T161" i="9"/>
  <c r="R162" i="9" s="1"/>
  <c r="C355" i="9"/>
  <c r="D356" i="9"/>
  <c r="J352" i="9" l="1"/>
  <c r="H352" i="9"/>
  <c r="I352" i="9" s="1"/>
  <c r="AG135" i="9"/>
  <c r="Z135" i="9"/>
  <c r="AI135" i="9"/>
  <c r="AD135" i="9"/>
  <c r="T162" i="9"/>
  <c r="W251" i="9"/>
  <c r="U252" i="9" s="1"/>
  <c r="D357" i="9"/>
  <c r="C356" i="9"/>
  <c r="J353" i="9" l="1"/>
  <c r="H353" i="9"/>
  <c r="I353" i="9" s="1"/>
  <c r="AH135" i="9"/>
  <c r="AC135" i="9" a="1"/>
  <c r="AC135" i="9" s="1"/>
  <c r="AA136" i="9" s="1"/>
  <c r="Y135" i="9"/>
  <c r="X136" i="9" s="1"/>
  <c r="W252" i="9"/>
  <c r="U253" i="9" s="1"/>
  <c r="R163" i="9"/>
  <c r="D358" i="9"/>
  <c r="C357" i="9"/>
  <c r="J354" i="9" l="1"/>
  <c r="H354" i="9"/>
  <c r="I354" i="9" s="1"/>
  <c r="AI136" i="9"/>
  <c r="Z136" i="9"/>
  <c r="AG136" i="9"/>
  <c r="AD136" i="9"/>
  <c r="W253" i="9"/>
  <c r="U254" i="9" s="1"/>
  <c r="T163" i="9"/>
  <c r="R164" i="9" s="1"/>
  <c r="C358" i="9"/>
  <c r="D359" i="9"/>
  <c r="J355" i="9" l="1"/>
  <c r="H355" i="9"/>
  <c r="I355" i="9" s="1"/>
  <c r="AC136" i="9" a="1"/>
  <c r="AC136" i="9" s="1"/>
  <c r="AA137" i="9" s="1"/>
  <c r="Y136" i="9"/>
  <c r="X137" i="9" s="1"/>
  <c r="AH136" i="9"/>
  <c r="T164" i="9"/>
  <c r="W254" i="9"/>
  <c r="U255" i="9" s="1"/>
  <c r="C359" i="9"/>
  <c r="D360" i="9"/>
  <c r="J356" i="9" l="1"/>
  <c r="H356" i="9"/>
  <c r="I356" i="9" s="1"/>
  <c r="AI137" i="9"/>
  <c r="Z137" i="9"/>
  <c r="AG137" i="9"/>
  <c r="AD137" i="9"/>
  <c r="W255" i="9"/>
  <c r="U256" i="9" s="1"/>
  <c r="R165" i="9"/>
  <c r="D361" i="9"/>
  <c r="C360" i="9"/>
  <c r="J357" i="9" l="1"/>
  <c r="H357" i="9"/>
  <c r="I357" i="9" s="1"/>
  <c r="AH137" i="9"/>
  <c r="Y137" i="9"/>
  <c r="X138" i="9" s="1"/>
  <c r="AC137" i="9" a="1"/>
  <c r="AC137" i="9" s="1"/>
  <c r="AA138" i="9" s="1"/>
  <c r="T165" i="9"/>
  <c r="W256" i="9"/>
  <c r="U257" i="9" s="1"/>
  <c r="D362" i="9"/>
  <c r="C361" i="9"/>
  <c r="J358" i="9" l="1"/>
  <c r="H358" i="9"/>
  <c r="I358" i="9" s="1"/>
  <c r="AD138" i="9"/>
  <c r="Z138" i="9"/>
  <c r="AG138" i="9"/>
  <c r="AI138" i="9"/>
  <c r="W257" i="9"/>
  <c r="U258" i="9" s="1"/>
  <c r="R166" i="9"/>
  <c r="C362" i="9"/>
  <c r="D363" i="9"/>
  <c r="J359" i="9" l="1"/>
  <c r="H359" i="9"/>
  <c r="I359" i="9" s="1"/>
  <c r="Y138" i="9"/>
  <c r="X139" i="9" s="1"/>
  <c r="AC138" i="9" a="1"/>
  <c r="AC138" i="9" s="1"/>
  <c r="AA139" i="9" s="1"/>
  <c r="AH138" i="9"/>
  <c r="W258" i="9"/>
  <c r="U259" i="9" s="1"/>
  <c r="T166" i="9"/>
  <c r="C363" i="9"/>
  <c r="D364" i="9"/>
  <c r="J360" i="9" l="1"/>
  <c r="H360" i="9"/>
  <c r="I360" i="9" s="1"/>
  <c r="AD139" i="9"/>
  <c r="AG139" i="9"/>
  <c r="Z139" i="9"/>
  <c r="AI139" i="9"/>
  <c r="R167" i="9"/>
  <c r="W259" i="9"/>
  <c r="U260" i="9" s="1"/>
  <c r="D365" i="9"/>
  <c r="C364" i="9"/>
  <c r="J361" i="9" l="1"/>
  <c r="H361" i="9"/>
  <c r="I361" i="9" s="1"/>
  <c r="AC139" i="9" a="1"/>
  <c r="AC139" i="9" s="1"/>
  <c r="AA140" i="9" s="1"/>
  <c r="AH139" i="9"/>
  <c r="Y139" i="9"/>
  <c r="X140" i="9" s="1"/>
  <c r="W260" i="9"/>
  <c r="U261" i="9" s="1"/>
  <c r="T167" i="9"/>
  <c r="R168" i="9" s="1"/>
  <c r="D366" i="9"/>
  <c r="C365" i="9"/>
  <c r="J362" i="9" l="1"/>
  <c r="H362" i="9"/>
  <c r="I362" i="9" s="1"/>
  <c r="AG140" i="9"/>
  <c r="Z140" i="9"/>
  <c r="AI140" i="9"/>
  <c r="AD140" i="9"/>
  <c r="T168" i="9"/>
  <c r="W261" i="9"/>
  <c r="U262" i="9" s="1"/>
  <c r="C366" i="9"/>
  <c r="D367" i="9"/>
  <c r="J363" i="9" l="1"/>
  <c r="H363" i="9"/>
  <c r="I363" i="9" s="1"/>
  <c r="AC140" i="9" a="1"/>
  <c r="AC140" i="9" s="1"/>
  <c r="AA141" i="9" s="1"/>
  <c r="AH140" i="9"/>
  <c r="Y140" i="9"/>
  <c r="X141" i="9" s="1"/>
  <c r="W262" i="9"/>
  <c r="U263" i="9" s="1"/>
  <c r="R169" i="9"/>
  <c r="C367" i="9"/>
  <c r="D368" i="9"/>
  <c r="J364" i="9" l="1"/>
  <c r="H364" i="9"/>
  <c r="I364" i="9" s="1"/>
  <c r="AI141" i="9"/>
  <c r="AG141" i="9"/>
  <c r="Z141" i="9"/>
  <c r="AD141" i="9"/>
  <c r="T169" i="9"/>
  <c r="W263" i="9"/>
  <c r="U264" i="9" s="1"/>
  <c r="D369" i="9"/>
  <c r="C368" i="9"/>
  <c r="J365" i="9" l="1"/>
  <c r="H365" i="9"/>
  <c r="I365" i="9" s="1"/>
  <c r="AH141" i="9"/>
  <c r="AC141" i="9" a="1"/>
  <c r="AC141" i="9" s="1"/>
  <c r="AA142" i="9" s="1"/>
  <c r="Y141" i="9"/>
  <c r="X142" i="9" s="1"/>
  <c r="R170" i="9"/>
  <c r="W264" i="9"/>
  <c r="U265" i="9" s="1"/>
  <c r="D370" i="9"/>
  <c r="C369" i="9"/>
  <c r="J366" i="9" l="1"/>
  <c r="H366" i="9"/>
  <c r="I366" i="9" s="1"/>
  <c r="Z142" i="9"/>
  <c r="AI142" i="9"/>
  <c r="AG142" i="9"/>
  <c r="AD142" i="9"/>
  <c r="W265" i="9"/>
  <c r="U266" i="9" s="1"/>
  <c r="T170" i="9"/>
  <c r="C370" i="9"/>
  <c r="D371" i="9"/>
  <c r="J367" i="9" l="1"/>
  <c r="H367" i="9"/>
  <c r="I367" i="9" s="1"/>
  <c r="AC142" i="9" a="1"/>
  <c r="AC142" i="9" s="1"/>
  <c r="AA143" i="9" s="1"/>
  <c r="AH142" i="9"/>
  <c r="Y142" i="9"/>
  <c r="X143" i="9" s="1"/>
  <c r="W266" i="9"/>
  <c r="U267" i="9" s="1"/>
  <c r="R171" i="9"/>
  <c r="C371" i="9"/>
  <c r="D372" i="9"/>
  <c r="J368" i="9" l="1"/>
  <c r="H368" i="9"/>
  <c r="I368" i="9" s="1"/>
  <c r="AG143" i="9"/>
  <c r="AI143" i="9"/>
  <c r="Z143" i="9"/>
  <c r="AD143" i="9"/>
  <c r="W267" i="9"/>
  <c r="U268" i="9" s="1"/>
  <c r="T171" i="9"/>
  <c r="R172" i="9" s="1"/>
  <c r="D373" i="9"/>
  <c r="C372" i="9"/>
  <c r="J369" i="9" l="1"/>
  <c r="H369" i="9"/>
  <c r="I369" i="9" s="1"/>
  <c r="AC143" i="9" a="1"/>
  <c r="AC143" i="9" s="1"/>
  <c r="AA144" i="9" s="1"/>
  <c r="AH143" i="9"/>
  <c r="Y143" i="9"/>
  <c r="X144" i="9" s="1"/>
  <c r="T172" i="9"/>
  <c r="W268" i="9"/>
  <c r="U269" i="9" s="1"/>
  <c r="D374" i="9"/>
  <c r="C373" i="9"/>
  <c r="J370" i="9" l="1"/>
  <c r="H370" i="9"/>
  <c r="I370" i="9" s="1"/>
  <c r="Z144" i="9"/>
  <c r="AI144" i="9"/>
  <c r="AG144" i="9"/>
  <c r="AD144" i="9"/>
  <c r="R173" i="9"/>
  <c r="W269" i="9"/>
  <c r="U270" i="9" s="1"/>
  <c r="C374" i="9"/>
  <c r="D375" i="9"/>
  <c r="J371" i="9" l="1"/>
  <c r="H371" i="9"/>
  <c r="I371" i="9" s="1"/>
  <c r="AH144" i="9"/>
  <c r="Y144" i="9"/>
  <c r="X145" i="9" s="1"/>
  <c r="AC144" i="9" a="1"/>
  <c r="AC144" i="9" s="1"/>
  <c r="AA145" i="9" s="1"/>
  <c r="W270" i="9"/>
  <c r="U271" i="9" s="1"/>
  <c r="T173" i="9"/>
  <c r="C375" i="9"/>
  <c r="D376" i="9"/>
  <c r="J372" i="9" l="1"/>
  <c r="H372" i="9"/>
  <c r="I372" i="9" s="1"/>
  <c r="AI145" i="9"/>
  <c r="Z145" i="9"/>
  <c r="AG145" i="9"/>
  <c r="AD145" i="9"/>
  <c r="R174" i="9"/>
  <c r="W271" i="9"/>
  <c r="U272" i="9" s="1"/>
  <c r="D377" i="9"/>
  <c r="C376" i="9"/>
  <c r="J373" i="9" l="1"/>
  <c r="H373" i="9"/>
  <c r="I373" i="9" s="1"/>
  <c r="Y145" i="9"/>
  <c r="X146" i="9" s="1"/>
  <c r="AH145" i="9"/>
  <c r="AC145" i="9" a="1"/>
  <c r="AC145" i="9" s="1"/>
  <c r="AA146" i="9" s="1"/>
  <c r="W272" i="9"/>
  <c r="U273" i="9" s="1"/>
  <c r="T174" i="9"/>
  <c r="D378" i="9"/>
  <c r="C377" i="9"/>
  <c r="J374" i="9" l="1"/>
  <c r="H374" i="9"/>
  <c r="I374" i="9" s="1"/>
  <c r="AD146" i="9"/>
  <c r="AG146" i="9"/>
  <c r="Z146" i="9"/>
  <c r="AI146" i="9"/>
  <c r="R175" i="9"/>
  <c r="W273" i="9"/>
  <c r="U274" i="9" s="1"/>
  <c r="C378" i="9"/>
  <c r="D379" i="9"/>
  <c r="J375" i="9" l="1"/>
  <c r="H375" i="9"/>
  <c r="I375" i="9" s="1"/>
  <c r="Y146" i="9"/>
  <c r="X147" i="9" s="1"/>
  <c r="AH146" i="9"/>
  <c r="AC146" i="9" a="1"/>
  <c r="AC146" i="9" s="1"/>
  <c r="AA147" i="9" s="1"/>
  <c r="W274" i="9"/>
  <c r="U275" i="9" s="1"/>
  <c r="T175" i="9"/>
  <c r="R176" i="9" s="1"/>
  <c r="D380" i="9"/>
  <c r="C379" i="9"/>
  <c r="J376" i="9" l="1"/>
  <c r="H376" i="9"/>
  <c r="I376" i="9" s="1"/>
  <c r="AD147" i="9"/>
  <c r="AI147" i="9"/>
  <c r="Z147" i="9"/>
  <c r="AG147" i="9"/>
  <c r="T176" i="9"/>
  <c r="W275" i="9"/>
  <c r="U276" i="9" s="1"/>
  <c r="C380" i="9"/>
  <c r="D381" i="9"/>
  <c r="J377" i="9" l="1"/>
  <c r="H377" i="9"/>
  <c r="I377" i="9" s="1"/>
  <c r="AC147" i="9" a="1"/>
  <c r="AC147" i="9" s="1"/>
  <c r="AA148" i="9" s="1"/>
  <c r="AH147" i="9"/>
  <c r="Y147" i="9"/>
  <c r="X148" i="9" s="1"/>
  <c r="W276" i="9"/>
  <c r="U277" i="9" s="1"/>
  <c r="R177" i="9"/>
  <c r="C381" i="9"/>
  <c r="D382" i="9"/>
  <c r="J378" i="9" l="1"/>
  <c r="H378" i="9"/>
  <c r="I378" i="9" s="1"/>
  <c r="Z148" i="9"/>
  <c r="AG148" i="9"/>
  <c r="AI148" i="9"/>
  <c r="AD148" i="9"/>
  <c r="T177" i="9"/>
  <c r="W277" i="9"/>
  <c r="U278" i="9" s="1"/>
  <c r="D383" i="9"/>
  <c r="C382" i="9"/>
  <c r="J379" i="9" l="1"/>
  <c r="H379" i="9"/>
  <c r="I379" i="9" s="1"/>
  <c r="Y148" i="9"/>
  <c r="X149" i="9" s="1"/>
  <c r="AC148" i="9" a="1"/>
  <c r="AC148" i="9" s="1"/>
  <c r="AA149" i="9" s="1"/>
  <c r="AH148" i="9"/>
  <c r="R178" i="9"/>
  <c r="W278" i="9"/>
  <c r="U279" i="9" s="1"/>
  <c r="D384" i="9"/>
  <c r="C383" i="9"/>
  <c r="J380" i="9" l="1"/>
  <c r="H380" i="9"/>
  <c r="I380" i="9" s="1"/>
  <c r="AD149" i="9"/>
  <c r="AG149" i="9"/>
  <c r="Z149" i="9"/>
  <c r="AI149" i="9"/>
  <c r="W279" i="9"/>
  <c r="U280" i="9" s="1"/>
  <c r="T178" i="9"/>
  <c r="C384" i="9"/>
  <c r="D385" i="9"/>
  <c r="J381" i="9" l="1"/>
  <c r="H381" i="9"/>
  <c r="I381" i="9" s="1"/>
  <c r="AH149" i="9"/>
  <c r="Y149" i="9"/>
  <c r="X150" i="9" s="1"/>
  <c r="AC149" i="9" a="1"/>
  <c r="AC149" i="9" s="1"/>
  <c r="AA150" i="9" s="1"/>
  <c r="W280" i="9"/>
  <c r="U281" i="9" s="1"/>
  <c r="R179" i="9"/>
  <c r="C385" i="9"/>
  <c r="D386" i="9"/>
  <c r="J382" i="9" l="1"/>
  <c r="H382" i="9"/>
  <c r="I382" i="9" s="1"/>
  <c r="AD150" i="9"/>
  <c r="AI150" i="9"/>
  <c r="AG150" i="9"/>
  <c r="Z150" i="9"/>
  <c r="W281" i="9"/>
  <c r="U282" i="9" s="1"/>
  <c r="T179" i="9"/>
  <c r="R180" i="9" s="1"/>
  <c r="D387" i="9"/>
  <c r="C386" i="9"/>
  <c r="J383" i="9" l="1"/>
  <c r="H383" i="9"/>
  <c r="I383" i="9" s="1"/>
  <c r="AH150" i="9"/>
  <c r="AC150" i="9" a="1"/>
  <c r="AC150" i="9" s="1"/>
  <c r="AA151" i="9" s="1"/>
  <c r="Y150" i="9"/>
  <c r="X151" i="9" s="1"/>
  <c r="T180" i="9"/>
  <c r="W282" i="9"/>
  <c r="U283" i="9" s="1"/>
  <c r="D388" i="9"/>
  <c r="C387" i="9"/>
  <c r="J384" i="9" l="1"/>
  <c r="H384" i="9"/>
  <c r="I384" i="9" s="1"/>
  <c r="Z151" i="9"/>
  <c r="AI151" i="9"/>
  <c r="AG151" i="9"/>
  <c r="AD151" i="9"/>
  <c r="W283" i="9"/>
  <c r="U284" i="9" s="1"/>
  <c r="R181" i="9"/>
  <c r="C388" i="9"/>
  <c r="D389" i="9"/>
  <c r="J385" i="9" l="1"/>
  <c r="H385" i="9"/>
  <c r="I385" i="9" s="1"/>
  <c r="AH151" i="9"/>
  <c r="AC151" i="9" a="1"/>
  <c r="AC151" i="9" s="1"/>
  <c r="AA152" i="9" s="1"/>
  <c r="Y151" i="9"/>
  <c r="X152" i="9" s="1"/>
  <c r="T181" i="9"/>
  <c r="W284" i="9"/>
  <c r="U285" i="9" s="1"/>
  <c r="C389" i="9"/>
  <c r="D390" i="9"/>
  <c r="J386" i="9" l="1"/>
  <c r="H386" i="9"/>
  <c r="I386" i="9" s="1"/>
  <c r="Z152" i="9"/>
  <c r="AI152" i="9"/>
  <c r="AG152" i="9"/>
  <c r="AD152" i="9"/>
  <c r="R182" i="9"/>
  <c r="W285" i="9"/>
  <c r="U286" i="9" s="1"/>
  <c r="D391" i="9"/>
  <c r="C390" i="9"/>
  <c r="J387" i="9" l="1"/>
  <c r="H387" i="9"/>
  <c r="I387" i="9" s="1"/>
  <c r="AC152" i="9" a="1"/>
  <c r="AC152" i="9" s="1"/>
  <c r="AA153" i="9" s="1"/>
  <c r="AH152" i="9"/>
  <c r="Y152" i="9"/>
  <c r="X153" i="9" s="1"/>
  <c r="T182" i="9"/>
  <c r="W286" i="9"/>
  <c r="U287" i="9" s="1"/>
  <c r="D392" i="9"/>
  <c r="C391" i="9"/>
  <c r="J388" i="9" l="1"/>
  <c r="H388" i="9"/>
  <c r="I388" i="9" s="1"/>
  <c r="Z153" i="9"/>
  <c r="AG153" i="9"/>
  <c r="AI153" i="9"/>
  <c r="AD153" i="9"/>
  <c r="W287" i="9"/>
  <c r="U288" i="9" s="1"/>
  <c r="R183" i="9"/>
  <c r="C392" i="9"/>
  <c r="D393" i="9"/>
  <c r="J389" i="9" l="1"/>
  <c r="H389" i="9"/>
  <c r="I389" i="9" s="1"/>
  <c r="AC153" i="9" a="1"/>
  <c r="AC153" i="9" s="1"/>
  <c r="AA154" i="9" s="1"/>
  <c r="Y153" i="9"/>
  <c r="X154" i="9" s="1"/>
  <c r="AH153" i="9"/>
  <c r="T183" i="9"/>
  <c r="W288" i="9"/>
  <c r="U289" i="9" s="1"/>
  <c r="C393" i="9"/>
  <c r="D394" i="9"/>
  <c r="J390" i="9" l="1"/>
  <c r="H390" i="9"/>
  <c r="I390" i="9" s="1"/>
  <c r="AI154" i="9"/>
  <c r="Z154" i="9"/>
  <c r="AG154" i="9"/>
  <c r="AD154" i="9"/>
  <c r="W289" i="9"/>
  <c r="U290" i="9" s="1"/>
  <c r="R184" i="9"/>
  <c r="D395" i="9"/>
  <c r="C394" i="9"/>
  <c r="J391" i="9" l="1"/>
  <c r="H391" i="9"/>
  <c r="I391" i="9" s="1"/>
  <c r="AC154" i="9" a="1"/>
  <c r="AC154" i="9" s="1"/>
  <c r="AA155" i="9" s="1"/>
  <c r="AH154" i="9"/>
  <c r="Y154" i="9"/>
  <c r="X155" i="9" s="1"/>
  <c r="W290" i="9"/>
  <c r="U291" i="9" s="1"/>
  <c r="T184" i="9"/>
  <c r="D396" i="9"/>
  <c r="C395" i="9"/>
  <c r="J392" i="9" l="1"/>
  <c r="H392" i="9"/>
  <c r="I392" i="9" s="1"/>
  <c r="AG155" i="9"/>
  <c r="Z155" i="9"/>
  <c r="AI155" i="9"/>
  <c r="AD155" i="9"/>
  <c r="R185" i="9"/>
  <c r="W291" i="9"/>
  <c r="U292" i="9" s="1"/>
  <c r="C396" i="9"/>
  <c r="D397" i="9"/>
  <c r="J393" i="9" l="1"/>
  <c r="H393" i="9"/>
  <c r="I393" i="9" s="1"/>
  <c r="AC155" i="9" a="1"/>
  <c r="AC155" i="9" s="1"/>
  <c r="AA156" i="9" s="1"/>
  <c r="AH155" i="9"/>
  <c r="Y155" i="9"/>
  <c r="X156" i="9" s="1"/>
  <c r="W292" i="9"/>
  <c r="U293" i="9" s="1"/>
  <c r="T185" i="9"/>
  <c r="C397" i="9"/>
  <c r="D398" i="9"/>
  <c r="J394" i="9" l="1"/>
  <c r="H394" i="9"/>
  <c r="I394" i="9" s="1"/>
  <c r="AG156" i="9"/>
  <c r="AI156" i="9"/>
  <c r="Z156" i="9"/>
  <c r="AD156" i="9"/>
  <c r="R186" i="9"/>
  <c r="W293" i="9"/>
  <c r="U294" i="9" s="1"/>
  <c r="D399" i="9"/>
  <c r="C398" i="9"/>
  <c r="J395" i="9" l="1"/>
  <c r="H395" i="9"/>
  <c r="I395" i="9" s="1"/>
  <c r="AC156" i="9" a="1"/>
  <c r="AC156" i="9" s="1"/>
  <c r="AA157" i="9" s="1"/>
  <c r="AH156" i="9"/>
  <c r="Y156" i="9"/>
  <c r="X157" i="9" s="1"/>
  <c r="W294" i="9"/>
  <c r="U295" i="9" s="1"/>
  <c r="T186" i="9"/>
  <c r="D400" i="9"/>
  <c r="C399" i="9"/>
  <c r="J396" i="9" l="1"/>
  <c r="H396" i="9"/>
  <c r="I396" i="9" s="1"/>
  <c r="AG157" i="9"/>
  <c r="Z157" i="9"/>
  <c r="AI157" i="9"/>
  <c r="AD157" i="9"/>
  <c r="W295" i="9"/>
  <c r="U296" i="9" s="1"/>
  <c r="R187" i="9"/>
  <c r="C400" i="9"/>
  <c r="D401" i="9"/>
  <c r="J397" i="9" l="1"/>
  <c r="H397" i="9"/>
  <c r="I397" i="9" s="1"/>
  <c r="AC157" i="9" a="1"/>
  <c r="AC157" i="9" s="1"/>
  <c r="AA158" i="9" s="1"/>
  <c r="AH157" i="9"/>
  <c r="Y157" i="9"/>
  <c r="X158" i="9" s="1"/>
  <c r="T187" i="9"/>
  <c r="R188" i="9" s="1"/>
  <c r="W296" i="9"/>
  <c r="U297" i="9" s="1"/>
  <c r="C401" i="9"/>
  <c r="D402" i="9"/>
  <c r="J398" i="9" l="1"/>
  <c r="H398" i="9"/>
  <c r="I398" i="9" s="1"/>
  <c r="AI158" i="9"/>
  <c r="AG158" i="9"/>
  <c r="Z158" i="9"/>
  <c r="AD158" i="9"/>
  <c r="W297" i="9"/>
  <c r="U298" i="9" s="1"/>
  <c r="T188" i="9"/>
  <c r="D403" i="9"/>
  <c r="C402" i="9"/>
  <c r="J399" i="9" l="1"/>
  <c r="H399" i="9"/>
  <c r="I399" i="9" s="1"/>
  <c r="AH158" i="9"/>
  <c r="AC158" i="9" a="1"/>
  <c r="AC158" i="9" s="1"/>
  <c r="AA159" i="9" s="1"/>
  <c r="Y158" i="9"/>
  <c r="X159" i="9" s="1"/>
  <c r="R189" i="9"/>
  <c r="W298" i="9"/>
  <c r="U299" i="9" s="1"/>
  <c r="D404" i="9"/>
  <c r="C403" i="9"/>
  <c r="J400" i="9" l="1"/>
  <c r="H400" i="9"/>
  <c r="I400" i="9" s="1"/>
  <c r="AD159" i="9"/>
  <c r="AI159" i="9"/>
  <c r="Z159" i="9"/>
  <c r="AG159" i="9"/>
  <c r="W299" i="9"/>
  <c r="U300" i="9" s="1"/>
  <c r="T189" i="9"/>
  <c r="C404" i="9"/>
  <c r="D405" i="9"/>
  <c r="J401" i="9" l="1"/>
  <c r="H401" i="9"/>
  <c r="I401" i="9" s="1"/>
  <c r="AH159" i="9"/>
  <c r="Y159" i="9"/>
  <c r="X160" i="9" s="1"/>
  <c r="AC159" i="9" a="1"/>
  <c r="AC159" i="9" s="1"/>
  <c r="AA160" i="9" s="1"/>
  <c r="R190" i="9"/>
  <c r="W300" i="9"/>
  <c r="U301" i="9" s="1"/>
  <c r="C405" i="9"/>
  <c r="D406" i="9"/>
  <c r="J402" i="9" l="1"/>
  <c r="H402" i="9"/>
  <c r="I402" i="9" s="1"/>
  <c r="Z160" i="9"/>
  <c r="AI160" i="9"/>
  <c r="AG160" i="9"/>
  <c r="AD160" i="9"/>
  <c r="W301" i="9"/>
  <c r="U302" i="9" s="1"/>
  <c r="T190" i="9"/>
  <c r="D407" i="9"/>
  <c r="C406" i="9"/>
  <c r="J403" i="9" l="1"/>
  <c r="H403" i="9"/>
  <c r="I403" i="9" s="1"/>
  <c r="AH160" i="9"/>
  <c r="Y160" i="9"/>
  <c r="X161" i="9" s="1"/>
  <c r="AC160" i="9" a="1"/>
  <c r="AC160" i="9" s="1"/>
  <c r="AA161" i="9" s="1"/>
  <c r="W302" i="9"/>
  <c r="U303" i="9" s="1"/>
  <c r="R191" i="9"/>
  <c r="D408" i="9"/>
  <c r="C407" i="9"/>
  <c r="J404" i="9" l="1"/>
  <c r="H404" i="9"/>
  <c r="I404" i="9" s="1"/>
  <c r="Z161" i="9"/>
  <c r="AG161" i="9"/>
  <c r="AI161" i="9"/>
  <c r="AD161" i="9"/>
  <c r="W303" i="9"/>
  <c r="U304" i="9" s="1"/>
  <c r="T191" i="9"/>
  <c r="C408" i="9"/>
  <c r="D409" i="9"/>
  <c r="J405" i="9" l="1"/>
  <c r="H405" i="9"/>
  <c r="I405" i="9" s="1"/>
  <c r="AC161" i="9" a="1"/>
  <c r="AC161" i="9" s="1"/>
  <c r="AA162" i="9" s="1"/>
  <c r="Y161" i="9"/>
  <c r="X162" i="9" s="1"/>
  <c r="AH161" i="9"/>
  <c r="R192" i="9"/>
  <c r="W304" i="9"/>
  <c r="U305" i="9" s="1"/>
  <c r="C409" i="9"/>
  <c r="D410" i="9"/>
  <c r="J406" i="9" l="1"/>
  <c r="H406" i="9"/>
  <c r="I406" i="9" s="1"/>
  <c r="AI162" i="9"/>
  <c r="AG162" i="9"/>
  <c r="Z162" i="9"/>
  <c r="AD162" i="9"/>
  <c r="W305" i="9"/>
  <c r="U306" i="9" s="1"/>
  <c r="T192" i="9"/>
  <c r="R193" i="9" s="1"/>
  <c r="D411" i="9"/>
  <c r="C410" i="9"/>
  <c r="J407" i="9" l="1"/>
  <c r="H407" i="9"/>
  <c r="I407" i="9" s="1"/>
  <c r="Y162" i="9"/>
  <c r="X163" i="9" s="1"/>
  <c r="AC162" i="9" a="1"/>
  <c r="AC162" i="9" s="1"/>
  <c r="AA163" i="9" s="1"/>
  <c r="AH162" i="9"/>
  <c r="W306" i="9"/>
  <c r="U307" i="9" s="1"/>
  <c r="T193" i="9"/>
  <c r="D412" i="9"/>
  <c r="C411" i="9"/>
  <c r="J408" i="9" l="1"/>
  <c r="H408" i="9"/>
  <c r="I408" i="9" s="1"/>
  <c r="AD163" i="9"/>
  <c r="AG163" i="9"/>
  <c r="Z163" i="9"/>
  <c r="AI163" i="9"/>
  <c r="W307" i="9"/>
  <c r="U308" i="9" s="1"/>
  <c r="R194" i="9"/>
  <c r="C412" i="9"/>
  <c r="D413" i="9"/>
  <c r="J409" i="9" l="1"/>
  <c r="H409" i="9"/>
  <c r="I409" i="9" s="1"/>
  <c r="AC163" i="9" a="1"/>
  <c r="AC163" i="9" s="1"/>
  <c r="AA164" i="9" s="1"/>
  <c r="AH163" i="9"/>
  <c r="Y163" i="9"/>
  <c r="X164" i="9" s="1"/>
  <c r="T194" i="9"/>
  <c r="W308" i="9"/>
  <c r="U309" i="9" s="1"/>
  <c r="C413" i="9"/>
  <c r="D414" i="9"/>
  <c r="J410" i="9" l="1"/>
  <c r="H410" i="9"/>
  <c r="I410" i="9" s="1"/>
  <c r="AI164" i="9"/>
  <c r="AG164" i="9"/>
  <c r="Z164" i="9"/>
  <c r="AD164" i="9"/>
  <c r="W309" i="9"/>
  <c r="U310" i="9" s="1"/>
  <c r="R195" i="9"/>
  <c r="D415" i="9"/>
  <c r="C414" i="9"/>
  <c r="J411" i="9" l="1"/>
  <c r="H411" i="9"/>
  <c r="I411" i="9" s="1"/>
  <c r="Y164" i="9"/>
  <c r="X165" i="9" s="1"/>
  <c r="AH164" i="9"/>
  <c r="AC164" i="9" a="1"/>
  <c r="AC164" i="9" s="1"/>
  <c r="AA165" i="9" s="1"/>
  <c r="W310" i="9"/>
  <c r="U311" i="9" s="1"/>
  <c r="T195" i="9"/>
  <c r="R196" i="9" s="1"/>
  <c r="D416" i="9"/>
  <c r="C415" i="9"/>
  <c r="J412" i="9" l="1"/>
  <c r="H412" i="9"/>
  <c r="I412" i="9" s="1"/>
  <c r="AD165" i="9"/>
  <c r="AG165" i="9"/>
  <c r="Z165" i="9"/>
  <c r="AI165" i="9"/>
  <c r="T196" i="9"/>
  <c r="W311" i="9"/>
  <c r="U312" i="9" s="1"/>
  <c r="C416" i="9"/>
  <c r="D417" i="9"/>
  <c r="J413" i="9" l="1"/>
  <c r="H413" i="9"/>
  <c r="I413" i="9" s="1"/>
  <c r="AH165" i="9"/>
  <c r="AC165" i="9" a="1"/>
  <c r="AC165" i="9" s="1"/>
  <c r="AA166" i="9" s="1"/>
  <c r="Y165" i="9"/>
  <c r="X166" i="9" s="1"/>
  <c r="W312" i="9"/>
  <c r="U313" i="9" s="1"/>
  <c r="R197" i="9"/>
  <c r="C417" i="9"/>
  <c r="D418" i="9"/>
  <c r="J414" i="9" l="1"/>
  <c r="H414" i="9"/>
  <c r="I414" i="9" s="1"/>
  <c r="Z166" i="9"/>
  <c r="AI166" i="9"/>
  <c r="AG166" i="9"/>
  <c r="AD166" i="9"/>
  <c r="T197" i="9"/>
  <c r="W313" i="9"/>
  <c r="U314" i="9" s="1"/>
  <c r="D419" i="9"/>
  <c r="C418" i="9"/>
  <c r="J415" i="9" l="1"/>
  <c r="H415" i="9"/>
  <c r="I415" i="9" s="1"/>
  <c r="AC166" i="9" a="1"/>
  <c r="AC166" i="9" s="1"/>
  <c r="AA167" i="9" s="1"/>
  <c r="Y166" i="9"/>
  <c r="X167" i="9" s="1"/>
  <c r="AH166" i="9"/>
  <c r="W314" i="9"/>
  <c r="U315" i="9" s="1"/>
  <c r="R198" i="9"/>
  <c r="D420" i="9"/>
  <c r="C419" i="9"/>
  <c r="J416" i="9" l="1"/>
  <c r="H416" i="9"/>
  <c r="I416" i="9" s="1"/>
  <c r="AG167" i="9"/>
  <c r="Z167" i="9"/>
  <c r="AI167" i="9"/>
  <c r="AD167" i="9"/>
  <c r="T198" i="9"/>
  <c r="W315" i="9"/>
  <c r="U316" i="9" s="1"/>
  <c r="C420" i="9"/>
  <c r="D421" i="9"/>
  <c r="J417" i="9" l="1"/>
  <c r="H417" i="9"/>
  <c r="I417" i="9" s="1"/>
  <c r="Y167" i="9"/>
  <c r="X168" i="9" s="1"/>
  <c r="AH167" i="9"/>
  <c r="AC167" i="9" a="1"/>
  <c r="AC167" i="9" s="1"/>
  <c r="AA168" i="9" s="1"/>
  <c r="R199" i="9"/>
  <c r="W316" i="9"/>
  <c r="U317" i="9" s="1"/>
  <c r="C421" i="9"/>
  <c r="D422" i="9"/>
  <c r="J418" i="9" l="1"/>
  <c r="H418" i="9"/>
  <c r="I418" i="9" s="1"/>
  <c r="AD168" i="9"/>
  <c r="Z168" i="9"/>
  <c r="AG168" i="9"/>
  <c r="AI168" i="9"/>
  <c r="W317" i="9"/>
  <c r="U318" i="9" s="1"/>
  <c r="T199" i="9"/>
  <c r="R200" i="9" s="1"/>
  <c r="D423" i="9"/>
  <c r="C422" i="9"/>
  <c r="J419" i="9" l="1"/>
  <c r="H419" i="9"/>
  <c r="I419" i="9" s="1"/>
  <c r="Y168" i="9"/>
  <c r="X169" i="9" s="1"/>
  <c r="AH168" i="9"/>
  <c r="AC168" i="9" a="1"/>
  <c r="AC168" i="9" s="1"/>
  <c r="AA169" i="9" s="1"/>
  <c r="W318" i="9"/>
  <c r="U319" i="9" s="1"/>
  <c r="T200" i="9"/>
  <c r="R201" i="9" s="1"/>
  <c r="D424" i="9"/>
  <c r="C423" i="9"/>
  <c r="J420" i="9" l="1"/>
  <c r="H420" i="9"/>
  <c r="I420" i="9" s="1"/>
  <c r="AD169" i="9"/>
  <c r="Z169" i="9"/>
  <c r="AG169" i="9"/>
  <c r="AI169" i="9"/>
  <c r="T201" i="9"/>
  <c r="R202" i="9" s="1"/>
  <c r="W319" i="9"/>
  <c r="U320" i="9" s="1"/>
  <c r="C424" i="9"/>
  <c r="D425" i="9"/>
  <c r="J421" i="9" l="1"/>
  <c r="H421" i="9"/>
  <c r="I421" i="9" s="1"/>
  <c r="AH169" i="9"/>
  <c r="AC169" i="9" a="1"/>
  <c r="AC169" i="9" s="1"/>
  <c r="AA170" i="9" s="1"/>
  <c r="Y169" i="9"/>
  <c r="X170" i="9" s="1"/>
  <c r="W320" i="9"/>
  <c r="U321" i="9" s="1"/>
  <c r="T202" i="9"/>
  <c r="C425" i="9"/>
  <c r="D426" i="9"/>
  <c r="J422" i="9" l="1"/>
  <c r="H422" i="9"/>
  <c r="I422" i="9" s="1"/>
  <c r="AD170" i="9"/>
  <c r="AI170" i="9"/>
  <c r="Z170" i="9"/>
  <c r="AG170" i="9"/>
  <c r="R203" i="9"/>
  <c r="W321" i="9"/>
  <c r="U322" i="9" s="1"/>
  <c r="D427" i="9"/>
  <c r="C426" i="9"/>
  <c r="J423" i="9" l="1"/>
  <c r="H423" i="9"/>
  <c r="I423" i="9" s="1"/>
  <c r="AH170" i="9"/>
  <c r="AC170" i="9" a="1"/>
  <c r="AC170" i="9" s="1"/>
  <c r="AA171" i="9" s="1"/>
  <c r="Y170" i="9"/>
  <c r="X171" i="9" s="1"/>
  <c r="W322" i="9"/>
  <c r="U323" i="9" s="1"/>
  <c r="T203" i="9"/>
  <c r="D428" i="9"/>
  <c r="C427" i="9"/>
  <c r="J424" i="9" l="1"/>
  <c r="H424" i="9"/>
  <c r="I424" i="9" s="1"/>
  <c r="Z171" i="9"/>
  <c r="AI171" i="9"/>
  <c r="AG171" i="9"/>
  <c r="AD171" i="9"/>
  <c r="R204" i="9"/>
  <c r="W323" i="9"/>
  <c r="U324" i="9" s="1"/>
  <c r="C428" i="9"/>
  <c r="D429" i="9"/>
  <c r="J425" i="9" l="1"/>
  <c r="H425" i="9"/>
  <c r="I425" i="9" s="1"/>
  <c r="Y171" i="9"/>
  <c r="X172" i="9" s="1"/>
  <c r="AC171" i="9" a="1"/>
  <c r="AC171" i="9" s="1"/>
  <c r="AA172" i="9" s="1"/>
  <c r="AH171" i="9"/>
  <c r="W324" i="9"/>
  <c r="U325" i="9" s="1"/>
  <c r="T204" i="9"/>
  <c r="C429" i="9"/>
  <c r="D430" i="9"/>
  <c r="J426" i="9" l="1"/>
  <c r="H426" i="9"/>
  <c r="I426" i="9" s="1"/>
  <c r="AD172" i="9"/>
  <c r="AG172" i="9"/>
  <c r="AI172" i="9"/>
  <c r="Z172" i="9"/>
  <c r="R205" i="9"/>
  <c r="W325" i="9"/>
  <c r="U326" i="9" s="1"/>
  <c r="D431" i="9"/>
  <c r="C430" i="9"/>
  <c r="J427" i="9" l="1"/>
  <c r="H427" i="9"/>
  <c r="I427" i="9" s="1"/>
  <c r="Y172" i="9"/>
  <c r="X173" i="9" s="1"/>
  <c r="AC172" i="9" a="1"/>
  <c r="AC172" i="9" s="1"/>
  <c r="AA173" i="9" s="1"/>
  <c r="AH172" i="9"/>
  <c r="W326" i="9"/>
  <c r="U327" i="9" s="1"/>
  <c r="T205" i="9"/>
  <c r="D432" i="9"/>
  <c r="C431" i="9"/>
  <c r="J428" i="9" l="1"/>
  <c r="H428" i="9"/>
  <c r="I428" i="9" s="1"/>
  <c r="AD173" i="9"/>
  <c r="Z173" i="9"/>
  <c r="AG173" i="9"/>
  <c r="AI173" i="9"/>
  <c r="W327" i="9"/>
  <c r="U328" i="9" s="1"/>
  <c r="R206" i="9"/>
  <c r="C432" i="9"/>
  <c r="D433" i="9"/>
  <c r="J429" i="9" l="1"/>
  <c r="H429" i="9"/>
  <c r="I429" i="9" s="1"/>
  <c r="AC173" i="9" a="1"/>
  <c r="AC173" i="9" s="1"/>
  <c r="AA174" i="9" s="1"/>
  <c r="Y173" i="9"/>
  <c r="X174" i="9" s="1"/>
  <c r="AH173" i="9"/>
  <c r="T206" i="9"/>
  <c r="W328" i="9"/>
  <c r="U329" i="9" s="1"/>
  <c r="C433" i="9"/>
  <c r="D434" i="9"/>
  <c r="J430" i="9" l="1"/>
  <c r="H430" i="9"/>
  <c r="I430" i="9" s="1"/>
  <c r="Z174" i="9"/>
  <c r="AI174" i="9"/>
  <c r="AG174" i="9"/>
  <c r="AD174" i="9"/>
  <c r="W329" i="9"/>
  <c r="U330" i="9" s="1"/>
  <c r="R207" i="9"/>
  <c r="D435" i="9"/>
  <c r="C434" i="9"/>
  <c r="J431" i="9" l="1"/>
  <c r="H431" i="9"/>
  <c r="I431" i="9" s="1"/>
  <c r="AC174" i="9" a="1"/>
  <c r="AC174" i="9" s="1"/>
  <c r="AA175" i="9" s="1"/>
  <c r="Y174" i="9"/>
  <c r="X175" i="9" s="1"/>
  <c r="AH174" i="9"/>
  <c r="T207" i="9"/>
  <c r="W330" i="9"/>
  <c r="U331" i="9" s="1"/>
  <c r="D436" i="9"/>
  <c r="C435" i="9"/>
  <c r="J432" i="9" l="1"/>
  <c r="H432" i="9"/>
  <c r="I432" i="9" s="1"/>
  <c r="AI175" i="9"/>
  <c r="AG175" i="9"/>
  <c r="Z175" i="9"/>
  <c r="AD175" i="9"/>
  <c r="R208" i="9"/>
  <c r="W331" i="9"/>
  <c r="U332" i="9" s="1"/>
  <c r="C436" i="9"/>
  <c r="D437" i="9"/>
  <c r="J433" i="9" l="1"/>
  <c r="H433" i="9"/>
  <c r="I433" i="9" s="1"/>
  <c r="AC175" i="9" a="1"/>
  <c r="AC175" i="9" s="1"/>
  <c r="AA176" i="9" s="1"/>
  <c r="AH175" i="9"/>
  <c r="Y175" i="9"/>
  <c r="X176" i="9" s="1"/>
  <c r="T208" i="9"/>
  <c r="W332" i="9"/>
  <c r="U333" i="9" s="1"/>
  <c r="C437" i="9"/>
  <c r="D438" i="9"/>
  <c r="J434" i="9" l="1"/>
  <c r="H434" i="9"/>
  <c r="I434" i="9" s="1"/>
  <c r="AG176" i="9"/>
  <c r="AI176" i="9"/>
  <c r="Z176" i="9"/>
  <c r="AD176" i="9"/>
  <c r="W333" i="9"/>
  <c r="U334" i="9" s="1"/>
  <c r="R209" i="9"/>
  <c r="D439" i="9"/>
  <c r="C438" i="9"/>
  <c r="J435" i="9" l="1"/>
  <c r="H435" i="9"/>
  <c r="I435" i="9" s="1"/>
  <c r="AH176" i="9"/>
  <c r="Y176" i="9"/>
  <c r="X177" i="9" s="1"/>
  <c r="AC176" i="9" a="1"/>
  <c r="AC176" i="9" s="1"/>
  <c r="AA177" i="9" s="1"/>
  <c r="T209" i="9"/>
  <c r="W334" i="9"/>
  <c r="U335" i="9" s="1"/>
  <c r="D440" i="9"/>
  <c r="C439" i="9"/>
  <c r="J436" i="9" l="1"/>
  <c r="H436" i="9"/>
  <c r="I436" i="9" s="1"/>
  <c r="AD177" i="9"/>
  <c r="Z177" i="9"/>
  <c r="AG177" i="9"/>
  <c r="AI177" i="9"/>
  <c r="R210" i="9"/>
  <c r="W335" i="9"/>
  <c r="U336" i="9" s="1"/>
  <c r="C440" i="9"/>
  <c r="D441" i="9"/>
  <c r="J437" i="9" l="1"/>
  <c r="H437" i="9"/>
  <c r="I437" i="9" s="1"/>
  <c r="AC177" i="9" a="1"/>
  <c r="AC177" i="9" s="1"/>
  <c r="AA178" i="9" s="1"/>
  <c r="Y177" i="9"/>
  <c r="X178" i="9" s="1"/>
  <c r="AH177" i="9"/>
  <c r="W336" i="9"/>
  <c r="U337" i="9" s="1"/>
  <c r="T210" i="9"/>
  <c r="C441" i="9"/>
  <c r="D442" i="9"/>
  <c r="J438" i="9" l="1"/>
  <c r="H438" i="9"/>
  <c r="I438" i="9" s="1"/>
  <c r="Z178" i="9"/>
  <c r="AI178" i="9"/>
  <c r="AG178" i="9"/>
  <c r="AD178" i="9"/>
  <c r="W337" i="9"/>
  <c r="U338" i="9" s="1"/>
  <c r="R211" i="9"/>
  <c r="D443" i="9"/>
  <c r="C442" i="9"/>
  <c r="J439" i="9" l="1"/>
  <c r="H439" i="9"/>
  <c r="I439" i="9" s="1"/>
  <c r="AC178" i="9" a="1"/>
  <c r="AC178" i="9" s="1"/>
  <c r="AA179" i="9" s="1"/>
  <c r="Y178" i="9"/>
  <c r="X179" i="9" s="1"/>
  <c r="AH178" i="9"/>
  <c r="T211" i="9"/>
  <c r="W338" i="9"/>
  <c r="U339" i="9" s="1"/>
  <c r="D444" i="9"/>
  <c r="C443" i="9"/>
  <c r="J440" i="9" l="1"/>
  <c r="H440" i="9"/>
  <c r="I440" i="9" s="1"/>
  <c r="AG179" i="9"/>
  <c r="Z179" i="9"/>
  <c r="AI179" i="9"/>
  <c r="AD179" i="9"/>
  <c r="R212" i="9"/>
  <c r="W339" i="9"/>
  <c r="U340" i="9" s="1"/>
  <c r="C444" i="9"/>
  <c r="D445" i="9"/>
  <c r="J441" i="9" l="1"/>
  <c r="H441" i="9"/>
  <c r="I441" i="9" s="1"/>
  <c r="Y179" i="9"/>
  <c r="X180" i="9" s="1"/>
  <c r="AC179" i="9" a="1"/>
  <c r="AC179" i="9" s="1"/>
  <c r="AA180" i="9" s="1"/>
  <c r="AH179" i="9"/>
  <c r="T212" i="9"/>
  <c r="W340" i="9"/>
  <c r="U341" i="9" s="1"/>
  <c r="C445" i="9"/>
  <c r="D446" i="9"/>
  <c r="J442" i="9" l="1"/>
  <c r="H442" i="9"/>
  <c r="I442" i="9" s="1"/>
  <c r="AD180" i="9"/>
  <c r="AI180" i="9"/>
  <c r="AG180" i="9"/>
  <c r="Z180" i="9"/>
  <c r="R213" i="9"/>
  <c r="W341" i="9"/>
  <c r="U342" i="9" s="1"/>
  <c r="D447" i="9"/>
  <c r="C446" i="9"/>
  <c r="J443" i="9" l="1"/>
  <c r="H443" i="9"/>
  <c r="I443" i="9" s="1"/>
  <c r="Y180" i="9"/>
  <c r="X181" i="9" s="1"/>
  <c r="AH180" i="9"/>
  <c r="AC180" i="9" a="1"/>
  <c r="AC180" i="9" s="1"/>
  <c r="AA181" i="9" s="1"/>
  <c r="W342" i="9"/>
  <c r="U343" i="9" s="1"/>
  <c r="T213" i="9"/>
  <c r="D448" i="9"/>
  <c r="C447" i="9"/>
  <c r="J444" i="9" l="1"/>
  <c r="H444" i="9"/>
  <c r="I444" i="9" s="1"/>
  <c r="AD181" i="9"/>
  <c r="Z181" i="9"/>
  <c r="AI181" i="9"/>
  <c r="AG181" i="9"/>
  <c r="R214" i="9"/>
  <c r="W343" i="9"/>
  <c r="U344" i="9" s="1"/>
  <c r="C448" i="9"/>
  <c r="D449" i="9"/>
  <c r="J445" i="9" l="1"/>
  <c r="H445" i="9"/>
  <c r="I445" i="9" s="1"/>
  <c r="AC181" i="9" a="1"/>
  <c r="AC181" i="9" s="1"/>
  <c r="AA182" i="9" s="1"/>
  <c r="AH181" i="9"/>
  <c r="Y181" i="9"/>
  <c r="X182" i="9" s="1"/>
  <c r="W344" i="9"/>
  <c r="U345" i="9" s="1"/>
  <c r="T214" i="9"/>
  <c r="C449" i="9"/>
  <c r="D450" i="9"/>
  <c r="J446" i="9" l="1"/>
  <c r="H446" i="9"/>
  <c r="I446" i="9" s="1"/>
  <c r="Z182" i="9"/>
  <c r="AI182" i="9"/>
  <c r="AG182" i="9"/>
  <c r="AD182" i="9"/>
  <c r="R215" i="9"/>
  <c r="W345" i="9"/>
  <c r="U346" i="9" s="1"/>
  <c r="D451" i="9"/>
  <c r="C450" i="9"/>
  <c r="J447" i="9" l="1"/>
  <c r="H447" i="9"/>
  <c r="I447" i="9" s="1"/>
  <c r="AH182" i="9"/>
  <c r="AC182" i="9" a="1"/>
  <c r="AC182" i="9" s="1"/>
  <c r="AA183" i="9" s="1"/>
  <c r="Y182" i="9"/>
  <c r="X183" i="9" s="1"/>
  <c r="W346" i="9"/>
  <c r="U347" i="9" s="1"/>
  <c r="T215" i="9"/>
  <c r="D452" i="9"/>
  <c r="C451" i="9"/>
  <c r="J448" i="9" l="1"/>
  <c r="H448" i="9"/>
  <c r="I448" i="9" s="1"/>
  <c r="AG183" i="9"/>
  <c r="Z183" i="9"/>
  <c r="AI183" i="9"/>
  <c r="AD183" i="9"/>
  <c r="R216" i="9"/>
  <c r="W347" i="9"/>
  <c r="U348" i="9" s="1"/>
  <c r="C452" i="9"/>
  <c r="D453" i="9"/>
  <c r="J449" i="9" l="1"/>
  <c r="H449" i="9"/>
  <c r="I449" i="9" s="1"/>
  <c r="AH183" i="9"/>
  <c r="Y183" i="9"/>
  <c r="X184" i="9" s="1"/>
  <c r="AC183" i="9" a="1"/>
  <c r="AC183" i="9" s="1"/>
  <c r="AA184" i="9" s="1"/>
  <c r="W348" i="9"/>
  <c r="U349" i="9" s="1"/>
  <c r="T216" i="9"/>
  <c r="C453" i="9"/>
  <c r="D454" i="9"/>
  <c r="J450" i="9" l="1"/>
  <c r="H450" i="9"/>
  <c r="I450" i="9" s="1"/>
  <c r="AD184" i="9"/>
  <c r="AG184" i="9"/>
  <c r="Z184" i="9"/>
  <c r="AI184" i="9"/>
  <c r="W349" i="9"/>
  <c r="U350" i="9" s="1"/>
  <c r="R217" i="9"/>
  <c r="D455" i="9"/>
  <c r="C454" i="9"/>
  <c r="J451" i="9" l="1"/>
  <c r="H451" i="9"/>
  <c r="I451" i="9" s="1"/>
  <c r="AH184" i="9"/>
  <c r="Y184" i="9"/>
  <c r="X185" i="9" s="1"/>
  <c r="AC184" i="9" a="1"/>
  <c r="AC184" i="9" s="1"/>
  <c r="AA185" i="9" s="1"/>
  <c r="T217" i="9"/>
  <c r="W350" i="9"/>
  <c r="U351" i="9" s="1"/>
  <c r="D456" i="9"/>
  <c r="C455" i="9"/>
  <c r="J452" i="9" l="1"/>
  <c r="H452" i="9"/>
  <c r="I452" i="9" s="1"/>
  <c r="AD185" i="9"/>
  <c r="Z185" i="9"/>
  <c r="AI185" i="9"/>
  <c r="AG185" i="9"/>
  <c r="W351" i="9"/>
  <c r="U352" i="9" s="1"/>
  <c r="R218" i="9"/>
  <c r="C456" i="9"/>
  <c r="D457" i="9"/>
  <c r="J453" i="9" l="1"/>
  <c r="H453" i="9"/>
  <c r="I453" i="9" s="1"/>
  <c r="AC185" i="9" a="1"/>
  <c r="AC185" i="9" s="1"/>
  <c r="AA186" i="9" s="1"/>
  <c r="Y185" i="9"/>
  <c r="X186" i="9" s="1"/>
  <c r="AH185" i="9"/>
  <c r="T218" i="9"/>
  <c r="W352" i="9"/>
  <c r="U353" i="9" s="1"/>
  <c r="C457" i="9"/>
  <c r="D458" i="9"/>
  <c r="J454" i="9" l="1"/>
  <c r="H454" i="9"/>
  <c r="I454" i="9" s="1"/>
  <c r="AI186" i="9"/>
  <c r="AG186" i="9"/>
  <c r="Z186" i="9"/>
  <c r="AD186" i="9"/>
  <c r="R219" i="9"/>
  <c r="W353" i="9"/>
  <c r="U354" i="9" s="1"/>
  <c r="D459" i="9"/>
  <c r="C458" i="9"/>
  <c r="J455" i="9" l="1"/>
  <c r="H455" i="9"/>
  <c r="I455" i="9" s="1"/>
  <c r="Y186" i="9"/>
  <c r="X187" i="9" s="1"/>
  <c r="AH186" i="9"/>
  <c r="AC186" i="9" a="1"/>
  <c r="AC186" i="9" s="1"/>
  <c r="AA187" i="9" s="1"/>
  <c r="W354" i="9"/>
  <c r="U355" i="9" s="1"/>
  <c r="T219" i="9"/>
  <c r="D460" i="9"/>
  <c r="C459" i="9"/>
  <c r="J456" i="9" l="1"/>
  <c r="H456" i="9"/>
  <c r="I456" i="9" s="1"/>
  <c r="AD187" i="9"/>
  <c r="AI187" i="9"/>
  <c r="AG187" i="9"/>
  <c r="Z187" i="9"/>
  <c r="W355" i="9"/>
  <c r="U356" i="9" s="1"/>
  <c r="R220" i="9"/>
  <c r="C460" i="9"/>
  <c r="D461" i="9"/>
  <c r="J457" i="9" l="1"/>
  <c r="H457" i="9"/>
  <c r="I457" i="9" s="1"/>
  <c r="AH187" i="9"/>
  <c r="AC187" i="9" a="1"/>
  <c r="AC187" i="9" s="1"/>
  <c r="AA188" i="9" s="1"/>
  <c r="Y187" i="9"/>
  <c r="X188" i="9" s="1"/>
  <c r="T220" i="9"/>
  <c r="W356" i="9"/>
  <c r="U357" i="9" s="1"/>
  <c r="C461" i="9"/>
  <c r="D462" i="9"/>
  <c r="J458" i="9" l="1"/>
  <c r="H458" i="9"/>
  <c r="I458" i="9" s="1"/>
  <c r="Z188" i="9"/>
  <c r="AI188" i="9"/>
  <c r="AG188" i="9"/>
  <c r="AD188" i="9"/>
  <c r="W357" i="9"/>
  <c r="U358" i="9" s="1"/>
  <c r="R221" i="9"/>
  <c r="D463" i="9"/>
  <c r="C462" i="9"/>
  <c r="J459" i="9" l="1"/>
  <c r="H459" i="9"/>
  <c r="I459" i="9" s="1"/>
  <c r="Y188" i="9"/>
  <c r="X189" i="9" s="1"/>
  <c r="AH188" i="9"/>
  <c r="AC188" i="9" a="1"/>
  <c r="AC188" i="9" s="1"/>
  <c r="AA189" i="9" s="1"/>
  <c r="T221" i="9"/>
  <c r="W358" i="9"/>
  <c r="U359" i="9" s="1"/>
  <c r="D464" i="9"/>
  <c r="C463" i="9"/>
  <c r="J460" i="9" l="1"/>
  <c r="H460" i="9"/>
  <c r="I460" i="9" s="1"/>
  <c r="AD189" i="9"/>
  <c r="Z189" i="9"/>
  <c r="AI189" i="9"/>
  <c r="AG189" i="9"/>
  <c r="W359" i="9"/>
  <c r="U360" i="9" s="1"/>
  <c r="R222" i="9"/>
  <c r="C464" i="9"/>
  <c r="D465" i="9"/>
  <c r="J461" i="9" l="1"/>
  <c r="H461" i="9"/>
  <c r="I461" i="9" s="1"/>
  <c r="AH189" i="9"/>
  <c r="AC189" i="9" a="1"/>
  <c r="AC189" i="9" s="1"/>
  <c r="AA190" i="9" s="1"/>
  <c r="Y189" i="9"/>
  <c r="X190" i="9" s="1"/>
  <c r="T222" i="9"/>
  <c r="W360" i="9"/>
  <c r="U361" i="9" s="1"/>
  <c r="C465" i="9"/>
  <c r="D466" i="9"/>
  <c r="J462" i="9" l="1"/>
  <c r="H462" i="9"/>
  <c r="I462" i="9" s="1"/>
  <c r="AI190" i="9"/>
  <c r="Z190" i="9"/>
  <c r="AG190" i="9"/>
  <c r="AD190" i="9"/>
  <c r="W361" i="9"/>
  <c r="U362" i="9" s="1"/>
  <c r="R223" i="9"/>
  <c r="D467" i="9"/>
  <c r="C466" i="9"/>
  <c r="J463" i="9" l="1"/>
  <c r="H463" i="9"/>
  <c r="I463" i="9" s="1"/>
  <c r="AH190" i="9"/>
  <c r="AC190" i="9" a="1"/>
  <c r="AC190" i="9" s="1"/>
  <c r="AA191" i="9" s="1"/>
  <c r="Y190" i="9"/>
  <c r="X191" i="9" s="1"/>
  <c r="W362" i="9"/>
  <c r="U363" i="9" s="1"/>
  <c r="T223" i="9"/>
  <c r="R224" i="9" s="1"/>
  <c r="D468" i="9"/>
  <c r="C467" i="9"/>
  <c r="J464" i="9" l="1"/>
  <c r="H464" i="9"/>
  <c r="I464" i="9" s="1"/>
  <c r="AI191" i="9"/>
  <c r="Z191" i="9"/>
  <c r="AG191" i="9"/>
  <c r="AD191" i="9"/>
  <c r="T224" i="9"/>
  <c r="W363" i="9"/>
  <c r="U364" i="9" s="1"/>
  <c r="C468" i="9"/>
  <c r="D469" i="9"/>
  <c r="J465" i="9" l="1"/>
  <c r="H465" i="9"/>
  <c r="I465" i="9" s="1"/>
  <c r="AC191" i="9" a="1"/>
  <c r="AC191" i="9" s="1"/>
  <c r="AA192" i="9" s="1"/>
  <c r="AH191" i="9"/>
  <c r="Y191" i="9"/>
  <c r="X192" i="9" s="1"/>
  <c r="W364" i="9"/>
  <c r="U365" i="9" s="1"/>
  <c r="R225" i="9"/>
  <c r="C469" i="9"/>
  <c r="D470" i="9"/>
  <c r="J466" i="9" l="1"/>
  <c r="H466" i="9"/>
  <c r="I466" i="9" s="1"/>
  <c r="AG192" i="9"/>
  <c r="Z192" i="9"/>
  <c r="AI192" i="9"/>
  <c r="AD192" i="9"/>
  <c r="T225" i="9"/>
  <c r="W365" i="9"/>
  <c r="U366" i="9" s="1"/>
  <c r="D471" i="9"/>
  <c r="C470" i="9"/>
  <c r="J467" i="9" l="1"/>
  <c r="H467" i="9"/>
  <c r="I467" i="9" s="1"/>
  <c r="AH192" i="9"/>
  <c r="AC192" i="9" a="1"/>
  <c r="AC192" i="9" s="1"/>
  <c r="AA193" i="9" s="1"/>
  <c r="Y192" i="9"/>
  <c r="X193" i="9" s="1"/>
  <c r="W366" i="9"/>
  <c r="U367" i="9" s="1"/>
  <c r="R226" i="9"/>
  <c r="D472" i="9"/>
  <c r="C471" i="9"/>
  <c r="J468" i="9" l="1"/>
  <c r="H468" i="9"/>
  <c r="I468" i="9" s="1"/>
  <c r="AI193" i="9"/>
  <c r="AG193" i="9"/>
  <c r="Z193" i="9"/>
  <c r="AD193" i="9"/>
  <c r="W367" i="9"/>
  <c r="U368" i="9" s="1"/>
  <c r="T226" i="9"/>
  <c r="C472" i="9"/>
  <c r="D473" i="9"/>
  <c r="J469" i="9" l="1"/>
  <c r="H469" i="9"/>
  <c r="I469" i="9" s="1"/>
  <c r="AC193" i="9" a="1"/>
  <c r="AC193" i="9" s="1"/>
  <c r="AA194" i="9" s="1"/>
  <c r="AH193" i="9"/>
  <c r="Y193" i="9"/>
  <c r="X194" i="9" s="1"/>
  <c r="W368" i="9"/>
  <c r="U369" i="9" s="1"/>
  <c r="R227" i="9"/>
  <c r="C473" i="9"/>
  <c r="D474" i="9"/>
  <c r="J470" i="9" l="1"/>
  <c r="H470" i="9"/>
  <c r="I470" i="9" s="1"/>
  <c r="Z194" i="9"/>
  <c r="AI194" i="9"/>
  <c r="AG194" i="9"/>
  <c r="AD194" i="9"/>
  <c r="T227" i="9"/>
  <c r="R228" i="9" s="1"/>
  <c r="W369" i="9"/>
  <c r="U370" i="9" s="1"/>
  <c r="D475" i="9"/>
  <c r="C474" i="9"/>
  <c r="J471" i="9" l="1"/>
  <c r="H471" i="9"/>
  <c r="I471" i="9" s="1"/>
  <c r="AC194" i="9" a="1"/>
  <c r="AC194" i="9" s="1"/>
  <c r="AA195" i="9" s="1"/>
  <c r="Y194" i="9"/>
  <c r="X195" i="9" s="1"/>
  <c r="AH194" i="9"/>
  <c r="W370" i="9"/>
  <c r="U371" i="9" s="1"/>
  <c r="T228" i="9"/>
  <c r="D476" i="9"/>
  <c r="C475" i="9"/>
  <c r="J472" i="9" l="1"/>
  <c r="H472" i="9"/>
  <c r="I472" i="9" s="1"/>
  <c r="AI195" i="9"/>
  <c r="Z195" i="9"/>
  <c r="AG195" i="9"/>
  <c r="AD195" i="9"/>
  <c r="R229" i="9"/>
  <c r="W371" i="9"/>
  <c r="U372" i="9" s="1"/>
  <c r="C476" i="9"/>
  <c r="D477" i="9"/>
  <c r="J473" i="9" l="1"/>
  <c r="H473" i="9"/>
  <c r="I473" i="9" s="1"/>
  <c r="Y195" i="9"/>
  <c r="X196" i="9" s="1"/>
  <c r="AC195" i="9" a="1"/>
  <c r="AC195" i="9" s="1"/>
  <c r="AA196" i="9" s="1"/>
  <c r="AH195" i="9"/>
  <c r="W372" i="9"/>
  <c r="U373" i="9" s="1"/>
  <c r="T229" i="9"/>
  <c r="C477" i="9"/>
  <c r="D478" i="9"/>
  <c r="J474" i="9" l="1"/>
  <c r="H474" i="9"/>
  <c r="I474" i="9" s="1"/>
  <c r="AD196" i="9"/>
  <c r="Z196" i="9"/>
  <c r="AG196" i="9"/>
  <c r="AI196" i="9"/>
  <c r="R230" i="9"/>
  <c r="W373" i="9"/>
  <c r="U374" i="9" s="1"/>
  <c r="D479" i="9"/>
  <c r="C478" i="9"/>
  <c r="J475" i="9" l="1"/>
  <c r="H475" i="9"/>
  <c r="I475" i="9" s="1"/>
  <c r="Y196" i="9"/>
  <c r="X197" i="9" s="1"/>
  <c r="AC196" i="9" a="1"/>
  <c r="AC196" i="9" s="1"/>
  <c r="AA197" i="9" s="1"/>
  <c r="AH196" i="9"/>
  <c r="W374" i="9"/>
  <c r="U375" i="9" s="1"/>
  <c r="T230" i="9"/>
  <c r="D480" i="9"/>
  <c r="C479" i="9"/>
  <c r="J476" i="9" l="1"/>
  <c r="H476" i="9"/>
  <c r="I476" i="9" s="1"/>
  <c r="AD197" i="9"/>
  <c r="AI197" i="9"/>
  <c r="AG197" i="9"/>
  <c r="Z197" i="9"/>
  <c r="W375" i="9"/>
  <c r="U376" i="9" s="1"/>
  <c r="R231" i="9"/>
  <c r="C480" i="9"/>
  <c r="D481" i="9"/>
  <c r="J477" i="9" l="1"/>
  <c r="H477" i="9"/>
  <c r="I477" i="9" s="1"/>
  <c r="Y197" i="9"/>
  <c r="X198" i="9" s="1"/>
  <c r="AH197" i="9"/>
  <c r="AC197" i="9" a="1"/>
  <c r="AC197" i="9" s="1"/>
  <c r="AA198" i="9" s="1"/>
  <c r="W376" i="9"/>
  <c r="U377" i="9" s="1"/>
  <c r="T231" i="9"/>
  <c r="C481" i="9"/>
  <c r="D482" i="9"/>
  <c r="J478" i="9" l="1"/>
  <c r="H478" i="9"/>
  <c r="I478" i="9" s="1"/>
  <c r="AD198" i="9"/>
  <c r="AI198" i="9"/>
  <c r="Z198" i="9"/>
  <c r="AG198" i="9"/>
  <c r="W377" i="9"/>
  <c r="U378" i="9" s="1"/>
  <c r="R232" i="9"/>
  <c r="D483" i="9"/>
  <c r="C482" i="9"/>
  <c r="J479" i="9" l="1"/>
  <c r="H479" i="9"/>
  <c r="I479" i="9" s="1"/>
  <c r="AC198" i="9" a="1"/>
  <c r="AC198" i="9" s="1"/>
  <c r="AA199" i="9" s="1"/>
  <c r="AH198" i="9"/>
  <c r="Y198" i="9"/>
  <c r="X199" i="9" s="1"/>
  <c r="W378" i="9"/>
  <c r="U379" i="9" s="1"/>
  <c r="T232" i="9"/>
  <c r="D484" i="9"/>
  <c r="C483" i="9"/>
  <c r="J480" i="9" l="1"/>
  <c r="H480" i="9"/>
  <c r="I480" i="9" s="1"/>
  <c r="AI199" i="9"/>
  <c r="Z199" i="9"/>
  <c r="AG199" i="9"/>
  <c r="AD199" i="9"/>
  <c r="R233" i="9"/>
  <c r="W379" i="9"/>
  <c r="U380" i="9" s="1"/>
  <c r="C484" i="9"/>
  <c r="D485" i="9"/>
  <c r="J481" i="9" l="1"/>
  <c r="H481" i="9"/>
  <c r="I481" i="9" s="1"/>
  <c r="Y199" i="9"/>
  <c r="X200" i="9" s="1"/>
  <c r="AH199" i="9"/>
  <c r="AC199" i="9" a="1"/>
  <c r="AC199" i="9" s="1"/>
  <c r="AA200" i="9" s="1"/>
  <c r="W380" i="9"/>
  <c r="U381" i="9" s="1"/>
  <c r="T233" i="9"/>
  <c r="C485" i="9"/>
  <c r="D486" i="9"/>
  <c r="J482" i="9" l="1"/>
  <c r="H482" i="9"/>
  <c r="I482" i="9" s="1"/>
  <c r="AD200" i="9"/>
  <c r="AG200" i="9"/>
  <c r="Z200" i="9"/>
  <c r="AI200" i="9"/>
  <c r="R234" i="9"/>
  <c r="W381" i="9"/>
  <c r="U382" i="9" s="1"/>
  <c r="D487" i="9"/>
  <c r="C486" i="9"/>
  <c r="J483" i="9" l="1"/>
  <c r="H483" i="9"/>
  <c r="I483" i="9" s="1"/>
  <c r="AC200" i="9" a="1"/>
  <c r="AC200" i="9" s="1"/>
  <c r="AA201" i="9" s="1"/>
  <c r="AH200" i="9"/>
  <c r="Y200" i="9"/>
  <c r="X201" i="9" s="1"/>
  <c r="T234" i="9"/>
  <c r="W382" i="9"/>
  <c r="U383" i="9" s="1"/>
  <c r="D488" i="9"/>
  <c r="C487" i="9"/>
  <c r="J484" i="9" l="1"/>
  <c r="H484" i="9"/>
  <c r="I484" i="9" s="1"/>
  <c r="Z201" i="9"/>
  <c r="AG201" i="9"/>
  <c r="AI201" i="9"/>
  <c r="AD201" i="9"/>
  <c r="W383" i="9"/>
  <c r="U384" i="9" s="1"/>
  <c r="R235" i="9"/>
  <c r="C488" i="9"/>
  <c r="D489" i="9"/>
  <c r="J485" i="9" l="1"/>
  <c r="H485" i="9"/>
  <c r="I485" i="9" s="1"/>
  <c r="AH201" i="9"/>
  <c r="AC201" i="9" a="1"/>
  <c r="AC201" i="9" s="1"/>
  <c r="AA202" i="9" s="1"/>
  <c r="Y201" i="9"/>
  <c r="X202" i="9" s="1"/>
  <c r="W384" i="9"/>
  <c r="U385" i="9" s="1"/>
  <c r="T235" i="9"/>
  <c r="R236" i="9" s="1"/>
  <c r="C489" i="9"/>
  <c r="D490" i="9"/>
  <c r="J486" i="9" l="1"/>
  <c r="H486" i="9"/>
  <c r="I486" i="9" s="1"/>
  <c r="AG202" i="9"/>
  <c r="Z202" i="9"/>
  <c r="AI202" i="9"/>
  <c r="AD202" i="9"/>
  <c r="T236" i="9"/>
  <c r="W385" i="9"/>
  <c r="U386" i="9" s="1"/>
  <c r="D491" i="9"/>
  <c r="C490" i="9"/>
  <c r="J487" i="9" l="1"/>
  <c r="H487" i="9"/>
  <c r="I487" i="9" s="1"/>
  <c r="AC202" i="9" a="1"/>
  <c r="AC202" i="9" s="1"/>
  <c r="AA203" i="9" s="1"/>
  <c r="Y202" i="9"/>
  <c r="X203" i="9" s="1"/>
  <c r="AH202" i="9"/>
  <c r="W386" i="9"/>
  <c r="U387" i="9" s="1"/>
  <c r="R237" i="9"/>
  <c r="D492" i="9"/>
  <c r="C491" i="9"/>
  <c r="J488" i="9" l="1"/>
  <c r="H488" i="9"/>
  <c r="I488" i="9" s="1"/>
  <c r="AG203" i="9"/>
  <c r="Z203" i="9"/>
  <c r="AI203" i="9"/>
  <c r="AD203" i="9"/>
  <c r="W387" i="9"/>
  <c r="U388" i="9" s="1"/>
  <c r="T237" i="9"/>
  <c r="C492" i="9"/>
  <c r="D493" i="9"/>
  <c r="J489" i="9" l="1"/>
  <c r="H489" i="9"/>
  <c r="I489" i="9" s="1"/>
  <c r="Y203" i="9"/>
  <c r="X204" i="9" s="1"/>
  <c r="AC203" i="9" a="1"/>
  <c r="AC203" i="9" s="1"/>
  <c r="AA204" i="9" s="1"/>
  <c r="AH203" i="9"/>
  <c r="W388" i="9"/>
  <c r="U389" i="9" s="1"/>
  <c r="R238" i="9"/>
  <c r="C493" i="9"/>
  <c r="D494" i="9"/>
  <c r="J490" i="9" l="1"/>
  <c r="H490" i="9"/>
  <c r="I490" i="9" s="1"/>
  <c r="AD204" i="9"/>
  <c r="AI204" i="9"/>
  <c r="Z204" i="9"/>
  <c r="AG204" i="9"/>
  <c r="T238" i="9"/>
  <c r="W389" i="9"/>
  <c r="U390" i="9" s="1"/>
  <c r="D495" i="9"/>
  <c r="C494" i="9"/>
  <c r="J491" i="9" l="1"/>
  <c r="H491" i="9"/>
  <c r="I491" i="9" s="1"/>
  <c r="Y204" i="9"/>
  <c r="X205" i="9" s="1"/>
  <c r="AH204" i="9"/>
  <c r="AC204" i="9" a="1"/>
  <c r="AC204" i="9" s="1"/>
  <c r="AA205" i="9" s="1"/>
  <c r="R239" i="9"/>
  <c r="W390" i="9"/>
  <c r="U391" i="9" s="1"/>
  <c r="D496" i="9"/>
  <c r="C495" i="9"/>
  <c r="J492" i="9" l="1"/>
  <c r="H492" i="9"/>
  <c r="I492" i="9" s="1"/>
  <c r="AD205" i="9"/>
  <c r="Z205" i="9"/>
  <c r="AI205" i="9"/>
  <c r="AG205" i="9"/>
  <c r="W391" i="9"/>
  <c r="U392" i="9" s="1"/>
  <c r="T239" i="9"/>
  <c r="C496" i="9"/>
  <c r="D497" i="9"/>
  <c r="J493" i="9" l="1"/>
  <c r="H493" i="9"/>
  <c r="I493" i="9" s="1"/>
  <c r="AH205" i="9"/>
  <c r="Y205" i="9"/>
  <c r="X206" i="9" s="1"/>
  <c r="AC205" i="9" a="1"/>
  <c r="AC205" i="9" s="1"/>
  <c r="AA206" i="9" s="1"/>
  <c r="R240" i="9"/>
  <c r="W392" i="9"/>
  <c r="U393" i="9" s="1"/>
  <c r="C497" i="9"/>
  <c r="D498" i="9"/>
  <c r="J494" i="9" l="1"/>
  <c r="H494" i="9"/>
  <c r="I494" i="9" s="1"/>
  <c r="AD206" i="9"/>
  <c r="AG206" i="9"/>
  <c r="Z206" i="9"/>
  <c r="AI206" i="9"/>
  <c r="W393" i="9"/>
  <c r="U394" i="9" s="1"/>
  <c r="T240" i="9"/>
  <c r="D499" i="9"/>
  <c r="C498" i="9"/>
  <c r="J495" i="9" l="1"/>
  <c r="H495" i="9"/>
  <c r="I495" i="9" s="1"/>
  <c r="AC206" i="9" a="1"/>
  <c r="AC206" i="9" s="1"/>
  <c r="AA207" i="9" s="1"/>
  <c r="AH206" i="9"/>
  <c r="Y206" i="9"/>
  <c r="X207" i="9" s="1"/>
  <c r="W394" i="9"/>
  <c r="U395" i="9" s="1"/>
  <c r="R241" i="9"/>
  <c r="D500" i="9"/>
  <c r="C499" i="9"/>
  <c r="J496" i="9" l="1"/>
  <c r="H496" i="9"/>
  <c r="I496" i="9" s="1"/>
  <c r="AG207" i="9"/>
  <c r="Z207" i="9"/>
  <c r="AI207" i="9"/>
  <c r="AD207" i="9"/>
  <c r="W395" i="9"/>
  <c r="U396" i="9" s="1"/>
  <c r="T241" i="9"/>
  <c r="C500" i="9"/>
  <c r="D501" i="9"/>
  <c r="J497" i="9" l="1"/>
  <c r="H497" i="9"/>
  <c r="I497" i="9" s="1"/>
  <c r="AH207" i="9"/>
  <c r="AC207" i="9" a="1"/>
  <c r="AC207" i="9" s="1"/>
  <c r="AA208" i="9" s="1"/>
  <c r="Y207" i="9"/>
  <c r="X208" i="9" s="1"/>
  <c r="R242" i="9"/>
  <c r="W396" i="9"/>
  <c r="U397" i="9" s="1"/>
  <c r="C501" i="9"/>
  <c r="D502" i="9"/>
  <c r="J498" i="9" l="1"/>
  <c r="H498" i="9"/>
  <c r="I498" i="9" s="1"/>
  <c r="Z208" i="9"/>
  <c r="AG208" i="9"/>
  <c r="AI208" i="9"/>
  <c r="AD208" i="9"/>
  <c r="W397" i="9"/>
  <c r="U398" i="9" s="1"/>
  <c r="T242" i="9"/>
  <c r="D503" i="9"/>
  <c r="C502" i="9"/>
  <c r="J499" i="9" l="1"/>
  <c r="H499" i="9"/>
  <c r="I499" i="9" s="1"/>
  <c r="Y208" i="9"/>
  <c r="X209" i="9" s="1"/>
  <c r="AH208" i="9"/>
  <c r="AC208" i="9" a="1"/>
  <c r="AC208" i="9" s="1"/>
  <c r="AA209" i="9" s="1"/>
  <c r="R243" i="9"/>
  <c r="W398" i="9"/>
  <c r="U399" i="9" s="1"/>
  <c r="D504" i="9"/>
  <c r="C503" i="9"/>
  <c r="J500" i="9" l="1"/>
  <c r="H500" i="9"/>
  <c r="I500" i="9" s="1"/>
  <c r="AD209" i="9"/>
  <c r="Z209" i="9"/>
  <c r="AG209" i="9"/>
  <c r="AI209" i="9"/>
  <c r="W399" i="9"/>
  <c r="U400" i="9" s="1"/>
  <c r="T243" i="9"/>
  <c r="C504" i="9"/>
  <c r="D505" i="9"/>
  <c r="J501" i="9" l="1"/>
  <c r="H501" i="9"/>
  <c r="I501" i="9" s="1"/>
  <c r="AC209" i="9" a="1"/>
  <c r="AC209" i="9" s="1"/>
  <c r="AA210" i="9" s="1"/>
  <c r="AH209" i="9"/>
  <c r="Y209" i="9"/>
  <c r="X210" i="9" s="1"/>
  <c r="R244" i="9"/>
  <c r="W400" i="9"/>
  <c r="U401" i="9" s="1"/>
  <c r="C505" i="9"/>
  <c r="D506" i="9"/>
  <c r="J502" i="9" l="1"/>
  <c r="H502" i="9"/>
  <c r="I502" i="9" s="1"/>
  <c r="AG210" i="9"/>
  <c r="Z210" i="9"/>
  <c r="AI210" i="9"/>
  <c r="AD210" i="9"/>
  <c r="W401" i="9"/>
  <c r="U402" i="9" s="1"/>
  <c r="T244" i="9"/>
  <c r="D507" i="9"/>
  <c r="C506" i="9"/>
  <c r="J503" i="9" l="1"/>
  <c r="H503" i="9"/>
  <c r="I503" i="9" s="1"/>
  <c r="AC210" i="9" a="1"/>
  <c r="AC210" i="9" s="1"/>
  <c r="AA211" i="9" s="1"/>
  <c r="Y210" i="9"/>
  <c r="X211" i="9" s="1"/>
  <c r="AH210" i="9"/>
  <c r="W402" i="9"/>
  <c r="U403" i="9" s="1"/>
  <c r="R245" i="9"/>
  <c r="D508" i="9"/>
  <c r="C507" i="9"/>
  <c r="J504" i="9" l="1"/>
  <c r="H504" i="9"/>
  <c r="I504" i="9" s="1"/>
  <c r="AI211" i="9"/>
  <c r="AG211" i="9"/>
  <c r="Z211" i="9"/>
  <c r="AD211" i="9"/>
  <c r="W403" i="9"/>
  <c r="U404" i="9" s="1"/>
  <c r="T245" i="9"/>
  <c r="C508" i="9"/>
  <c r="D509" i="9"/>
  <c r="J505" i="9" l="1"/>
  <c r="H505" i="9"/>
  <c r="I505" i="9" s="1"/>
  <c r="Y211" i="9"/>
  <c r="X212" i="9" s="1"/>
  <c r="AH211" i="9"/>
  <c r="AC211" i="9" a="1"/>
  <c r="AC211" i="9" s="1"/>
  <c r="AA212" i="9" s="1"/>
  <c r="R246" i="9"/>
  <c r="W404" i="9"/>
  <c r="U405" i="9" s="1"/>
  <c r="C509" i="9"/>
  <c r="D510" i="9"/>
  <c r="J506" i="9" l="1"/>
  <c r="H506" i="9"/>
  <c r="I506" i="9" s="1"/>
  <c r="AD212" i="9"/>
  <c r="Z212" i="9"/>
  <c r="AI212" i="9"/>
  <c r="AG212" i="9"/>
  <c r="W405" i="9"/>
  <c r="U406" i="9" s="1"/>
  <c r="T246" i="9"/>
  <c r="D511" i="9"/>
  <c r="C510" i="9"/>
  <c r="J507" i="9" l="1"/>
  <c r="H507" i="9"/>
  <c r="I507" i="9" s="1"/>
  <c r="AH212" i="9"/>
  <c r="Y212" i="9"/>
  <c r="X213" i="9" s="1"/>
  <c r="AC212" i="9" a="1"/>
  <c r="AC212" i="9" s="1"/>
  <c r="AA213" i="9" s="1"/>
  <c r="W406" i="9"/>
  <c r="U407" i="9" s="1"/>
  <c r="R247" i="9"/>
  <c r="D512" i="9"/>
  <c r="C511" i="9"/>
  <c r="J508" i="9" l="1"/>
  <c r="H508" i="9"/>
  <c r="I508" i="9" s="1"/>
  <c r="AD213" i="9"/>
  <c r="Z213" i="9"/>
  <c r="AG213" i="9"/>
  <c r="AI213" i="9"/>
  <c r="W407" i="9"/>
  <c r="U408" i="9" s="1"/>
  <c r="T247" i="9"/>
  <c r="C512" i="9"/>
  <c r="D513" i="9"/>
  <c r="J509" i="9" l="1"/>
  <c r="H509" i="9"/>
  <c r="I509" i="9" s="1"/>
  <c r="Y213" i="9"/>
  <c r="X214" i="9" s="1"/>
  <c r="AH213" i="9"/>
  <c r="AC213" i="9" a="1"/>
  <c r="AC213" i="9" s="1"/>
  <c r="AA214" i="9" s="1"/>
  <c r="R248" i="9"/>
  <c r="W408" i="9"/>
  <c r="U409" i="9" s="1"/>
  <c r="C513" i="9"/>
  <c r="D514" i="9"/>
  <c r="J510" i="9" l="1"/>
  <c r="H510" i="9"/>
  <c r="I510" i="9" s="1"/>
  <c r="AD214" i="9"/>
  <c r="AI214" i="9"/>
  <c r="AG214" i="9"/>
  <c r="Z214" i="9"/>
  <c r="W409" i="9"/>
  <c r="U410" i="9" s="1"/>
  <c r="T248" i="9"/>
  <c r="D515" i="9"/>
  <c r="C514" i="9"/>
  <c r="J511" i="9" l="1"/>
  <c r="H511" i="9"/>
  <c r="I511" i="9" s="1"/>
  <c r="AC214" i="9" a="1"/>
  <c r="AC214" i="9" s="1"/>
  <c r="AA215" i="9" s="1"/>
  <c r="Y214" i="9"/>
  <c r="X215" i="9" s="1"/>
  <c r="AH214" i="9"/>
  <c r="R249" i="9"/>
  <c r="W410" i="9"/>
  <c r="U411" i="9" s="1"/>
  <c r="D516" i="9"/>
  <c r="C515" i="9"/>
  <c r="J512" i="9" l="1"/>
  <c r="H512" i="9"/>
  <c r="I512" i="9" s="1"/>
  <c r="Z215" i="9"/>
  <c r="AI215" i="9"/>
  <c r="AG215" i="9"/>
  <c r="AD215" i="9"/>
  <c r="W411" i="9"/>
  <c r="U412" i="9" s="1"/>
  <c r="T249" i="9"/>
  <c r="C516" i="9"/>
  <c r="D517" i="9"/>
  <c r="J513" i="9" l="1"/>
  <c r="H513" i="9"/>
  <c r="I513" i="9" s="1"/>
  <c r="Y215" i="9"/>
  <c r="X216" i="9" s="1"/>
  <c r="AC215" i="9" a="1"/>
  <c r="AC215" i="9" s="1"/>
  <c r="AA216" i="9" s="1"/>
  <c r="AH215" i="9"/>
  <c r="R250" i="9"/>
  <c r="W412" i="9"/>
  <c r="U413" i="9" s="1"/>
  <c r="C517" i="9"/>
  <c r="D518" i="9"/>
  <c r="J514" i="9" l="1"/>
  <c r="H514" i="9"/>
  <c r="I514" i="9" s="1"/>
  <c r="AD216" i="9"/>
  <c r="AI216" i="9"/>
  <c r="AG216" i="9"/>
  <c r="Z216" i="9"/>
  <c r="W413" i="9"/>
  <c r="U414" i="9" s="1"/>
  <c r="T250" i="9"/>
  <c r="D519" i="9"/>
  <c r="C518" i="9"/>
  <c r="J515" i="9" l="1"/>
  <c r="H515" i="9"/>
  <c r="I515" i="9" s="1"/>
  <c r="AH216" i="9"/>
  <c r="Y216" i="9"/>
  <c r="X217" i="9" s="1"/>
  <c r="AC216" i="9" a="1"/>
  <c r="AC216" i="9" s="1"/>
  <c r="AA217" i="9" s="1"/>
  <c r="W414" i="9"/>
  <c r="U415" i="9" s="1"/>
  <c r="R251" i="9"/>
  <c r="D520" i="9"/>
  <c r="C519" i="9"/>
  <c r="J516" i="9" l="1"/>
  <c r="H516" i="9"/>
  <c r="I516" i="9" s="1"/>
  <c r="AD217" i="9"/>
  <c r="AG217" i="9"/>
  <c r="AI217" i="9"/>
  <c r="Z217" i="9"/>
  <c r="T251" i="9"/>
  <c r="W415" i="9"/>
  <c r="U416" i="9" s="1"/>
  <c r="C520" i="9"/>
  <c r="D521" i="9"/>
  <c r="J517" i="9" l="1"/>
  <c r="H517" i="9"/>
  <c r="I517" i="9" s="1"/>
  <c r="Y217" i="9"/>
  <c r="X218" i="9" s="1"/>
  <c r="AH217" i="9"/>
  <c r="AC217" i="9" a="1"/>
  <c r="AC217" i="9" s="1"/>
  <c r="AA218" i="9" s="1"/>
  <c r="R252" i="9"/>
  <c r="W416" i="9"/>
  <c r="U417" i="9" s="1"/>
  <c r="C521" i="9"/>
  <c r="D522" i="9"/>
  <c r="J518" i="9" l="1"/>
  <c r="H518" i="9"/>
  <c r="I518" i="9" s="1"/>
  <c r="AD218" i="9"/>
  <c r="AG218" i="9"/>
  <c r="Z218" i="9"/>
  <c r="AI218" i="9"/>
  <c r="W417" i="9"/>
  <c r="U418" i="9" s="1"/>
  <c r="T252" i="9"/>
  <c r="C522" i="9"/>
  <c r="D523" i="9"/>
  <c r="J519" i="9" l="1"/>
  <c r="H519" i="9"/>
  <c r="I519" i="9" s="1"/>
  <c r="AH218" i="9"/>
  <c r="AC218" i="9" a="1"/>
  <c r="AC218" i="9" s="1"/>
  <c r="AA219" i="9" s="1"/>
  <c r="Y218" i="9"/>
  <c r="X219" i="9" s="1"/>
  <c r="W418" i="9"/>
  <c r="U419" i="9" s="1"/>
  <c r="R253" i="9"/>
  <c r="D524" i="9"/>
  <c r="C523" i="9"/>
  <c r="J520" i="9" l="1"/>
  <c r="H520" i="9"/>
  <c r="I520" i="9" s="1"/>
  <c r="AG219" i="9"/>
  <c r="Z219" i="9"/>
  <c r="AI219" i="9"/>
  <c r="AD219" i="9"/>
  <c r="T253" i="9"/>
  <c r="W419" i="9"/>
  <c r="U420" i="9" s="1"/>
  <c r="D525" i="9"/>
  <c r="C524" i="9"/>
  <c r="J521" i="9" l="1"/>
  <c r="H521" i="9"/>
  <c r="I521" i="9" s="1"/>
  <c r="AC219" i="9" a="1"/>
  <c r="AC219" i="9" s="1"/>
  <c r="AA220" i="9" s="1"/>
  <c r="Y219" i="9"/>
  <c r="X220" i="9" s="1"/>
  <c r="AH219" i="9"/>
  <c r="W420" i="9"/>
  <c r="U421" i="9" s="1"/>
  <c r="R254" i="9"/>
  <c r="C525" i="9"/>
  <c r="D526" i="9"/>
  <c r="J522" i="9" l="1"/>
  <c r="H522" i="9"/>
  <c r="I522" i="9" s="1"/>
  <c r="AG220" i="9"/>
  <c r="AI220" i="9"/>
  <c r="Z220" i="9"/>
  <c r="AD220" i="9"/>
  <c r="T254" i="9"/>
  <c r="W421" i="9"/>
  <c r="U422" i="9" s="1"/>
  <c r="C526" i="9"/>
  <c r="D527" i="9"/>
  <c r="J523" i="9" l="1"/>
  <c r="H523" i="9"/>
  <c r="I523" i="9" s="1"/>
  <c r="AH220" i="9"/>
  <c r="AC220" i="9" a="1"/>
  <c r="AC220" i="9" s="1"/>
  <c r="AA221" i="9" s="1"/>
  <c r="Y220" i="9"/>
  <c r="X221" i="9" s="1"/>
  <c r="W422" i="9"/>
  <c r="U423" i="9" s="1"/>
  <c r="R255" i="9"/>
  <c r="D528" i="9"/>
  <c r="C527" i="9"/>
  <c r="J524" i="9" l="1"/>
  <c r="H524" i="9"/>
  <c r="I524" i="9" s="1"/>
  <c r="AI221" i="9"/>
  <c r="AG221" i="9"/>
  <c r="Z221" i="9"/>
  <c r="AD221" i="9"/>
  <c r="T255" i="9"/>
  <c r="W423" i="9"/>
  <c r="U424" i="9" s="1"/>
  <c r="D529" i="9"/>
  <c r="C528" i="9"/>
  <c r="J525" i="9" l="1"/>
  <c r="H525" i="9"/>
  <c r="I525" i="9" s="1"/>
  <c r="AH221" i="9"/>
  <c r="AC221" i="9" a="1"/>
  <c r="AC221" i="9" s="1"/>
  <c r="AA222" i="9" s="1"/>
  <c r="Y221" i="9"/>
  <c r="X222" i="9" s="1"/>
  <c r="W424" i="9"/>
  <c r="U425" i="9" s="1"/>
  <c r="R256" i="9"/>
  <c r="C529" i="9"/>
  <c r="D530" i="9"/>
  <c r="J526" i="9" l="1"/>
  <c r="H526" i="9"/>
  <c r="I526" i="9" s="1"/>
  <c r="AG222" i="9"/>
  <c r="Z222" i="9"/>
  <c r="AI222" i="9"/>
  <c r="AD222" i="9"/>
  <c r="T256" i="9"/>
  <c r="R257" i="9" s="1"/>
  <c r="W425" i="9"/>
  <c r="U426" i="9" s="1"/>
  <c r="C530" i="9"/>
  <c r="D531" i="9"/>
  <c r="J527" i="9" l="1"/>
  <c r="H527" i="9"/>
  <c r="I527" i="9" s="1"/>
  <c r="Y222" i="9"/>
  <c r="X223" i="9" s="1"/>
  <c r="AH222" i="9"/>
  <c r="AC222" i="9" a="1"/>
  <c r="AC222" i="9" s="1"/>
  <c r="AA223" i="9" s="1"/>
  <c r="W426" i="9"/>
  <c r="U427" i="9" s="1"/>
  <c r="T257" i="9"/>
  <c r="D532" i="9"/>
  <c r="C531" i="9"/>
  <c r="J528" i="9" l="1"/>
  <c r="H528" i="9"/>
  <c r="I528" i="9" s="1"/>
  <c r="AD223" i="9"/>
  <c r="Z223" i="9"/>
  <c r="AG223" i="9"/>
  <c r="AI223" i="9"/>
  <c r="R258" i="9"/>
  <c r="W427" i="9"/>
  <c r="U428" i="9" s="1"/>
  <c r="D533" i="9"/>
  <c r="C532" i="9"/>
  <c r="J529" i="9" l="1"/>
  <c r="H529" i="9"/>
  <c r="I529" i="9" s="1"/>
  <c r="Y223" i="9"/>
  <c r="X224" i="9" s="1"/>
  <c r="AH223" i="9"/>
  <c r="AC223" i="9" a="1"/>
  <c r="AC223" i="9" s="1"/>
  <c r="AA224" i="9" s="1"/>
  <c r="W428" i="9"/>
  <c r="U429" i="9" s="1"/>
  <c r="T258" i="9"/>
  <c r="C533" i="9"/>
  <c r="D534" i="9"/>
  <c r="J530" i="9" l="1"/>
  <c r="H530" i="9"/>
  <c r="I530" i="9" s="1"/>
  <c r="AD224" i="9"/>
  <c r="AI224" i="9"/>
  <c r="AG224" i="9"/>
  <c r="Z224" i="9"/>
  <c r="R259" i="9"/>
  <c r="W429" i="9"/>
  <c r="U430" i="9" s="1"/>
  <c r="C534" i="9"/>
  <c r="D535" i="9"/>
  <c r="J531" i="9" l="1"/>
  <c r="H531" i="9"/>
  <c r="I531" i="9" s="1"/>
  <c r="Y224" i="9"/>
  <c r="X225" i="9" s="1"/>
  <c r="AH224" i="9"/>
  <c r="AC224" i="9" a="1"/>
  <c r="AC224" i="9" s="1"/>
  <c r="AA225" i="9" s="1"/>
  <c r="W430" i="9"/>
  <c r="U431" i="9" s="1"/>
  <c r="T259" i="9"/>
  <c r="D536" i="9"/>
  <c r="C535" i="9"/>
  <c r="J532" i="9" l="1"/>
  <c r="H532" i="9"/>
  <c r="I532" i="9" s="1"/>
  <c r="AD225" i="9"/>
  <c r="AG225" i="9"/>
  <c r="Z225" i="9"/>
  <c r="AI225" i="9"/>
  <c r="R260" i="9"/>
  <c r="W431" i="9"/>
  <c r="U432" i="9" s="1"/>
  <c r="D537" i="9"/>
  <c r="C536" i="9"/>
  <c r="J533" i="9" l="1"/>
  <c r="H533" i="9"/>
  <c r="I533" i="9" s="1"/>
  <c r="AH225" i="9"/>
  <c r="AC225" i="9" a="1"/>
  <c r="AC225" i="9" s="1"/>
  <c r="AA226" i="9" s="1"/>
  <c r="Y225" i="9"/>
  <c r="X226" i="9" s="1"/>
  <c r="W432" i="9"/>
  <c r="U433" i="9" s="1"/>
  <c r="T260" i="9"/>
  <c r="R261" i="9" s="1"/>
  <c r="C537" i="9"/>
  <c r="D538" i="9"/>
  <c r="J534" i="9" l="1"/>
  <c r="H534" i="9"/>
  <c r="I534" i="9" s="1"/>
  <c r="AD226" i="9"/>
  <c r="AG226" i="9"/>
  <c r="Z226" i="9"/>
  <c r="AI226" i="9"/>
  <c r="T261" i="9"/>
  <c r="W433" i="9"/>
  <c r="U434" i="9" s="1"/>
  <c r="C538" i="9"/>
  <c r="D539" i="9"/>
  <c r="J535" i="9" l="1"/>
  <c r="H535" i="9"/>
  <c r="I535" i="9" s="1"/>
  <c r="AH226" i="9"/>
  <c r="Y226" i="9"/>
  <c r="X227" i="9" s="1"/>
  <c r="AC226" i="9" a="1"/>
  <c r="AC226" i="9" s="1"/>
  <c r="AA227" i="9" s="1"/>
  <c r="R262" i="9"/>
  <c r="W434" i="9"/>
  <c r="U435" i="9" s="1"/>
  <c r="D540" i="9"/>
  <c r="C539" i="9"/>
  <c r="J536" i="9" l="1"/>
  <c r="H536" i="9"/>
  <c r="I536" i="9" s="1"/>
  <c r="AD227" i="9"/>
  <c r="AG227" i="9"/>
  <c r="AI227" i="9"/>
  <c r="Z227" i="9"/>
  <c r="W435" i="9"/>
  <c r="U436" i="9" s="1"/>
  <c r="T262" i="9"/>
  <c r="D541" i="9"/>
  <c r="C540" i="9"/>
  <c r="J537" i="9" l="1"/>
  <c r="H537" i="9"/>
  <c r="I537" i="9" s="1"/>
  <c r="AH227" i="9"/>
  <c r="AC227" i="9" a="1"/>
  <c r="AC227" i="9" s="1"/>
  <c r="AA228" i="9" s="1"/>
  <c r="Y227" i="9"/>
  <c r="X228" i="9" s="1"/>
  <c r="W436" i="9"/>
  <c r="U437" i="9" s="1"/>
  <c r="R263" i="9"/>
  <c r="C541" i="9"/>
  <c r="D542" i="9"/>
  <c r="J538" i="9" l="1"/>
  <c r="H538" i="9"/>
  <c r="I538" i="9" s="1"/>
  <c r="AG228" i="9"/>
  <c r="Z228" i="9"/>
  <c r="AI228" i="9"/>
  <c r="AD228" i="9"/>
  <c r="T263" i="9"/>
  <c r="W437" i="9"/>
  <c r="U438" i="9" s="1"/>
  <c r="C542" i="9"/>
  <c r="D543" i="9"/>
  <c r="J539" i="9" l="1"/>
  <c r="H539" i="9"/>
  <c r="I539" i="9" s="1"/>
  <c r="AH228" i="9"/>
  <c r="Y228" i="9"/>
  <c r="X229" i="9" s="1"/>
  <c r="AC228" i="9" a="1"/>
  <c r="AC228" i="9" s="1"/>
  <c r="AA229" i="9" s="1"/>
  <c r="W438" i="9"/>
  <c r="U439" i="9" s="1"/>
  <c r="R264" i="9"/>
  <c r="D544" i="9"/>
  <c r="C543" i="9"/>
  <c r="J540" i="9" l="1"/>
  <c r="H540" i="9"/>
  <c r="I540" i="9" s="1"/>
  <c r="AD229" i="9"/>
  <c r="AG229" i="9"/>
  <c r="AI229" i="9"/>
  <c r="Z229" i="9"/>
  <c r="W439" i="9"/>
  <c r="U440" i="9" s="1"/>
  <c r="T264" i="9"/>
  <c r="R265" i="9" s="1"/>
  <c r="D545" i="9"/>
  <c r="C544" i="9"/>
  <c r="J541" i="9" l="1"/>
  <c r="H541" i="9"/>
  <c r="I541" i="9" s="1"/>
  <c r="Y229" i="9"/>
  <c r="X230" i="9" s="1"/>
  <c r="AH229" i="9"/>
  <c r="AC229" i="9" a="1"/>
  <c r="AC229" i="9" s="1"/>
  <c r="AA230" i="9" s="1"/>
  <c r="W440" i="9"/>
  <c r="U441" i="9" s="1"/>
  <c r="T265" i="9"/>
  <c r="C545" i="9"/>
  <c r="D546" i="9"/>
  <c r="J542" i="9" l="1"/>
  <c r="H542" i="9"/>
  <c r="I542" i="9" s="1"/>
  <c r="AD230" i="9"/>
  <c r="AI230" i="9"/>
  <c r="Z230" i="9"/>
  <c r="AG230" i="9"/>
  <c r="W441" i="9"/>
  <c r="U442" i="9" s="1"/>
  <c r="R266" i="9"/>
  <c r="C546" i="9"/>
  <c r="D547" i="9"/>
  <c r="J543" i="9" l="1"/>
  <c r="H543" i="9"/>
  <c r="I543" i="9" s="1"/>
  <c r="AC230" i="9" a="1"/>
  <c r="AC230" i="9" s="1"/>
  <c r="AA231" i="9" s="1"/>
  <c r="Y230" i="9"/>
  <c r="X231" i="9" s="1"/>
  <c r="AH230" i="9"/>
  <c r="T266" i="9"/>
  <c r="W442" i="9"/>
  <c r="U443" i="9" s="1"/>
  <c r="D548" i="9"/>
  <c r="C547" i="9"/>
  <c r="J544" i="9" l="1"/>
  <c r="H544" i="9"/>
  <c r="I544" i="9" s="1"/>
  <c r="AI231" i="9"/>
  <c r="Z231" i="9"/>
  <c r="AG231" i="9"/>
  <c r="AD231" i="9"/>
  <c r="W443" i="9"/>
  <c r="U444" i="9" s="1"/>
  <c r="R267" i="9"/>
  <c r="D549" i="9"/>
  <c r="C548" i="9"/>
  <c r="J545" i="9" l="1"/>
  <c r="H545" i="9"/>
  <c r="I545" i="9" s="1"/>
  <c r="AC231" i="9" a="1"/>
  <c r="AC231" i="9" s="1"/>
  <c r="AA232" i="9" s="1"/>
  <c r="Y231" i="9"/>
  <c r="X232" i="9" s="1"/>
  <c r="AH231" i="9"/>
  <c r="T267" i="9"/>
  <c r="W444" i="9"/>
  <c r="U445" i="9" s="1"/>
  <c r="C549" i="9"/>
  <c r="D550" i="9"/>
  <c r="J546" i="9" l="1"/>
  <c r="H546" i="9"/>
  <c r="I546" i="9" s="1"/>
  <c r="AI232" i="9"/>
  <c r="Z232" i="9"/>
  <c r="AG232" i="9"/>
  <c r="AD232" i="9"/>
  <c r="W445" i="9"/>
  <c r="U446" i="9" s="1"/>
  <c r="R268" i="9"/>
  <c r="C550" i="9"/>
  <c r="D551" i="9"/>
  <c r="J547" i="9" l="1"/>
  <c r="H547" i="9"/>
  <c r="I547" i="9" s="1"/>
  <c r="AH232" i="9"/>
  <c r="Y232" i="9"/>
  <c r="X233" i="9" s="1"/>
  <c r="AC232" i="9" a="1"/>
  <c r="AC232" i="9" s="1"/>
  <c r="AA233" i="9" s="1"/>
  <c r="T268" i="9"/>
  <c r="W446" i="9"/>
  <c r="U447" i="9" s="1"/>
  <c r="D552" i="9"/>
  <c r="C551" i="9"/>
  <c r="J548" i="9" l="1"/>
  <c r="H548" i="9"/>
  <c r="I548" i="9" s="1"/>
  <c r="AD233" i="9"/>
  <c r="Z233" i="9"/>
  <c r="AG233" i="9"/>
  <c r="AI233" i="9"/>
  <c r="W447" i="9"/>
  <c r="U448" i="9" s="1"/>
  <c r="R269" i="9"/>
  <c r="D553" i="9"/>
  <c r="C552" i="9"/>
  <c r="J549" i="9" l="1"/>
  <c r="H549" i="9"/>
  <c r="I549" i="9" s="1"/>
  <c r="Y233" i="9"/>
  <c r="X234" i="9" s="1"/>
  <c r="AH233" i="9"/>
  <c r="AC233" i="9" a="1"/>
  <c r="AC233" i="9" s="1"/>
  <c r="AA234" i="9" s="1"/>
  <c r="T269" i="9"/>
  <c r="R270" i="9" s="1"/>
  <c r="W448" i="9"/>
  <c r="U449" i="9" s="1"/>
  <c r="C553" i="9"/>
  <c r="D554" i="9"/>
  <c r="J550" i="9" l="1"/>
  <c r="H550" i="9"/>
  <c r="I550" i="9" s="1"/>
  <c r="AD234" i="9"/>
  <c r="Z234" i="9"/>
  <c r="AI234" i="9"/>
  <c r="AG234" i="9"/>
  <c r="W449" i="9"/>
  <c r="U450" i="9" s="1"/>
  <c r="T270" i="9"/>
  <c r="R271" i="9" s="1"/>
  <c r="C554" i="9"/>
  <c r="D555" i="9"/>
  <c r="J551" i="9" l="1"/>
  <c r="H551" i="9"/>
  <c r="I551" i="9" s="1"/>
  <c r="AH234" i="9"/>
  <c r="AC234" i="9" a="1"/>
  <c r="AC234" i="9" s="1"/>
  <c r="AA235" i="9" s="1"/>
  <c r="Y234" i="9"/>
  <c r="X235" i="9" s="1"/>
  <c r="T271" i="9"/>
  <c r="W450" i="9"/>
  <c r="U451" i="9" s="1"/>
  <c r="D556" i="9"/>
  <c r="C555" i="9"/>
  <c r="J552" i="9" l="1"/>
  <c r="H552" i="9"/>
  <c r="I552" i="9" s="1"/>
  <c r="AI235" i="9"/>
  <c r="AG235" i="9"/>
  <c r="Z235" i="9"/>
  <c r="AD235" i="9"/>
  <c r="R272" i="9"/>
  <c r="W451" i="9"/>
  <c r="U452" i="9" s="1"/>
  <c r="D557" i="9"/>
  <c r="C556" i="9"/>
  <c r="J553" i="9" l="1"/>
  <c r="H553" i="9"/>
  <c r="I553" i="9" s="1"/>
  <c r="AC235" i="9" a="1"/>
  <c r="AC235" i="9" s="1"/>
  <c r="AA236" i="9" s="1"/>
  <c r="AH235" i="9"/>
  <c r="Y235" i="9"/>
  <c r="X236" i="9" s="1"/>
  <c r="W452" i="9"/>
  <c r="U453" i="9" s="1"/>
  <c r="T272" i="9"/>
  <c r="R273" i="9" s="1"/>
  <c r="C557" i="9"/>
  <c r="D558" i="9"/>
  <c r="J554" i="9" l="1"/>
  <c r="H554" i="9"/>
  <c r="I554" i="9" s="1"/>
  <c r="AI236" i="9"/>
  <c r="AG236" i="9"/>
  <c r="Z236" i="9"/>
  <c r="AD236" i="9"/>
  <c r="W453" i="9"/>
  <c r="U454" i="9" s="1"/>
  <c r="T273" i="9"/>
  <c r="R274" i="9" s="1"/>
  <c r="C558" i="9"/>
  <c r="D559" i="9"/>
  <c r="J555" i="9" l="1"/>
  <c r="H555" i="9"/>
  <c r="I555" i="9" s="1"/>
  <c r="Y236" i="9"/>
  <c r="X237" i="9" s="1"/>
  <c r="AH236" i="9"/>
  <c r="AC236" i="9" a="1"/>
  <c r="AC236" i="9" s="1"/>
  <c r="AA237" i="9" s="1"/>
  <c r="T274" i="9"/>
  <c r="R275" i="9" s="1"/>
  <c r="W454" i="9"/>
  <c r="U455" i="9" s="1"/>
  <c r="D560" i="9"/>
  <c r="C559" i="9"/>
  <c r="J556" i="9" l="1"/>
  <c r="H556" i="9"/>
  <c r="I556" i="9" s="1"/>
  <c r="AD237" i="9"/>
  <c r="Z237" i="9"/>
  <c r="AI237" i="9"/>
  <c r="AG237" i="9"/>
  <c r="W455" i="9"/>
  <c r="U456" i="9" s="1"/>
  <c r="T275" i="9"/>
  <c r="R276" i="9" s="1"/>
  <c r="D561" i="9"/>
  <c r="C560" i="9"/>
  <c r="J557" i="9" l="1"/>
  <c r="H557" i="9"/>
  <c r="I557" i="9" s="1"/>
  <c r="Y237" i="9"/>
  <c r="X238" i="9" s="1"/>
  <c r="AC237" i="9" a="1"/>
  <c r="AC237" i="9" s="1"/>
  <c r="AA238" i="9" s="1"/>
  <c r="AH237" i="9"/>
  <c r="W456" i="9"/>
  <c r="U457" i="9" s="1"/>
  <c r="T276" i="9"/>
  <c r="R277" i="9" s="1"/>
  <c r="C561" i="9"/>
  <c r="D562" i="9"/>
  <c r="J558" i="9" l="1"/>
  <c r="H558" i="9"/>
  <c r="I558" i="9" s="1"/>
  <c r="AD238" i="9"/>
  <c r="Z238" i="9"/>
  <c r="AI238" i="9"/>
  <c r="AG238" i="9"/>
  <c r="W457" i="9"/>
  <c r="U458" i="9" s="1"/>
  <c r="T277" i="9"/>
  <c r="R278" i="9" s="1"/>
  <c r="D563" i="9"/>
  <c r="C562" i="9"/>
  <c r="J559" i="9" l="1"/>
  <c r="H559" i="9"/>
  <c r="I559" i="9" s="1"/>
  <c r="AC238" i="9" a="1"/>
  <c r="AC238" i="9" s="1"/>
  <c r="AA239" i="9" s="1"/>
  <c r="Y238" i="9"/>
  <c r="X239" i="9" s="1"/>
  <c r="AH238" i="9"/>
  <c r="T278" i="9"/>
  <c r="R279" i="9" s="1"/>
  <c r="W458" i="9"/>
  <c r="U459" i="9" s="1"/>
  <c r="C563" i="9"/>
  <c r="D564" i="9"/>
  <c r="J560" i="9" l="1"/>
  <c r="H560" i="9"/>
  <c r="I560" i="9" s="1"/>
  <c r="AG239" i="9"/>
  <c r="Z239" i="9"/>
  <c r="AI239" i="9"/>
  <c r="AD239" i="9"/>
  <c r="W459" i="9"/>
  <c r="U460" i="9" s="1"/>
  <c r="T279" i="9"/>
  <c r="R280" i="9" s="1"/>
  <c r="D565" i="9"/>
  <c r="C564" i="9"/>
  <c r="J561" i="9" l="1"/>
  <c r="H561" i="9"/>
  <c r="I561" i="9" s="1"/>
  <c r="AH239" i="9"/>
  <c r="Y239" i="9"/>
  <c r="X240" i="9" s="1"/>
  <c r="AC239" i="9" a="1"/>
  <c r="AC239" i="9" s="1"/>
  <c r="AA240" i="9" s="1"/>
  <c r="W460" i="9"/>
  <c r="U461" i="9" s="1"/>
  <c r="T280" i="9"/>
  <c r="R281" i="9" s="1"/>
  <c r="D566" i="9"/>
  <c r="C565" i="9"/>
  <c r="J562" i="9" l="1"/>
  <c r="H562" i="9"/>
  <c r="I562" i="9" s="1"/>
  <c r="AD240" i="9"/>
  <c r="AI240" i="9"/>
  <c r="Z240" i="9"/>
  <c r="AG240" i="9"/>
  <c r="T281" i="9"/>
  <c r="R282" i="9" s="1"/>
  <c r="W461" i="9"/>
  <c r="U462" i="9" s="1"/>
  <c r="C566" i="9"/>
  <c r="D567" i="9"/>
  <c r="J563" i="9" l="1"/>
  <c r="H563" i="9"/>
  <c r="I563" i="9" s="1"/>
  <c r="AH240" i="9"/>
  <c r="Y240" i="9"/>
  <c r="X241" i="9" s="1"/>
  <c r="AC240" i="9" a="1"/>
  <c r="AC240" i="9" s="1"/>
  <c r="AA241" i="9" s="1"/>
  <c r="T282" i="9"/>
  <c r="R283" i="9" s="1"/>
  <c r="W462" i="9"/>
  <c r="U463" i="9" s="1"/>
  <c r="D568" i="9"/>
  <c r="C567" i="9"/>
  <c r="J564" i="9" l="1"/>
  <c r="H564" i="9"/>
  <c r="I564" i="9" s="1"/>
  <c r="AD241" i="9"/>
  <c r="AG241" i="9"/>
  <c r="Z241" i="9"/>
  <c r="AI241" i="9"/>
  <c r="W463" i="9"/>
  <c r="U464" i="9" s="1"/>
  <c r="T283" i="9"/>
  <c r="R284" i="9" s="1"/>
  <c r="D569" i="9"/>
  <c r="C568" i="9"/>
  <c r="J565" i="9" l="1"/>
  <c r="H565" i="9"/>
  <c r="I565" i="9" s="1"/>
  <c r="AC241" i="9" a="1"/>
  <c r="AC241" i="9" s="1"/>
  <c r="AA242" i="9" s="1"/>
  <c r="AH241" i="9"/>
  <c r="Y241" i="9"/>
  <c r="X242" i="9" s="1"/>
  <c r="W464" i="9"/>
  <c r="U465" i="9" s="1"/>
  <c r="T284" i="9"/>
  <c r="R285" i="9" s="1"/>
  <c r="C569" i="9"/>
  <c r="D570" i="9"/>
  <c r="J566" i="9" l="1"/>
  <c r="H566" i="9"/>
  <c r="I566" i="9" s="1"/>
  <c r="Z242" i="9"/>
  <c r="AG242" i="9"/>
  <c r="AI242" i="9"/>
  <c r="AD242" i="9"/>
  <c r="W465" i="9"/>
  <c r="U466" i="9" s="1"/>
  <c r="T285" i="9"/>
  <c r="R286" i="9" s="1"/>
  <c r="C570" i="9"/>
  <c r="D571" i="9"/>
  <c r="J567" i="9" l="1"/>
  <c r="H567" i="9"/>
  <c r="I567" i="9" s="1"/>
  <c r="Y242" i="9"/>
  <c r="X243" i="9" s="1"/>
  <c r="AC242" i="9" a="1"/>
  <c r="AC242" i="9" s="1"/>
  <c r="AA243" i="9" s="1"/>
  <c r="AH242" i="9"/>
  <c r="W466" i="9"/>
  <c r="U467" i="9" s="1"/>
  <c r="T286" i="9"/>
  <c r="R287" i="9" s="1"/>
  <c r="D572" i="9"/>
  <c r="C571" i="9"/>
  <c r="J568" i="9" l="1"/>
  <c r="H568" i="9"/>
  <c r="I568" i="9" s="1"/>
  <c r="AD243" i="9"/>
  <c r="AI243" i="9"/>
  <c r="Z243" i="9"/>
  <c r="AG243" i="9"/>
  <c r="T287" i="9"/>
  <c r="R288" i="9" s="1"/>
  <c r="W467" i="9"/>
  <c r="U468" i="9" s="1"/>
  <c r="D573" i="9"/>
  <c r="C572" i="9"/>
  <c r="J569" i="9" l="1"/>
  <c r="H569" i="9"/>
  <c r="I569" i="9" s="1"/>
  <c r="AC243" i="9" a="1"/>
  <c r="AC243" i="9" s="1"/>
  <c r="AA244" i="9" s="1"/>
  <c r="AH243" i="9"/>
  <c r="Y243" i="9"/>
  <c r="X244" i="9" s="1"/>
  <c r="W468" i="9"/>
  <c r="U469" i="9" s="1"/>
  <c r="T288" i="9"/>
  <c r="R289" i="9" s="1"/>
  <c r="C573" i="9"/>
  <c r="D574" i="9"/>
  <c r="J570" i="9" l="1"/>
  <c r="H570" i="9"/>
  <c r="I570" i="9" s="1"/>
  <c r="AI244" i="9"/>
  <c r="Z244" i="9"/>
  <c r="AG244" i="9"/>
  <c r="AD244" i="9"/>
  <c r="W469" i="9"/>
  <c r="U470" i="9" s="1"/>
  <c r="T289" i="9"/>
  <c r="R290" i="9" s="1"/>
  <c r="C574" i="9"/>
  <c r="D575" i="9"/>
  <c r="J571" i="9" l="1"/>
  <c r="H571" i="9"/>
  <c r="I571" i="9" s="1"/>
  <c r="AH244" i="9"/>
  <c r="Y244" i="9"/>
  <c r="X245" i="9" s="1"/>
  <c r="AC244" i="9" a="1"/>
  <c r="AC244" i="9" s="1"/>
  <c r="AA245" i="9" s="1"/>
  <c r="T290" i="9"/>
  <c r="R291" i="9" s="1"/>
  <c r="W470" i="9"/>
  <c r="U471" i="9" s="1"/>
  <c r="D576" i="9"/>
  <c r="C575" i="9"/>
  <c r="J572" i="9" l="1"/>
  <c r="H572" i="9"/>
  <c r="I572" i="9" s="1"/>
  <c r="AD245" i="9"/>
  <c r="AG245" i="9"/>
  <c r="Z245" i="9"/>
  <c r="AI245" i="9"/>
  <c r="T291" i="9"/>
  <c r="R292" i="9" s="1"/>
  <c r="W471" i="9"/>
  <c r="U472" i="9" s="1"/>
  <c r="D577" i="9"/>
  <c r="C576" i="9"/>
  <c r="J573" i="9" l="1"/>
  <c r="H573" i="9"/>
  <c r="I573" i="9" s="1"/>
  <c r="AC245" i="9" a="1"/>
  <c r="AC245" i="9" s="1"/>
  <c r="AA246" i="9" s="1"/>
  <c r="AH245" i="9"/>
  <c r="Y245" i="9"/>
  <c r="X246" i="9" s="1"/>
  <c r="W472" i="9"/>
  <c r="U473" i="9" s="1"/>
  <c r="T292" i="9"/>
  <c r="R293" i="9" s="1"/>
  <c r="C577" i="9"/>
  <c r="D578" i="9"/>
  <c r="J574" i="9" l="1"/>
  <c r="H574" i="9"/>
  <c r="I574" i="9" s="1"/>
  <c r="AG246" i="9"/>
  <c r="Z246" i="9"/>
  <c r="AI246" i="9"/>
  <c r="AD246" i="9"/>
  <c r="T293" i="9"/>
  <c r="R294" i="9" s="1"/>
  <c r="W473" i="9"/>
  <c r="U474" i="9" s="1"/>
  <c r="C578" i="9"/>
  <c r="D579" i="9"/>
  <c r="J575" i="9" l="1"/>
  <c r="H575" i="9"/>
  <c r="I575" i="9" s="1"/>
  <c r="AH246" i="9"/>
  <c r="Y246" i="9"/>
  <c r="X247" i="9" s="1"/>
  <c r="AC246" i="9" a="1"/>
  <c r="AC246" i="9" s="1"/>
  <c r="AA247" i="9" s="1"/>
  <c r="T294" i="9"/>
  <c r="R295" i="9" s="1"/>
  <c r="W474" i="9"/>
  <c r="U475" i="9" s="1"/>
  <c r="D580" i="9"/>
  <c r="C579" i="9"/>
  <c r="J576" i="9" l="1"/>
  <c r="H576" i="9"/>
  <c r="I576" i="9" s="1"/>
  <c r="AD247" i="9"/>
  <c r="AG247" i="9"/>
  <c r="Z247" i="9"/>
  <c r="AI247" i="9"/>
  <c r="W475" i="9"/>
  <c r="U476" i="9" s="1"/>
  <c r="T295" i="9"/>
  <c r="R296" i="9" s="1"/>
  <c r="D581" i="9"/>
  <c r="C580" i="9"/>
  <c r="J577" i="9" l="1"/>
  <c r="H577" i="9"/>
  <c r="I577" i="9" s="1"/>
  <c r="Y247" i="9"/>
  <c r="X248" i="9" s="1"/>
  <c r="AC247" i="9" a="1"/>
  <c r="AC247" i="9" s="1"/>
  <c r="AA248" i="9" s="1"/>
  <c r="AH247" i="9"/>
  <c r="T296" i="9"/>
  <c r="R297" i="9" s="1"/>
  <c r="W476" i="9"/>
  <c r="U477" i="9" s="1"/>
  <c r="C581" i="9"/>
  <c r="D582" i="9"/>
  <c r="J578" i="9" l="1"/>
  <c r="H578" i="9"/>
  <c r="I578" i="9" s="1"/>
  <c r="AD248" i="9"/>
  <c r="AG248" i="9"/>
  <c r="AI248" i="9"/>
  <c r="Z248" i="9"/>
  <c r="T297" i="9"/>
  <c r="R298" i="9" s="1"/>
  <c r="W477" i="9"/>
  <c r="U478" i="9" s="1"/>
  <c r="C582" i="9"/>
  <c r="D583" i="9"/>
  <c r="J579" i="9" l="1"/>
  <c r="H579" i="9"/>
  <c r="I579" i="9" s="1"/>
  <c r="AH248" i="9"/>
  <c r="Y248" i="9"/>
  <c r="X249" i="9" s="1"/>
  <c r="AC248" i="9" a="1"/>
  <c r="AC248" i="9" s="1"/>
  <c r="AA249" i="9" s="1"/>
  <c r="W478" i="9"/>
  <c r="U479" i="9" s="1"/>
  <c r="T298" i="9"/>
  <c r="R299" i="9" s="1"/>
  <c r="D584" i="9"/>
  <c r="C583" i="9"/>
  <c r="J580" i="9" l="1"/>
  <c r="H580" i="9"/>
  <c r="I580" i="9" s="1"/>
  <c r="AD249" i="9"/>
  <c r="AI249" i="9"/>
  <c r="Z249" i="9"/>
  <c r="AG249" i="9"/>
  <c r="T299" i="9"/>
  <c r="R300" i="9" s="1"/>
  <c r="W479" i="9"/>
  <c r="U480" i="9" s="1"/>
  <c r="D585" i="9"/>
  <c r="C584" i="9"/>
  <c r="J581" i="9" l="1"/>
  <c r="H581" i="9"/>
  <c r="I581" i="9" s="1"/>
  <c r="AC249" i="9" a="1"/>
  <c r="AC249" i="9" s="1"/>
  <c r="AA250" i="9" s="1"/>
  <c r="Y249" i="9"/>
  <c r="X250" i="9" s="1"/>
  <c r="AH249" i="9"/>
  <c r="T300" i="9"/>
  <c r="R301" i="9" s="1"/>
  <c r="W480" i="9"/>
  <c r="U481" i="9" s="1"/>
  <c r="D586" i="9"/>
  <c r="C585" i="9"/>
  <c r="J582" i="9" l="1"/>
  <c r="H582" i="9"/>
  <c r="I582" i="9" s="1"/>
  <c r="AI250" i="9"/>
  <c r="AG250" i="9"/>
  <c r="Z250" i="9"/>
  <c r="AD250" i="9"/>
  <c r="T301" i="9"/>
  <c r="R302" i="9" s="1"/>
  <c r="W481" i="9"/>
  <c r="U482" i="9" s="1"/>
  <c r="C586" i="9"/>
  <c r="D587" i="9"/>
  <c r="J583" i="9" l="1"/>
  <c r="H583" i="9"/>
  <c r="I583" i="9" s="1"/>
  <c r="AC250" i="9" a="1"/>
  <c r="AC250" i="9" s="1"/>
  <c r="AA251" i="9" s="1"/>
  <c r="AH250" i="9"/>
  <c r="Y250" i="9"/>
  <c r="X251" i="9" s="1"/>
  <c r="T302" i="9"/>
  <c r="R303" i="9" s="1"/>
  <c r="W482" i="9"/>
  <c r="U483" i="9" s="1"/>
  <c r="C587" i="9"/>
  <c r="D588" i="9"/>
  <c r="J584" i="9" l="1"/>
  <c r="H584" i="9"/>
  <c r="I584" i="9" s="1"/>
  <c r="AG251" i="9"/>
  <c r="AI251" i="9"/>
  <c r="Z251" i="9"/>
  <c r="AD251" i="9"/>
  <c r="W483" i="9"/>
  <c r="U484" i="9" s="1"/>
  <c r="T303" i="9"/>
  <c r="R304" i="9" s="1"/>
  <c r="D589" i="9"/>
  <c r="C588" i="9"/>
  <c r="J585" i="9" l="1"/>
  <c r="H585" i="9"/>
  <c r="I585" i="9" s="1"/>
  <c r="Y251" i="9"/>
  <c r="X252" i="9" s="1"/>
  <c r="AH251" i="9"/>
  <c r="AC251" i="9" a="1"/>
  <c r="AC251" i="9" s="1"/>
  <c r="AA252" i="9" s="1"/>
  <c r="W484" i="9"/>
  <c r="U485" i="9" s="1"/>
  <c r="T304" i="9"/>
  <c r="R305" i="9" s="1"/>
  <c r="D590" i="9"/>
  <c r="C589" i="9"/>
  <c r="J586" i="9" l="1"/>
  <c r="H586" i="9"/>
  <c r="I586" i="9" s="1"/>
  <c r="AD252" i="9"/>
  <c r="Z252" i="9"/>
  <c r="AI252" i="9"/>
  <c r="AG252" i="9"/>
  <c r="T305" i="9"/>
  <c r="R306" i="9" s="1"/>
  <c r="W485" i="9"/>
  <c r="U486" i="9" s="1"/>
  <c r="C590" i="9"/>
  <c r="D591" i="9"/>
  <c r="J587" i="9" l="1"/>
  <c r="H587" i="9"/>
  <c r="I587" i="9" s="1"/>
  <c r="AC252" i="9" a="1"/>
  <c r="AC252" i="9" s="1"/>
  <c r="AA253" i="9" s="1"/>
  <c r="Y252" i="9"/>
  <c r="X253" i="9" s="1"/>
  <c r="AH252" i="9"/>
  <c r="T306" i="9"/>
  <c r="R307" i="9" s="1"/>
  <c r="W486" i="9"/>
  <c r="U487" i="9" s="1"/>
  <c r="C591" i="9"/>
  <c r="D592" i="9"/>
  <c r="J588" i="9" l="1"/>
  <c r="H588" i="9"/>
  <c r="I588" i="9" s="1"/>
  <c r="AG253" i="9"/>
  <c r="Z253" i="9"/>
  <c r="AI253" i="9"/>
  <c r="AD253" i="9"/>
  <c r="W487" i="9"/>
  <c r="U488" i="9" s="1"/>
  <c r="T307" i="9"/>
  <c r="R308" i="9" s="1"/>
  <c r="D593" i="9"/>
  <c r="C592" i="9"/>
  <c r="J589" i="9" l="1"/>
  <c r="H589" i="9"/>
  <c r="I589" i="9" s="1"/>
  <c r="Y253" i="9"/>
  <c r="X254" i="9" s="1"/>
  <c r="AC253" i="9" a="1"/>
  <c r="AC253" i="9" s="1"/>
  <c r="AA254" i="9" s="1"/>
  <c r="AH253" i="9"/>
  <c r="W488" i="9"/>
  <c r="U489" i="9" s="1"/>
  <c r="T308" i="9"/>
  <c r="R309" i="9" s="1"/>
  <c r="D594" i="9"/>
  <c r="C593" i="9"/>
  <c r="J590" i="9" l="1"/>
  <c r="H590" i="9"/>
  <c r="I590" i="9" s="1"/>
  <c r="AD254" i="9"/>
  <c r="AG254" i="9"/>
  <c r="AI254" i="9"/>
  <c r="Z254" i="9"/>
  <c r="T309" i="9"/>
  <c r="R310" i="9" s="1"/>
  <c r="W489" i="9"/>
  <c r="U490" i="9" s="1"/>
  <c r="C594" i="9"/>
  <c r="D595" i="9"/>
  <c r="J591" i="9" l="1"/>
  <c r="H591" i="9"/>
  <c r="I591" i="9" s="1"/>
  <c r="Y254" i="9"/>
  <c r="X255" i="9" s="1"/>
  <c r="AC254" i="9" a="1"/>
  <c r="AC254" i="9" s="1"/>
  <c r="AA255" i="9" s="1"/>
  <c r="AH254" i="9"/>
  <c r="W490" i="9"/>
  <c r="U491" i="9" s="1"/>
  <c r="T310" i="9"/>
  <c r="R311" i="9" s="1"/>
  <c r="C595" i="9"/>
  <c r="D596" i="9"/>
  <c r="J592" i="9" l="1"/>
  <c r="H592" i="9"/>
  <c r="I592" i="9" s="1"/>
  <c r="AD255" i="9"/>
  <c r="Z255" i="9"/>
  <c r="AG255" i="9"/>
  <c r="AI255" i="9"/>
  <c r="W491" i="9"/>
  <c r="U492" i="9" s="1"/>
  <c r="T311" i="9"/>
  <c r="R312" i="9" s="1"/>
  <c r="D597" i="9"/>
  <c r="C596" i="9"/>
  <c r="J593" i="9" l="1"/>
  <c r="H593" i="9"/>
  <c r="I593" i="9" s="1"/>
  <c r="Y255" i="9"/>
  <c r="X256" i="9" s="1"/>
  <c r="AC255" i="9" a="1"/>
  <c r="AC255" i="9" s="1"/>
  <c r="AA256" i="9" s="1"/>
  <c r="AH255" i="9"/>
  <c r="T312" i="9"/>
  <c r="R313" i="9" s="1"/>
  <c r="W492" i="9"/>
  <c r="U493" i="9" s="1"/>
  <c r="D598" i="9"/>
  <c r="C597" i="9"/>
  <c r="J594" i="9" l="1"/>
  <c r="H594" i="9"/>
  <c r="I594" i="9" s="1"/>
  <c r="AD256" i="9"/>
  <c r="Z256" i="9"/>
  <c r="AG256" i="9"/>
  <c r="AI256" i="9"/>
  <c r="T313" i="9"/>
  <c r="R314" i="9" s="1"/>
  <c r="W493" i="9"/>
  <c r="U494" i="9" s="1"/>
  <c r="C598" i="9"/>
  <c r="D599" i="9"/>
  <c r="J595" i="9" l="1"/>
  <c r="H595" i="9"/>
  <c r="I595" i="9" s="1"/>
  <c r="AH256" i="9"/>
  <c r="AC256" i="9" a="1"/>
  <c r="AC256" i="9" s="1"/>
  <c r="AA257" i="9" s="1"/>
  <c r="Y256" i="9"/>
  <c r="X257" i="9" s="1"/>
  <c r="T314" i="9"/>
  <c r="R315" i="9" s="1"/>
  <c r="W494" i="9"/>
  <c r="U495" i="9" s="1"/>
  <c r="C599" i="9"/>
  <c r="D600" i="9"/>
  <c r="J596" i="9" l="1"/>
  <c r="H596" i="9"/>
  <c r="I596" i="9" s="1"/>
  <c r="AG257" i="9"/>
  <c r="AI257" i="9"/>
  <c r="Z257" i="9"/>
  <c r="AD257" i="9"/>
  <c r="T315" i="9"/>
  <c r="R316" i="9" s="1"/>
  <c r="W495" i="9"/>
  <c r="U496" i="9" s="1"/>
  <c r="D601" i="9"/>
  <c r="C600" i="9"/>
  <c r="J597" i="9" l="1"/>
  <c r="H597" i="9"/>
  <c r="I597" i="9" s="1"/>
  <c r="AC257" i="9" a="1"/>
  <c r="AC257" i="9" s="1"/>
  <c r="AA258" i="9" s="1"/>
  <c r="AH257" i="9"/>
  <c r="Y257" i="9"/>
  <c r="X258" i="9" s="1"/>
  <c r="W496" i="9"/>
  <c r="U497" i="9" s="1"/>
  <c r="T316" i="9"/>
  <c r="R317" i="9" s="1"/>
  <c r="D602" i="9"/>
  <c r="C601" i="9"/>
  <c r="J598" i="9" l="1"/>
  <c r="H598" i="9"/>
  <c r="I598" i="9" s="1"/>
  <c r="AI258" i="9"/>
  <c r="Z258" i="9"/>
  <c r="AG258" i="9"/>
  <c r="AD258" i="9"/>
  <c r="T317" i="9"/>
  <c r="R318" i="9" s="1"/>
  <c r="W497" i="9"/>
  <c r="U498" i="9" s="1"/>
  <c r="C602" i="9"/>
  <c r="D603" i="9"/>
  <c r="J599" i="9" l="1"/>
  <c r="H599" i="9"/>
  <c r="I599" i="9" s="1"/>
  <c r="Y258" i="9"/>
  <c r="X259" i="9" s="1"/>
  <c r="AC258" i="9" a="1"/>
  <c r="AC258" i="9" s="1"/>
  <c r="AA259" i="9" s="1"/>
  <c r="AH258" i="9"/>
  <c r="T318" i="9"/>
  <c r="R319" i="9" s="1"/>
  <c r="W498" i="9"/>
  <c r="U499" i="9" s="1"/>
  <c r="C603" i="9"/>
  <c r="D604" i="9"/>
  <c r="J600" i="9" l="1"/>
  <c r="H600" i="9"/>
  <c r="I600" i="9" s="1"/>
  <c r="AD259" i="9"/>
  <c r="AI259" i="9"/>
  <c r="Z259" i="9"/>
  <c r="AG259" i="9"/>
  <c r="W499" i="9"/>
  <c r="U500" i="9" s="1"/>
  <c r="T319" i="9"/>
  <c r="R320" i="9" s="1"/>
  <c r="D605" i="9"/>
  <c r="C604" i="9"/>
  <c r="J601" i="9" l="1"/>
  <c r="H601" i="9"/>
  <c r="I601" i="9" s="1"/>
  <c r="Y259" i="9"/>
  <c r="X260" i="9" s="1"/>
  <c r="AH259" i="9"/>
  <c r="AC259" i="9" a="1"/>
  <c r="AC259" i="9" s="1"/>
  <c r="AA260" i="9" s="1"/>
  <c r="W500" i="9"/>
  <c r="U501" i="9" s="1"/>
  <c r="T320" i="9"/>
  <c r="R321" i="9" s="1"/>
  <c r="D606" i="9"/>
  <c r="C605" i="9"/>
  <c r="J602" i="9" l="1"/>
  <c r="H602" i="9"/>
  <c r="I602" i="9" s="1"/>
  <c r="AD260" i="9"/>
  <c r="AI260" i="9"/>
  <c r="Z260" i="9"/>
  <c r="AG260" i="9"/>
  <c r="T321" i="9"/>
  <c r="R322" i="9" s="1"/>
  <c r="W501" i="9"/>
  <c r="U502" i="9" s="1"/>
  <c r="C606" i="9"/>
  <c r="D607" i="9"/>
  <c r="J603" i="9" l="1"/>
  <c r="H603" i="9"/>
  <c r="I603" i="9" s="1"/>
  <c r="AC260" i="9" a="1"/>
  <c r="AC260" i="9" s="1"/>
  <c r="AA261" i="9" s="1"/>
  <c r="AH260" i="9"/>
  <c r="Y260" i="9"/>
  <c r="X261" i="9" s="1"/>
  <c r="T322" i="9"/>
  <c r="R323" i="9" s="1"/>
  <c r="W502" i="9"/>
  <c r="U503" i="9" s="1"/>
  <c r="C607" i="9"/>
  <c r="D608" i="9"/>
  <c r="J604" i="9" l="1"/>
  <c r="H604" i="9"/>
  <c r="I604" i="9" s="1"/>
  <c r="AI261" i="9"/>
  <c r="AG261" i="9"/>
  <c r="Z261" i="9"/>
  <c r="AD261" i="9"/>
  <c r="W503" i="9"/>
  <c r="U504" i="9" s="1"/>
  <c r="T323" i="9"/>
  <c r="R324" i="9" s="1"/>
  <c r="D609" i="9"/>
  <c r="C608" i="9"/>
  <c r="J605" i="9" l="1"/>
  <c r="H605" i="9"/>
  <c r="I605" i="9" s="1"/>
  <c r="AC261" i="9" a="1"/>
  <c r="AC261" i="9" s="1"/>
  <c r="AA262" i="9" s="1"/>
  <c r="Y261" i="9"/>
  <c r="X262" i="9" s="1"/>
  <c r="AH261" i="9"/>
  <c r="W504" i="9"/>
  <c r="U505" i="9" s="1"/>
  <c r="T324" i="9"/>
  <c r="R325" i="9" s="1"/>
  <c r="D610" i="9"/>
  <c r="C609" i="9"/>
  <c r="J606" i="9" l="1"/>
  <c r="H606" i="9"/>
  <c r="I606" i="9" s="1"/>
  <c r="AI262" i="9"/>
  <c r="Z262" i="9"/>
  <c r="AG262" i="9"/>
  <c r="AD262" i="9"/>
  <c r="T325" i="9"/>
  <c r="R326" i="9" s="1"/>
  <c r="W505" i="9"/>
  <c r="U506" i="9" s="1"/>
  <c r="C610" i="9"/>
  <c r="D611" i="9"/>
  <c r="J607" i="9" l="1"/>
  <c r="H607" i="9"/>
  <c r="I607" i="9" s="1"/>
  <c r="Y262" i="9"/>
  <c r="X263" i="9" s="1"/>
  <c r="AC262" i="9" a="1"/>
  <c r="AC262" i="9" s="1"/>
  <c r="AA263" i="9" s="1"/>
  <c r="AH262" i="9"/>
  <c r="W506" i="9"/>
  <c r="U507" i="9" s="1"/>
  <c r="T326" i="9"/>
  <c r="R327" i="9" s="1"/>
  <c r="C611" i="9"/>
  <c r="D612" i="9"/>
  <c r="J608" i="9" l="1"/>
  <c r="H608" i="9"/>
  <c r="I608" i="9" s="1"/>
  <c r="AD263" i="9"/>
  <c r="Z263" i="9"/>
  <c r="AG263" i="9"/>
  <c r="AI263" i="9"/>
  <c r="T327" i="9"/>
  <c r="R328" i="9" s="1"/>
  <c r="W507" i="9"/>
  <c r="U508" i="9" s="1"/>
  <c r="D613" i="9"/>
  <c r="C612" i="9"/>
  <c r="J609" i="9" l="1"/>
  <c r="H609" i="9"/>
  <c r="I609" i="9" s="1"/>
  <c r="Y263" i="9"/>
  <c r="X264" i="9" s="1"/>
  <c r="AH263" i="9"/>
  <c r="AC263" i="9" a="1"/>
  <c r="AC263" i="9" s="1"/>
  <c r="AA264" i="9" s="1"/>
  <c r="T328" i="9"/>
  <c r="R329" i="9" s="1"/>
  <c r="W508" i="9"/>
  <c r="U509" i="9" s="1"/>
  <c r="D614" i="9"/>
  <c r="C613" i="9"/>
  <c r="J610" i="9" l="1"/>
  <c r="H610" i="9"/>
  <c r="I610" i="9" s="1"/>
  <c r="AD264" i="9"/>
  <c r="Z264" i="9"/>
  <c r="AI264" i="9"/>
  <c r="AG264" i="9"/>
  <c r="W509" i="9"/>
  <c r="U510" i="9" s="1"/>
  <c r="T329" i="9"/>
  <c r="R330" i="9" s="1"/>
  <c r="C614" i="9"/>
  <c r="D615" i="9"/>
  <c r="J611" i="9" l="1"/>
  <c r="H611" i="9"/>
  <c r="I611" i="9" s="1"/>
  <c r="AH264" i="9"/>
  <c r="AC264" i="9" a="1"/>
  <c r="AC264" i="9" s="1"/>
  <c r="AA265" i="9" s="1"/>
  <c r="Y264" i="9"/>
  <c r="X265" i="9" s="1"/>
  <c r="T330" i="9"/>
  <c r="R331" i="9" s="1"/>
  <c r="W510" i="9"/>
  <c r="U511" i="9" s="1"/>
  <c r="C615" i="9"/>
  <c r="D616" i="9"/>
  <c r="J612" i="9" l="1"/>
  <c r="H612" i="9"/>
  <c r="I612" i="9" s="1"/>
  <c r="AI265" i="9"/>
  <c r="Z265" i="9"/>
  <c r="AG265" i="9"/>
  <c r="AD265" i="9"/>
  <c r="T331" i="9"/>
  <c r="R332" i="9" s="1"/>
  <c r="W511" i="9"/>
  <c r="U512" i="9" s="1"/>
  <c r="D617" i="9"/>
  <c r="C616" i="9"/>
  <c r="J613" i="9" l="1"/>
  <c r="H613" i="9"/>
  <c r="I613" i="9" s="1"/>
  <c r="AH265" i="9"/>
  <c r="AC265" i="9" a="1"/>
  <c r="AC265" i="9" s="1"/>
  <c r="AA266" i="9" s="1"/>
  <c r="Y265" i="9"/>
  <c r="X266" i="9" s="1"/>
  <c r="T332" i="9"/>
  <c r="R333" i="9" s="1"/>
  <c r="W512" i="9"/>
  <c r="U513" i="9" s="1"/>
  <c r="D618" i="9"/>
  <c r="C617" i="9"/>
  <c r="J614" i="9" l="1"/>
  <c r="H614" i="9"/>
  <c r="I614" i="9" s="1"/>
  <c r="AD266" i="9"/>
  <c r="Z266" i="9"/>
  <c r="AG266" i="9"/>
  <c r="AI266" i="9"/>
  <c r="T333" i="9"/>
  <c r="R334" i="9" s="1"/>
  <c r="W513" i="9"/>
  <c r="U514" i="9" s="1"/>
  <c r="C618" i="9"/>
  <c r="D619" i="9"/>
  <c r="J615" i="9" l="1"/>
  <c r="H615" i="9"/>
  <c r="I615" i="9" s="1"/>
  <c r="AH266" i="9"/>
  <c r="AC266" i="9" a="1"/>
  <c r="AC266" i="9" s="1"/>
  <c r="AA267" i="9" s="1"/>
  <c r="Y266" i="9"/>
  <c r="X267" i="9" s="1"/>
  <c r="W514" i="9"/>
  <c r="U515" i="9" s="1"/>
  <c r="T334" i="9"/>
  <c r="R335" i="9" s="1"/>
  <c r="C619" i="9"/>
  <c r="D620" i="9"/>
  <c r="J616" i="9" l="1"/>
  <c r="H616" i="9"/>
  <c r="I616" i="9" s="1"/>
  <c r="Z267" i="9"/>
  <c r="AG267" i="9"/>
  <c r="AI267" i="9"/>
  <c r="AD267" i="9"/>
  <c r="W515" i="9"/>
  <c r="U516" i="9" s="1"/>
  <c r="T335" i="9"/>
  <c r="R336" i="9" s="1"/>
  <c r="D621" i="9"/>
  <c r="C620" i="9"/>
  <c r="J617" i="9" l="1"/>
  <c r="H617" i="9"/>
  <c r="I617" i="9" s="1"/>
  <c r="Y267" i="9"/>
  <c r="X268" i="9" s="1"/>
  <c r="AH267" i="9"/>
  <c r="AC267" i="9" a="1"/>
  <c r="AC267" i="9" s="1"/>
  <c r="AA268" i="9" s="1"/>
  <c r="T336" i="9"/>
  <c r="R337" i="9" s="1"/>
  <c r="W516" i="9"/>
  <c r="U517" i="9" s="1"/>
  <c r="D622" i="9"/>
  <c r="C621" i="9"/>
  <c r="J618" i="9" l="1"/>
  <c r="H618" i="9"/>
  <c r="I618" i="9" s="1"/>
  <c r="AD268" i="9"/>
  <c r="AG268" i="9"/>
  <c r="Z268" i="9"/>
  <c r="AI268" i="9"/>
  <c r="T337" i="9"/>
  <c r="R338" i="9" s="1"/>
  <c r="W517" i="9"/>
  <c r="U518" i="9" s="1"/>
  <c r="C622" i="9"/>
  <c r="D623" i="9"/>
  <c r="J619" i="9" l="1"/>
  <c r="H619" i="9"/>
  <c r="I619" i="9" s="1"/>
  <c r="AH268" i="9"/>
  <c r="AC268" i="9" a="1"/>
  <c r="AC268" i="9" s="1"/>
  <c r="AA269" i="9" s="1"/>
  <c r="Y268" i="9"/>
  <c r="X269" i="9" s="1"/>
  <c r="W518" i="9"/>
  <c r="U519" i="9" s="1"/>
  <c r="T338" i="9"/>
  <c r="R339" i="9" s="1"/>
  <c r="C623" i="9"/>
  <c r="D624" i="9"/>
  <c r="J620" i="9" l="1"/>
  <c r="H620" i="9"/>
  <c r="I620" i="9" s="1"/>
  <c r="Z269" i="9"/>
  <c r="AG269" i="9"/>
  <c r="AI269" i="9"/>
  <c r="AD269" i="9"/>
  <c r="T339" i="9"/>
  <c r="R340" i="9" s="1"/>
  <c r="W519" i="9"/>
  <c r="U520" i="9" s="1"/>
  <c r="D625" i="9"/>
  <c r="C624" i="9"/>
  <c r="J621" i="9" l="1"/>
  <c r="H621" i="9"/>
  <c r="I621" i="9" s="1"/>
  <c r="Y269" i="9"/>
  <c r="X270" i="9" s="1"/>
  <c r="AH269" i="9"/>
  <c r="AC269" i="9" a="1"/>
  <c r="AC269" i="9" s="1"/>
  <c r="AA270" i="9" s="1"/>
  <c r="W520" i="9"/>
  <c r="U521" i="9" s="1"/>
  <c r="T340" i="9"/>
  <c r="R341" i="9" s="1"/>
  <c r="D626" i="9"/>
  <c r="C625" i="9"/>
  <c r="J622" i="9" l="1"/>
  <c r="H622" i="9"/>
  <c r="I622" i="9" s="1"/>
  <c r="AD270" i="9"/>
  <c r="AI270" i="9"/>
  <c r="AG270" i="9"/>
  <c r="Z270" i="9"/>
  <c r="T341" i="9"/>
  <c r="R342" i="9" s="1"/>
  <c r="W521" i="9"/>
  <c r="U522" i="9" s="1"/>
  <c r="C626" i="9"/>
  <c r="D627" i="9"/>
  <c r="J623" i="9" l="1"/>
  <c r="H623" i="9"/>
  <c r="I623" i="9" s="1"/>
  <c r="AC270" i="9" a="1"/>
  <c r="AC270" i="9" s="1"/>
  <c r="AA271" i="9" s="1"/>
  <c r="Y270" i="9"/>
  <c r="X271" i="9" s="1"/>
  <c r="AH270" i="9"/>
  <c r="W522" i="9"/>
  <c r="U523" i="9" s="1"/>
  <c r="T342" i="9"/>
  <c r="R343" i="9" s="1"/>
  <c r="C627" i="9"/>
  <c r="D628" i="9"/>
  <c r="J624" i="9" l="1"/>
  <c r="H624" i="9"/>
  <c r="I624" i="9" s="1"/>
  <c r="Z271" i="9"/>
  <c r="AG271" i="9"/>
  <c r="AI271" i="9"/>
  <c r="AD271" i="9"/>
  <c r="T343" i="9"/>
  <c r="R344" i="9" s="1"/>
  <c r="W523" i="9"/>
  <c r="U524" i="9" s="1"/>
  <c r="D629" i="9"/>
  <c r="C628" i="9"/>
  <c r="J625" i="9" l="1"/>
  <c r="H625" i="9"/>
  <c r="I625" i="9" s="1"/>
  <c r="AH271" i="9"/>
  <c r="AC271" i="9" a="1"/>
  <c r="AC271" i="9" s="1"/>
  <c r="AA272" i="9" s="1"/>
  <c r="Y271" i="9"/>
  <c r="X272" i="9" s="1"/>
  <c r="W524" i="9"/>
  <c r="U525" i="9" s="1"/>
  <c r="T344" i="9"/>
  <c r="R345" i="9" s="1"/>
  <c r="D630" i="9"/>
  <c r="C629" i="9"/>
  <c r="J626" i="9" l="1"/>
  <c r="H626" i="9"/>
  <c r="I626" i="9" s="1"/>
  <c r="Z272" i="9"/>
  <c r="AG272" i="9"/>
  <c r="AI272" i="9"/>
  <c r="AD272" i="9"/>
  <c r="T345" i="9"/>
  <c r="R346" i="9" s="1"/>
  <c r="W525" i="9"/>
  <c r="U526" i="9" s="1"/>
  <c r="C630" i="9"/>
  <c r="D631" i="9"/>
  <c r="J627" i="9" l="1"/>
  <c r="H627" i="9"/>
  <c r="I627" i="9" s="1"/>
  <c r="AC272" i="9" a="1"/>
  <c r="AC272" i="9" s="1"/>
  <c r="AA273" i="9" s="1"/>
  <c r="Y272" i="9"/>
  <c r="X273" i="9" s="1"/>
  <c r="AH272" i="9"/>
  <c r="T346" i="9"/>
  <c r="R347" i="9" s="1"/>
  <c r="W526" i="9"/>
  <c r="U527" i="9" s="1"/>
  <c r="C631" i="9"/>
  <c r="D632" i="9"/>
  <c r="J628" i="9" l="1"/>
  <c r="H628" i="9"/>
  <c r="I628" i="9" s="1"/>
  <c r="AG273" i="9"/>
  <c r="Z273" i="9"/>
  <c r="AI273" i="9"/>
  <c r="AD273" i="9"/>
  <c r="W527" i="9"/>
  <c r="U528" i="9" s="1"/>
  <c r="T347" i="9"/>
  <c r="R348" i="9" s="1"/>
  <c r="D633" i="9"/>
  <c r="C632" i="9"/>
  <c r="J629" i="9" l="1"/>
  <c r="H629" i="9"/>
  <c r="I629" i="9" s="1"/>
  <c r="Y273" i="9"/>
  <c r="X274" i="9" s="1"/>
  <c r="AC273" i="9" a="1"/>
  <c r="AC273" i="9" s="1"/>
  <c r="AA274" i="9" s="1"/>
  <c r="AH273" i="9"/>
  <c r="W528" i="9"/>
  <c r="U529" i="9" s="1"/>
  <c r="T348" i="9"/>
  <c r="R349" i="9" s="1"/>
  <c r="D634" i="9"/>
  <c r="C633" i="9"/>
  <c r="J630" i="9" l="1"/>
  <c r="H630" i="9"/>
  <c r="I630" i="9" s="1"/>
  <c r="AD274" i="9"/>
  <c r="Z274" i="9"/>
  <c r="AG274" i="9"/>
  <c r="AI274" i="9"/>
  <c r="T349" i="9"/>
  <c r="R350" i="9" s="1"/>
  <c r="W529" i="9"/>
  <c r="U530" i="9" s="1"/>
  <c r="C634" i="9"/>
  <c r="D635" i="9"/>
  <c r="J631" i="9" l="1"/>
  <c r="H631" i="9"/>
  <c r="I631" i="9" s="1"/>
  <c r="AC274" i="9" a="1"/>
  <c r="AC274" i="9" s="1"/>
  <c r="AA275" i="9" s="1"/>
  <c r="Y274" i="9"/>
  <c r="X275" i="9" s="1"/>
  <c r="AH274" i="9"/>
  <c r="T350" i="9"/>
  <c r="R351" i="9" s="1"/>
  <c r="W530" i="9"/>
  <c r="U531" i="9" s="1"/>
  <c r="C635" i="9"/>
  <c r="D636" i="9"/>
  <c r="J632" i="9" l="1"/>
  <c r="H632" i="9"/>
  <c r="I632" i="9" s="1"/>
  <c r="AG275" i="9"/>
  <c r="AI275" i="9"/>
  <c r="Z275" i="9"/>
  <c r="AD275" i="9"/>
  <c r="W531" i="9"/>
  <c r="U532" i="9" s="1"/>
  <c r="T351" i="9"/>
  <c r="R352" i="9" s="1"/>
  <c r="D637" i="9"/>
  <c r="C636" i="9"/>
  <c r="J633" i="9" l="1"/>
  <c r="H633" i="9"/>
  <c r="I633" i="9" s="1"/>
  <c r="Y275" i="9"/>
  <c r="X276" i="9" s="1"/>
  <c r="AC275" i="9" a="1"/>
  <c r="AC275" i="9" s="1"/>
  <c r="AA276" i="9" s="1"/>
  <c r="AH275" i="9"/>
  <c r="W532" i="9"/>
  <c r="U533" i="9" s="1"/>
  <c r="T352" i="9"/>
  <c r="R353" i="9" s="1"/>
  <c r="D638" i="9"/>
  <c r="C637" i="9"/>
  <c r="J634" i="9" l="1"/>
  <c r="H634" i="9"/>
  <c r="I634" i="9" s="1"/>
  <c r="AD276" i="9"/>
  <c r="AI276" i="9"/>
  <c r="Z276" i="9"/>
  <c r="AG276" i="9"/>
  <c r="T353" i="9"/>
  <c r="R354" i="9" s="1"/>
  <c r="W533" i="9"/>
  <c r="U534" i="9" s="1"/>
  <c r="C638" i="9"/>
  <c r="D639" i="9"/>
  <c r="J635" i="9" l="1"/>
  <c r="H635" i="9"/>
  <c r="I635" i="9" s="1"/>
  <c r="AC276" i="9" a="1"/>
  <c r="AC276" i="9" s="1"/>
  <c r="AA277" i="9" s="1"/>
  <c r="AH276" i="9"/>
  <c r="Y276" i="9"/>
  <c r="X277" i="9" s="1"/>
  <c r="T354" i="9"/>
  <c r="R355" i="9" s="1"/>
  <c r="W534" i="9"/>
  <c r="U535" i="9" s="1"/>
  <c r="C639" i="9"/>
  <c r="D640" i="9"/>
  <c r="J636" i="9" l="1"/>
  <c r="H636" i="9"/>
  <c r="I636" i="9" s="1"/>
  <c r="AI277" i="9"/>
  <c r="AG277" i="9"/>
  <c r="Z277" i="9"/>
  <c r="AD277" i="9"/>
  <c r="T355" i="9"/>
  <c r="R356" i="9" s="1"/>
  <c r="W535" i="9"/>
  <c r="U536" i="9" s="1"/>
  <c r="D641" i="9"/>
  <c r="C640" i="9"/>
  <c r="J637" i="9" l="1"/>
  <c r="H637" i="9"/>
  <c r="I637" i="9" s="1"/>
  <c r="Y277" i="9"/>
  <c r="X278" i="9" s="1"/>
  <c r="AC277" i="9" a="1"/>
  <c r="AC277" i="9" s="1"/>
  <c r="AA278" i="9" s="1"/>
  <c r="AH277" i="9"/>
  <c r="W536" i="9"/>
  <c r="U537" i="9" s="1"/>
  <c r="T356" i="9"/>
  <c r="R357" i="9" s="1"/>
  <c r="D642" i="9"/>
  <c r="C641" i="9"/>
  <c r="J638" i="9" l="1"/>
  <c r="H638" i="9"/>
  <c r="I638" i="9" s="1"/>
  <c r="AD278" i="9"/>
  <c r="Z278" i="9"/>
  <c r="AI278" i="9"/>
  <c r="AG278" i="9"/>
  <c r="W537" i="9"/>
  <c r="U538" i="9" s="1"/>
  <c r="T357" i="9"/>
  <c r="R358" i="9" s="1"/>
  <c r="C642" i="9"/>
  <c r="D643" i="9"/>
  <c r="J639" i="9" l="1"/>
  <c r="H639" i="9"/>
  <c r="I639" i="9" s="1"/>
  <c r="AC278" i="9" a="1"/>
  <c r="AC278" i="9" s="1"/>
  <c r="AA279" i="9" s="1"/>
  <c r="AH278" i="9"/>
  <c r="Y278" i="9"/>
  <c r="X279" i="9" s="1"/>
  <c r="T358" i="9"/>
  <c r="R359" i="9" s="1"/>
  <c r="W538" i="9"/>
  <c r="U539" i="9" s="1"/>
  <c r="C643" i="9"/>
  <c r="D644" i="9"/>
  <c r="J640" i="9" l="1"/>
  <c r="H640" i="9"/>
  <c r="I640" i="9" s="1"/>
  <c r="Z279" i="9"/>
  <c r="AI279" i="9"/>
  <c r="AG279" i="9"/>
  <c r="AD279" i="9"/>
  <c r="W539" i="9"/>
  <c r="U540" i="9" s="1"/>
  <c r="T359" i="9"/>
  <c r="R360" i="9" s="1"/>
  <c r="D645" i="9"/>
  <c r="C644" i="9"/>
  <c r="J641" i="9" l="1"/>
  <c r="H641" i="9"/>
  <c r="I641" i="9" s="1"/>
  <c r="AC279" i="9" a="1"/>
  <c r="AC279" i="9" s="1"/>
  <c r="AA280" i="9" s="1"/>
  <c r="Y279" i="9"/>
  <c r="X280" i="9" s="1"/>
  <c r="AH279" i="9"/>
  <c r="W540" i="9"/>
  <c r="U541" i="9" s="1"/>
  <c r="T360" i="9"/>
  <c r="R361" i="9" s="1"/>
  <c r="D646" i="9"/>
  <c r="C645" i="9"/>
  <c r="J642" i="9" l="1"/>
  <c r="H642" i="9"/>
  <c r="I642" i="9" s="1"/>
  <c r="AG280" i="9"/>
  <c r="Z280" i="9"/>
  <c r="AI280" i="9"/>
  <c r="AD280" i="9"/>
  <c r="T361" i="9"/>
  <c r="R362" i="9" s="1"/>
  <c r="W541" i="9"/>
  <c r="U542" i="9" s="1"/>
  <c r="C646" i="9"/>
  <c r="D647" i="9"/>
  <c r="J643" i="9" l="1"/>
  <c r="H643" i="9"/>
  <c r="I643" i="9" s="1"/>
  <c r="AC280" i="9" a="1"/>
  <c r="AC280" i="9" s="1"/>
  <c r="AA281" i="9" s="1"/>
  <c r="Y280" i="9"/>
  <c r="X281" i="9" s="1"/>
  <c r="AH280" i="9"/>
  <c r="W542" i="9"/>
  <c r="U543" i="9" s="1"/>
  <c r="T362" i="9"/>
  <c r="R363" i="9" s="1"/>
  <c r="C647" i="9"/>
  <c r="D648" i="9"/>
  <c r="J644" i="9" l="1"/>
  <c r="H644" i="9"/>
  <c r="I644" i="9" s="1"/>
  <c r="Z281" i="9"/>
  <c r="AI281" i="9"/>
  <c r="AG281" i="9"/>
  <c r="AD281" i="9"/>
  <c r="W543" i="9"/>
  <c r="U544" i="9" s="1"/>
  <c r="T363" i="9"/>
  <c r="R364" i="9" s="1"/>
  <c r="D649" i="9"/>
  <c r="C648" i="9"/>
  <c r="J645" i="9" l="1"/>
  <c r="H645" i="9"/>
  <c r="I645" i="9" s="1"/>
  <c r="AH281" i="9"/>
  <c r="Y281" i="9"/>
  <c r="X282" i="9" s="1"/>
  <c r="AC281" i="9" a="1"/>
  <c r="AC281" i="9" s="1"/>
  <c r="AA282" i="9" s="1"/>
  <c r="T364" i="9"/>
  <c r="R365" i="9" s="1"/>
  <c r="W544" i="9"/>
  <c r="U545" i="9" s="1"/>
  <c r="D650" i="9"/>
  <c r="C649" i="9"/>
  <c r="J646" i="9" l="1"/>
  <c r="H646" i="9"/>
  <c r="I646" i="9" s="1"/>
  <c r="AG282" i="9"/>
  <c r="AI282" i="9"/>
  <c r="Z282" i="9"/>
  <c r="AD282" i="9"/>
  <c r="T365" i="9"/>
  <c r="R366" i="9" s="1"/>
  <c r="W545" i="9"/>
  <c r="U546" i="9" s="1"/>
  <c r="C650" i="9"/>
  <c r="D651" i="9"/>
  <c r="J647" i="9" l="1"/>
  <c r="H647" i="9"/>
  <c r="I647" i="9" s="1"/>
  <c r="Y282" i="9"/>
  <c r="X283" i="9" s="1"/>
  <c r="AH282" i="9"/>
  <c r="AC282" i="9" a="1"/>
  <c r="AC282" i="9" s="1"/>
  <c r="AA283" i="9" s="1"/>
  <c r="W546" i="9"/>
  <c r="U547" i="9" s="1"/>
  <c r="T366" i="9"/>
  <c r="R367" i="9" s="1"/>
  <c r="C651" i="9"/>
  <c r="D652" i="9"/>
  <c r="J648" i="9" l="1"/>
  <c r="H648" i="9"/>
  <c r="I648" i="9" s="1"/>
  <c r="AD283" i="9"/>
  <c r="Z283" i="9"/>
  <c r="AI283" i="9"/>
  <c r="AG283" i="9"/>
  <c r="W547" i="9"/>
  <c r="U548" i="9" s="1"/>
  <c r="T367" i="9"/>
  <c r="R368" i="9" s="1"/>
  <c r="D653" i="9"/>
  <c r="C652" i="9"/>
  <c r="J649" i="9" l="1"/>
  <c r="H649" i="9"/>
  <c r="I649" i="9" s="1"/>
  <c r="AC283" i="9" a="1"/>
  <c r="AC283" i="9" s="1"/>
  <c r="AA284" i="9" s="1"/>
  <c r="Y283" i="9"/>
  <c r="X284" i="9" s="1"/>
  <c r="AH283" i="9"/>
  <c r="W548" i="9"/>
  <c r="U549" i="9" s="1"/>
  <c r="T368" i="9"/>
  <c r="R369" i="9" s="1"/>
  <c r="D654" i="9"/>
  <c r="C653" i="9"/>
  <c r="J650" i="9" l="1"/>
  <c r="H650" i="9"/>
  <c r="I650" i="9" s="1"/>
  <c r="Z284" i="9"/>
  <c r="AG284" i="9"/>
  <c r="AI284" i="9"/>
  <c r="AD284" i="9"/>
  <c r="W549" i="9"/>
  <c r="U550" i="9" s="1"/>
  <c r="T369" i="9"/>
  <c r="R370" i="9" s="1"/>
  <c r="C654" i="9"/>
  <c r="D655" i="9"/>
  <c r="J651" i="9" l="1"/>
  <c r="H651" i="9"/>
  <c r="I651" i="9" s="1"/>
  <c r="AC284" i="9" a="1"/>
  <c r="AC284" i="9" s="1"/>
  <c r="AA285" i="9" s="1"/>
  <c r="Y284" i="9"/>
  <c r="X285" i="9" s="1"/>
  <c r="AH284" i="9"/>
  <c r="W550" i="9"/>
  <c r="U551" i="9" s="1"/>
  <c r="T370" i="9"/>
  <c r="R371" i="9" s="1"/>
  <c r="C655" i="9"/>
  <c r="D656" i="9"/>
  <c r="J652" i="9" l="1"/>
  <c r="H652" i="9"/>
  <c r="I652" i="9" s="1"/>
  <c r="Z285" i="9"/>
  <c r="AI285" i="9"/>
  <c r="AG285" i="9"/>
  <c r="AD285" i="9"/>
  <c r="W551" i="9"/>
  <c r="U552" i="9" s="1"/>
  <c r="T371" i="9"/>
  <c r="R372" i="9" s="1"/>
  <c r="D657" i="9"/>
  <c r="C656" i="9"/>
  <c r="J653" i="9" l="1"/>
  <c r="H653" i="9"/>
  <c r="I653" i="9" s="1"/>
  <c r="AC285" i="9" a="1"/>
  <c r="AC285" i="9" s="1"/>
  <c r="AA286" i="9" s="1"/>
  <c r="AH285" i="9"/>
  <c r="Y285" i="9"/>
  <c r="X286" i="9" s="1"/>
  <c r="T372" i="9"/>
  <c r="R373" i="9" s="1"/>
  <c r="W552" i="9"/>
  <c r="U553" i="9" s="1"/>
  <c r="D658" i="9"/>
  <c r="C657" i="9"/>
  <c r="J654" i="9" l="1"/>
  <c r="H654" i="9"/>
  <c r="I654" i="9" s="1"/>
  <c r="AG286" i="9"/>
  <c r="AI286" i="9"/>
  <c r="Z286" i="9"/>
  <c r="AD286" i="9"/>
  <c r="T373" i="9"/>
  <c r="R374" i="9" s="1"/>
  <c r="W553" i="9"/>
  <c r="U554" i="9" s="1"/>
  <c r="C658" i="9"/>
  <c r="D659" i="9"/>
  <c r="J655" i="9" l="1"/>
  <c r="H655" i="9"/>
  <c r="I655" i="9" s="1"/>
  <c r="AH286" i="9"/>
  <c r="Y286" i="9"/>
  <c r="X287" i="9" s="1"/>
  <c r="AC286" i="9" a="1"/>
  <c r="AC286" i="9" s="1"/>
  <c r="AA287" i="9" s="1"/>
  <c r="T374" i="9"/>
  <c r="R375" i="9" s="1"/>
  <c r="W554" i="9"/>
  <c r="U555" i="9" s="1"/>
  <c r="C659" i="9"/>
  <c r="D660" i="9"/>
  <c r="J656" i="9" l="1"/>
  <c r="H656" i="9"/>
  <c r="I656" i="9" s="1"/>
  <c r="AD287" i="9"/>
  <c r="AI287" i="9"/>
  <c r="AG287" i="9"/>
  <c r="Z287" i="9"/>
  <c r="W555" i="9"/>
  <c r="U556" i="9" s="1"/>
  <c r="T375" i="9"/>
  <c r="R376" i="9" s="1"/>
  <c r="D661" i="9"/>
  <c r="C660" i="9"/>
  <c r="J657" i="9" l="1"/>
  <c r="H657" i="9"/>
  <c r="I657" i="9" s="1"/>
  <c r="Y287" i="9"/>
  <c r="X288" i="9" s="1"/>
  <c r="AC287" i="9" a="1"/>
  <c r="AC287" i="9" s="1"/>
  <c r="AA288" i="9" s="1"/>
  <c r="AH287" i="9"/>
  <c r="T376" i="9"/>
  <c r="R377" i="9" s="1"/>
  <c r="W556" i="9"/>
  <c r="U557" i="9" s="1"/>
  <c r="D662" i="9"/>
  <c r="C661" i="9"/>
  <c r="J658" i="9" l="1"/>
  <c r="H658" i="9"/>
  <c r="I658" i="9" s="1"/>
  <c r="AD288" i="9"/>
  <c r="Z288" i="9"/>
  <c r="AI288" i="9"/>
  <c r="AG288" i="9"/>
  <c r="T377" i="9"/>
  <c r="R378" i="9" s="1"/>
  <c r="W557" i="9"/>
  <c r="U558" i="9" s="1"/>
  <c r="C662" i="9"/>
  <c r="D663" i="9"/>
  <c r="J659" i="9" l="1"/>
  <c r="H659" i="9"/>
  <c r="I659" i="9" s="1"/>
  <c r="AH288" i="9"/>
  <c r="Y288" i="9"/>
  <c r="X289" i="9" s="1"/>
  <c r="AC288" i="9" a="1"/>
  <c r="AC288" i="9" s="1"/>
  <c r="AA289" i="9" s="1"/>
  <c r="T378" i="9"/>
  <c r="R379" i="9" s="1"/>
  <c r="W558" i="9"/>
  <c r="U559" i="9" s="1"/>
  <c r="C663" i="9"/>
  <c r="D664" i="9"/>
  <c r="J660" i="9" l="1"/>
  <c r="H660" i="9"/>
  <c r="I660" i="9" s="1"/>
  <c r="AD289" i="9"/>
  <c r="Z289" i="9"/>
  <c r="AG289" i="9"/>
  <c r="AI289" i="9"/>
  <c r="T379" i="9"/>
  <c r="R380" i="9" s="1"/>
  <c r="W559" i="9"/>
  <c r="U560" i="9" s="1"/>
  <c r="D665" i="9"/>
  <c r="C664" i="9"/>
  <c r="J661" i="9" l="1"/>
  <c r="H661" i="9"/>
  <c r="I661" i="9" s="1"/>
  <c r="Y289" i="9"/>
  <c r="X290" i="9" s="1"/>
  <c r="AH289" i="9"/>
  <c r="AC289" i="9" a="1"/>
  <c r="AC289" i="9" s="1"/>
  <c r="AA290" i="9" s="1"/>
  <c r="W560" i="9"/>
  <c r="U561" i="9" s="1"/>
  <c r="T380" i="9"/>
  <c r="R381" i="9" s="1"/>
  <c r="D666" i="9"/>
  <c r="C665" i="9"/>
  <c r="J662" i="9" l="1"/>
  <c r="H662" i="9"/>
  <c r="I662" i="9" s="1"/>
  <c r="AD290" i="9"/>
  <c r="AI290" i="9"/>
  <c r="Z290" i="9"/>
  <c r="AG290" i="9"/>
  <c r="T381" i="9"/>
  <c r="R382" i="9" s="1"/>
  <c r="W561" i="9"/>
  <c r="U562" i="9" s="1"/>
  <c r="C666" i="9"/>
  <c r="D667" i="9"/>
  <c r="J663" i="9" l="1"/>
  <c r="H663" i="9"/>
  <c r="I663" i="9" s="1"/>
  <c r="Y290" i="9"/>
  <c r="X291" i="9" s="1"/>
  <c r="AC290" i="9" a="1"/>
  <c r="AC290" i="9" s="1"/>
  <c r="AA291" i="9" s="1"/>
  <c r="AH290" i="9"/>
  <c r="T382" i="9"/>
  <c r="R383" i="9" s="1"/>
  <c r="W562" i="9"/>
  <c r="U563" i="9" s="1"/>
  <c r="C667" i="9"/>
  <c r="D668" i="9"/>
  <c r="J664" i="9" l="1"/>
  <c r="H664" i="9"/>
  <c r="I664" i="9" s="1"/>
  <c r="AD291" i="9"/>
  <c r="AG291" i="9"/>
  <c r="AI291" i="9"/>
  <c r="Z291" i="9"/>
  <c r="T383" i="9"/>
  <c r="R384" i="9" s="1"/>
  <c r="W563" i="9"/>
  <c r="U564" i="9" s="1"/>
  <c r="D669" i="9"/>
  <c r="C668" i="9"/>
  <c r="J665" i="9" l="1"/>
  <c r="H665" i="9"/>
  <c r="I665" i="9" s="1"/>
  <c r="AC291" i="9" a="1"/>
  <c r="AC291" i="9" s="1"/>
  <c r="AA292" i="9" s="1"/>
  <c r="Y291" i="9"/>
  <c r="X292" i="9" s="1"/>
  <c r="AH291" i="9"/>
  <c r="T384" i="9"/>
  <c r="R385" i="9" s="1"/>
  <c r="W564" i="9"/>
  <c r="U565" i="9" s="1"/>
  <c r="D670" i="9"/>
  <c r="C669" i="9"/>
  <c r="J666" i="9" l="1"/>
  <c r="H666" i="9"/>
  <c r="I666" i="9" s="1"/>
  <c r="AG292" i="9"/>
  <c r="Z292" i="9"/>
  <c r="AI292" i="9"/>
  <c r="AD292" i="9"/>
  <c r="W565" i="9"/>
  <c r="U566" i="9" s="1"/>
  <c r="T385" i="9"/>
  <c r="R386" i="9" s="1"/>
  <c r="C670" i="9"/>
  <c r="D671" i="9"/>
  <c r="J667" i="9" l="1"/>
  <c r="H667" i="9"/>
  <c r="I667" i="9" s="1"/>
  <c r="Y292" i="9"/>
  <c r="X293" i="9" s="1"/>
  <c r="AH292" i="9"/>
  <c r="AC292" i="9" a="1"/>
  <c r="AC292" i="9" s="1"/>
  <c r="AA293" i="9" s="1"/>
  <c r="W566" i="9"/>
  <c r="U567" i="9" s="1"/>
  <c r="T386" i="9"/>
  <c r="R387" i="9" s="1"/>
  <c r="C671" i="9"/>
  <c r="D672" i="9"/>
  <c r="J668" i="9" l="1"/>
  <c r="H668" i="9"/>
  <c r="I668" i="9" s="1"/>
  <c r="AD293" i="9"/>
  <c r="AG293" i="9"/>
  <c r="Z293" i="9"/>
  <c r="AI293" i="9"/>
  <c r="W567" i="9"/>
  <c r="U568" i="9" s="1"/>
  <c r="T387" i="9"/>
  <c r="R388" i="9" s="1"/>
  <c r="D673" i="9"/>
  <c r="C672" i="9"/>
  <c r="J669" i="9" l="1"/>
  <c r="H669" i="9"/>
  <c r="I669" i="9" s="1"/>
  <c r="AH293" i="9"/>
  <c r="AC293" i="9" a="1"/>
  <c r="AC293" i="9" s="1"/>
  <c r="AA294" i="9" s="1"/>
  <c r="Y293" i="9"/>
  <c r="X294" i="9" s="1"/>
  <c r="W568" i="9"/>
  <c r="U569" i="9" s="1"/>
  <c r="T388" i="9"/>
  <c r="R389" i="9" s="1"/>
  <c r="D674" i="9"/>
  <c r="C673" i="9"/>
  <c r="J670" i="9" l="1"/>
  <c r="H670" i="9"/>
  <c r="I670" i="9" s="1"/>
  <c r="Z294" i="9"/>
  <c r="AG294" i="9"/>
  <c r="AI294" i="9"/>
  <c r="AD294" i="9"/>
  <c r="T389" i="9"/>
  <c r="R390" i="9" s="1"/>
  <c r="W569" i="9"/>
  <c r="U570" i="9" s="1"/>
  <c r="C674" i="9"/>
  <c r="D675" i="9"/>
  <c r="J671" i="9" l="1"/>
  <c r="H671" i="9"/>
  <c r="I671" i="9" s="1"/>
  <c r="AH294" i="9"/>
  <c r="AC294" i="9" a="1"/>
  <c r="AC294" i="9" s="1"/>
  <c r="AA295" i="9" s="1"/>
  <c r="Y294" i="9"/>
  <c r="X295" i="9" s="1"/>
  <c r="W570" i="9"/>
  <c r="U571" i="9" s="1"/>
  <c r="T390" i="9"/>
  <c r="R391" i="9" s="1"/>
  <c r="C675" i="9"/>
  <c r="D676" i="9"/>
  <c r="J672" i="9" l="1"/>
  <c r="H672" i="9"/>
  <c r="I672" i="9" s="1"/>
  <c r="AG295" i="9"/>
  <c r="Z295" i="9"/>
  <c r="AI295" i="9"/>
  <c r="AD295" i="9"/>
  <c r="T391" i="9"/>
  <c r="R392" i="9" s="1"/>
  <c r="W571" i="9"/>
  <c r="U572" i="9" s="1"/>
  <c r="D677" i="9"/>
  <c r="C676" i="9"/>
  <c r="J673" i="9" l="1"/>
  <c r="H673" i="9"/>
  <c r="I673" i="9" s="1"/>
  <c r="AH295" i="9"/>
  <c r="AC295" i="9" a="1"/>
  <c r="AC295" i="9" s="1"/>
  <c r="AA296" i="9" s="1"/>
  <c r="Y295" i="9"/>
  <c r="X296" i="9" s="1"/>
  <c r="W572" i="9"/>
  <c r="U573" i="9" s="1"/>
  <c r="T392" i="9"/>
  <c r="R393" i="9" s="1"/>
  <c r="D678" i="9"/>
  <c r="C677" i="9"/>
  <c r="J674" i="9" l="1"/>
  <c r="H674" i="9"/>
  <c r="I674" i="9" s="1"/>
  <c r="AD296" i="9"/>
  <c r="AI296" i="9"/>
  <c r="Z296" i="9"/>
  <c r="AG296" i="9"/>
  <c r="T393" i="9"/>
  <c r="R394" i="9" s="1"/>
  <c r="W573" i="9"/>
  <c r="U574" i="9" s="1"/>
  <c r="C678" i="9"/>
  <c r="D679" i="9"/>
  <c r="J675" i="9" l="1"/>
  <c r="H675" i="9"/>
  <c r="I675" i="9" s="1"/>
  <c r="AC296" i="9" a="1"/>
  <c r="AC296" i="9" s="1"/>
  <c r="AA297" i="9" s="1"/>
  <c r="Y296" i="9"/>
  <c r="X297" i="9" s="1"/>
  <c r="AH296" i="9"/>
  <c r="W574" i="9"/>
  <c r="U575" i="9" s="1"/>
  <c r="T394" i="9"/>
  <c r="R395" i="9" s="1"/>
  <c r="C679" i="9"/>
  <c r="D680" i="9"/>
  <c r="J676" i="9" l="1"/>
  <c r="H676" i="9"/>
  <c r="I676" i="9" s="1"/>
  <c r="Z297" i="9"/>
  <c r="AG297" i="9"/>
  <c r="AI297" i="9"/>
  <c r="AD297" i="9"/>
  <c r="W575" i="9"/>
  <c r="U576" i="9" s="1"/>
  <c r="T395" i="9"/>
  <c r="R396" i="9" s="1"/>
  <c r="D681" i="9"/>
  <c r="C680" i="9"/>
  <c r="J677" i="9" l="1"/>
  <c r="H677" i="9"/>
  <c r="I677" i="9" s="1"/>
  <c r="AH297" i="9"/>
  <c r="Y297" i="9"/>
  <c r="X298" i="9" s="1"/>
  <c r="AC297" i="9" a="1"/>
  <c r="AC297" i="9" s="1"/>
  <c r="AA298" i="9" s="1"/>
  <c r="T396" i="9"/>
  <c r="R397" i="9" s="1"/>
  <c r="W576" i="9"/>
  <c r="U577" i="9" s="1"/>
  <c r="D682" i="9"/>
  <c r="C681" i="9"/>
  <c r="J678" i="9" l="1"/>
  <c r="H678" i="9"/>
  <c r="I678" i="9" s="1"/>
  <c r="AG298" i="9"/>
  <c r="Z298" i="9"/>
  <c r="AI298" i="9"/>
  <c r="AD298" i="9"/>
  <c r="T397" i="9"/>
  <c r="R398" i="9" s="1"/>
  <c r="W577" i="9"/>
  <c r="U578" i="9" s="1"/>
  <c r="C682" i="9"/>
  <c r="D683" i="9"/>
  <c r="J679" i="9" l="1"/>
  <c r="H679" i="9"/>
  <c r="I679" i="9" s="1"/>
  <c r="AC298" i="9" a="1"/>
  <c r="AC298" i="9" s="1"/>
  <c r="AA299" i="9" s="1"/>
  <c r="AH298" i="9"/>
  <c r="Y298" i="9"/>
  <c r="X299" i="9" s="1"/>
  <c r="W578" i="9"/>
  <c r="U579" i="9" s="1"/>
  <c r="T398" i="9"/>
  <c r="R399" i="9" s="1"/>
  <c r="C683" i="9"/>
  <c r="D684" i="9"/>
  <c r="J680" i="9" l="1"/>
  <c r="H680" i="9"/>
  <c r="I680" i="9" s="1"/>
  <c r="AI299" i="9"/>
  <c r="Z299" i="9"/>
  <c r="AG299" i="9"/>
  <c r="AD299" i="9"/>
  <c r="T399" i="9"/>
  <c r="R400" i="9" s="1"/>
  <c r="W579" i="9"/>
  <c r="U580" i="9" s="1"/>
  <c r="D685" i="9"/>
  <c r="C684" i="9"/>
  <c r="J681" i="9" l="1"/>
  <c r="H681" i="9"/>
  <c r="I681" i="9" s="1"/>
  <c r="Y299" i="9"/>
  <c r="X300" i="9" s="1"/>
  <c r="AH299" i="9"/>
  <c r="AC299" i="9" a="1"/>
  <c r="AC299" i="9" s="1"/>
  <c r="AA300" i="9" s="1"/>
  <c r="T400" i="9"/>
  <c r="R401" i="9" s="1"/>
  <c r="W580" i="9"/>
  <c r="U581" i="9" s="1"/>
  <c r="D686" i="9"/>
  <c r="C685" i="9"/>
  <c r="J682" i="9" l="1"/>
  <c r="H682" i="9"/>
  <c r="I682" i="9" s="1"/>
  <c r="AD300" i="9"/>
  <c r="AI300" i="9"/>
  <c r="Z300" i="9"/>
  <c r="AG300" i="9"/>
  <c r="T401" i="9"/>
  <c r="R402" i="9" s="1"/>
  <c r="W581" i="9"/>
  <c r="U582" i="9" s="1"/>
  <c r="C686" i="9"/>
  <c r="D687" i="9"/>
  <c r="J683" i="9" l="1"/>
  <c r="H683" i="9"/>
  <c r="I683" i="9" s="1"/>
  <c r="AH300" i="9"/>
  <c r="AC300" i="9" a="1"/>
  <c r="AC300" i="9" s="1"/>
  <c r="AA301" i="9" s="1"/>
  <c r="Y300" i="9"/>
  <c r="X301" i="9" s="1"/>
  <c r="W582" i="9"/>
  <c r="U583" i="9" s="1"/>
  <c r="T402" i="9"/>
  <c r="R403" i="9" s="1"/>
  <c r="C687" i="9"/>
  <c r="D688" i="9"/>
  <c r="J684" i="9" l="1"/>
  <c r="H684" i="9"/>
  <c r="I684" i="9" s="1"/>
  <c r="AI301" i="9"/>
  <c r="Z301" i="9"/>
  <c r="AG301" i="9"/>
  <c r="AD301" i="9"/>
  <c r="T403" i="9"/>
  <c r="R404" i="9" s="1"/>
  <c r="W583" i="9"/>
  <c r="U584" i="9" s="1"/>
  <c r="D689" i="9"/>
  <c r="C688" i="9"/>
  <c r="J685" i="9" l="1"/>
  <c r="H685" i="9"/>
  <c r="I685" i="9" s="1"/>
  <c r="Y301" i="9"/>
  <c r="X302" i="9" s="1"/>
  <c r="AH301" i="9"/>
  <c r="AC301" i="9" a="1"/>
  <c r="AC301" i="9" s="1"/>
  <c r="AA302" i="9" s="1"/>
  <c r="T404" i="9"/>
  <c r="R405" i="9" s="1"/>
  <c r="W584" i="9"/>
  <c r="U585" i="9" s="1"/>
  <c r="D690" i="9"/>
  <c r="C689" i="9"/>
  <c r="J686" i="9" l="1"/>
  <c r="H686" i="9"/>
  <c r="I686" i="9" s="1"/>
  <c r="AD302" i="9"/>
  <c r="AG302" i="9"/>
  <c r="AI302" i="9"/>
  <c r="Z302" i="9"/>
  <c r="W585" i="9"/>
  <c r="U586" i="9" s="1"/>
  <c r="T405" i="9"/>
  <c r="R406" i="9" s="1"/>
  <c r="C690" i="9"/>
  <c r="D691" i="9"/>
  <c r="J687" i="9" l="1"/>
  <c r="H687" i="9"/>
  <c r="I687" i="9" s="1"/>
  <c r="Y302" i="9"/>
  <c r="X303" i="9" s="1"/>
  <c r="AC302" i="9" a="1"/>
  <c r="AC302" i="9" s="1"/>
  <c r="AA303" i="9" s="1"/>
  <c r="AH302" i="9"/>
  <c r="W586" i="9"/>
  <c r="U587" i="9" s="1"/>
  <c r="T406" i="9"/>
  <c r="R407" i="9" s="1"/>
  <c r="C691" i="9"/>
  <c r="D692" i="9"/>
  <c r="J688" i="9" l="1"/>
  <c r="H688" i="9"/>
  <c r="I688" i="9" s="1"/>
  <c r="AD303" i="9"/>
  <c r="AI303" i="9"/>
  <c r="Z303" i="9"/>
  <c r="AG303" i="9"/>
  <c r="T407" i="9"/>
  <c r="R408" i="9" s="1"/>
  <c r="W587" i="9"/>
  <c r="U588" i="9" s="1"/>
  <c r="D693" i="9"/>
  <c r="C692" i="9"/>
  <c r="J689" i="9" l="1"/>
  <c r="H689" i="9"/>
  <c r="I689" i="9" s="1"/>
  <c r="AC303" i="9" a="1"/>
  <c r="AC303" i="9" s="1"/>
  <c r="AA304" i="9" s="1"/>
  <c r="Y303" i="9"/>
  <c r="X304" i="9" s="1"/>
  <c r="AH303" i="9"/>
  <c r="W588" i="9"/>
  <c r="U589" i="9" s="1"/>
  <c r="T408" i="9"/>
  <c r="R409" i="9" s="1"/>
  <c r="D694" i="9"/>
  <c r="C693" i="9"/>
  <c r="J690" i="9" l="1"/>
  <c r="H690" i="9"/>
  <c r="I690" i="9" s="1"/>
  <c r="AG304" i="9"/>
  <c r="Z304" i="9"/>
  <c r="AI304" i="9"/>
  <c r="AD304" i="9"/>
  <c r="W589" i="9"/>
  <c r="U590" i="9" s="1"/>
  <c r="T409" i="9"/>
  <c r="R410" i="9" s="1"/>
  <c r="C694" i="9"/>
  <c r="D695" i="9"/>
  <c r="J691" i="9" l="1"/>
  <c r="H691" i="9"/>
  <c r="I691" i="9" s="1"/>
  <c r="AC304" i="9" a="1"/>
  <c r="AC304" i="9" s="1"/>
  <c r="AA305" i="9" s="1"/>
  <c r="AH304" i="9"/>
  <c r="Y304" i="9"/>
  <c r="X305" i="9" s="1"/>
  <c r="T410" i="9"/>
  <c r="R411" i="9" s="1"/>
  <c r="W590" i="9"/>
  <c r="U591" i="9" s="1"/>
  <c r="C695" i="9"/>
  <c r="D696" i="9"/>
  <c r="J692" i="9" l="1"/>
  <c r="H692" i="9"/>
  <c r="I692" i="9" s="1"/>
  <c r="AG305" i="9"/>
  <c r="AI305" i="9"/>
  <c r="Z305" i="9"/>
  <c r="AD305" i="9"/>
  <c r="T411" i="9"/>
  <c r="R412" i="9" s="1"/>
  <c r="W591" i="9"/>
  <c r="U592" i="9" s="1"/>
  <c r="D697" i="9"/>
  <c r="C696" i="9"/>
  <c r="J693" i="9" l="1"/>
  <c r="H693" i="9"/>
  <c r="I693" i="9" s="1"/>
  <c r="Y305" i="9"/>
  <c r="X306" i="9" s="1"/>
  <c r="AH305" i="9"/>
  <c r="AC305" i="9" a="1"/>
  <c r="AC305" i="9" s="1"/>
  <c r="AA306" i="9" s="1"/>
  <c r="T412" i="9"/>
  <c r="R413" i="9" s="1"/>
  <c r="W592" i="9"/>
  <c r="U593" i="9" s="1"/>
  <c r="D698" i="9"/>
  <c r="C697" i="9"/>
  <c r="J694" i="9" l="1"/>
  <c r="H694" i="9"/>
  <c r="I694" i="9" s="1"/>
  <c r="AD306" i="9"/>
  <c r="Z306" i="9"/>
  <c r="AG306" i="9"/>
  <c r="AI306" i="9"/>
  <c r="T413" i="9"/>
  <c r="R414" i="9" s="1"/>
  <c r="W593" i="9"/>
  <c r="U594" i="9" s="1"/>
  <c r="C698" i="9"/>
  <c r="D699" i="9"/>
  <c r="J695" i="9" l="1"/>
  <c r="H695" i="9"/>
  <c r="I695" i="9" s="1"/>
  <c r="AC306" i="9" a="1"/>
  <c r="AC306" i="9" s="1"/>
  <c r="AA307" i="9" s="1"/>
  <c r="Y306" i="9"/>
  <c r="X307" i="9" s="1"/>
  <c r="AH306" i="9"/>
  <c r="W594" i="9"/>
  <c r="U595" i="9" s="1"/>
  <c r="T414" i="9"/>
  <c r="R415" i="9" s="1"/>
  <c r="C699" i="9"/>
  <c r="D700" i="9"/>
  <c r="J696" i="9" l="1"/>
  <c r="H696" i="9"/>
  <c r="I696" i="9" s="1"/>
  <c r="AI307" i="9"/>
  <c r="Z307" i="9"/>
  <c r="AG307" i="9"/>
  <c r="AD307" i="9"/>
  <c r="T415" i="9"/>
  <c r="R416" i="9" s="1"/>
  <c r="W595" i="9"/>
  <c r="U596" i="9" s="1"/>
  <c r="D701" i="9"/>
  <c r="C700" i="9"/>
  <c r="J697" i="9" l="1"/>
  <c r="H697" i="9"/>
  <c r="I697" i="9" s="1"/>
  <c r="AH307" i="9"/>
  <c r="Y307" i="9"/>
  <c r="X308" i="9" s="1"/>
  <c r="AC307" i="9" a="1"/>
  <c r="AC307" i="9" s="1"/>
  <c r="AA308" i="9" s="1"/>
  <c r="W596" i="9"/>
  <c r="U597" i="9" s="1"/>
  <c r="T416" i="9"/>
  <c r="R417" i="9" s="1"/>
  <c r="D702" i="9"/>
  <c r="C701" i="9"/>
  <c r="J698" i="9" l="1"/>
  <c r="H698" i="9"/>
  <c r="I698" i="9" s="1"/>
  <c r="AD308" i="9"/>
  <c r="AG308" i="9"/>
  <c r="Z308" i="9"/>
  <c r="AI308" i="9"/>
  <c r="T417" i="9"/>
  <c r="R418" i="9" s="1"/>
  <c r="W597" i="9"/>
  <c r="U598" i="9" s="1"/>
  <c r="C702" i="9"/>
  <c r="D703" i="9"/>
  <c r="J699" i="9" l="1"/>
  <c r="H699" i="9"/>
  <c r="I699" i="9" s="1"/>
  <c r="AC308" i="9" a="1"/>
  <c r="AC308" i="9" s="1"/>
  <c r="AA309" i="9" s="1"/>
  <c r="AH308" i="9"/>
  <c r="Y308" i="9"/>
  <c r="X309" i="9" s="1"/>
  <c r="W598" i="9"/>
  <c r="U599" i="9" s="1"/>
  <c r="T418" i="9"/>
  <c r="R419" i="9" s="1"/>
  <c r="C703" i="9"/>
  <c r="D704" i="9"/>
  <c r="J700" i="9" l="1"/>
  <c r="H700" i="9"/>
  <c r="I700" i="9" s="1"/>
  <c r="Z309" i="9"/>
  <c r="AI309" i="9"/>
  <c r="AG309" i="9"/>
  <c r="AD309" i="9"/>
  <c r="W599" i="9"/>
  <c r="U600" i="9" s="1"/>
  <c r="T419" i="9"/>
  <c r="R420" i="9" s="1"/>
  <c r="D705" i="9"/>
  <c r="C704" i="9"/>
  <c r="J701" i="9" l="1"/>
  <c r="H701" i="9"/>
  <c r="I701" i="9" s="1"/>
  <c r="AC309" i="9" a="1"/>
  <c r="AC309" i="9" s="1"/>
  <c r="AA310" i="9" s="1"/>
  <c r="Y309" i="9"/>
  <c r="X310" i="9" s="1"/>
  <c r="AH309" i="9"/>
  <c r="T420" i="9"/>
  <c r="R421" i="9" s="1"/>
  <c r="W600" i="9"/>
  <c r="U601" i="9" s="1"/>
  <c r="D706" i="9"/>
  <c r="C705" i="9"/>
  <c r="J702" i="9" l="1"/>
  <c r="H702" i="9"/>
  <c r="I702" i="9" s="1"/>
  <c r="AI310" i="9"/>
  <c r="Z310" i="9"/>
  <c r="AG310" i="9"/>
  <c r="AD310" i="9"/>
  <c r="T421" i="9"/>
  <c r="R422" i="9" s="1"/>
  <c r="W601" i="9"/>
  <c r="U602" i="9" s="1"/>
  <c r="C706" i="9"/>
  <c r="D707" i="9"/>
  <c r="J703" i="9" l="1"/>
  <c r="H703" i="9"/>
  <c r="I703" i="9" s="1"/>
  <c r="Y310" i="9"/>
  <c r="X311" i="9" s="1"/>
  <c r="AC310" i="9" a="1"/>
  <c r="AC310" i="9" s="1"/>
  <c r="AA311" i="9" s="1"/>
  <c r="AH310" i="9"/>
  <c r="W602" i="9"/>
  <c r="U603" i="9" s="1"/>
  <c r="T422" i="9"/>
  <c r="R423" i="9" s="1"/>
  <c r="C707" i="9"/>
  <c r="D708" i="9"/>
  <c r="J704" i="9" l="1"/>
  <c r="H704" i="9"/>
  <c r="I704" i="9" s="1"/>
  <c r="AD311" i="9"/>
  <c r="AG311" i="9"/>
  <c r="Z311" i="9"/>
  <c r="AI311" i="9"/>
  <c r="W603" i="9"/>
  <c r="U604" i="9" s="1"/>
  <c r="T423" i="9"/>
  <c r="R424" i="9" s="1"/>
  <c r="D709" i="9"/>
  <c r="C708" i="9"/>
  <c r="J705" i="9" l="1"/>
  <c r="H705" i="9"/>
  <c r="I705" i="9" s="1"/>
  <c r="Y311" i="9"/>
  <c r="X312" i="9" s="1"/>
  <c r="AH311" i="9"/>
  <c r="AC311" i="9" a="1"/>
  <c r="AC311" i="9" s="1"/>
  <c r="AA312" i="9" s="1"/>
  <c r="T424" i="9"/>
  <c r="R425" i="9" s="1"/>
  <c r="W604" i="9"/>
  <c r="U605" i="9" s="1"/>
  <c r="D710" i="9"/>
  <c r="C709" i="9"/>
  <c r="J706" i="9" l="1"/>
  <c r="H706" i="9"/>
  <c r="I706" i="9" s="1"/>
  <c r="AD312" i="9"/>
  <c r="AG312" i="9"/>
  <c r="AI312" i="9"/>
  <c r="Z312" i="9"/>
  <c r="W605" i="9"/>
  <c r="U606" i="9" s="1"/>
  <c r="T425" i="9"/>
  <c r="R426" i="9" s="1"/>
  <c r="C710" i="9"/>
  <c r="D711" i="9"/>
  <c r="J707" i="9" l="1"/>
  <c r="H707" i="9"/>
  <c r="I707" i="9" s="1"/>
  <c r="Y312" i="9"/>
  <c r="X313" i="9" s="1"/>
  <c r="AH312" i="9"/>
  <c r="AC312" i="9" a="1"/>
  <c r="AC312" i="9" s="1"/>
  <c r="AA313" i="9" s="1"/>
  <c r="T426" i="9"/>
  <c r="R427" i="9" s="1"/>
  <c r="W606" i="9"/>
  <c r="U607" i="9" s="1"/>
  <c r="C711" i="9"/>
  <c r="D712" i="9"/>
  <c r="J708" i="9" l="1"/>
  <c r="H708" i="9"/>
  <c r="I708" i="9" s="1"/>
  <c r="AD313" i="9"/>
  <c r="AG313" i="9"/>
  <c r="Z313" i="9"/>
  <c r="AI313" i="9"/>
  <c r="W607" i="9"/>
  <c r="U608" i="9" s="1"/>
  <c r="T427" i="9"/>
  <c r="R428" i="9" s="1"/>
  <c r="D713" i="9"/>
  <c r="C712" i="9"/>
  <c r="J709" i="9" l="1"/>
  <c r="H709" i="9"/>
  <c r="I709" i="9" s="1"/>
  <c r="Y313" i="9"/>
  <c r="X314" i="9" s="1"/>
  <c r="AC313" i="9" a="1"/>
  <c r="AC313" i="9" s="1"/>
  <c r="AA314" i="9" s="1"/>
  <c r="AH313" i="9"/>
  <c r="T428" i="9"/>
  <c r="R429" i="9" s="1"/>
  <c r="W608" i="9"/>
  <c r="U609" i="9" s="1"/>
  <c r="D714" i="9"/>
  <c r="C713" i="9"/>
  <c r="J710" i="9" l="1"/>
  <c r="H710" i="9"/>
  <c r="I710" i="9" s="1"/>
  <c r="AD314" i="9"/>
  <c r="AI314" i="9"/>
  <c r="Z314" i="9"/>
  <c r="AG314" i="9"/>
  <c r="W609" i="9"/>
  <c r="U610" i="9" s="1"/>
  <c r="T429" i="9"/>
  <c r="R430" i="9" s="1"/>
  <c r="C714" i="9"/>
  <c r="D715" i="9"/>
  <c r="J711" i="9" l="1"/>
  <c r="H711" i="9"/>
  <c r="I711" i="9" s="1"/>
  <c r="AC314" i="9" a="1"/>
  <c r="AC314" i="9" s="1"/>
  <c r="AA315" i="9" s="1"/>
  <c r="AH314" i="9"/>
  <c r="Y314" i="9"/>
  <c r="X315" i="9" s="1"/>
  <c r="T430" i="9"/>
  <c r="R431" i="9" s="1"/>
  <c r="W610" i="9"/>
  <c r="U611" i="9" s="1"/>
  <c r="C715" i="9"/>
  <c r="D716" i="9"/>
  <c r="J712" i="9" l="1"/>
  <c r="H712" i="9"/>
  <c r="I712" i="9" s="1"/>
  <c r="Z315" i="9"/>
  <c r="AI315" i="9"/>
  <c r="AG315" i="9"/>
  <c r="AD315" i="9"/>
  <c r="T431" i="9"/>
  <c r="R432" i="9" s="1"/>
  <c r="W611" i="9"/>
  <c r="U612" i="9" s="1"/>
  <c r="D717" i="9"/>
  <c r="C716" i="9"/>
  <c r="J713" i="9" l="1"/>
  <c r="H713" i="9"/>
  <c r="I713" i="9" s="1"/>
  <c r="AC315" i="9" a="1"/>
  <c r="AC315" i="9" s="1"/>
  <c r="AA316" i="9" s="1"/>
  <c r="AH315" i="9"/>
  <c r="Y315" i="9"/>
  <c r="X316" i="9" s="1"/>
  <c r="T432" i="9"/>
  <c r="R433" i="9" s="1"/>
  <c r="W612" i="9"/>
  <c r="U613" i="9" s="1"/>
  <c r="D718" i="9"/>
  <c r="C717" i="9"/>
  <c r="J714" i="9" l="1"/>
  <c r="H714" i="9"/>
  <c r="I714" i="9" s="1"/>
  <c r="AI316" i="9"/>
  <c r="Z316" i="9"/>
  <c r="AG316" i="9"/>
  <c r="AD316" i="9"/>
  <c r="T433" i="9"/>
  <c r="R434" i="9" s="1"/>
  <c r="W613" i="9"/>
  <c r="U614" i="9" s="1"/>
  <c r="C718" i="9"/>
  <c r="D719" i="9"/>
  <c r="J715" i="9" l="1"/>
  <c r="H715" i="9"/>
  <c r="I715" i="9" s="1"/>
  <c r="Y316" i="9"/>
  <c r="X317" i="9" s="1"/>
  <c r="AC316" i="9" a="1"/>
  <c r="AC316" i="9" s="1"/>
  <c r="AA317" i="9" s="1"/>
  <c r="AH316" i="9"/>
  <c r="W614" i="9"/>
  <c r="U615" i="9" s="1"/>
  <c r="T434" i="9"/>
  <c r="R435" i="9" s="1"/>
  <c r="C719" i="9"/>
  <c r="D720" i="9"/>
  <c r="J716" i="9" l="1"/>
  <c r="H716" i="9"/>
  <c r="I716" i="9" s="1"/>
  <c r="AD317" i="9"/>
  <c r="AI317" i="9"/>
  <c r="Z317" i="9"/>
  <c r="AG317" i="9"/>
  <c r="T435" i="9"/>
  <c r="R436" i="9" s="1"/>
  <c r="W615" i="9"/>
  <c r="U616" i="9" s="1"/>
  <c r="D721" i="9"/>
  <c r="C720" i="9"/>
  <c r="J717" i="9" l="1"/>
  <c r="H717" i="9"/>
  <c r="I717" i="9" s="1"/>
  <c r="Y317" i="9"/>
  <c r="X318" i="9" s="1"/>
  <c r="AC317" i="9" a="1"/>
  <c r="AC317" i="9" s="1"/>
  <c r="AA318" i="9" s="1"/>
  <c r="AH317" i="9"/>
  <c r="T436" i="9"/>
  <c r="R437" i="9" s="1"/>
  <c r="W616" i="9"/>
  <c r="U617" i="9" s="1"/>
  <c r="D722" i="9"/>
  <c r="C721" i="9"/>
  <c r="J718" i="9" l="1"/>
  <c r="H718" i="9"/>
  <c r="I718" i="9" s="1"/>
  <c r="AD318" i="9"/>
  <c r="AI318" i="9"/>
  <c r="AG318" i="9"/>
  <c r="Z318" i="9"/>
  <c r="W617" i="9"/>
  <c r="U618" i="9" s="1"/>
  <c r="T437" i="9"/>
  <c r="R438" i="9" s="1"/>
  <c r="C722" i="9"/>
  <c r="D723" i="9"/>
  <c r="J719" i="9" l="1"/>
  <c r="H719" i="9"/>
  <c r="I719" i="9" s="1"/>
  <c r="AC318" i="9" a="1"/>
  <c r="AC318" i="9" s="1"/>
  <c r="AA319" i="9" s="1"/>
  <c r="AH318" i="9"/>
  <c r="Y318" i="9"/>
  <c r="X319" i="9" s="1"/>
  <c r="T438" i="9"/>
  <c r="R439" i="9" s="1"/>
  <c r="W618" i="9"/>
  <c r="U619" i="9" s="1"/>
  <c r="C723" i="9"/>
  <c r="D724" i="9"/>
  <c r="J720" i="9" l="1"/>
  <c r="H720" i="9"/>
  <c r="I720" i="9" s="1"/>
  <c r="Z319" i="9"/>
  <c r="AG319" i="9"/>
  <c r="AI319" i="9"/>
  <c r="AD319" i="9"/>
  <c r="W619" i="9"/>
  <c r="U620" i="9" s="1"/>
  <c r="T439" i="9"/>
  <c r="R440" i="9" s="1"/>
  <c r="D725" i="9"/>
  <c r="C724" i="9"/>
  <c r="J721" i="9" l="1"/>
  <c r="H721" i="9"/>
  <c r="I721" i="9" s="1"/>
  <c r="AH319" i="9"/>
  <c r="Y319" i="9"/>
  <c r="X320" i="9" s="1"/>
  <c r="AC319" i="9" a="1"/>
  <c r="AC319" i="9" s="1"/>
  <c r="AA320" i="9" s="1"/>
  <c r="T440" i="9"/>
  <c r="R441" i="9" s="1"/>
  <c r="W620" i="9"/>
  <c r="U621" i="9" s="1"/>
  <c r="D726" i="9"/>
  <c r="C725" i="9"/>
  <c r="J722" i="9" l="1"/>
  <c r="H722" i="9"/>
  <c r="I722" i="9" s="1"/>
  <c r="AD320" i="9"/>
  <c r="AG320" i="9"/>
  <c r="Z320" i="9"/>
  <c r="AI320" i="9"/>
  <c r="T441" i="9"/>
  <c r="R442" i="9" s="1"/>
  <c r="W621" i="9"/>
  <c r="U622" i="9" s="1"/>
  <c r="C726" i="9"/>
  <c r="D727" i="9"/>
  <c r="J723" i="9" l="1"/>
  <c r="H723" i="9"/>
  <c r="I723" i="9" s="1"/>
  <c r="AH320" i="9"/>
  <c r="Y320" i="9"/>
  <c r="X321" i="9" s="1"/>
  <c r="AC320" i="9" a="1"/>
  <c r="AC320" i="9" s="1"/>
  <c r="AA321" i="9" s="1"/>
  <c r="W622" i="9"/>
  <c r="U623" i="9" s="1"/>
  <c r="T442" i="9"/>
  <c r="R443" i="9" s="1"/>
  <c r="C727" i="9"/>
  <c r="D728" i="9"/>
  <c r="J724" i="9" l="1"/>
  <c r="H724" i="9"/>
  <c r="I724" i="9" s="1"/>
  <c r="AD321" i="9"/>
  <c r="Z321" i="9"/>
  <c r="AG321" i="9"/>
  <c r="AI321" i="9"/>
  <c r="W623" i="9"/>
  <c r="U624" i="9" s="1"/>
  <c r="T443" i="9"/>
  <c r="R444" i="9" s="1"/>
  <c r="D729" i="9"/>
  <c r="C728" i="9"/>
  <c r="J725" i="9" l="1"/>
  <c r="H725" i="9"/>
  <c r="I725" i="9" s="1"/>
  <c r="Y321" i="9"/>
  <c r="X322" i="9" s="1"/>
  <c r="AC321" i="9" a="1"/>
  <c r="AC321" i="9" s="1"/>
  <c r="AA322" i="9" s="1"/>
  <c r="AH321" i="9"/>
  <c r="T444" i="9"/>
  <c r="R445" i="9" s="1"/>
  <c r="W624" i="9"/>
  <c r="U625" i="9" s="1"/>
  <c r="D730" i="9"/>
  <c r="C729" i="9"/>
  <c r="J726" i="9" l="1"/>
  <c r="H726" i="9"/>
  <c r="I726" i="9" s="1"/>
  <c r="AD322" i="9"/>
  <c r="AG322" i="9"/>
  <c r="AI322" i="9"/>
  <c r="Z322" i="9"/>
  <c r="T445" i="9"/>
  <c r="R446" i="9" s="1"/>
  <c r="W625" i="9"/>
  <c r="U626" i="9" s="1"/>
  <c r="C730" i="9"/>
  <c r="D731" i="9"/>
  <c r="J727" i="9" l="1"/>
  <c r="H727" i="9"/>
  <c r="I727" i="9" s="1"/>
  <c r="Y322" i="9"/>
  <c r="X323" i="9" s="1"/>
  <c r="AH322" i="9"/>
  <c r="AC322" i="9" a="1"/>
  <c r="AC322" i="9" s="1"/>
  <c r="AA323" i="9" s="1"/>
  <c r="W626" i="9"/>
  <c r="U627" i="9" s="1"/>
  <c r="T446" i="9"/>
  <c r="R447" i="9" s="1"/>
  <c r="C731" i="9"/>
  <c r="D732" i="9"/>
  <c r="J728" i="9" l="1"/>
  <c r="H728" i="9"/>
  <c r="I728" i="9" s="1"/>
  <c r="AD323" i="9"/>
  <c r="AG323" i="9"/>
  <c r="AI323" i="9"/>
  <c r="Z323" i="9"/>
  <c r="W627" i="9"/>
  <c r="U628" i="9" s="1"/>
  <c r="T447" i="9"/>
  <c r="R448" i="9" s="1"/>
  <c r="D733" i="9"/>
  <c r="C732" i="9"/>
  <c r="J729" i="9" l="1"/>
  <c r="H729" i="9"/>
  <c r="I729" i="9" s="1"/>
  <c r="Y323" i="9"/>
  <c r="X324" i="9" s="1"/>
  <c r="AC323" i="9" a="1"/>
  <c r="AC323" i="9" s="1"/>
  <c r="AA324" i="9" s="1"/>
  <c r="AH323" i="9"/>
  <c r="T448" i="9"/>
  <c r="R449" i="9" s="1"/>
  <c r="W628" i="9"/>
  <c r="U629" i="9" s="1"/>
  <c r="D734" i="9"/>
  <c r="C733" i="9"/>
  <c r="J730" i="9" l="1"/>
  <c r="H730" i="9"/>
  <c r="I730" i="9" s="1"/>
  <c r="AD324" i="9"/>
  <c r="Z324" i="9"/>
  <c r="AI324" i="9"/>
  <c r="AG324" i="9"/>
  <c r="W629" i="9"/>
  <c r="U630" i="9" s="1"/>
  <c r="T449" i="9"/>
  <c r="R450" i="9" s="1"/>
  <c r="C734" i="9"/>
  <c r="D735" i="9"/>
  <c r="J731" i="9" l="1"/>
  <c r="H731" i="9"/>
  <c r="I731" i="9" s="1"/>
  <c r="AH324" i="9"/>
  <c r="AC324" i="9" a="1"/>
  <c r="AC324" i="9" s="1"/>
  <c r="AA325" i="9" s="1"/>
  <c r="Y324" i="9"/>
  <c r="X325" i="9" s="1"/>
  <c r="T450" i="9"/>
  <c r="R451" i="9" s="1"/>
  <c r="W630" i="9"/>
  <c r="U631" i="9" s="1"/>
  <c r="C735" i="9"/>
  <c r="D736" i="9"/>
  <c r="J732" i="9" l="1"/>
  <c r="H732" i="9"/>
  <c r="I732" i="9" s="1"/>
  <c r="AD325" i="9"/>
  <c r="AI325" i="9"/>
  <c r="Z325" i="9"/>
  <c r="AG325" i="9"/>
  <c r="T451" i="9"/>
  <c r="R452" i="9" s="1"/>
  <c r="W631" i="9"/>
  <c r="U632" i="9" s="1"/>
  <c r="D737" i="9"/>
  <c r="C736" i="9"/>
  <c r="J733" i="9" l="1"/>
  <c r="H733" i="9"/>
  <c r="I733" i="9" s="1"/>
  <c r="Y325" i="9"/>
  <c r="X326" i="9" s="1"/>
  <c r="AC325" i="9" a="1"/>
  <c r="AC325" i="9" s="1"/>
  <c r="AA326" i="9" s="1"/>
  <c r="AH325" i="9"/>
  <c r="T452" i="9"/>
  <c r="R453" i="9" s="1"/>
  <c r="W632" i="9"/>
  <c r="U633" i="9" s="1"/>
  <c r="D738" i="9"/>
  <c r="C737" i="9"/>
  <c r="J734" i="9" l="1"/>
  <c r="H734" i="9"/>
  <c r="I734" i="9" s="1"/>
  <c r="AD326" i="9"/>
  <c r="Z326" i="9"/>
  <c r="AG326" i="9"/>
  <c r="AI326" i="9"/>
  <c r="W633" i="9"/>
  <c r="U634" i="9" s="1"/>
  <c r="T453" i="9"/>
  <c r="R454" i="9" s="1"/>
  <c r="C738" i="9"/>
  <c r="D739" i="9"/>
  <c r="J735" i="9" l="1"/>
  <c r="H735" i="9"/>
  <c r="I735" i="9" s="1"/>
  <c r="AC326" i="9" a="1"/>
  <c r="AC326" i="9" s="1"/>
  <c r="AA327" i="9" s="1"/>
  <c r="AH326" i="9"/>
  <c r="Y326" i="9"/>
  <c r="X327" i="9" s="1"/>
  <c r="T454" i="9"/>
  <c r="R455" i="9" s="1"/>
  <c r="W634" i="9"/>
  <c r="U635" i="9" s="1"/>
  <c r="C739" i="9"/>
  <c r="D740" i="9"/>
  <c r="J736" i="9" l="1"/>
  <c r="H736" i="9"/>
  <c r="I736" i="9" s="1"/>
  <c r="AI327" i="9"/>
  <c r="Z327" i="9"/>
  <c r="AG327" i="9"/>
  <c r="AD327" i="9"/>
  <c r="W635" i="9"/>
  <c r="U636" i="9" s="1"/>
  <c r="T455" i="9"/>
  <c r="R456" i="9" s="1"/>
  <c r="D741" i="9"/>
  <c r="C740" i="9"/>
  <c r="J737" i="9" l="1"/>
  <c r="H737" i="9"/>
  <c r="I737" i="9" s="1"/>
  <c r="AC327" i="9" a="1"/>
  <c r="AC327" i="9" s="1"/>
  <c r="AA328" i="9" s="1"/>
  <c r="Y327" i="9"/>
  <c r="X328" i="9" s="1"/>
  <c r="AH327" i="9"/>
  <c r="T456" i="9"/>
  <c r="R457" i="9" s="1"/>
  <c r="W636" i="9"/>
  <c r="U637" i="9" s="1"/>
  <c r="D742" i="9"/>
  <c r="C741" i="9"/>
  <c r="J738" i="9" l="1"/>
  <c r="H738" i="9"/>
  <c r="I738" i="9" s="1"/>
  <c r="Z328" i="9"/>
  <c r="AI328" i="9"/>
  <c r="AG328" i="9"/>
  <c r="AD328" i="9"/>
  <c r="T457" i="9"/>
  <c r="R458" i="9" s="1"/>
  <c r="W637" i="9"/>
  <c r="U638" i="9" s="1"/>
  <c r="C742" i="9"/>
  <c r="D743" i="9"/>
  <c r="J739" i="9" l="1"/>
  <c r="H739" i="9"/>
  <c r="I739" i="9" s="1"/>
  <c r="AH328" i="9"/>
  <c r="AC328" i="9" a="1"/>
  <c r="AC328" i="9" s="1"/>
  <c r="AA329" i="9" s="1"/>
  <c r="Y328" i="9"/>
  <c r="X329" i="9" s="1"/>
  <c r="T458" i="9"/>
  <c r="R459" i="9" s="1"/>
  <c r="W638" i="9"/>
  <c r="U639" i="9" s="1"/>
  <c r="C743" i="9"/>
  <c r="D744" i="9"/>
  <c r="J740" i="9" l="1"/>
  <c r="H740" i="9"/>
  <c r="I740" i="9" s="1"/>
  <c r="AG329" i="9"/>
  <c r="AI329" i="9"/>
  <c r="Z329" i="9"/>
  <c r="AD329" i="9"/>
  <c r="W639" i="9"/>
  <c r="U640" i="9" s="1"/>
  <c r="T459" i="9"/>
  <c r="R460" i="9" s="1"/>
  <c r="D745" i="9"/>
  <c r="C744" i="9"/>
  <c r="J741" i="9" l="1"/>
  <c r="H741" i="9"/>
  <c r="I741" i="9" s="1"/>
  <c r="AC329" i="9" a="1"/>
  <c r="AC329" i="9" s="1"/>
  <c r="AA330" i="9" s="1"/>
  <c r="AH329" i="9"/>
  <c r="Y329" i="9"/>
  <c r="X330" i="9" s="1"/>
  <c r="W640" i="9"/>
  <c r="U641" i="9" s="1"/>
  <c r="T460" i="9"/>
  <c r="R461" i="9" s="1"/>
  <c r="D746" i="9"/>
  <c r="C745" i="9"/>
  <c r="J742" i="9" l="1"/>
  <c r="H742" i="9"/>
  <c r="I742" i="9" s="1"/>
  <c r="AG330" i="9"/>
  <c r="Z330" i="9"/>
  <c r="AI330" i="9"/>
  <c r="AD330" i="9"/>
  <c r="T461" i="9"/>
  <c r="R462" i="9" s="1"/>
  <c r="W641" i="9"/>
  <c r="U642" i="9" s="1"/>
  <c r="C746" i="9"/>
  <c r="D747" i="9"/>
  <c r="J743" i="9" l="1"/>
  <c r="H743" i="9"/>
  <c r="I743" i="9" s="1"/>
  <c r="AH330" i="9"/>
  <c r="AC330" i="9" a="1"/>
  <c r="AC330" i="9" s="1"/>
  <c r="AA331" i="9" s="1"/>
  <c r="Y330" i="9"/>
  <c r="X331" i="9" s="1"/>
  <c r="T462" i="9"/>
  <c r="R463" i="9" s="1"/>
  <c r="W642" i="9"/>
  <c r="U643" i="9" s="1"/>
  <c r="C747" i="9"/>
  <c r="D748" i="9"/>
  <c r="J744" i="9" l="1"/>
  <c r="H744" i="9"/>
  <c r="I744" i="9" s="1"/>
  <c r="AD331" i="9"/>
  <c r="Z331" i="9"/>
  <c r="AI331" i="9"/>
  <c r="AG331" i="9"/>
  <c r="W643" i="9"/>
  <c r="U644" i="9" s="1"/>
  <c r="T463" i="9"/>
  <c r="R464" i="9" s="1"/>
  <c r="D749" i="9"/>
  <c r="C748" i="9"/>
  <c r="J745" i="9" l="1"/>
  <c r="H745" i="9"/>
  <c r="I745" i="9" s="1"/>
  <c r="AC331" i="9" a="1"/>
  <c r="AC331" i="9" s="1"/>
  <c r="AA332" i="9" s="1"/>
  <c r="Y331" i="9"/>
  <c r="X332" i="9" s="1"/>
  <c r="AH331" i="9"/>
  <c r="W644" i="9"/>
  <c r="U645" i="9" s="1"/>
  <c r="T464" i="9"/>
  <c r="R465" i="9" s="1"/>
  <c r="D750" i="9"/>
  <c r="C749" i="9"/>
  <c r="J746" i="9" l="1"/>
  <c r="H746" i="9"/>
  <c r="I746" i="9" s="1"/>
  <c r="Z332" i="9"/>
  <c r="AI332" i="9"/>
  <c r="AG332" i="9"/>
  <c r="AD332" i="9"/>
  <c r="T465" i="9"/>
  <c r="R466" i="9" s="1"/>
  <c r="W645" i="9"/>
  <c r="U646" i="9" s="1"/>
  <c r="D751" i="9"/>
  <c r="C750" i="9"/>
  <c r="J747" i="9" l="1"/>
  <c r="H747" i="9"/>
  <c r="I747" i="9" s="1"/>
  <c r="AH332" i="9"/>
  <c r="AC332" i="9" a="1"/>
  <c r="AC332" i="9" s="1"/>
  <c r="AA333" i="9" s="1"/>
  <c r="Y332" i="9"/>
  <c r="X333" i="9" s="1"/>
  <c r="T466" i="9"/>
  <c r="R467" i="9" s="1"/>
  <c r="W646" i="9"/>
  <c r="U647" i="9" s="1"/>
  <c r="D752" i="9"/>
  <c r="C751" i="9"/>
  <c r="J748" i="9" l="1"/>
  <c r="H748" i="9"/>
  <c r="I748" i="9" s="1"/>
  <c r="AD333" i="9"/>
  <c r="AI333" i="9"/>
  <c r="Z333" i="9"/>
  <c r="AG333" i="9"/>
  <c r="W647" i="9"/>
  <c r="U648" i="9" s="1"/>
  <c r="T467" i="9"/>
  <c r="R468" i="9" s="1"/>
  <c r="C752" i="9"/>
  <c r="D753" i="9"/>
  <c r="J749" i="9" l="1"/>
  <c r="H749" i="9"/>
  <c r="I749" i="9" s="1"/>
  <c r="AC333" i="9" a="1"/>
  <c r="AC333" i="9" s="1"/>
  <c r="AA334" i="9" s="1"/>
  <c r="AH333" i="9"/>
  <c r="Y333" i="9"/>
  <c r="X334" i="9" s="1"/>
  <c r="W648" i="9"/>
  <c r="U649" i="9" s="1"/>
  <c r="T468" i="9"/>
  <c r="R469" i="9" s="1"/>
  <c r="C753" i="9"/>
  <c r="D754" i="9"/>
  <c r="J750" i="9" l="1"/>
  <c r="H750" i="9"/>
  <c r="I750" i="9" s="1"/>
  <c r="AG334" i="9"/>
  <c r="AI334" i="9"/>
  <c r="Z334" i="9"/>
  <c r="AD334" i="9"/>
  <c r="W649" i="9"/>
  <c r="U650" i="9" s="1"/>
  <c r="T469" i="9"/>
  <c r="R470" i="9" s="1"/>
  <c r="D755" i="9"/>
  <c r="C754" i="9"/>
  <c r="J751" i="9" l="1"/>
  <c r="H751" i="9"/>
  <c r="I751" i="9" s="1"/>
  <c r="Y334" i="9"/>
  <c r="X335" i="9" s="1"/>
  <c r="AC334" i="9" a="1"/>
  <c r="AC334" i="9" s="1"/>
  <c r="AA335" i="9" s="1"/>
  <c r="AH334" i="9"/>
  <c r="W650" i="9"/>
  <c r="U651" i="9" s="1"/>
  <c r="T470" i="9"/>
  <c r="R471" i="9" s="1"/>
  <c r="D756" i="9"/>
  <c r="C755" i="9"/>
  <c r="J752" i="9" l="1"/>
  <c r="H752" i="9"/>
  <c r="I752" i="9" s="1"/>
  <c r="AD335" i="9"/>
  <c r="Z335" i="9"/>
  <c r="AI335" i="9"/>
  <c r="AG335" i="9"/>
  <c r="W651" i="9"/>
  <c r="U652" i="9" s="1"/>
  <c r="T471" i="9"/>
  <c r="R472" i="9" s="1"/>
  <c r="C756" i="9"/>
  <c r="D757" i="9"/>
  <c r="J753" i="9" l="1"/>
  <c r="H753" i="9"/>
  <c r="I753" i="9" s="1"/>
  <c r="Y335" i="9"/>
  <c r="X336" i="9" s="1"/>
  <c r="AC335" i="9" a="1"/>
  <c r="AC335" i="9" s="1"/>
  <c r="AA336" i="9" s="1"/>
  <c r="AH335" i="9"/>
  <c r="W652" i="9"/>
  <c r="U653" i="9" s="1"/>
  <c r="T472" i="9"/>
  <c r="R473" i="9" s="1"/>
  <c r="C757" i="9"/>
  <c r="D758" i="9"/>
  <c r="J754" i="9" l="1"/>
  <c r="H754" i="9"/>
  <c r="I754" i="9" s="1"/>
  <c r="AD336" i="9"/>
  <c r="Z336" i="9"/>
  <c r="AG336" i="9"/>
  <c r="AI336" i="9"/>
  <c r="T473" i="9"/>
  <c r="R474" i="9" s="1"/>
  <c r="W653" i="9"/>
  <c r="U654" i="9" s="1"/>
  <c r="D759" i="9"/>
  <c r="C758" i="9"/>
  <c r="J755" i="9" l="1"/>
  <c r="H755" i="9"/>
  <c r="I755" i="9" s="1"/>
  <c r="Y336" i="9"/>
  <c r="X337" i="9" s="1"/>
  <c r="AH336" i="9"/>
  <c r="AC336" i="9" a="1"/>
  <c r="AC336" i="9" s="1"/>
  <c r="AA337" i="9" s="1"/>
  <c r="T474" i="9"/>
  <c r="R475" i="9" s="1"/>
  <c r="W654" i="9"/>
  <c r="U655" i="9" s="1"/>
  <c r="D760" i="9"/>
  <c r="C759" i="9"/>
  <c r="J756" i="9" l="1"/>
  <c r="H756" i="9"/>
  <c r="I756" i="9" s="1"/>
  <c r="AD337" i="9"/>
  <c r="Z337" i="9"/>
  <c r="AG337" i="9"/>
  <c r="AI337" i="9"/>
  <c r="T475" i="9"/>
  <c r="R476" i="9" s="1"/>
  <c r="W655" i="9"/>
  <c r="U656" i="9" s="1"/>
  <c r="C760" i="9"/>
  <c r="D761" i="9"/>
  <c r="J757" i="9" l="1"/>
  <c r="H757" i="9"/>
  <c r="I757" i="9" s="1"/>
  <c r="AC337" i="9" a="1"/>
  <c r="AC337" i="9" s="1"/>
  <c r="AA338" i="9" s="1"/>
  <c r="Y337" i="9"/>
  <c r="X338" i="9" s="1"/>
  <c r="AH337" i="9"/>
  <c r="W656" i="9"/>
  <c r="U657" i="9" s="1"/>
  <c r="T476" i="9"/>
  <c r="R477" i="9" s="1"/>
  <c r="C761" i="9"/>
  <c r="D762" i="9"/>
  <c r="J758" i="9" l="1"/>
  <c r="H758" i="9"/>
  <c r="I758" i="9" s="1"/>
  <c r="AG338" i="9"/>
  <c r="AI338" i="9"/>
  <c r="Z338" i="9"/>
  <c r="AD338" i="9"/>
  <c r="W657" i="9"/>
  <c r="U658" i="9" s="1"/>
  <c r="T477" i="9"/>
  <c r="R478" i="9" s="1"/>
  <c r="D763" i="9"/>
  <c r="C762" i="9"/>
  <c r="J759" i="9" l="1"/>
  <c r="H759" i="9"/>
  <c r="I759" i="9" s="1"/>
  <c r="AC338" i="9" a="1"/>
  <c r="AC338" i="9" s="1"/>
  <c r="AA339" i="9" s="1"/>
  <c r="AH338" i="9"/>
  <c r="Y338" i="9"/>
  <c r="X339" i="9" s="1"/>
  <c r="W658" i="9"/>
  <c r="U659" i="9" s="1"/>
  <c r="T478" i="9"/>
  <c r="R479" i="9" s="1"/>
  <c r="D764" i="9"/>
  <c r="C763" i="9"/>
  <c r="J760" i="9" l="1"/>
  <c r="H760" i="9"/>
  <c r="I760" i="9" s="1"/>
  <c r="AI339" i="9"/>
  <c r="Z339" i="9"/>
  <c r="AG339" i="9"/>
  <c r="AD339" i="9"/>
  <c r="T479" i="9"/>
  <c r="R480" i="9" s="1"/>
  <c r="W659" i="9"/>
  <c r="U660" i="9" s="1"/>
  <c r="C764" i="9"/>
  <c r="D765" i="9"/>
  <c r="J761" i="9" l="1"/>
  <c r="H761" i="9"/>
  <c r="I761" i="9" s="1"/>
  <c r="Y339" i="9"/>
  <c r="X340" i="9" s="1"/>
  <c r="AC339" i="9" a="1"/>
  <c r="AC339" i="9" s="1"/>
  <c r="AA340" i="9" s="1"/>
  <c r="AH339" i="9"/>
  <c r="W660" i="9"/>
  <c r="U661" i="9" s="1"/>
  <c r="T480" i="9"/>
  <c r="R481" i="9" s="1"/>
  <c r="C765" i="9"/>
  <c r="D766" i="9"/>
  <c r="J762" i="9" l="1"/>
  <c r="H762" i="9"/>
  <c r="I762" i="9" s="1"/>
  <c r="AD340" i="9"/>
  <c r="Z340" i="9"/>
  <c r="AG340" i="9"/>
  <c r="AI340" i="9"/>
  <c r="W661" i="9"/>
  <c r="U662" i="9" s="1"/>
  <c r="T481" i="9"/>
  <c r="R482" i="9" s="1"/>
  <c r="D767" i="9"/>
  <c r="C766" i="9"/>
  <c r="J763" i="9" l="1"/>
  <c r="H763" i="9"/>
  <c r="I763" i="9" s="1"/>
  <c r="AH340" i="9"/>
  <c r="Y340" i="9"/>
  <c r="X341" i="9" s="1"/>
  <c r="AC340" i="9" a="1"/>
  <c r="AC340" i="9" s="1"/>
  <c r="AA341" i="9" s="1"/>
  <c r="T482" i="9"/>
  <c r="R483" i="9" s="1"/>
  <c r="W662" i="9"/>
  <c r="U663" i="9" s="1"/>
  <c r="D768" i="9"/>
  <c r="C767" i="9"/>
  <c r="J764" i="9" l="1"/>
  <c r="H764" i="9"/>
  <c r="I764" i="9" s="1"/>
  <c r="AD341" i="9"/>
  <c r="AI341" i="9"/>
  <c r="AG341" i="9"/>
  <c r="Z341" i="9"/>
  <c r="W663" i="9"/>
  <c r="U664" i="9" s="1"/>
  <c r="T483" i="9"/>
  <c r="R484" i="9" s="1"/>
  <c r="C768" i="9"/>
  <c r="D769" i="9"/>
  <c r="J765" i="9" l="1"/>
  <c r="H765" i="9"/>
  <c r="I765" i="9" s="1"/>
  <c r="AC341" i="9" a="1"/>
  <c r="AC341" i="9" s="1"/>
  <c r="AA342" i="9" s="1"/>
  <c r="Y341" i="9"/>
  <c r="X342" i="9" s="1"/>
  <c r="AH341" i="9"/>
  <c r="W664" i="9"/>
  <c r="U665" i="9" s="1"/>
  <c r="T484" i="9"/>
  <c r="R485" i="9" s="1"/>
  <c r="C769" i="9"/>
  <c r="D770" i="9"/>
  <c r="J766" i="9" l="1"/>
  <c r="H766" i="9"/>
  <c r="I766" i="9" s="1"/>
  <c r="Z342" i="9"/>
  <c r="AG342" i="9"/>
  <c r="AI342" i="9"/>
  <c r="AD342" i="9"/>
  <c r="T485" i="9"/>
  <c r="R486" i="9" s="1"/>
  <c r="W665" i="9"/>
  <c r="U666" i="9" s="1"/>
  <c r="D771" i="9"/>
  <c r="C770" i="9"/>
  <c r="J767" i="9" l="1"/>
  <c r="H767" i="9"/>
  <c r="I767" i="9" s="1"/>
  <c r="Y342" i="9"/>
  <c r="X343" i="9" s="1"/>
  <c r="AH342" i="9"/>
  <c r="AC342" i="9" a="1"/>
  <c r="AC342" i="9" s="1"/>
  <c r="AA343" i="9" s="1"/>
  <c r="W666" i="9"/>
  <c r="U667" i="9" s="1"/>
  <c r="T486" i="9"/>
  <c r="R487" i="9" s="1"/>
  <c r="D772" i="9"/>
  <c r="C771" i="9"/>
  <c r="J768" i="9" l="1"/>
  <c r="H768" i="9"/>
  <c r="I768" i="9" s="1"/>
  <c r="AD343" i="9"/>
  <c r="AG343" i="9"/>
  <c r="Z343" i="9"/>
  <c r="AI343" i="9"/>
  <c r="T487" i="9"/>
  <c r="R488" i="9" s="1"/>
  <c r="W667" i="9"/>
  <c r="U668" i="9" s="1"/>
  <c r="C772" i="9"/>
  <c r="D773" i="9"/>
  <c r="J769" i="9" l="1"/>
  <c r="H769" i="9"/>
  <c r="I769" i="9" s="1"/>
  <c r="AC343" i="9" a="1"/>
  <c r="AC343" i="9" s="1"/>
  <c r="AA344" i="9" s="1"/>
  <c r="AH343" i="9"/>
  <c r="Y343" i="9"/>
  <c r="X344" i="9" s="1"/>
  <c r="T488" i="9"/>
  <c r="R489" i="9" s="1"/>
  <c r="W668" i="9"/>
  <c r="U669" i="9" s="1"/>
  <c r="C773" i="9"/>
  <c r="D774" i="9"/>
  <c r="J770" i="9" l="1"/>
  <c r="H770" i="9"/>
  <c r="I770" i="9" s="1"/>
  <c r="Z344" i="9"/>
  <c r="AI344" i="9"/>
  <c r="AG344" i="9"/>
  <c r="AD344" i="9"/>
  <c r="T489" i="9"/>
  <c r="R490" i="9" s="1"/>
  <c r="W669" i="9"/>
  <c r="U670" i="9" s="1"/>
  <c r="D775" i="9"/>
  <c r="C774" i="9"/>
  <c r="J771" i="9" l="1"/>
  <c r="H771" i="9"/>
  <c r="I771" i="9" s="1"/>
  <c r="AC344" i="9" a="1"/>
  <c r="AC344" i="9" s="1"/>
  <c r="AA345" i="9" s="1"/>
  <c r="Y344" i="9"/>
  <c r="X345" i="9" s="1"/>
  <c r="AH344" i="9"/>
  <c r="W670" i="9"/>
  <c r="U671" i="9" s="1"/>
  <c r="T490" i="9"/>
  <c r="R491" i="9" s="1"/>
  <c r="D776" i="9"/>
  <c r="C775" i="9"/>
  <c r="J772" i="9" l="1"/>
  <c r="H772" i="9"/>
  <c r="I772" i="9" s="1"/>
  <c r="AG345" i="9"/>
  <c r="AI345" i="9"/>
  <c r="Z345" i="9"/>
  <c r="AD345" i="9"/>
  <c r="W671" i="9"/>
  <c r="U672" i="9" s="1"/>
  <c r="T491" i="9"/>
  <c r="R492" i="9" s="1"/>
  <c r="C776" i="9"/>
  <c r="D777" i="9"/>
  <c r="J773" i="9" l="1"/>
  <c r="H773" i="9"/>
  <c r="I773" i="9" s="1"/>
  <c r="AC345" i="9" a="1"/>
  <c r="AC345" i="9" s="1"/>
  <c r="AA346" i="9" s="1"/>
  <c r="AH345" i="9"/>
  <c r="Y345" i="9"/>
  <c r="X346" i="9" s="1"/>
  <c r="T492" i="9"/>
  <c r="R493" i="9" s="1"/>
  <c r="W672" i="9"/>
  <c r="U673" i="9" s="1"/>
  <c r="C777" i="9"/>
  <c r="D778" i="9"/>
  <c r="J774" i="9" l="1"/>
  <c r="H774" i="9"/>
  <c r="I774" i="9" s="1"/>
  <c r="AG346" i="9"/>
  <c r="Z346" i="9"/>
  <c r="AI346" i="9"/>
  <c r="AD346" i="9"/>
  <c r="T493" i="9"/>
  <c r="R494" i="9" s="1"/>
  <c r="W673" i="9"/>
  <c r="U674" i="9" s="1"/>
  <c r="D779" i="9"/>
  <c r="C778" i="9"/>
  <c r="J775" i="9" l="1"/>
  <c r="H775" i="9"/>
  <c r="I775" i="9" s="1"/>
  <c r="AH346" i="9"/>
  <c r="Y346" i="9"/>
  <c r="X347" i="9" s="1"/>
  <c r="AC346" i="9" a="1"/>
  <c r="AC346" i="9" s="1"/>
  <c r="AA347" i="9" s="1"/>
  <c r="T494" i="9"/>
  <c r="R495" i="9" s="1"/>
  <c r="W674" i="9"/>
  <c r="U675" i="9" s="1"/>
  <c r="D780" i="9"/>
  <c r="C779" i="9"/>
  <c r="J776" i="9" l="1"/>
  <c r="H776" i="9"/>
  <c r="I776" i="9" s="1"/>
  <c r="AD347" i="9"/>
  <c r="AI347" i="9"/>
  <c r="AG347" i="9"/>
  <c r="Z347" i="9"/>
  <c r="W675" i="9"/>
  <c r="U676" i="9" s="1"/>
  <c r="T495" i="9"/>
  <c r="R496" i="9" s="1"/>
  <c r="C780" i="9"/>
  <c r="D781" i="9"/>
  <c r="J777" i="9" l="1"/>
  <c r="H777" i="9"/>
  <c r="I777" i="9" s="1"/>
  <c r="Y347" i="9"/>
  <c r="X348" i="9" s="1"/>
  <c r="AH347" i="9"/>
  <c r="AC347" i="9" a="1"/>
  <c r="AC347" i="9" s="1"/>
  <c r="AA348" i="9" s="1"/>
  <c r="T496" i="9"/>
  <c r="R497" i="9" s="1"/>
  <c r="W676" i="9"/>
  <c r="U677" i="9" s="1"/>
  <c r="C781" i="9"/>
  <c r="D782" i="9"/>
  <c r="J778" i="9" l="1"/>
  <c r="H778" i="9"/>
  <c r="I778" i="9" s="1"/>
  <c r="AD348" i="9"/>
  <c r="Z348" i="9"/>
  <c r="AG348" i="9"/>
  <c r="AI348" i="9"/>
  <c r="T497" i="9"/>
  <c r="R498" i="9" s="1"/>
  <c r="W677" i="9"/>
  <c r="U678" i="9" s="1"/>
  <c r="D783" i="9"/>
  <c r="C782" i="9"/>
  <c r="J779" i="9" l="1"/>
  <c r="H779" i="9"/>
  <c r="I779" i="9" s="1"/>
  <c r="Y348" i="9"/>
  <c r="X349" i="9" s="1"/>
  <c r="AC348" i="9" a="1"/>
  <c r="AC348" i="9" s="1"/>
  <c r="AA349" i="9" s="1"/>
  <c r="AH348" i="9"/>
  <c r="W678" i="9"/>
  <c r="U679" i="9" s="1"/>
  <c r="T498" i="9"/>
  <c r="R499" i="9" s="1"/>
  <c r="D784" i="9"/>
  <c r="C783" i="9"/>
  <c r="J780" i="9" l="1"/>
  <c r="H780" i="9"/>
  <c r="I780" i="9" s="1"/>
  <c r="AD349" i="9"/>
  <c r="AG349" i="9"/>
  <c r="Z349" i="9"/>
  <c r="AI349" i="9"/>
  <c r="T499" i="9"/>
  <c r="R500" i="9" s="1"/>
  <c r="W679" i="9"/>
  <c r="U680" i="9" s="1"/>
  <c r="C784" i="9"/>
  <c r="D785" i="9"/>
  <c r="J781" i="9" l="1"/>
  <c r="H781" i="9"/>
  <c r="I781" i="9" s="1"/>
  <c r="Y349" i="9"/>
  <c r="X350" i="9" s="1"/>
  <c r="AH349" i="9"/>
  <c r="AC349" i="9" a="1"/>
  <c r="AC349" i="9" s="1"/>
  <c r="AA350" i="9" s="1"/>
  <c r="T500" i="9"/>
  <c r="R501" i="9" s="1"/>
  <c r="W680" i="9"/>
  <c r="U681" i="9" s="1"/>
  <c r="C785" i="9"/>
  <c r="D786" i="9"/>
  <c r="J782" i="9" l="1"/>
  <c r="H782" i="9"/>
  <c r="I782" i="9" s="1"/>
  <c r="AD350" i="9"/>
  <c r="Z350" i="9"/>
  <c r="AG350" i="9"/>
  <c r="AI350" i="9"/>
  <c r="T501" i="9"/>
  <c r="R502" i="9" s="1"/>
  <c r="W681" i="9"/>
  <c r="U682" i="9" s="1"/>
  <c r="D787" i="9"/>
  <c r="C786" i="9"/>
  <c r="J783" i="9" l="1"/>
  <c r="H783" i="9"/>
  <c r="I783" i="9" s="1"/>
  <c r="AC350" i="9" a="1"/>
  <c r="AC350" i="9" s="1"/>
  <c r="AA351" i="9" s="1"/>
  <c r="Y350" i="9"/>
  <c r="X351" i="9" s="1"/>
  <c r="AH350" i="9"/>
  <c r="W682" i="9"/>
  <c r="U683" i="9" s="1"/>
  <c r="T502" i="9"/>
  <c r="R503" i="9" s="1"/>
  <c r="D788" i="9"/>
  <c r="C787" i="9"/>
  <c r="J784" i="9" l="1"/>
  <c r="H784" i="9"/>
  <c r="I784" i="9" s="1"/>
  <c r="Z351" i="9"/>
  <c r="AI351" i="9"/>
  <c r="AG351" i="9"/>
  <c r="AD351" i="9"/>
  <c r="T503" i="9"/>
  <c r="R504" i="9" s="1"/>
  <c r="W683" i="9"/>
  <c r="U684" i="9" s="1"/>
  <c r="C788" i="9"/>
  <c r="D789" i="9"/>
  <c r="J785" i="9" l="1"/>
  <c r="H785" i="9"/>
  <c r="I785" i="9" s="1"/>
  <c r="AC351" i="9" a="1"/>
  <c r="AC351" i="9" s="1"/>
  <c r="AA352" i="9" s="1"/>
  <c r="Y351" i="9"/>
  <c r="X352" i="9" s="1"/>
  <c r="AH351" i="9"/>
  <c r="W684" i="9"/>
  <c r="U685" i="9" s="1"/>
  <c r="T504" i="9"/>
  <c r="R505" i="9" s="1"/>
  <c r="C789" i="9"/>
  <c r="D790" i="9"/>
  <c r="J786" i="9" l="1"/>
  <c r="H786" i="9"/>
  <c r="I786" i="9" s="1"/>
  <c r="AG352" i="9"/>
  <c r="AI352" i="9"/>
  <c r="Z352" i="9"/>
  <c r="AD352" i="9"/>
  <c r="T505" i="9"/>
  <c r="R506" i="9" s="1"/>
  <c r="W685" i="9"/>
  <c r="U686" i="9" s="1"/>
  <c r="D791" i="9"/>
  <c r="C790" i="9"/>
  <c r="J787" i="9" l="1"/>
  <c r="H787" i="9"/>
  <c r="I787" i="9" s="1"/>
  <c r="AC352" i="9" a="1"/>
  <c r="AC352" i="9" s="1"/>
  <c r="AA353" i="9" s="1"/>
  <c r="Y352" i="9"/>
  <c r="X353" i="9" s="1"/>
  <c r="AH352" i="9"/>
  <c r="W686" i="9"/>
  <c r="U687" i="9" s="1"/>
  <c r="T506" i="9"/>
  <c r="R507" i="9" s="1"/>
  <c r="D792" i="9"/>
  <c r="C791" i="9"/>
  <c r="J788" i="9" l="1"/>
  <c r="H788" i="9"/>
  <c r="I788" i="9" s="1"/>
  <c r="Z353" i="9"/>
  <c r="AG353" i="9"/>
  <c r="AI353" i="9"/>
  <c r="AD353" i="9"/>
  <c r="T507" i="9"/>
  <c r="R508" i="9" s="1"/>
  <c r="W687" i="9"/>
  <c r="U688" i="9" s="1"/>
  <c r="C792" i="9"/>
  <c r="D793" i="9"/>
  <c r="J789" i="9" l="1"/>
  <c r="H789" i="9"/>
  <c r="I789" i="9" s="1"/>
  <c r="AH353" i="9"/>
  <c r="AC353" i="9" a="1"/>
  <c r="AC353" i="9" s="1"/>
  <c r="AA354" i="9" s="1"/>
  <c r="Y353" i="9"/>
  <c r="X354" i="9" s="1"/>
  <c r="W688" i="9"/>
  <c r="U689" i="9" s="1"/>
  <c r="T508" i="9"/>
  <c r="R509" i="9" s="1"/>
  <c r="C793" i="9"/>
  <c r="D794" i="9"/>
  <c r="J790" i="9" l="1"/>
  <c r="H790" i="9"/>
  <c r="I790" i="9" s="1"/>
  <c r="AG354" i="9"/>
  <c r="AI354" i="9"/>
  <c r="Z354" i="9"/>
  <c r="AD354" i="9"/>
  <c r="W689" i="9"/>
  <c r="U690" i="9" s="1"/>
  <c r="T509" i="9"/>
  <c r="R510" i="9" s="1"/>
  <c r="D795" i="9"/>
  <c r="C794" i="9"/>
  <c r="J791" i="9" l="1"/>
  <c r="H791" i="9"/>
  <c r="I791" i="9" s="1"/>
  <c r="Y354" i="9"/>
  <c r="X355" i="9" s="1"/>
  <c r="AH354" i="9"/>
  <c r="AC354" i="9" a="1"/>
  <c r="AC354" i="9" s="1"/>
  <c r="AA355" i="9" s="1"/>
  <c r="T510" i="9"/>
  <c r="R511" i="9" s="1"/>
  <c r="W690" i="9"/>
  <c r="U691" i="9" s="1"/>
  <c r="D796" i="9"/>
  <c r="C795" i="9"/>
  <c r="J792" i="9" l="1"/>
  <c r="H792" i="9"/>
  <c r="I792" i="9" s="1"/>
  <c r="AD355" i="9"/>
  <c r="Z355" i="9"/>
  <c r="AI355" i="9"/>
  <c r="AG355" i="9"/>
  <c r="T511" i="9"/>
  <c r="R512" i="9" s="1"/>
  <c r="W691" i="9"/>
  <c r="U692" i="9" s="1"/>
  <c r="C796" i="9"/>
  <c r="D797" i="9"/>
  <c r="J793" i="9" l="1"/>
  <c r="H793" i="9"/>
  <c r="I793" i="9" s="1"/>
  <c r="Y355" i="9"/>
  <c r="X356" i="9" s="1"/>
  <c r="AH355" i="9"/>
  <c r="AC355" i="9" a="1"/>
  <c r="AC355" i="9" s="1"/>
  <c r="AA356" i="9" s="1"/>
  <c r="W692" i="9"/>
  <c r="U693" i="9" s="1"/>
  <c r="T512" i="9"/>
  <c r="R513" i="9" s="1"/>
  <c r="C797" i="9"/>
  <c r="D798" i="9"/>
  <c r="J794" i="9" l="1"/>
  <c r="H794" i="9"/>
  <c r="I794" i="9" s="1"/>
  <c r="AD356" i="9"/>
  <c r="Z356" i="9"/>
  <c r="AG356" i="9"/>
  <c r="AI356" i="9"/>
  <c r="T513" i="9"/>
  <c r="R514" i="9" s="1"/>
  <c r="W693" i="9"/>
  <c r="U694" i="9" s="1"/>
  <c r="D799" i="9"/>
  <c r="C798" i="9"/>
  <c r="J795" i="9" l="1"/>
  <c r="H795" i="9"/>
  <c r="I795" i="9" s="1"/>
  <c r="Y356" i="9"/>
  <c r="X357" i="9" s="1"/>
  <c r="AH356" i="9"/>
  <c r="AC356" i="9" a="1"/>
  <c r="AC356" i="9" s="1"/>
  <c r="AA357" i="9" s="1"/>
  <c r="T514" i="9"/>
  <c r="R515" i="9" s="1"/>
  <c r="W694" i="9"/>
  <c r="U695" i="9" s="1"/>
  <c r="D800" i="9"/>
  <c r="C799" i="9"/>
  <c r="J796" i="9" l="1"/>
  <c r="H796" i="9"/>
  <c r="I796" i="9" s="1"/>
  <c r="AD357" i="9"/>
  <c r="AI357" i="9"/>
  <c r="Z357" i="9"/>
  <c r="AG357" i="9"/>
  <c r="T515" i="9"/>
  <c r="R516" i="9" s="1"/>
  <c r="W695" i="9"/>
  <c r="U696" i="9" s="1"/>
  <c r="C800" i="9"/>
  <c r="D801" i="9"/>
  <c r="J797" i="9" l="1"/>
  <c r="H797" i="9"/>
  <c r="I797" i="9" s="1"/>
  <c r="Y357" i="9"/>
  <c r="X358" i="9" s="1"/>
  <c r="AH357" i="9"/>
  <c r="AC357" i="9" a="1"/>
  <c r="AC357" i="9" s="1"/>
  <c r="AA358" i="9" s="1"/>
  <c r="T516" i="9"/>
  <c r="R517" i="9" s="1"/>
  <c r="W696" i="9"/>
  <c r="U697" i="9" s="1"/>
  <c r="C801" i="9"/>
  <c r="D802" i="9"/>
  <c r="J798" i="9" l="1"/>
  <c r="H798" i="9"/>
  <c r="I798" i="9" s="1"/>
  <c r="AD358" i="9"/>
  <c r="AI358" i="9"/>
  <c r="Z358" i="9"/>
  <c r="AG358" i="9"/>
  <c r="W697" i="9"/>
  <c r="U698" i="9" s="1"/>
  <c r="T517" i="9"/>
  <c r="R518" i="9" s="1"/>
  <c r="D803" i="9"/>
  <c r="C802" i="9"/>
  <c r="J799" i="9" l="1"/>
  <c r="H799" i="9"/>
  <c r="I799" i="9" s="1"/>
  <c r="Y358" i="9"/>
  <c r="X359" i="9" s="1"/>
  <c r="AC358" i="9" a="1"/>
  <c r="AC358" i="9" s="1"/>
  <c r="AA359" i="9" s="1"/>
  <c r="AH358" i="9"/>
  <c r="W698" i="9"/>
  <c r="U699" i="9" s="1"/>
  <c r="T518" i="9"/>
  <c r="R519" i="9" s="1"/>
  <c r="D804" i="9"/>
  <c r="C803" i="9"/>
  <c r="J800" i="9" l="1"/>
  <c r="H800" i="9"/>
  <c r="I800" i="9" s="1"/>
  <c r="AD359" i="9"/>
  <c r="AI359" i="9"/>
  <c r="AG359" i="9"/>
  <c r="Z359" i="9"/>
  <c r="W699" i="9"/>
  <c r="U700" i="9" s="1"/>
  <c r="T519" i="9"/>
  <c r="R520" i="9" s="1"/>
  <c r="C804" i="9"/>
  <c r="D805" i="9"/>
  <c r="J801" i="9" l="1"/>
  <c r="H801" i="9"/>
  <c r="I801" i="9" s="1"/>
  <c r="AC359" i="9" a="1"/>
  <c r="AC359" i="9" s="1"/>
  <c r="AA360" i="9" s="1"/>
  <c r="Y359" i="9"/>
  <c r="X360" i="9" s="1"/>
  <c r="AH359" i="9"/>
  <c r="W700" i="9"/>
  <c r="U701" i="9" s="1"/>
  <c r="T520" i="9"/>
  <c r="R521" i="9" s="1"/>
  <c r="C805" i="9"/>
  <c r="D806" i="9"/>
  <c r="J802" i="9" l="1"/>
  <c r="H802" i="9"/>
  <c r="I802" i="9" s="1"/>
  <c r="Z360" i="9"/>
  <c r="AI360" i="9"/>
  <c r="AG360" i="9"/>
  <c r="AD360" i="9"/>
  <c r="T521" i="9"/>
  <c r="R522" i="9" s="1"/>
  <c r="W701" i="9"/>
  <c r="U702" i="9" s="1"/>
  <c r="D807" i="9"/>
  <c r="C806" i="9"/>
  <c r="J803" i="9" l="1"/>
  <c r="H803" i="9"/>
  <c r="I803" i="9" s="1"/>
  <c r="Y360" i="9"/>
  <c r="X361" i="9" s="1"/>
  <c r="AH360" i="9"/>
  <c r="AC360" i="9" a="1"/>
  <c r="AC360" i="9" s="1"/>
  <c r="AA361" i="9" s="1"/>
  <c r="W702" i="9"/>
  <c r="U703" i="9" s="1"/>
  <c r="T522" i="9"/>
  <c r="R523" i="9" s="1"/>
  <c r="D808" i="9"/>
  <c r="C807" i="9"/>
  <c r="J804" i="9" l="1"/>
  <c r="H804" i="9"/>
  <c r="I804" i="9" s="1"/>
  <c r="AD361" i="9"/>
  <c r="AG361" i="9"/>
  <c r="Z361" i="9"/>
  <c r="AI361" i="9"/>
  <c r="W703" i="9"/>
  <c r="U704" i="9" s="1"/>
  <c r="T523" i="9"/>
  <c r="R524" i="9" s="1"/>
  <c r="C808" i="9"/>
  <c r="D809" i="9"/>
  <c r="J805" i="9" l="1"/>
  <c r="H805" i="9"/>
  <c r="I805" i="9" s="1"/>
  <c r="AC361" i="9" a="1"/>
  <c r="AC361" i="9" s="1"/>
  <c r="AA362" i="9" s="1"/>
  <c r="Y361" i="9"/>
  <c r="X362" i="9" s="1"/>
  <c r="AH361" i="9"/>
  <c r="T524" i="9"/>
  <c r="R525" i="9" s="1"/>
  <c r="W704" i="9"/>
  <c r="U705" i="9" s="1"/>
  <c r="C809" i="9"/>
  <c r="D810" i="9"/>
  <c r="J806" i="9" l="1"/>
  <c r="H806" i="9"/>
  <c r="I806" i="9" s="1"/>
  <c r="AG362" i="9"/>
  <c r="AI362" i="9"/>
  <c r="Z362" i="9"/>
  <c r="AD362" i="9"/>
  <c r="W705" i="9"/>
  <c r="U706" i="9" s="1"/>
  <c r="T525" i="9"/>
  <c r="R526" i="9" s="1"/>
  <c r="D811" i="9"/>
  <c r="C810" i="9"/>
  <c r="J807" i="9" l="1"/>
  <c r="H807" i="9"/>
  <c r="I807" i="9" s="1"/>
  <c r="Y362" i="9"/>
  <c r="X363" i="9" s="1"/>
  <c r="AH362" i="9"/>
  <c r="AC362" i="9" a="1"/>
  <c r="AC362" i="9" s="1"/>
  <c r="AA363" i="9" s="1"/>
  <c r="W706" i="9"/>
  <c r="U707" i="9" s="1"/>
  <c r="T526" i="9"/>
  <c r="R527" i="9" s="1"/>
  <c r="D812" i="9"/>
  <c r="C811" i="9"/>
  <c r="J808" i="9" l="1"/>
  <c r="H808" i="9"/>
  <c r="I808" i="9" s="1"/>
  <c r="AD363" i="9"/>
  <c r="Z363" i="9"/>
  <c r="AI363" i="9"/>
  <c r="AG363" i="9"/>
  <c r="T527" i="9"/>
  <c r="R528" i="9" s="1"/>
  <c r="W707" i="9"/>
  <c r="U708" i="9" s="1"/>
  <c r="C812" i="9"/>
  <c r="D813" i="9"/>
  <c r="J809" i="9" l="1"/>
  <c r="H809" i="9"/>
  <c r="I809" i="9" s="1"/>
  <c r="AC363" i="9" a="1"/>
  <c r="AC363" i="9" s="1"/>
  <c r="AA364" i="9" s="1"/>
  <c r="AH363" i="9"/>
  <c r="Y363" i="9"/>
  <c r="X364" i="9" s="1"/>
  <c r="W708" i="9"/>
  <c r="U709" i="9" s="1"/>
  <c r="T528" i="9"/>
  <c r="R529" i="9" s="1"/>
  <c r="C813" i="9"/>
  <c r="D814" i="9"/>
  <c r="J810" i="9" l="1"/>
  <c r="H810" i="9"/>
  <c r="I810" i="9" s="1"/>
  <c r="Z364" i="9"/>
  <c r="AG364" i="9"/>
  <c r="AI364" i="9"/>
  <c r="AD364" i="9"/>
  <c r="T529" i="9"/>
  <c r="R530" i="9" s="1"/>
  <c r="W709" i="9"/>
  <c r="U710" i="9" s="1"/>
  <c r="D815" i="9"/>
  <c r="C814" i="9"/>
  <c r="J811" i="9" l="1"/>
  <c r="H811" i="9"/>
  <c r="I811" i="9" s="1"/>
  <c r="AH364" i="9"/>
  <c r="Y364" i="9"/>
  <c r="X365" i="9" s="1"/>
  <c r="AC364" i="9" a="1"/>
  <c r="AC364" i="9" s="1"/>
  <c r="AA365" i="9" s="1"/>
  <c r="T530" i="9"/>
  <c r="R531" i="9" s="1"/>
  <c r="W710" i="9"/>
  <c r="U711" i="9" s="1"/>
  <c r="D816" i="9"/>
  <c r="C815" i="9"/>
  <c r="J812" i="9" l="1"/>
  <c r="H812" i="9"/>
  <c r="I812" i="9" s="1"/>
  <c r="AD365" i="9"/>
  <c r="Z365" i="9"/>
  <c r="AG365" i="9"/>
  <c r="AI365" i="9"/>
  <c r="T531" i="9"/>
  <c r="R532" i="9" s="1"/>
  <c r="W711" i="9"/>
  <c r="U712" i="9" s="1"/>
  <c r="C816" i="9"/>
  <c r="D817" i="9"/>
  <c r="J813" i="9" l="1"/>
  <c r="H813" i="9"/>
  <c r="I813" i="9" s="1"/>
  <c r="Y365" i="9"/>
  <c r="X366" i="9" s="1"/>
  <c r="AC365" i="9" a="1"/>
  <c r="AC365" i="9" s="1"/>
  <c r="AA366" i="9" s="1"/>
  <c r="AH365" i="9"/>
  <c r="W712" i="9"/>
  <c r="U713" i="9" s="1"/>
  <c r="T532" i="9"/>
  <c r="R533" i="9" s="1"/>
  <c r="C817" i="9"/>
  <c r="D818" i="9"/>
  <c r="J814" i="9" l="1"/>
  <c r="H814" i="9"/>
  <c r="I814" i="9" s="1"/>
  <c r="AD366" i="9"/>
  <c r="AI366" i="9"/>
  <c r="AG366" i="9"/>
  <c r="Z366" i="9"/>
  <c r="W713" i="9"/>
  <c r="U714" i="9" s="1"/>
  <c r="T533" i="9"/>
  <c r="R534" i="9" s="1"/>
  <c r="D819" i="9"/>
  <c r="C818" i="9"/>
  <c r="J815" i="9" l="1"/>
  <c r="H815" i="9"/>
  <c r="I815" i="9" s="1"/>
  <c r="AC366" i="9" a="1"/>
  <c r="AC366" i="9" s="1"/>
  <c r="AA367" i="9" s="1"/>
  <c r="AH366" i="9"/>
  <c r="Y366" i="9"/>
  <c r="X367" i="9" s="1"/>
  <c r="T534" i="9"/>
  <c r="R535" i="9" s="1"/>
  <c r="W714" i="9"/>
  <c r="U715" i="9" s="1"/>
  <c r="D820" i="9"/>
  <c r="C819" i="9"/>
  <c r="J816" i="9" l="1"/>
  <c r="H816" i="9"/>
  <c r="I816" i="9" s="1"/>
  <c r="AG367" i="9"/>
  <c r="Z367" i="9"/>
  <c r="AI367" i="9"/>
  <c r="AD367" i="9"/>
  <c r="T535" i="9"/>
  <c r="R536" i="9" s="1"/>
  <c r="W715" i="9"/>
  <c r="U716" i="9" s="1"/>
  <c r="C820" i="9"/>
  <c r="D821" i="9"/>
  <c r="J817" i="9" l="1"/>
  <c r="H817" i="9"/>
  <c r="I817" i="9" s="1"/>
  <c r="AH367" i="9"/>
  <c r="AC367" i="9" a="1"/>
  <c r="AC367" i="9" s="1"/>
  <c r="AA368" i="9" s="1"/>
  <c r="Y367" i="9"/>
  <c r="X368" i="9" s="1"/>
  <c r="T536" i="9"/>
  <c r="R537" i="9" s="1"/>
  <c r="W716" i="9"/>
  <c r="U717" i="9" s="1"/>
  <c r="C821" i="9"/>
  <c r="D822" i="9"/>
  <c r="J818" i="9" l="1"/>
  <c r="H818" i="9"/>
  <c r="I818" i="9" s="1"/>
  <c r="AD368" i="9"/>
  <c r="AG368" i="9"/>
  <c r="AI368" i="9"/>
  <c r="Z368" i="9"/>
  <c r="T537" i="9"/>
  <c r="R538" i="9" s="1"/>
  <c r="W717" i="9"/>
  <c r="U718" i="9" s="1"/>
  <c r="D823" i="9"/>
  <c r="C822" i="9"/>
  <c r="J819" i="9" l="1"/>
  <c r="H819" i="9"/>
  <c r="I819" i="9" s="1"/>
  <c r="AC368" i="9" a="1"/>
  <c r="AC368" i="9" s="1"/>
  <c r="AA369" i="9" s="1"/>
  <c r="AH368" i="9"/>
  <c r="Y368" i="9"/>
  <c r="X369" i="9" s="1"/>
  <c r="W718" i="9"/>
  <c r="U719" i="9" s="1"/>
  <c r="T538" i="9"/>
  <c r="R539" i="9" s="1"/>
  <c r="D824" i="9"/>
  <c r="C823" i="9"/>
  <c r="J820" i="9" l="1"/>
  <c r="H820" i="9"/>
  <c r="I820" i="9" s="1"/>
  <c r="AG369" i="9"/>
  <c r="Z369" i="9"/>
  <c r="AI369" i="9"/>
  <c r="AD369" i="9"/>
  <c r="W719" i="9"/>
  <c r="U720" i="9" s="1"/>
  <c r="T539" i="9"/>
  <c r="R540" i="9" s="1"/>
  <c r="C824" i="9"/>
  <c r="D825" i="9"/>
  <c r="J821" i="9" l="1"/>
  <c r="H821" i="9"/>
  <c r="I821" i="9" s="1"/>
  <c r="Y369" i="9"/>
  <c r="X370" i="9" s="1"/>
  <c r="AC369" i="9" a="1"/>
  <c r="AC369" i="9" s="1"/>
  <c r="AA370" i="9" s="1"/>
  <c r="AH369" i="9"/>
  <c r="T540" i="9"/>
  <c r="R541" i="9" s="1"/>
  <c r="W720" i="9"/>
  <c r="U721" i="9" s="1"/>
  <c r="C825" i="9"/>
  <c r="D826" i="9"/>
  <c r="J822" i="9" l="1"/>
  <c r="H822" i="9"/>
  <c r="I822" i="9" s="1"/>
  <c r="AD370" i="9"/>
  <c r="AG370" i="9"/>
  <c r="AI370" i="9"/>
  <c r="Z370" i="9"/>
  <c r="T541" i="9"/>
  <c r="R542" i="9" s="1"/>
  <c r="W721" i="9"/>
  <c r="U722" i="9" s="1"/>
  <c r="D827" i="9"/>
  <c r="C826" i="9"/>
  <c r="J823" i="9" l="1"/>
  <c r="H823" i="9"/>
  <c r="I823" i="9" s="1"/>
  <c r="Y370" i="9"/>
  <c r="X371" i="9" s="1"/>
  <c r="AH370" i="9"/>
  <c r="AC370" i="9" a="1"/>
  <c r="AC370" i="9" s="1"/>
  <c r="AA371" i="9" s="1"/>
  <c r="W722" i="9"/>
  <c r="U723" i="9" s="1"/>
  <c r="T542" i="9"/>
  <c r="R543" i="9" s="1"/>
  <c r="C827" i="9"/>
  <c r="D828" i="9"/>
  <c r="J824" i="9" l="1"/>
  <c r="H824" i="9"/>
  <c r="I824" i="9" s="1"/>
  <c r="AD371" i="9"/>
  <c r="AG371" i="9"/>
  <c r="Z371" i="9"/>
  <c r="AI371" i="9"/>
  <c r="W723" i="9"/>
  <c r="U724" i="9" s="1"/>
  <c r="T543" i="9"/>
  <c r="R544" i="9" s="1"/>
  <c r="C828" i="9"/>
  <c r="D829" i="9"/>
  <c r="J825" i="9" l="1"/>
  <c r="H825" i="9"/>
  <c r="I825" i="9" s="1"/>
  <c r="AC371" i="9" a="1"/>
  <c r="AC371" i="9" s="1"/>
  <c r="AA372" i="9" s="1"/>
  <c r="Y371" i="9"/>
  <c r="X372" i="9" s="1"/>
  <c r="AH371" i="9"/>
  <c r="W724" i="9"/>
  <c r="U725" i="9" s="1"/>
  <c r="T544" i="9"/>
  <c r="R545" i="9" s="1"/>
  <c r="D830" i="9"/>
  <c r="C829" i="9"/>
  <c r="J826" i="9" l="1"/>
  <c r="H826" i="9"/>
  <c r="I826" i="9" s="1"/>
  <c r="Z372" i="9"/>
  <c r="AI372" i="9"/>
  <c r="AG372" i="9"/>
  <c r="AD372" i="9"/>
  <c r="W725" i="9"/>
  <c r="U726" i="9" s="1"/>
  <c r="T545" i="9"/>
  <c r="R546" i="9" s="1"/>
  <c r="D831" i="9"/>
  <c r="C830" i="9"/>
  <c r="J827" i="9" l="1"/>
  <c r="H827" i="9"/>
  <c r="I827" i="9" s="1"/>
  <c r="Y372" i="9"/>
  <c r="X373" i="9" s="1"/>
  <c r="AC372" i="9" a="1"/>
  <c r="AC372" i="9" s="1"/>
  <c r="AA373" i="9" s="1"/>
  <c r="AH372" i="9"/>
  <c r="T546" i="9"/>
  <c r="R547" i="9" s="1"/>
  <c r="W726" i="9"/>
  <c r="U727" i="9" s="1"/>
  <c r="C831" i="9"/>
  <c r="D832" i="9"/>
  <c r="J828" i="9" l="1"/>
  <c r="H828" i="9"/>
  <c r="I828" i="9" s="1"/>
  <c r="AD373" i="9"/>
  <c r="Z373" i="9"/>
  <c r="AG373" i="9"/>
  <c r="AI373" i="9"/>
  <c r="T547" i="9"/>
  <c r="R548" i="9" s="1"/>
  <c r="W727" i="9"/>
  <c r="U728" i="9" s="1"/>
  <c r="D833" i="9"/>
  <c r="C832" i="9"/>
  <c r="J829" i="9" l="1"/>
  <c r="H829" i="9"/>
  <c r="I829" i="9" s="1"/>
  <c r="AH373" i="9"/>
  <c r="Y373" i="9"/>
  <c r="X374" i="9" s="1"/>
  <c r="AC373" i="9" a="1"/>
  <c r="AC373" i="9" s="1"/>
  <c r="AA374" i="9" s="1"/>
  <c r="T548" i="9"/>
  <c r="R549" i="9" s="1"/>
  <c r="W728" i="9"/>
  <c r="U729" i="9" s="1"/>
  <c r="D834" i="9"/>
  <c r="C833" i="9"/>
  <c r="J830" i="9" l="1"/>
  <c r="H830" i="9"/>
  <c r="I830" i="9" s="1"/>
  <c r="AD374" i="9"/>
  <c r="AI374" i="9"/>
  <c r="Z374" i="9"/>
  <c r="AG374" i="9"/>
  <c r="T549" i="9"/>
  <c r="R550" i="9" s="1"/>
  <c r="W729" i="9"/>
  <c r="U730" i="9" s="1"/>
  <c r="C834" i="9"/>
  <c r="D835" i="9"/>
  <c r="J831" i="9" l="1"/>
  <c r="H831" i="9"/>
  <c r="I831" i="9" s="1"/>
  <c r="AH374" i="9"/>
  <c r="AC374" i="9" a="1"/>
  <c r="AC374" i="9" s="1"/>
  <c r="AA375" i="9" s="1"/>
  <c r="Y374" i="9"/>
  <c r="X375" i="9" s="1"/>
  <c r="W730" i="9"/>
  <c r="U731" i="9" s="1"/>
  <c r="T550" i="9"/>
  <c r="R551" i="9" s="1"/>
  <c r="C835" i="9"/>
  <c r="D836" i="9"/>
  <c r="J832" i="9" l="1"/>
  <c r="H832" i="9"/>
  <c r="I832" i="9" s="1"/>
  <c r="AD375" i="9"/>
  <c r="AI375" i="9"/>
  <c r="Z375" i="9"/>
  <c r="AG375" i="9"/>
  <c r="T551" i="9"/>
  <c r="R552" i="9" s="1"/>
  <c r="W731" i="9"/>
  <c r="U732" i="9" s="1"/>
  <c r="D837" i="9"/>
  <c r="C836" i="9"/>
  <c r="J833" i="9" l="1"/>
  <c r="H833" i="9"/>
  <c r="I833" i="9" s="1"/>
  <c r="Y375" i="9"/>
  <c r="X376" i="9" s="1"/>
  <c r="AC375" i="9" a="1"/>
  <c r="AC375" i="9" s="1"/>
  <c r="AA376" i="9" s="1"/>
  <c r="AH375" i="9"/>
  <c r="T552" i="9"/>
  <c r="R553" i="9" s="1"/>
  <c r="W732" i="9"/>
  <c r="U733" i="9" s="1"/>
  <c r="D838" i="9"/>
  <c r="C837" i="9"/>
  <c r="J834" i="9" l="1"/>
  <c r="H834" i="9"/>
  <c r="I834" i="9" s="1"/>
  <c r="AD376" i="9"/>
  <c r="AI376" i="9"/>
  <c r="AG376" i="9"/>
  <c r="Z376" i="9"/>
  <c r="T553" i="9"/>
  <c r="R554" i="9" s="1"/>
  <c r="W733" i="9"/>
  <c r="U734" i="9" s="1"/>
  <c r="C838" i="9"/>
  <c r="D839" i="9"/>
  <c r="J835" i="9" l="1"/>
  <c r="H835" i="9"/>
  <c r="I835" i="9" s="1"/>
  <c r="AC376" i="9" a="1"/>
  <c r="AC376" i="9" s="1"/>
  <c r="AA377" i="9" s="1"/>
  <c r="AH376" i="9"/>
  <c r="Y376" i="9"/>
  <c r="X377" i="9" s="1"/>
  <c r="T554" i="9"/>
  <c r="R555" i="9" s="1"/>
  <c r="W734" i="9"/>
  <c r="U735" i="9" s="1"/>
  <c r="C839" i="9"/>
  <c r="D840" i="9"/>
  <c r="J836" i="9" l="1"/>
  <c r="H836" i="9"/>
  <c r="I836" i="9" s="1"/>
  <c r="Z377" i="9"/>
  <c r="AI377" i="9"/>
  <c r="AG377" i="9"/>
  <c r="AD377" i="9"/>
  <c r="T555" i="9"/>
  <c r="R556" i="9" s="1"/>
  <c r="W735" i="9"/>
  <c r="U736" i="9" s="1"/>
  <c r="D841" i="9"/>
  <c r="C840" i="9"/>
  <c r="J837" i="9" l="1"/>
  <c r="H837" i="9"/>
  <c r="I837" i="9" s="1"/>
  <c r="Y377" i="9"/>
  <c r="X378" i="9" s="1"/>
  <c r="AH377" i="9"/>
  <c r="AC377" i="9" a="1"/>
  <c r="AC377" i="9" s="1"/>
  <c r="AA378" i="9" s="1"/>
  <c r="W736" i="9"/>
  <c r="U737" i="9" s="1"/>
  <c r="T556" i="9"/>
  <c r="R557" i="9" s="1"/>
  <c r="D842" i="9"/>
  <c r="C841" i="9"/>
  <c r="J838" i="9" l="1"/>
  <c r="H838" i="9"/>
  <c r="I838" i="9" s="1"/>
  <c r="AD378" i="9"/>
  <c r="Z378" i="9"/>
  <c r="AG378" i="9"/>
  <c r="AI378" i="9"/>
  <c r="W737" i="9"/>
  <c r="U738" i="9" s="1"/>
  <c r="T557" i="9"/>
  <c r="R558" i="9" s="1"/>
  <c r="C842" i="9"/>
  <c r="D843" i="9"/>
  <c r="J839" i="9" l="1"/>
  <c r="H839" i="9"/>
  <c r="I839" i="9" s="1"/>
  <c r="AC378" i="9" a="1"/>
  <c r="AC378" i="9" s="1"/>
  <c r="AA379" i="9" s="1"/>
  <c r="AH378" i="9"/>
  <c r="Y378" i="9"/>
  <c r="X379" i="9" s="1"/>
  <c r="T558" i="9"/>
  <c r="R559" i="9" s="1"/>
  <c r="W738" i="9"/>
  <c r="U739" i="9" s="1"/>
  <c r="C843" i="9"/>
  <c r="D844" i="9"/>
  <c r="J840" i="9" l="1"/>
  <c r="H840" i="9"/>
  <c r="I840" i="9" s="1"/>
  <c r="AI379" i="9"/>
  <c r="AG379" i="9"/>
  <c r="Z379" i="9"/>
  <c r="AD379" i="9"/>
  <c r="T559" i="9"/>
  <c r="R560" i="9" s="1"/>
  <c r="W739" i="9"/>
  <c r="U740" i="9" s="1"/>
  <c r="D845" i="9"/>
  <c r="C844" i="9"/>
  <c r="J841" i="9" l="1"/>
  <c r="H841" i="9"/>
  <c r="I841" i="9" s="1"/>
  <c r="AC379" i="9" a="1"/>
  <c r="AC379" i="9" s="1"/>
  <c r="AA380" i="9" s="1"/>
  <c r="AH379" i="9"/>
  <c r="Y379" i="9"/>
  <c r="X380" i="9" s="1"/>
  <c r="W740" i="9"/>
  <c r="U741" i="9" s="1"/>
  <c r="T560" i="9"/>
  <c r="R561" i="9" s="1"/>
  <c r="D846" i="9"/>
  <c r="C845" i="9"/>
  <c r="J842" i="9" l="1"/>
  <c r="H842" i="9"/>
  <c r="I842" i="9" s="1"/>
  <c r="Z380" i="9"/>
  <c r="AI380" i="9"/>
  <c r="AG380" i="9"/>
  <c r="AD380" i="9"/>
  <c r="W741" i="9"/>
  <c r="U742" i="9" s="1"/>
  <c r="T561" i="9"/>
  <c r="R562" i="9" s="1"/>
  <c r="C846" i="9"/>
  <c r="D847" i="9"/>
  <c r="J843" i="9" l="1"/>
  <c r="H843" i="9"/>
  <c r="I843" i="9" s="1"/>
  <c r="AH380" i="9"/>
  <c r="Y380" i="9"/>
  <c r="X381" i="9" s="1"/>
  <c r="AC380" i="9" a="1"/>
  <c r="AC380" i="9" s="1"/>
  <c r="AA381" i="9" s="1"/>
  <c r="W742" i="9"/>
  <c r="U743" i="9" s="1"/>
  <c r="T562" i="9"/>
  <c r="R563" i="9" s="1"/>
  <c r="C847" i="9"/>
  <c r="D848" i="9"/>
  <c r="J844" i="9" l="1"/>
  <c r="H844" i="9"/>
  <c r="I844" i="9" s="1"/>
  <c r="AG381" i="9"/>
  <c r="Z381" i="9"/>
  <c r="AI381" i="9"/>
  <c r="AD381" i="9"/>
  <c r="W743" i="9"/>
  <c r="U744" i="9" s="1"/>
  <c r="T563" i="9"/>
  <c r="R564" i="9" s="1"/>
  <c r="D849" i="9"/>
  <c r="C848" i="9"/>
  <c r="J845" i="9" l="1"/>
  <c r="H845" i="9"/>
  <c r="I845" i="9" s="1"/>
  <c r="Y381" i="9"/>
  <c r="X382" i="9" s="1"/>
  <c r="AH381" i="9"/>
  <c r="AC381" i="9" a="1"/>
  <c r="AC381" i="9" s="1"/>
  <c r="AA382" i="9" s="1"/>
  <c r="T564" i="9"/>
  <c r="R565" i="9" s="1"/>
  <c r="W744" i="9"/>
  <c r="U745" i="9" s="1"/>
  <c r="D850" i="9"/>
  <c r="C849" i="9"/>
  <c r="J846" i="9" l="1"/>
  <c r="H846" i="9"/>
  <c r="I846" i="9" s="1"/>
  <c r="AD382" i="9"/>
  <c r="Z382" i="9"/>
  <c r="AG382" i="9"/>
  <c r="AI382" i="9"/>
  <c r="W745" i="9"/>
  <c r="U746" i="9" s="1"/>
  <c r="T565" i="9"/>
  <c r="R566" i="9" s="1"/>
  <c r="C850" i="9"/>
  <c r="D851" i="9"/>
  <c r="J847" i="9" l="1"/>
  <c r="H847" i="9"/>
  <c r="I847" i="9" s="1"/>
  <c r="AH382" i="9"/>
  <c r="AC382" i="9" a="1"/>
  <c r="AC382" i="9" s="1"/>
  <c r="AA383" i="9" s="1"/>
  <c r="Y382" i="9"/>
  <c r="X383" i="9" s="1"/>
  <c r="T566" i="9"/>
  <c r="R567" i="9" s="1"/>
  <c r="W746" i="9"/>
  <c r="U747" i="9" s="1"/>
  <c r="C851" i="9"/>
  <c r="D852" i="9"/>
  <c r="J848" i="9" l="1"/>
  <c r="H848" i="9"/>
  <c r="I848" i="9" s="1"/>
  <c r="AD383" i="9"/>
  <c r="Z383" i="9"/>
  <c r="AG383" i="9"/>
  <c r="AI383" i="9"/>
  <c r="W747" i="9"/>
  <c r="U748" i="9" s="1"/>
  <c r="T567" i="9"/>
  <c r="R568" i="9" s="1"/>
  <c r="D853" i="9"/>
  <c r="C852" i="9"/>
  <c r="J849" i="9" l="1"/>
  <c r="H849" i="9"/>
  <c r="I849" i="9" s="1"/>
  <c r="AH383" i="9"/>
  <c r="Y383" i="9"/>
  <c r="X384" i="9" s="1"/>
  <c r="AC383" i="9" a="1"/>
  <c r="AC383" i="9" s="1"/>
  <c r="AA384" i="9" s="1"/>
  <c r="W748" i="9"/>
  <c r="U749" i="9" s="1"/>
  <c r="T568" i="9"/>
  <c r="R569" i="9" s="1"/>
  <c r="D854" i="9"/>
  <c r="C853" i="9"/>
  <c r="J850" i="9" l="1"/>
  <c r="H850" i="9"/>
  <c r="I850" i="9" s="1"/>
  <c r="AD384" i="9"/>
  <c r="Z384" i="9"/>
  <c r="AI384" i="9"/>
  <c r="AG384" i="9"/>
  <c r="T569" i="9"/>
  <c r="R570" i="9" s="1"/>
  <c r="W749" i="9"/>
  <c r="U750" i="9" s="1"/>
  <c r="C854" i="9"/>
  <c r="D855" i="9"/>
  <c r="J851" i="9" l="1"/>
  <c r="H851" i="9"/>
  <c r="I851" i="9" s="1"/>
  <c r="Y384" i="9"/>
  <c r="X385" i="9" s="1"/>
  <c r="AH384" i="9"/>
  <c r="AC384" i="9" a="1"/>
  <c r="AC384" i="9" s="1"/>
  <c r="AA385" i="9" s="1"/>
  <c r="T570" i="9"/>
  <c r="R571" i="9" s="1"/>
  <c r="W750" i="9"/>
  <c r="U751" i="9" s="1"/>
  <c r="C855" i="9"/>
  <c r="D856" i="9"/>
  <c r="J852" i="9" l="1"/>
  <c r="H852" i="9"/>
  <c r="I852" i="9" s="1"/>
  <c r="AD385" i="9"/>
  <c r="AI385" i="9"/>
  <c r="AG385" i="9"/>
  <c r="Z385" i="9"/>
  <c r="W751" i="9"/>
  <c r="U752" i="9" s="1"/>
  <c r="T571" i="9"/>
  <c r="R572" i="9" s="1"/>
  <c r="D857" i="9"/>
  <c r="C856" i="9"/>
  <c r="J853" i="9" l="1"/>
  <c r="H853" i="9"/>
  <c r="I853" i="9" s="1"/>
  <c r="AH385" i="9"/>
  <c r="AC385" i="9" a="1"/>
  <c r="AC385" i="9" s="1"/>
  <c r="AA386" i="9" s="1"/>
  <c r="Y385" i="9"/>
  <c r="X386" i="9" s="1"/>
  <c r="T572" i="9"/>
  <c r="R573" i="9" s="1"/>
  <c r="W752" i="9"/>
  <c r="U753" i="9" s="1"/>
  <c r="D858" i="9"/>
  <c r="C857" i="9"/>
  <c r="J854" i="9" l="1"/>
  <c r="H854" i="9"/>
  <c r="I854" i="9" s="1"/>
  <c r="Z386" i="9"/>
  <c r="AI386" i="9"/>
  <c r="AG386" i="9"/>
  <c r="AD386" i="9"/>
  <c r="T573" i="9"/>
  <c r="R574" i="9" s="1"/>
  <c r="W753" i="9"/>
  <c r="U754" i="9" s="1"/>
  <c r="C858" i="9"/>
  <c r="D859" i="9"/>
  <c r="J855" i="9" l="1"/>
  <c r="H855" i="9"/>
  <c r="I855" i="9" s="1"/>
  <c r="Y386" i="9"/>
  <c r="X387" i="9" s="1"/>
  <c r="AH386" i="9"/>
  <c r="AC386" i="9" a="1"/>
  <c r="AC386" i="9" s="1"/>
  <c r="AA387" i="9" s="1"/>
  <c r="T574" i="9"/>
  <c r="R575" i="9" s="1"/>
  <c r="W754" i="9"/>
  <c r="U755" i="9" s="1"/>
  <c r="C859" i="9"/>
  <c r="D860" i="9"/>
  <c r="J856" i="9" l="1"/>
  <c r="H856" i="9"/>
  <c r="I856" i="9" s="1"/>
  <c r="AD387" i="9"/>
  <c r="AI387" i="9"/>
  <c r="AG387" i="9"/>
  <c r="Z387" i="9"/>
  <c r="T575" i="9"/>
  <c r="R576" i="9" s="1"/>
  <c r="W755" i="9"/>
  <c r="U756" i="9" s="1"/>
  <c r="D861" i="9"/>
  <c r="C860" i="9"/>
  <c r="J857" i="9" l="1"/>
  <c r="H857" i="9"/>
  <c r="I857" i="9" s="1"/>
  <c r="AC387" i="9" a="1"/>
  <c r="AC387" i="9" s="1"/>
  <c r="AA388" i="9" s="1"/>
  <c r="Y387" i="9"/>
  <c r="X388" i="9" s="1"/>
  <c r="AH387" i="9"/>
  <c r="W756" i="9"/>
  <c r="U757" i="9" s="1"/>
  <c r="T576" i="9"/>
  <c r="R577" i="9" s="1"/>
  <c r="D862" i="9"/>
  <c r="C861" i="9"/>
  <c r="J858" i="9" l="1"/>
  <c r="H858" i="9"/>
  <c r="I858" i="9" s="1"/>
  <c r="AI388" i="9"/>
  <c r="AG388" i="9"/>
  <c r="Z388" i="9"/>
  <c r="AD388" i="9"/>
  <c r="T577" i="9"/>
  <c r="R578" i="9" s="1"/>
  <c r="W757" i="9"/>
  <c r="U758" i="9" s="1"/>
  <c r="C862" i="9"/>
  <c r="D863" i="9"/>
  <c r="J859" i="9" l="1"/>
  <c r="H859" i="9"/>
  <c r="I859" i="9" s="1"/>
  <c r="Y388" i="9"/>
  <c r="X389" i="9" s="1"/>
  <c r="AH388" i="9"/>
  <c r="AC388" i="9" a="1"/>
  <c r="AC388" i="9" s="1"/>
  <c r="AA389" i="9" s="1"/>
  <c r="W758" i="9"/>
  <c r="U759" i="9" s="1"/>
  <c r="T578" i="9"/>
  <c r="R579" i="9" s="1"/>
  <c r="C863" i="9"/>
  <c r="D864" i="9"/>
  <c r="J860" i="9" l="1"/>
  <c r="H860" i="9"/>
  <c r="I860" i="9" s="1"/>
  <c r="AD389" i="9"/>
  <c r="AI389" i="9"/>
  <c r="AG389" i="9"/>
  <c r="Z389" i="9"/>
  <c r="W759" i="9"/>
  <c r="U760" i="9" s="1"/>
  <c r="T579" i="9"/>
  <c r="R580" i="9" s="1"/>
  <c r="D865" i="9"/>
  <c r="C864" i="9"/>
  <c r="J861" i="9" l="1"/>
  <c r="H861" i="9"/>
  <c r="I861" i="9" s="1"/>
  <c r="AC389" i="9" a="1"/>
  <c r="AC389" i="9" s="1"/>
  <c r="AA390" i="9" s="1"/>
  <c r="Y389" i="9"/>
  <c r="X390" i="9" s="1"/>
  <c r="AH389" i="9"/>
  <c r="W760" i="9"/>
  <c r="U761" i="9" s="1"/>
  <c r="T580" i="9"/>
  <c r="R581" i="9" s="1"/>
  <c r="D866" i="9"/>
  <c r="C865" i="9"/>
  <c r="J862" i="9" l="1"/>
  <c r="H862" i="9"/>
  <c r="I862" i="9" s="1"/>
  <c r="Z390" i="9"/>
  <c r="AG390" i="9"/>
  <c r="AI390" i="9"/>
  <c r="AD390" i="9"/>
  <c r="T581" i="9"/>
  <c r="R582" i="9" s="1"/>
  <c r="W761" i="9"/>
  <c r="U762" i="9" s="1"/>
  <c r="C866" i="9"/>
  <c r="D867" i="9"/>
  <c r="J863" i="9" l="1"/>
  <c r="H863" i="9"/>
  <c r="I863" i="9" s="1"/>
  <c r="AH390" i="9"/>
  <c r="Y390" i="9"/>
  <c r="X391" i="9" s="1"/>
  <c r="AC390" i="9" a="1"/>
  <c r="AC390" i="9" s="1"/>
  <c r="AA391" i="9" s="1"/>
  <c r="T582" i="9"/>
  <c r="R583" i="9" s="1"/>
  <c r="W762" i="9"/>
  <c r="U763" i="9" s="1"/>
  <c r="C867" i="9"/>
  <c r="D868" i="9"/>
  <c r="J864" i="9" l="1"/>
  <c r="H864" i="9"/>
  <c r="I864" i="9" s="1"/>
  <c r="Z391" i="9"/>
  <c r="AI391" i="9"/>
  <c r="AG391" i="9"/>
  <c r="AD391" i="9"/>
  <c r="T583" i="9"/>
  <c r="R584" i="9" s="1"/>
  <c r="W763" i="9"/>
  <c r="U764" i="9" s="1"/>
  <c r="D869" i="9"/>
  <c r="C868" i="9"/>
  <c r="J865" i="9" l="1"/>
  <c r="H865" i="9"/>
  <c r="I865" i="9" s="1"/>
  <c r="AH391" i="9"/>
  <c r="Y391" i="9"/>
  <c r="X392" i="9" s="1"/>
  <c r="AC391" i="9" a="1"/>
  <c r="AC391" i="9" s="1"/>
  <c r="AA392" i="9" s="1"/>
  <c r="W764" i="9"/>
  <c r="U765" i="9" s="1"/>
  <c r="T584" i="9"/>
  <c r="R585" i="9" s="1"/>
  <c r="D870" i="9"/>
  <c r="C869" i="9"/>
  <c r="J866" i="9" l="1"/>
  <c r="H866" i="9"/>
  <c r="I866" i="9" s="1"/>
  <c r="AD392" i="9"/>
  <c r="AG392" i="9"/>
  <c r="AI392" i="9"/>
  <c r="Z392" i="9"/>
  <c r="T585" i="9"/>
  <c r="R586" i="9" s="1"/>
  <c r="W765" i="9"/>
  <c r="U766" i="9" s="1"/>
  <c r="C870" i="9"/>
  <c r="D871" i="9"/>
  <c r="J867" i="9" l="1"/>
  <c r="H867" i="9"/>
  <c r="I867" i="9" s="1"/>
  <c r="AC392" i="9" a="1"/>
  <c r="AC392" i="9" s="1"/>
  <c r="AA393" i="9" s="1"/>
  <c r="AH392" i="9"/>
  <c r="Y392" i="9"/>
  <c r="X393" i="9" s="1"/>
  <c r="T586" i="9"/>
  <c r="R587" i="9" s="1"/>
  <c r="W766" i="9"/>
  <c r="U767" i="9" s="1"/>
  <c r="C871" i="9"/>
  <c r="D872" i="9"/>
  <c r="J868" i="9" l="1"/>
  <c r="H868" i="9"/>
  <c r="I868" i="9" s="1"/>
  <c r="Z393" i="9"/>
  <c r="AG393" i="9"/>
  <c r="AI393" i="9"/>
  <c r="AD393" i="9"/>
  <c r="W767" i="9"/>
  <c r="U768" i="9" s="1"/>
  <c r="T587" i="9"/>
  <c r="R588" i="9" s="1"/>
  <c r="D873" i="9"/>
  <c r="C872" i="9"/>
  <c r="J869" i="9" l="1"/>
  <c r="H869" i="9"/>
  <c r="I869" i="9" s="1"/>
  <c r="AH393" i="9"/>
  <c r="AC393" i="9" a="1"/>
  <c r="AC393" i="9" s="1"/>
  <c r="AA394" i="9" s="1"/>
  <c r="Y393" i="9"/>
  <c r="X394" i="9" s="1"/>
  <c r="T588" i="9"/>
  <c r="R589" i="9" s="1"/>
  <c r="W768" i="9"/>
  <c r="U769" i="9" s="1"/>
  <c r="D874" i="9"/>
  <c r="C873" i="9"/>
  <c r="J870" i="9" l="1"/>
  <c r="H870" i="9"/>
  <c r="I870" i="9" s="1"/>
  <c r="Z394" i="9"/>
  <c r="AI394" i="9"/>
  <c r="AG394" i="9"/>
  <c r="AD394" i="9"/>
  <c r="T589" i="9"/>
  <c r="R590" i="9" s="1"/>
  <c r="W769" i="9"/>
  <c r="U770" i="9" s="1"/>
  <c r="C874" i="9"/>
  <c r="D875" i="9"/>
  <c r="J871" i="9" l="1"/>
  <c r="H871" i="9"/>
  <c r="I871" i="9" s="1"/>
  <c r="Y394" i="9"/>
  <c r="X395" i="9" s="1"/>
  <c r="AC394" i="9" a="1"/>
  <c r="AC394" i="9" s="1"/>
  <c r="AA395" i="9" s="1"/>
  <c r="AH394" i="9"/>
  <c r="W770" i="9"/>
  <c r="U771" i="9" s="1"/>
  <c r="T590" i="9"/>
  <c r="R591" i="9" s="1"/>
  <c r="C875" i="9"/>
  <c r="D876" i="9"/>
  <c r="J872" i="9" l="1"/>
  <c r="H872" i="9"/>
  <c r="I872" i="9" s="1"/>
  <c r="AD395" i="9"/>
  <c r="AG395" i="9"/>
  <c r="Z395" i="9"/>
  <c r="AI395" i="9"/>
  <c r="T591" i="9"/>
  <c r="R592" i="9" s="1"/>
  <c r="W771" i="9"/>
  <c r="U772" i="9" s="1"/>
  <c r="D877" i="9"/>
  <c r="C876" i="9"/>
  <c r="J873" i="9" l="1"/>
  <c r="H873" i="9"/>
  <c r="I873" i="9" s="1"/>
  <c r="Y395" i="9"/>
  <c r="X396" i="9" s="1"/>
  <c r="AH395" i="9"/>
  <c r="AC395" i="9" a="1"/>
  <c r="AC395" i="9" s="1"/>
  <c r="AA396" i="9" s="1"/>
  <c r="W772" i="9"/>
  <c r="U773" i="9" s="1"/>
  <c r="T592" i="9"/>
  <c r="R593" i="9" s="1"/>
  <c r="D878" i="9"/>
  <c r="C877" i="9"/>
  <c r="J874" i="9" l="1"/>
  <c r="H874" i="9"/>
  <c r="I874" i="9" s="1"/>
  <c r="AD396" i="9"/>
  <c r="AI396" i="9"/>
  <c r="AG396" i="9"/>
  <c r="Z396" i="9"/>
  <c r="T593" i="9"/>
  <c r="R594" i="9" s="1"/>
  <c r="W773" i="9"/>
  <c r="U774" i="9" s="1"/>
  <c r="C878" i="9"/>
  <c r="D879" i="9"/>
  <c r="J875" i="9" l="1"/>
  <c r="H875" i="9"/>
  <c r="I875" i="9" s="1"/>
  <c r="Y396" i="9"/>
  <c r="X397" i="9" s="1"/>
  <c r="AH396" i="9"/>
  <c r="AC396" i="9" a="1"/>
  <c r="AC396" i="9" s="1"/>
  <c r="AA397" i="9" s="1"/>
  <c r="T594" i="9"/>
  <c r="R595" i="9" s="1"/>
  <c r="W774" i="9"/>
  <c r="U775" i="9" s="1"/>
  <c r="C879" i="9"/>
  <c r="D880" i="9"/>
  <c r="J876" i="9" l="1"/>
  <c r="H876" i="9"/>
  <c r="I876" i="9" s="1"/>
  <c r="AD397" i="9"/>
  <c r="AG397" i="9"/>
  <c r="Z397" i="9"/>
  <c r="AI397" i="9"/>
  <c r="W775" i="9"/>
  <c r="U776" i="9" s="1"/>
  <c r="T595" i="9"/>
  <c r="R596" i="9" s="1"/>
  <c r="D881" i="9"/>
  <c r="C880" i="9"/>
  <c r="J877" i="9" l="1"/>
  <c r="H877" i="9"/>
  <c r="I877" i="9" s="1"/>
  <c r="AH397" i="9"/>
  <c r="Y397" i="9"/>
  <c r="X398" i="9" s="1"/>
  <c r="AC397" i="9" a="1"/>
  <c r="AC397" i="9" s="1"/>
  <c r="AA398" i="9" s="1"/>
  <c r="W776" i="9"/>
  <c r="U777" i="9" s="1"/>
  <c r="T596" i="9"/>
  <c r="R597" i="9" s="1"/>
  <c r="D882" i="9"/>
  <c r="C881" i="9"/>
  <c r="J878" i="9" l="1"/>
  <c r="H878" i="9"/>
  <c r="I878" i="9" s="1"/>
  <c r="AD398" i="9"/>
  <c r="Z398" i="9"/>
  <c r="AG398" i="9"/>
  <c r="AI398" i="9"/>
  <c r="T597" i="9"/>
  <c r="R598" i="9" s="1"/>
  <c r="W777" i="9"/>
  <c r="U778" i="9" s="1"/>
  <c r="C882" i="9"/>
  <c r="D883" i="9"/>
  <c r="J879" i="9" l="1"/>
  <c r="H879" i="9"/>
  <c r="I879" i="9" s="1"/>
  <c r="AH398" i="9"/>
  <c r="Y398" i="9"/>
  <c r="X399" i="9" s="1"/>
  <c r="AC398" i="9" a="1"/>
  <c r="AC398" i="9" s="1"/>
  <c r="AA399" i="9" s="1"/>
  <c r="T598" i="9"/>
  <c r="R599" i="9" s="1"/>
  <c r="W778" i="9"/>
  <c r="U779" i="9" s="1"/>
  <c r="C883" i="9"/>
  <c r="D884" i="9"/>
  <c r="J880" i="9" l="1"/>
  <c r="H880" i="9"/>
  <c r="I880" i="9" s="1"/>
  <c r="AG399" i="9"/>
  <c r="AI399" i="9"/>
  <c r="Z399" i="9"/>
  <c r="AD399" i="9"/>
  <c r="W779" i="9"/>
  <c r="U780" i="9" s="1"/>
  <c r="T599" i="9"/>
  <c r="R600" i="9" s="1"/>
  <c r="D885" i="9"/>
  <c r="C884" i="9"/>
  <c r="J881" i="9" l="1"/>
  <c r="H881" i="9"/>
  <c r="I881" i="9" s="1"/>
  <c r="Y399" i="9"/>
  <c r="X400" i="9" s="1"/>
  <c r="AC399" i="9" a="1"/>
  <c r="AC399" i="9" s="1"/>
  <c r="AA400" i="9" s="1"/>
  <c r="AH399" i="9"/>
  <c r="T600" i="9"/>
  <c r="R601" i="9" s="1"/>
  <c r="W780" i="9"/>
  <c r="U781" i="9" s="1"/>
  <c r="D886" i="9"/>
  <c r="C885" i="9"/>
  <c r="J882" i="9" l="1"/>
  <c r="H882" i="9"/>
  <c r="I882" i="9" s="1"/>
  <c r="AD400" i="9"/>
  <c r="Z400" i="9"/>
  <c r="AG400" i="9"/>
  <c r="AI400" i="9"/>
  <c r="T601" i="9"/>
  <c r="R602" i="9" s="1"/>
  <c r="W781" i="9"/>
  <c r="U782" i="9" s="1"/>
  <c r="C886" i="9"/>
  <c r="D887" i="9"/>
  <c r="J883" i="9" l="1"/>
  <c r="H883" i="9"/>
  <c r="I883" i="9" s="1"/>
  <c r="AH400" i="9"/>
  <c r="Y400" i="9"/>
  <c r="X401" i="9" s="1"/>
  <c r="AC400" i="9" a="1"/>
  <c r="AC400" i="9" s="1"/>
  <c r="AA401" i="9" s="1"/>
  <c r="W782" i="9"/>
  <c r="U783" i="9" s="1"/>
  <c r="T602" i="9"/>
  <c r="R603" i="9" s="1"/>
  <c r="C887" i="9"/>
  <c r="D888" i="9"/>
  <c r="J884" i="9" l="1"/>
  <c r="H884" i="9"/>
  <c r="I884" i="9" s="1"/>
  <c r="AD401" i="9"/>
  <c r="AG401" i="9"/>
  <c r="Z401" i="9"/>
  <c r="AI401" i="9"/>
  <c r="W783" i="9"/>
  <c r="U784" i="9" s="1"/>
  <c r="T603" i="9"/>
  <c r="R604" i="9" s="1"/>
  <c r="D889" i="9"/>
  <c r="C888" i="9"/>
  <c r="J885" i="9" l="1"/>
  <c r="H885" i="9"/>
  <c r="I885" i="9" s="1"/>
  <c r="AH401" i="9"/>
  <c r="Y401" i="9"/>
  <c r="X402" i="9" s="1"/>
  <c r="AC401" i="9" a="1"/>
  <c r="AC401" i="9" s="1"/>
  <c r="AA402" i="9" s="1"/>
  <c r="W784" i="9"/>
  <c r="U785" i="9" s="1"/>
  <c r="T604" i="9"/>
  <c r="R605" i="9" s="1"/>
  <c r="D890" i="9"/>
  <c r="C889" i="9"/>
  <c r="J886" i="9" l="1"/>
  <c r="H886" i="9"/>
  <c r="I886" i="9" s="1"/>
  <c r="AD402" i="9"/>
  <c r="AG402" i="9"/>
  <c r="AI402" i="9"/>
  <c r="Z402" i="9"/>
  <c r="T605" i="9"/>
  <c r="R606" i="9" s="1"/>
  <c r="W785" i="9"/>
  <c r="U786" i="9" s="1"/>
  <c r="C890" i="9"/>
  <c r="D891" i="9"/>
  <c r="J887" i="9" l="1"/>
  <c r="H887" i="9"/>
  <c r="I887" i="9" s="1"/>
  <c r="AC402" i="9" a="1"/>
  <c r="AC402" i="9" s="1"/>
  <c r="AA403" i="9" s="1"/>
  <c r="Y402" i="9"/>
  <c r="X403" i="9" s="1"/>
  <c r="AH402" i="9"/>
  <c r="W786" i="9"/>
  <c r="U787" i="9" s="1"/>
  <c r="T606" i="9"/>
  <c r="R607" i="9" s="1"/>
  <c r="C891" i="9"/>
  <c r="D892" i="9"/>
  <c r="J888" i="9" l="1"/>
  <c r="H888" i="9"/>
  <c r="I888" i="9" s="1"/>
  <c r="Z403" i="9"/>
  <c r="AG403" i="9"/>
  <c r="AI403" i="9"/>
  <c r="AD403" i="9"/>
  <c r="W787" i="9"/>
  <c r="U788" i="9" s="1"/>
  <c r="T607" i="9"/>
  <c r="R608" i="9" s="1"/>
  <c r="D893" i="9"/>
  <c r="C892" i="9"/>
  <c r="J889" i="9" l="1"/>
  <c r="H889" i="9"/>
  <c r="I889" i="9" s="1"/>
  <c r="AH403" i="9"/>
  <c r="AC403" i="9" a="1"/>
  <c r="AC403" i="9" s="1"/>
  <c r="AA404" i="9" s="1"/>
  <c r="Y403" i="9"/>
  <c r="X404" i="9" s="1"/>
  <c r="W788" i="9"/>
  <c r="U789" i="9" s="1"/>
  <c r="T608" i="9"/>
  <c r="R609" i="9" s="1"/>
  <c r="D894" i="9"/>
  <c r="C893" i="9"/>
  <c r="J890" i="9" l="1"/>
  <c r="H890" i="9"/>
  <c r="I890" i="9" s="1"/>
  <c r="AI404" i="9"/>
  <c r="AG404" i="9"/>
  <c r="Z404" i="9"/>
  <c r="AD404" i="9"/>
  <c r="T609" i="9"/>
  <c r="R610" i="9" s="1"/>
  <c r="W789" i="9"/>
  <c r="U790" i="9" s="1"/>
  <c r="C894" i="9"/>
  <c r="D895" i="9"/>
  <c r="J891" i="9" l="1"/>
  <c r="H891" i="9"/>
  <c r="I891" i="9" s="1"/>
  <c r="AC404" i="9" a="1"/>
  <c r="AC404" i="9" s="1"/>
  <c r="AA405" i="9" s="1"/>
  <c r="AH404" i="9"/>
  <c r="Y404" i="9"/>
  <c r="X405" i="9" s="1"/>
  <c r="T610" i="9"/>
  <c r="R611" i="9" s="1"/>
  <c r="W790" i="9"/>
  <c r="U791" i="9" s="1"/>
  <c r="D896" i="9"/>
  <c r="C895" i="9"/>
  <c r="J892" i="9" l="1"/>
  <c r="H892" i="9"/>
  <c r="I892" i="9" s="1"/>
  <c r="AG405" i="9"/>
  <c r="AI405" i="9"/>
  <c r="Z405" i="9"/>
  <c r="AD405" i="9"/>
  <c r="T611" i="9"/>
  <c r="R612" i="9" s="1"/>
  <c r="W791" i="9"/>
  <c r="U792" i="9" s="1"/>
  <c r="D897" i="9"/>
  <c r="C896" i="9"/>
  <c r="J893" i="9" l="1"/>
  <c r="H893" i="9"/>
  <c r="I893" i="9" s="1"/>
  <c r="Y405" i="9"/>
  <c r="X406" i="9" s="1"/>
  <c r="AH405" i="9"/>
  <c r="AC405" i="9" a="1"/>
  <c r="AC405" i="9" s="1"/>
  <c r="AA406" i="9" s="1"/>
  <c r="W792" i="9"/>
  <c r="U793" i="9" s="1"/>
  <c r="T612" i="9"/>
  <c r="R613" i="9" s="1"/>
  <c r="C897" i="9"/>
  <c r="D898" i="9"/>
  <c r="J894" i="9" l="1"/>
  <c r="H894" i="9"/>
  <c r="I894" i="9" s="1"/>
  <c r="AD406" i="9"/>
  <c r="Z406" i="9"/>
  <c r="AG406" i="9"/>
  <c r="AI406" i="9"/>
  <c r="T613" i="9"/>
  <c r="R614" i="9" s="1"/>
  <c r="W793" i="9"/>
  <c r="U794" i="9" s="1"/>
  <c r="D899" i="9"/>
  <c r="C898" i="9"/>
  <c r="J895" i="9" l="1"/>
  <c r="H895" i="9"/>
  <c r="I895" i="9" s="1"/>
  <c r="AC406" i="9" a="1"/>
  <c r="AC406" i="9" s="1"/>
  <c r="AA407" i="9" s="1"/>
  <c r="AH406" i="9"/>
  <c r="Y406" i="9"/>
  <c r="X407" i="9" s="1"/>
  <c r="T614" i="9"/>
  <c r="R615" i="9" s="1"/>
  <c r="W794" i="9"/>
  <c r="U795" i="9" s="1"/>
  <c r="D900" i="9"/>
  <c r="C899" i="9"/>
  <c r="J896" i="9" l="1"/>
  <c r="H896" i="9"/>
  <c r="I896" i="9" s="1"/>
  <c r="Z407" i="9"/>
  <c r="AI407" i="9"/>
  <c r="AG407" i="9"/>
  <c r="AD407" i="9"/>
  <c r="T615" i="9"/>
  <c r="R616" i="9" s="1"/>
  <c r="W795" i="9"/>
  <c r="U796" i="9" s="1"/>
  <c r="C900" i="9"/>
  <c r="D901" i="9"/>
  <c r="J897" i="9" l="1"/>
  <c r="H897" i="9"/>
  <c r="I897" i="9" s="1"/>
  <c r="AC407" i="9" a="1"/>
  <c r="AC407" i="9" s="1"/>
  <c r="AA408" i="9" s="1"/>
  <c r="AH407" i="9"/>
  <c r="Y407" i="9"/>
  <c r="X408" i="9" s="1"/>
  <c r="T616" i="9"/>
  <c r="R617" i="9" s="1"/>
  <c r="W796" i="9"/>
  <c r="U797" i="9" s="1"/>
  <c r="C901" i="9"/>
  <c r="D902" i="9"/>
  <c r="J898" i="9" l="1"/>
  <c r="H898" i="9"/>
  <c r="I898" i="9" s="1"/>
  <c r="AG408" i="9"/>
  <c r="Z408" i="9"/>
  <c r="AI408" i="9"/>
  <c r="AD408" i="9"/>
  <c r="T617" i="9"/>
  <c r="R618" i="9" s="1"/>
  <c r="W797" i="9"/>
  <c r="U798" i="9" s="1"/>
  <c r="D903" i="9"/>
  <c r="C902" i="9"/>
  <c r="J899" i="9" l="1"/>
  <c r="H899" i="9"/>
  <c r="I899" i="9" s="1"/>
  <c r="Y408" i="9"/>
  <c r="X409" i="9" s="1"/>
  <c r="AC408" i="9" a="1"/>
  <c r="AC408" i="9" s="1"/>
  <c r="AA409" i="9" s="1"/>
  <c r="AH408" i="9"/>
  <c r="W798" i="9"/>
  <c r="U799" i="9" s="1"/>
  <c r="T618" i="9"/>
  <c r="R619" i="9" s="1"/>
  <c r="D904" i="9"/>
  <c r="C903" i="9"/>
  <c r="J900" i="9" l="1"/>
  <c r="H900" i="9"/>
  <c r="I900" i="9" s="1"/>
  <c r="AD409" i="9"/>
  <c r="Z409" i="9"/>
  <c r="AG409" i="9"/>
  <c r="AI409" i="9"/>
  <c r="T619" i="9"/>
  <c r="R620" i="9" s="1"/>
  <c r="W799" i="9"/>
  <c r="U800" i="9" s="1"/>
  <c r="C904" i="9"/>
  <c r="D905" i="9"/>
  <c r="J901" i="9" l="1"/>
  <c r="H901" i="9"/>
  <c r="I901" i="9" s="1"/>
  <c r="AC409" i="9" a="1"/>
  <c r="AC409" i="9" s="1"/>
  <c r="AA410" i="9" s="1"/>
  <c r="AH409" i="9"/>
  <c r="Y409" i="9"/>
  <c r="X410" i="9" s="1"/>
  <c r="W800" i="9"/>
  <c r="U801" i="9" s="1"/>
  <c r="T620" i="9"/>
  <c r="R621" i="9" s="1"/>
  <c r="C905" i="9"/>
  <c r="D906" i="9"/>
  <c r="J902" i="9" l="1"/>
  <c r="H902" i="9"/>
  <c r="I902" i="9" s="1"/>
  <c r="AG410" i="9"/>
  <c r="Z410" i="9"/>
  <c r="AI410" i="9"/>
  <c r="AD410" i="9"/>
  <c r="T621" i="9"/>
  <c r="R622" i="9" s="1"/>
  <c r="W801" i="9"/>
  <c r="U802" i="9" s="1"/>
  <c r="D907" i="9"/>
  <c r="C906" i="9"/>
  <c r="J903" i="9" l="1"/>
  <c r="H903" i="9"/>
  <c r="I903" i="9" s="1"/>
  <c r="AH410" i="9"/>
  <c r="AC410" i="9" a="1"/>
  <c r="AC410" i="9" s="1"/>
  <c r="AA411" i="9" s="1"/>
  <c r="Y410" i="9"/>
  <c r="X411" i="9" s="1"/>
  <c r="T622" i="9"/>
  <c r="R623" i="9" s="1"/>
  <c r="W802" i="9"/>
  <c r="U803" i="9" s="1"/>
  <c r="D908" i="9"/>
  <c r="C907" i="9"/>
  <c r="J904" i="9" l="1"/>
  <c r="H904" i="9"/>
  <c r="I904" i="9" s="1"/>
  <c r="AD411" i="9"/>
  <c r="AG411" i="9"/>
  <c r="Z411" i="9"/>
  <c r="AI411" i="9"/>
  <c r="T623" i="9"/>
  <c r="R624" i="9" s="1"/>
  <c r="W803" i="9"/>
  <c r="U804" i="9" s="1"/>
  <c r="C908" i="9"/>
  <c r="D909" i="9"/>
  <c r="J905" i="9" l="1"/>
  <c r="H905" i="9"/>
  <c r="I905" i="9" s="1"/>
  <c r="Y411" i="9"/>
  <c r="X412" i="9" s="1"/>
  <c r="AC411" i="9" a="1"/>
  <c r="AC411" i="9" s="1"/>
  <c r="AA412" i="9" s="1"/>
  <c r="AH411" i="9"/>
  <c r="T624" i="9"/>
  <c r="R625" i="9" s="1"/>
  <c r="W804" i="9"/>
  <c r="U805" i="9" s="1"/>
  <c r="C909" i="9"/>
  <c r="D910" i="9"/>
  <c r="J906" i="9" l="1"/>
  <c r="H906" i="9"/>
  <c r="I906" i="9" s="1"/>
  <c r="AD412" i="9"/>
  <c r="AI412" i="9"/>
  <c r="AG412" i="9"/>
  <c r="Z412" i="9"/>
  <c r="W805" i="9"/>
  <c r="U806" i="9" s="1"/>
  <c r="T625" i="9"/>
  <c r="R626" i="9" s="1"/>
  <c r="D911" i="9"/>
  <c r="C910" i="9"/>
  <c r="J907" i="9" l="1"/>
  <c r="H907" i="9"/>
  <c r="I907" i="9" s="1"/>
  <c r="AH412" i="9"/>
  <c r="Y412" i="9"/>
  <c r="X413" i="9" s="1"/>
  <c r="AC412" i="9" a="1"/>
  <c r="AC412" i="9" s="1"/>
  <c r="AA413" i="9" s="1"/>
  <c r="W806" i="9"/>
  <c r="U807" i="9" s="1"/>
  <c r="T626" i="9"/>
  <c r="R627" i="9" s="1"/>
  <c r="D912" i="9"/>
  <c r="C911" i="9"/>
  <c r="J908" i="9" l="1"/>
  <c r="H908" i="9"/>
  <c r="I908" i="9" s="1"/>
  <c r="AD413" i="9"/>
  <c r="AG413" i="9"/>
  <c r="Z413" i="9"/>
  <c r="AI413" i="9"/>
  <c r="T627" i="9"/>
  <c r="R628" i="9" s="1"/>
  <c r="W807" i="9"/>
  <c r="U808" i="9" s="1"/>
  <c r="C912" i="9"/>
  <c r="D913" i="9"/>
  <c r="J909" i="9" l="1"/>
  <c r="H909" i="9"/>
  <c r="I909" i="9" s="1"/>
  <c r="AH413" i="9"/>
  <c r="AC413" i="9" a="1"/>
  <c r="AC413" i="9" s="1"/>
  <c r="AA414" i="9" s="1"/>
  <c r="Y413" i="9"/>
  <c r="X414" i="9" s="1"/>
  <c r="W808" i="9"/>
  <c r="U809" i="9" s="1"/>
  <c r="T628" i="9"/>
  <c r="R629" i="9" s="1"/>
  <c r="C913" i="9"/>
  <c r="D914" i="9"/>
  <c r="J910" i="9" l="1"/>
  <c r="H910" i="9"/>
  <c r="I910" i="9" s="1"/>
  <c r="AG414" i="9"/>
  <c r="AI414" i="9"/>
  <c r="Z414" i="9"/>
  <c r="AD414" i="9"/>
  <c r="T629" i="9"/>
  <c r="R630" i="9" s="1"/>
  <c r="W809" i="9"/>
  <c r="U810" i="9" s="1"/>
  <c r="D915" i="9"/>
  <c r="C914" i="9"/>
  <c r="J911" i="9" l="1"/>
  <c r="H911" i="9"/>
  <c r="I911" i="9" s="1"/>
  <c r="Y414" i="9"/>
  <c r="X415" i="9" s="1"/>
  <c r="AH414" i="9"/>
  <c r="AC414" i="9" a="1"/>
  <c r="AC414" i="9" s="1"/>
  <c r="AA415" i="9" s="1"/>
  <c r="W810" i="9"/>
  <c r="U811" i="9" s="1"/>
  <c r="T630" i="9"/>
  <c r="R631" i="9" s="1"/>
  <c r="D916" i="9"/>
  <c r="C915" i="9"/>
  <c r="J912" i="9" l="1"/>
  <c r="H912" i="9"/>
  <c r="I912" i="9" s="1"/>
  <c r="AD415" i="9"/>
  <c r="Z415" i="9"/>
  <c r="AI415" i="9"/>
  <c r="AG415" i="9"/>
  <c r="W811" i="9"/>
  <c r="U812" i="9" s="1"/>
  <c r="T631" i="9"/>
  <c r="R632" i="9" s="1"/>
  <c r="C916" i="9"/>
  <c r="D917" i="9"/>
  <c r="J913" i="9" l="1"/>
  <c r="H913" i="9"/>
  <c r="I913" i="9" s="1"/>
  <c r="AH415" i="9"/>
  <c r="AC415" i="9" a="1"/>
  <c r="AC415" i="9" s="1"/>
  <c r="AA416" i="9" s="1"/>
  <c r="Y415" i="9"/>
  <c r="X416" i="9" s="1"/>
  <c r="T632" i="9"/>
  <c r="R633" i="9" s="1"/>
  <c r="W812" i="9"/>
  <c r="U813" i="9" s="1"/>
  <c r="C917" i="9"/>
  <c r="D918" i="9"/>
  <c r="J914" i="9" l="1"/>
  <c r="H914" i="9"/>
  <c r="I914" i="9" s="1"/>
  <c r="Z416" i="9"/>
  <c r="AG416" i="9"/>
  <c r="AI416" i="9"/>
  <c r="AD416" i="9"/>
  <c r="T633" i="9"/>
  <c r="R634" i="9" s="1"/>
  <c r="W813" i="9"/>
  <c r="U814" i="9" s="1"/>
  <c r="D919" i="9"/>
  <c r="C918" i="9"/>
  <c r="J915" i="9" l="1"/>
  <c r="H915" i="9"/>
  <c r="I915" i="9" s="1"/>
  <c r="AH416" i="9"/>
  <c r="AC416" i="9" a="1"/>
  <c r="AC416" i="9" s="1"/>
  <c r="AA417" i="9" s="1"/>
  <c r="Y416" i="9"/>
  <c r="X417" i="9" s="1"/>
  <c r="W814" i="9"/>
  <c r="U815" i="9" s="1"/>
  <c r="T634" i="9"/>
  <c r="R635" i="9" s="1"/>
  <c r="D920" i="9"/>
  <c r="C919" i="9"/>
  <c r="J916" i="9" l="1"/>
  <c r="H916" i="9"/>
  <c r="I916" i="9" s="1"/>
  <c r="AD417" i="9"/>
  <c r="Z417" i="9"/>
  <c r="AI417" i="9"/>
  <c r="AG417" i="9"/>
  <c r="T635" i="9"/>
  <c r="R636" i="9" s="1"/>
  <c r="W815" i="9"/>
  <c r="U816" i="9" s="1"/>
  <c r="C920" i="9"/>
  <c r="D921" i="9"/>
  <c r="J917" i="9" l="1"/>
  <c r="H917" i="9"/>
  <c r="I917" i="9" s="1"/>
  <c r="AC417" i="9" a="1"/>
  <c r="AC417" i="9" s="1"/>
  <c r="AA418" i="9" s="1"/>
  <c r="Y417" i="9"/>
  <c r="X418" i="9" s="1"/>
  <c r="AH417" i="9"/>
  <c r="T636" i="9"/>
  <c r="R637" i="9" s="1"/>
  <c r="W816" i="9"/>
  <c r="U817" i="9" s="1"/>
  <c r="C921" i="9"/>
  <c r="D922" i="9"/>
  <c r="J918" i="9" l="1"/>
  <c r="H918" i="9"/>
  <c r="I918" i="9" s="1"/>
  <c r="Z418" i="9"/>
  <c r="AG418" i="9"/>
  <c r="AI418" i="9"/>
  <c r="AD418" i="9"/>
  <c r="T637" i="9"/>
  <c r="R638" i="9" s="1"/>
  <c r="W817" i="9"/>
  <c r="U818" i="9" s="1"/>
  <c r="D923" i="9"/>
  <c r="C922" i="9"/>
  <c r="J919" i="9" l="1"/>
  <c r="H919" i="9"/>
  <c r="I919" i="9" s="1"/>
  <c r="AC418" i="9" a="1"/>
  <c r="AC418" i="9" s="1"/>
  <c r="AA419" i="9" s="1"/>
  <c r="AH418" i="9"/>
  <c r="Y418" i="9"/>
  <c r="X419" i="9" s="1"/>
  <c r="W818" i="9"/>
  <c r="U819" i="9" s="1"/>
  <c r="T638" i="9"/>
  <c r="R639" i="9" s="1"/>
  <c r="D924" i="9"/>
  <c r="C923" i="9"/>
  <c r="J920" i="9" l="1"/>
  <c r="H920" i="9"/>
  <c r="I920" i="9" s="1"/>
  <c r="Z419" i="9"/>
  <c r="AG419" i="9"/>
  <c r="AI419" i="9"/>
  <c r="AD419" i="9"/>
  <c r="W819" i="9"/>
  <c r="U820" i="9" s="1"/>
  <c r="T639" i="9"/>
  <c r="R640" i="9" s="1"/>
  <c r="C924" i="9"/>
  <c r="D925" i="9"/>
  <c r="J921" i="9" l="1"/>
  <c r="H921" i="9"/>
  <c r="I921" i="9" s="1"/>
  <c r="AC419" i="9" a="1"/>
  <c r="AC419" i="9" s="1"/>
  <c r="AA420" i="9" s="1"/>
  <c r="AH419" i="9"/>
  <c r="Y419" i="9"/>
  <c r="X420" i="9" s="1"/>
  <c r="T640" i="9"/>
  <c r="R641" i="9" s="1"/>
  <c r="W820" i="9"/>
  <c r="U821" i="9" s="1"/>
  <c r="D926" i="9"/>
  <c r="C925" i="9"/>
  <c r="J922" i="9" l="1"/>
  <c r="H922" i="9"/>
  <c r="I922" i="9" s="1"/>
  <c r="AI420" i="9"/>
  <c r="AG420" i="9"/>
  <c r="Z420" i="9"/>
  <c r="AD420" i="9"/>
  <c r="T641" i="9"/>
  <c r="R642" i="9" s="1"/>
  <c r="W821" i="9"/>
  <c r="U822" i="9" s="1"/>
  <c r="D927" i="9"/>
  <c r="C926" i="9"/>
  <c r="J923" i="9" l="1"/>
  <c r="H923" i="9"/>
  <c r="I923" i="9" s="1"/>
  <c r="AH420" i="9"/>
  <c r="AC420" i="9" a="1"/>
  <c r="AC420" i="9" s="1"/>
  <c r="AA421" i="9" s="1"/>
  <c r="Y420" i="9"/>
  <c r="X421" i="9" s="1"/>
  <c r="W822" i="9"/>
  <c r="U823" i="9" s="1"/>
  <c r="T642" i="9"/>
  <c r="R643" i="9" s="1"/>
  <c r="C927" i="9"/>
  <c r="D928" i="9"/>
  <c r="J924" i="9" l="1"/>
  <c r="H924" i="9"/>
  <c r="I924" i="9" s="1"/>
  <c r="AG421" i="9"/>
  <c r="Z421" i="9"/>
  <c r="AI421" i="9"/>
  <c r="AD421" i="9"/>
  <c r="T643" i="9"/>
  <c r="R644" i="9" s="1"/>
  <c r="W823" i="9"/>
  <c r="U824" i="9" s="1"/>
  <c r="C928" i="9"/>
  <c r="D929" i="9"/>
  <c r="J925" i="9" l="1"/>
  <c r="H925" i="9"/>
  <c r="I925" i="9" s="1"/>
  <c r="AC421" i="9" a="1"/>
  <c r="AC421" i="9" s="1"/>
  <c r="AA422" i="9" s="1"/>
  <c r="Y421" i="9"/>
  <c r="X422" i="9" s="1"/>
  <c r="AH421" i="9"/>
  <c r="T644" i="9"/>
  <c r="R645" i="9" s="1"/>
  <c r="W824" i="9"/>
  <c r="U825" i="9" s="1"/>
  <c r="D930" i="9"/>
  <c r="C929" i="9"/>
  <c r="J926" i="9" l="1"/>
  <c r="H926" i="9"/>
  <c r="I926" i="9" s="1"/>
  <c r="AI422" i="9"/>
  <c r="Z422" i="9"/>
  <c r="AG422" i="9"/>
  <c r="AD422" i="9"/>
  <c r="T645" i="9"/>
  <c r="R646" i="9" s="1"/>
  <c r="W825" i="9"/>
  <c r="U826" i="9" s="1"/>
  <c r="D931" i="9"/>
  <c r="C930" i="9"/>
  <c r="J927" i="9" l="1"/>
  <c r="H927" i="9"/>
  <c r="I927" i="9" s="1"/>
  <c r="Y422" i="9"/>
  <c r="X423" i="9" s="1"/>
  <c r="AH422" i="9"/>
  <c r="AC422" i="9" a="1"/>
  <c r="AC422" i="9" s="1"/>
  <c r="AA423" i="9" s="1"/>
  <c r="W826" i="9"/>
  <c r="U827" i="9" s="1"/>
  <c r="T646" i="9"/>
  <c r="R647" i="9" s="1"/>
  <c r="C931" i="9"/>
  <c r="D932" i="9"/>
  <c r="J928" i="9" l="1"/>
  <c r="H928" i="9"/>
  <c r="I928" i="9" s="1"/>
  <c r="AD423" i="9"/>
  <c r="Z423" i="9"/>
  <c r="AI423" i="9"/>
  <c r="AG423" i="9"/>
  <c r="W827" i="9"/>
  <c r="U828" i="9" s="1"/>
  <c r="T647" i="9"/>
  <c r="R648" i="9" s="1"/>
  <c r="C932" i="9"/>
  <c r="D933" i="9"/>
  <c r="J929" i="9" l="1"/>
  <c r="H929" i="9"/>
  <c r="I929" i="9" s="1"/>
  <c r="AH423" i="9"/>
  <c r="Y423" i="9"/>
  <c r="X424" i="9" s="1"/>
  <c r="AC423" i="9" a="1"/>
  <c r="AC423" i="9" s="1"/>
  <c r="AA424" i="9" s="1"/>
  <c r="T648" i="9"/>
  <c r="R649" i="9" s="1"/>
  <c r="W828" i="9"/>
  <c r="U829" i="9" s="1"/>
  <c r="D934" i="9"/>
  <c r="C933" i="9"/>
  <c r="J930" i="9" l="1"/>
  <c r="H930" i="9"/>
  <c r="I930" i="9" s="1"/>
  <c r="AD424" i="9"/>
  <c r="AG424" i="9"/>
  <c r="Z424" i="9"/>
  <c r="AI424" i="9"/>
  <c r="T649" i="9"/>
  <c r="R650" i="9" s="1"/>
  <c r="W829" i="9"/>
  <c r="U830" i="9" s="1"/>
  <c r="D935" i="9"/>
  <c r="C934" i="9"/>
  <c r="J931" i="9" l="1"/>
  <c r="H931" i="9"/>
  <c r="I931" i="9" s="1"/>
  <c r="AH424" i="9"/>
  <c r="Y424" i="9"/>
  <c r="X425" i="9" s="1"/>
  <c r="AC424" i="9" a="1"/>
  <c r="AC424" i="9" s="1"/>
  <c r="AA425" i="9" s="1"/>
  <c r="W830" i="9"/>
  <c r="U831" i="9" s="1"/>
  <c r="T650" i="9"/>
  <c r="R651" i="9" s="1"/>
  <c r="C935" i="9"/>
  <c r="D936" i="9"/>
  <c r="J932" i="9" l="1"/>
  <c r="H932" i="9"/>
  <c r="I932" i="9" s="1"/>
  <c r="AD425" i="9"/>
  <c r="AI425" i="9"/>
  <c r="Z425" i="9"/>
  <c r="AG425" i="9"/>
  <c r="T651" i="9"/>
  <c r="R652" i="9" s="1"/>
  <c r="W831" i="9"/>
  <c r="U832" i="9" s="1"/>
  <c r="C936" i="9"/>
  <c r="D937" i="9"/>
  <c r="J933" i="9" l="1"/>
  <c r="H933" i="9"/>
  <c r="I933" i="9" s="1"/>
  <c r="AH425" i="9"/>
  <c r="AC425" i="9" a="1"/>
  <c r="AC425" i="9" s="1"/>
  <c r="AA426" i="9" s="1"/>
  <c r="Y425" i="9"/>
  <c r="X426" i="9" s="1"/>
  <c r="W832" i="9"/>
  <c r="U833" i="9" s="1"/>
  <c r="T652" i="9"/>
  <c r="R653" i="9" s="1"/>
  <c r="D938" i="9"/>
  <c r="C937" i="9"/>
  <c r="J934" i="9" l="1"/>
  <c r="H934" i="9"/>
  <c r="I934" i="9" s="1"/>
  <c r="AD426" i="9"/>
  <c r="Z426" i="9"/>
  <c r="AG426" i="9"/>
  <c r="AI426" i="9"/>
  <c r="W833" i="9"/>
  <c r="U834" i="9" s="1"/>
  <c r="T653" i="9"/>
  <c r="R654" i="9" s="1"/>
  <c r="D939" i="9"/>
  <c r="C938" i="9"/>
  <c r="J935" i="9" l="1"/>
  <c r="H935" i="9"/>
  <c r="I935" i="9" s="1"/>
  <c r="Y426" i="9"/>
  <c r="X427" i="9" s="1"/>
  <c r="AH426" i="9"/>
  <c r="AC426" i="9" a="1"/>
  <c r="AC426" i="9" s="1"/>
  <c r="AA427" i="9" s="1"/>
  <c r="T654" i="9"/>
  <c r="R655" i="9" s="1"/>
  <c r="W834" i="9"/>
  <c r="U835" i="9" s="1"/>
  <c r="C939" i="9"/>
  <c r="D940" i="9"/>
  <c r="J936" i="9" l="1"/>
  <c r="H936" i="9"/>
  <c r="I936" i="9" s="1"/>
  <c r="AD427" i="9"/>
  <c r="AI427" i="9"/>
  <c r="Z427" i="9"/>
  <c r="AG427" i="9"/>
  <c r="T655" i="9"/>
  <c r="R656" i="9" s="1"/>
  <c r="W835" i="9"/>
  <c r="U836" i="9" s="1"/>
  <c r="C940" i="9"/>
  <c r="D941" i="9"/>
  <c r="J937" i="9" l="1"/>
  <c r="H937" i="9"/>
  <c r="I937" i="9" s="1"/>
  <c r="AC427" i="9" a="1"/>
  <c r="AC427" i="9" s="1"/>
  <c r="AA428" i="9" s="1"/>
  <c r="Y427" i="9"/>
  <c r="X428" i="9" s="1"/>
  <c r="AH427" i="9"/>
  <c r="W836" i="9"/>
  <c r="U837" i="9" s="1"/>
  <c r="T656" i="9"/>
  <c r="R657" i="9" s="1"/>
  <c r="D942" i="9"/>
  <c r="C941" i="9"/>
  <c r="J938" i="9" l="1"/>
  <c r="H938" i="9"/>
  <c r="I938" i="9" s="1"/>
  <c r="Z428" i="9"/>
  <c r="AG428" i="9"/>
  <c r="AI428" i="9"/>
  <c r="AD428" i="9"/>
  <c r="T657" i="9"/>
  <c r="R658" i="9" s="1"/>
  <c r="W837" i="9"/>
  <c r="U838" i="9" s="1"/>
  <c r="D943" i="9"/>
  <c r="C942" i="9"/>
  <c r="J939" i="9" l="1"/>
  <c r="H939" i="9"/>
  <c r="I939" i="9" s="1"/>
  <c r="AC428" i="9" a="1"/>
  <c r="AC428" i="9" s="1"/>
  <c r="AA429" i="9" s="1"/>
  <c r="Y428" i="9"/>
  <c r="X429" i="9" s="1"/>
  <c r="AH428" i="9"/>
  <c r="T658" i="9"/>
  <c r="R659" i="9" s="1"/>
  <c r="W838" i="9"/>
  <c r="U839" i="9" s="1"/>
  <c r="C943" i="9"/>
  <c r="D944" i="9"/>
  <c r="J940" i="9" l="1"/>
  <c r="H940" i="9"/>
  <c r="I940" i="9" s="1"/>
  <c r="AI429" i="9"/>
  <c r="AG429" i="9"/>
  <c r="Z429" i="9"/>
  <c r="AD429" i="9"/>
  <c r="T659" i="9"/>
  <c r="R660" i="9" s="1"/>
  <c r="W839" i="9"/>
  <c r="U840" i="9" s="1"/>
  <c r="C944" i="9"/>
  <c r="D945" i="9"/>
  <c r="J941" i="9" l="1"/>
  <c r="H941" i="9"/>
  <c r="I941" i="9" s="1"/>
  <c r="Y429" i="9"/>
  <c r="X430" i="9" s="1"/>
  <c r="AH429" i="9"/>
  <c r="AC429" i="9" a="1"/>
  <c r="AC429" i="9" s="1"/>
  <c r="AA430" i="9" s="1"/>
  <c r="W840" i="9"/>
  <c r="U841" i="9" s="1"/>
  <c r="T660" i="9"/>
  <c r="R661" i="9" s="1"/>
  <c r="D946" i="9"/>
  <c r="C945" i="9"/>
  <c r="J942" i="9" l="1"/>
  <c r="H942" i="9"/>
  <c r="I942" i="9" s="1"/>
  <c r="AD430" i="9"/>
  <c r="AG430" i="9"/>
  <c r="AI430" i="9"/>
  <c r="Z430" i="9"/>
  <c r="W841" i="9"/>
  <c r="U842" i="9" s="1"/>
  <c r="T661" i="9"/>
  <c r="R662" i="9" s="1"/>
  <c r="D947" i="9"/>
  <c r="C946" i="9"/>
  <c r="J943" i="9" l="1"/>
  <c r="H943" i="9"/>
  <c r="I943" i="9" s="1"/>
  <c r="AC430" i="9" a="1"/>
  <c r="AC430" i="9" s="1"/>
  <c r="AA431" i="9" s="1"/>
  <c r="AH430" i="9"/>
  <c r="Y430" i="9"/>
  <c r="X431" i="9" s="1"/>
  <c r="T662" i="9"/>
  <c r="R663" i="9" s="1"/>
  <c r="W842" i="9"/>
  <c r="U843" i="9" s="1"/>
  <c r="C947" i="9"/>
  <c r="D948" i="9"/>
  <c r="J944" i="9" l="1"/>
  <c r="H944" i="9"/>
  <c r="I944" i="9" s="1"/>
  <c r="Z431" i="9"/>
  <c r="AI431" i="9"/>
  <c r="AG431" i="9"/>
  <c r="AD431" i="9"/>
  <c r="T663" i="9"/>
  <c r="R664" i="9" s="1"/>
  <c r="W843" i="9"/>
  <c r="U844" i="9" s="1"/>
  <c r="C948" i="9"/>
  <c r="D949" i="9"/>
  <c r="J945" i="9" l="1"/>
  <c r="H945" i="9"/>
  <c r="I945" i="9" s="1"/>
  <c r="AH431" i="9"/>
  <c r="Y431" i="9"/>
  <c r="X432" i="9" s="1"/>
  <c r="AC431" i="9" a="1"/>
  <c r="AC431" i="9" s="1"/>
  <c r="AA432" i="9" s="1"/>
  <c r="W844" i="9"/>
  <c r="U845" i="9" s="1"/>
  <c r="T664" i="9"/>
  <c r="R665" i="9" s="1"/>
  <c r="D950" i="9"/>
  <c r="C949" i="9"/>
  <c r="J946" i="9" l="1"/>
  <c r="H946" i="9"/>
  <c r="I946" i="9" s="1"/>
  <c r="AD432" i="9"/>
  <c r="Z432" i="9"/>
  <c r="AG432" i="9"/>
  <c r="AI432" i="9"/>
  <c r="W845" i="9"/>
  <c r="U846" i="9" s="1"/>
  <c r="T665" i="9"/>
  <c r="R666" i="9" s="1"/>
  <c r="D951" i="9"/>
  <c r="C950" i="9"/>
  <c r="J947" i="9" l="1"/>
  <c r="H947" i="9"/>
  <c r="I947" i="9" s="1"/>
  <c r="Y432" i="9"/>
  <c r="X433" i="9" s="1"/>
  <c r="AC432" i="9" a="1"/>
  <c r="AC432" i="9" s="1"/>
  <c r="AA433" i="9" s="1"/>
  <c r="AH432" i="9"/>
  <c r="T666" i="9"/>
  <c r="R667" i="9" s="1"/>
  <c r="W846" i="9"/>
  <c r="U847" i="9" s="1"/>
  <c r="C951" i="9"/>
  <c r="D952" i="9"/>
  <c r="J948" i="9" l="1"/>
  <c r="H948" i="9"/>
  <c r="I948" i="9" s="1"/>
  <c r="AD433" i="9"/>
  <c r="AG433" i="9"/>
  <c r="Z433" i="9"/>
  <c r="AI433" i="9"/>
  <c r="W847" i="9"/>
  <c r="U848" i="9" s="1"/>
  <c r="T667" i="9"/>
  <c r="R668" i="9" s="1"/>
  <c r="C952" i="9"/>
  <c r="D953" i="9"/>
  <c r="J949" i="9" l="1"/>
  <c r="H949" i="9"/>
  <c r="I949" i="9" s="1"/>
  <c r="AH433" i="9"/>
  <c r="Y433" i="9"/>
  <c r="X434" i="9" s="1"/>
  <c r="AC433" i="9" a="1"/>
  <c r="AC433" i="9" s="1"/>
  <c r="AA434" i="9" s="1"/>
  <c r="W848" i="9"/>
  <c r="U849" i="9" s="1"/>
  <c r="T668" i="9"/>
  <c r="R669" i="9" s="1"/>
  <c r="D954" i="9"/>
  <c r="C953" i="9"/>
  <c r="J950" i="9" l="1"/>
  <c r="H950" i="9"/>
  <c r="I950" i="9" s="1"/>
  <c r="Z434" i="9"/>
  <c r="AG434" i="9"/>
  <c r="AI434" i="9"/>
  <c r="AD434" i="9"/>
  <c r="T669" i="9"/>
  <c r="R670" i="9" s="1"/>
  <c r="W849" i="9"/>
  <c r="U850" i="9" s="1"/>
  <c r="D955" i="9"/>
  <c r="C954" i="9"/>
  <c r="J951" i="9" l="1"/>
  <c r="H951" i="9"/>
  <c r="I951" i="9" s="1"/>
  <c r="AC434" i="9" a="1"/>
  <c r="AC434" i="9" s="1"/>
  <c r="AA435" i="9" s="1"/>
  <c r="AH434" i="9"/>
  <c r="Y434" i="9"/>
  <c r="X435" i="9" s="1"/>
  <c r="W850" i="9"/>
  <c r="U851" i="9" s="1"/>
  <c r="T670" i="9"/>
  <c r="R671" i="9" s="1"/>
  <c r="C955" i="9"/>
  <c r="D956" i="9"/>
  <c r="J952" i="9" l="1"/>
  <c r="H952" i="9"/>
  <c r="I952" i="9" s="1"/>
  <c r="Z435" i="9"/>
  <c r="AI435" i="9"/>
  <c r="AG435" i="9"/>
  <c r="AD435" i="9"/>
  <c r="W851" i="9"/>
  <c r="U852" i="9" s="1"/>
  <c r="T671" i="9"/>
  <c r="R672" i="9" s="1"/>
  <c r="C956" i="9"/>
  <c r="D957" i="9"/>
  <c r="J953" i="9" l="1"/>
  <c r="H953" i="9"/>
  <c r="I953" i="9" s="1"/>
  <c r="Y435" i="9"/>
  <c r="X436" i="9" s="1"/>
  <c r="AC435" i="9" a="1"/>
  <c r="AC435" i="9" s="1"/>
  <c r="AA436" i="9" s="1"/>
  <c r="AH435" i="9"/>
  <c r="T672" i="9"/>
  <c r="R673" i="9" s="1"/>
  <c r="W852" i="9"/>
  <c r="U853" i="9" s="1"/>
  <c r="D958" i="9"/>
  <c r="C957" i="9"/>
  <c r="J954" i="9" l="1"/>
  <c r="H954" i="9"/>
  <c r="I954" i="9" s="1"/>
  <c r="AD436" i="9"/>
  <c r="AG436" i="9"/>
  <c r="Z436" i="9"/>
  <c r="AI436" i="9"/>
  <c r="W853" i="9"/>
  <c r="U854" i="9" s="1"/>
  <c r="T673" i="9"/>
  <c r="R674" i="9" s="1"/>
  <c r="D959" i="9"/>
  <c r="C958" i="9"/>
  <c r="J955" i="9" l="1"/>
  <c r="H955" i="9"/>
  <c r="I955" i="9" s="1"/>
  <c r="Y436" i="9"/>
  <c r="X437" i="9" s="1"/>
  <c r="AH436" i="9"/>
  <c r="AC436" i="9" a="1"/>
  <c r="AC436" i="9" s="1"/>
  <c r="AA437" i="9" s="1"/>
  <c r="W854" i="9"/>
  <c r="U855" i="9" s="1"/>
  <c r="T674" i="9"/>
  <c r="R675" i="9" s="1"/>
  <c r="C959" i="9"/>
  <c r="D960" i="9"/>
  <c r="J956" i="9" l="1"/>
  <c r="H956" i="9"/>
  <c r="I956" i="9" s="1"/>
  <c r="AD437" i="9"/>
  <c r="AI437" i="9"/>
  <c r="Z437" i="9"/>
  <c r="AG437" i="9"/>
  <c r="T675" i="9"/>
  <c r="R676" i="9" s="1"/>
  <c r="W855" i="9"/>
  <c r="U856" i="9" s="1"/>
  <c r="C960" i="9"/>
  <c r="D961" i="9"/>
  <c r="J957" i="9" l="1"/>
  <c r="H957" i="9"/>
  <c r="I957" i="9" s="1"/>
  <c r="Y437" i="9"/>
  <c r="X438" i="9" s="1"/>
  <c r="AC437" i="9" a="1"/>
  <c r="AC437" i="9" s="1"/>
  <c r="AA438" i="9" s="1"/>
  <c r="AH437" i="9"/>
  <c r="T676" i="9"/>
  <c r="R677" i="9" s="1"/>
  <c r="W856" i="9"/>
  <c r="U857" i="9" s="1"/>
  <c r="D962" i="9"/>
  <c r="C961" i="9"/>
  <c r="J958" i="9" l="1"/>
  <c r="H958" i="9"/>
  <c r="I958" i="9" s="1"/>
  <c r="AD438" i="9"/>
  <c r="AI438" i="9"/>
  <c r="AG438" i="9"/>
  <c r="Z438" i="9"/>
  <c r="T677" i="9"/>
  <c r="R678" i="9" s="1"/>
  <c r="W857" i="9"/>
  <c r="U858" i="9" s="1"/>
  <c r="D963" i="9"/>
  <c r="C962" i="9"/>
  <c r="J959" i="9" l="1"/>
  <c r="H959" i="9"/>
  <c r="I959" i="9" s="1"/>
  <c r="AC438" i="9" a="1"/>
  <c r="AC438" i="9" s="1"/>
  <c r="AA439" i="9" s="1"/>
  <c r="Y438" i="9"/>
  <c r="X439" i="9" s="1"/>
  <c r="AH438" i="9"/>
  <c r="W858" i="9"/>
  <c r="U859" i="9" s="1"/>
  <c r="T678" i="9"/>
  <c r="R679" i="9" s="1"/>
  <c r="C963" i="9"/>
  <c r="D964" i="9"/>
  <c r="J960" i="9" l="1"/>
  <c r="H960" i="9"/>
  <c r="I960" i="9" s="1"/>
  <c r="Z439" i="9"/>
  <c r="AI439" i="9"/>
  <c r="AG439" i="9"/>
  <c r="AD439" i="9"/>
  <c r="W859" i="9"/>
  <c r="U860" i="9" s="1"/>
  <c r="T679" i="9"/>
  <c r="R680" i="9" s="1"/>
  <c r="C964" i="9"/>
  <c r="D965" i="9"/>
  <c r="J961" i="9" l="1"/>
  <c r="H961" i="9"/>
  <c r="I961" i="9" s="1"/>
  <c r="AH439" i="9"/>
  <c r="Y439" i="9"/>
  <c r="X440" i="9" s="1"/>
  <c r="AC439" i="9" a="1"/>
  <c r="AC439" i="9" s="1"/>
  <c r="AA440" i="9" s="1"/>
  <c r="T680" i="9"/>
  <c r="R681" i="9" s="1"/>
  <c r="W860" i="9"/>
  <c r="U861" i="9" s="1"/>
  <c r="D966" i="9"/>
  <c r="C965" i="9"/>
  <c r="J962" i="9" l="1"/>
  <c r="H962" i="9"/>
  <c r="I962" i="9" s="1"/>
  <c r="Z440" i="9"/>
  <c r="AG440" i="9"/>
  <c r="AI440" i="9"/>
  <c r="AD440" i="9"/>
  <c r="T681" i="9"/>
  <c r="R682" i="9" s="1"/>
  <c r="W861" i="9"/>
  <c r="U862" i="9" s="1"/>
  <c r="D967" i="9"/>
  <c r="C966" i="9"/>
  <c r="J963" i="9" l="1"/>
  <c r="H963" i="9"/>
  <c r="I963" i="9" s="1"/>
  <c r="Y440" i="9"/>
  <c r="X441" i="9" s="1"/>
  <c r="AC440" i="9" a="1"/>
  <c r="AC440" i="9" s="1"/>
  <c r="AA441" i="9" s="1"/>
  <c r="AH440" i="9"/>
  <c r="W862" i="9"/>
  <c r="U863" i="9" s="1"/>
  <c r="T682" i="9"/>
  <c r="R683" i="9" s="1"/>
  <c r="C967" i="9"/>
  <c r="D968" i="9"/>
  <c r="J964" i="9" l="1"/>
  <c r="H964" i="9"/>
  <c r="I964" i="9" s="1"/>
  <c r="AD441" i="9"/>
  <c r="AG441" i="9"/>
  <c r="Z441" i="9"/>
  <c r="AI441" i="9"/>
  <c r="T683" i="9"/>
  <c r="R684" i="9" s="1"/>
  <c r="W863" i="9"/>
  <c r="U864" i="9" s="1"/>
  <c r="C968" i="9"/>
  <c r="D969" i="9"/>
  <c r="J965" i="9" l="1"/>
  <c r="H965" i="9"/>
  <c r="I965" i="9" s="1"/>
  <c r="Y441" i="9"/>
  <c r="X442" i="9" s="1"/>
  <c r="AC441" i="9" a="1"/>
  <c r="AC441" i="9" s="1"/>
  <c r="AA442" i="9" s="1"/>
  <c r="AH441" i="9"/>
  <c r="W864" i="9"/>
  <c r="U865" i="9" s="1"/>
  <c r="T684" i="9"/>
  <c r="R685" i="9" s="1"/>
  <c r="D970" i="9"/>
  <c r="C969" i="9"/>
  <c r="J966" i="9" l="1"/>
  <c r="H966" i="9"/>
  <c r="I966" i="9" s="1"/>
  <c r="AD442" i="9"/>
  <c r="Z442" i="9"/>
  <c r="AG442" i="9"/>
  <c r="AI442" i="9"/>
  <c r="T685" i="9"/>
  <c r="R686" i="9" s="1"/>
  <c r="W865" i="9"/>
  <c r="U866" i="9" s="1"/>
  <c r="D971" i="9"/>
  <c r="C970" i="9"/>
  <c r="J967" i="9" l="1"/>
  <c r="H967" i="9"/>
  <c r="I967" i="9" s="1"/>
  <c r="AH442" i="9"/>
  <c r="AC442" i="9" a="1"/>
  <c r="AC442" i="9" s="1"/>
  <c r="AA443" i="9" s="1"/>
  <c r="Y442" i="9"/>
  <c r="X443" i="9" s="1"/>
  <c r="T686" i="9"/>
  <c r="R687" i="9" s="1"/>
  <c r="W866" i="9"/>
  <c r="U867" i="9" s="1"/>
  <c r="C971" i="9"/>
  <c r="D972" i="9"/>
  <c r="J968" i="9" l="1"/>
  <c r="H968" i="9"/>
  <c r="I968" i="9" s="1"/>
  <c r="AD443" i="9"/>
  <c r="Z443" i="9"/>
  <c r="AG443" i="9"/>
  <c r="AI443" i="9"/>
  <c r="T687" i="9"/>
  <c r="R688" i="9" s="1"/>
  <c r="W867" i="9"/>
  <c r="U868" i="9" s="1"/>
  <c r="C972" i="9"/>
  <c r="D973" i="9"/>
  <c r="J969" i="9" l="1"/>
  <c r="H969" i="9"/>
  <c r="I969" i="9" s="1"/>
  <c r="Y443" i="9"/>
  <c r="X444" i="9" s="1"/>
  <c r="AC443" i="9" a="1"/>
  <c r="AC443" i="9" s="1"/>
  <c r="AA444" i="9" s="1"/>
  <c r="AH443" i="9"/>
  <c r="T688" i="9"/>
  <c r="R689" i="9" s="1"/>
  <c r="W868" i="9"/>
  <c r="U869" i="9" s="1"/>
  <c r="D974" i="9"/>
  <c r="C973" i="9"/>
  <c r="J970" i="9" l="1"/>
  <c r="H970" i="9"/>
  <c r="I970" i="9" s="1"/>
  <c r="AD444" i="9"/>
  <c r="AG444" i="9"/>
  <c r="Z444" i="9"/>
  <c r="AI444" i="9"/>
  <c r="W869" i="9"/>
  <c r="U870" i="9" s="1"/>
  <c r="T689" i="9"/>
  <c r="R690" i="9" s="1"/>
  <c r="D975" i="9"/>
  <c r="C974" i="9"/>
  <c r="J971" i="9" l="1"/>
  <c r="H971" i="9"/>
  <c r="I971" i="9" s="1"/>
  <c r="AC444" i="9" a="1"/>
  <c r="AC444" i="9" s="1"/>
  <c r="AA445" i="9" s="1"/>
  <c r="AH444" i="9"/>
  <c r="Y444" i="9"/>
  <c r="X445" i="9" s="1"/>
  <c r="W870" i="9"/>
  <c r="U871" i="9" s="1"/>
  <c r="T690" i="9"/>
  <c r="R691" i="9" s="1"/>
  <c r="C975" i="9"/>
  <c r="D976" i="9"/>
  <c r="J972" i="9" l="1"/>
  <c r="H972" i="9"/>
  <c r="I972" i="9" s="1"/>
  <c r="AI445" i="9"/>
  <c r="Z445" i="9"/>
  <c r="AG445" i="9"/>
  <c r="AD445" i="9"/>
  <c r="T691" i="9"/>
  <c r="R692" i="9" s="1"/>
  <c r="W871" i="9"/>
  <c r="U872" i="9" s="1"/>
  <c r="C976" i="9"/>
  <c r="D977" i="9"/>
  <c r="J973" i="9" l="1"/>
  <c r="H973" i="9"/>
  <c r="I973" i="9" s="1"/>
  <c r="AC445" i="9" a="1"/>
  <c r="AC445" i="9" s="1"/>
  <c r="AA446" i="9" s="1"/>
  <c r="Y445" i="9"/>
  <c r="X446" i="9" s="1"/>
  <c r="AH445" i="9"/>
  <c r="W872" i="9"/>
  <c r="U873" i="9" s="1"/>
  <c r="T692" i="9"/>
  <c r="R693" i="9" s="1"/>
  <c r="D978" i="9"/>
  <c r="C977" i="9"/>
  <c r="J974" i="9" l="1"/>
  <c r="H974" i="9"/>
  <c r="I974" i="9" s="1"/>
  <c r="Z446" i="9"/>
  <c r="AG446" i="9"/>
  <c r="AI446" i="9"/>
  <c r="AD446" i="9"/>
  <c r="T693" i="9"/>
  <c r="R694" i="9" s="1"/>
  <c r="W873" i="9"/>
  <c r="U874" i="9" s="1"/>
  <c r="D979" i="9"/>
  <c r="C978" i="9"/>
  <c r="J975" i="9" l="1"/>
  <c r="H975" i="9"/>
  <c r="I975" i="9" s="1"/>
  <c r="AH446" i="9"/>
  <c r="Y446" i="9"/>
  <c r="X447" i="9" s="1"/>
  <c r="AC446" i="9" a="1"/>
  <c r="AC446" i="9" s="1"/>
  <c r="AA447" i="9" s="1"/>
  <c r="W874" i="9"/>
  <c r="U875" i="9" s="1"/>
  <c r="T694" i="9"/>
  <c r="R695" i="9" s="1"/>
  <c r="C979" i="9"/>
  <c r="D980" i="9"/>
  <c r="J976" i="9" l="1"/>
  <c r="H976" i="9"/>
  <c r="I976" i="9" s="1"/>
  <c r="AD447" i="9"/>
  <c r="AG447" i="9"/>
  <c r="Z447" i="9"/>
  <c r="AI447" i="9"/>
  <c r="T695" i="9"/>
  <c r="R696" i="9" s="1"/>
  <c r="W875" i="9"/>
  <c r="U876" i="9" s="1"/>
  <c r="C980" i="9"/>
  <c r="D981" i="9"/>
  <c r="J977" i="9" l="1"/>
  <c r="H977" i="9"/>
  <c r="I977" i="9" s="1"/>
  <c r="AC447" i="9" a="1"/>
  <c r="AC447" i="9" s="1"/>
  <c r="AA448" i="9" s="1"/>
  <c r="AH447" i="9"/>
  <c r="Y447" i="9"/>
  <c r="X448" i="9" s="1"/>
  <c r="T696" i="9"/>
  <c r="R697" i="9" s="1"/>
  <c r="W876" i="9"/>
  <c r="U877" i="9" s="1"/>
  <c r="D982" i="9"/>
  <c r="C981" i="9"/>
  <c r="J978" i="9" l="1"/>
  <c r="H978" i="9"/>
  <c r="I978" i="9" s="1"/>
  <c r="Z448" i="9"/>
  <c r="AI448" i="9"/>
  <c r="AG448" i="9"/>
  <c r="AD448" i="9"/>
  <c r="T697" i="9"/>
  <c r="R698" i="9" s="1"/>
  <c r="W877" i="9"/>
  <c r="U878" i="9" s="1"/>
  <c r="D983" i="9"/>
  <c r="C982" i="9"/>
  <c r="J979" i="9" l="1"/>
  <c r="H979" i="9"/>
  <c r="I979" i="9" s="1"/>
  <c r="Y448" i="9"/>
  <c r="X449" i="9" s="1"/>
  <c r="AC448" i="9" a="1"/>
  <c r="AC448" i="9" s="1"/>
  <c r="AA449" i="9" s="1"/>
  <c r="AH448" i="9"/>
  <c r="T698" i="9"/>
  <c r="R699" i="9" s="1"/>
  <c r="W878" i="9"/>
  <c r="U879" i="9" s="1"/>
  <c r="C983" i="9"/>
  <c r="D984" i="9"/>
  <c r="J980" i="9" l="1"/>
  <c r="H980" i="9"/>
  <c r="I980" i="9" s="1"/>
  <c r="AD449" i="9"/>
  <c r="AI449" i="9"/>
  <c r="AG449" i="9"/>
  <c r="Z449" i="9"/>
  <c r="T699" i="9"/>
  <c r="R700" i="9" s="1"/>
  <c r="W879" i="9"/>
  <c r="U880" i="9" s="1"/>
  <c r="C984" i="9"/>
  <c r="D985" i="9"/>
  <c r="J981" i="9" l="1"/>
  <c r="H981" i="9"/>
  <c r="I981" i="9" s="1"/>
  <c r="AC449" i="9" a="1"/>
  <c r="AC449" i="9" s="1"/>
  <c r="AA450" i="9" s="1"/>
  <c r="Y449" i="9"/>
  <c r="X450" i="9" s="1"/>
  <c r="AH449" i="9"/>
  <c r="T700" i="9"/>
  <c r="R701" i="9" s="1"/>
  <c r="W880" i="9"/>
  <c r="U881" i="9" s="1"/>
  <c r="D986" i="9"/>
  <c r="C985" i="9"/>
  <c r="J982" i="9" l="1"/>
  <c r="H982" i="9"/>
  <c r="I982" i="9" s="1"/>
  <c r="AI450" i="9"/>
  <c r="Z450" i="9"/>
  <c r="AG450" i="9"/>
  <c r="AD450" i="9"/>
  <c r="T701" i="9"/>
  <c r="R702" i="9" s="1"/>
  <c r="W881" i="9"/>
  <c r="U882" i="9" s="1"/>
  <c r="D987" i="9"/>
  <c r="C986" i="9"/>
  <c r="J983" i="9" l="1"/>
  <c r="H983" i="9"/>
  <c r="I983" i="9" s="1"/>
  <c r="AH450" i="9"/>
  <c r="AC450" i="9" a="1"/>
  <c r="AC450" i="9" s="1"/>
  <c r="AA451" i="9" s="1"/>
  <c r="Y450" i="9"/>
  <c r="X451" i="9" s="1"/>
  <c r="W882" i="9"/>
  <c r="U883" i="9" s="1"/>
  <c r="T702" i="9"/>
  <c r="R703" i="9" s="1"/>
  <c r="C987" i="9"/>
  <c r="D988" i="9"/>
  <c r="J984" i="9" l="1"/>
  <c r="H984" i="9"/>
  <c r="I984" i="9" s="1"/>
  <c r="AD451" i="9"/>
  <c r="Z451" i="9"/>
  <c r="AI451" i="9"/>
  <c r="AG451" i="9"/>
  <c r="T703" i="9"/>
  <c r="R704" i="9" s="1"/>
  <c r="W883" i="9"/>
  <c r="U884" i="9" s="1"/>
  <c r="D989" i="9"/>
  <c r="C988" i="9"/>
  <c r="J985" i="9" l="1"/>
  <c r="H985" i="9"/>
  <c r="I985" i="9" s="1"/>
  <c r="AH451" i="9"/>
  <c r="Y451" i="9"/>
  <c r="X452" i="9" s="1"/>
  <c r="AC451" i="9" a="1"/>
  <c r="AC451" i="9" s="1"/>
  <c r="AA452" i="9" s="1"/>
  <c r="W884" i="9"/>
  <c r="U885" i="9" s="1"/>
  <c r="T704" i="9"/>
  <c r="R705" i="9" s="1"/>
  <c r="D990" i="9"/>
  <c r="C989" i="9"/>
  <c r="J986" i="9" l="1"/>
  <c r="H986" i="9"/>
  <c r="I986" i="9" s="1"/>
  <c r="AD452" i="9"/>
  <c r="AG452" i="9"/>
  <c r="Z452" i="9"/>
  <c r="AI452" i="9"/>
  <c r="T705" i="9"/>
  <c r="R706" i="9" s="1"/>
  <c r="W885" i="9"/>
  <c r="U886" i="9" s="1"/>
  <c r="D991" i="9"/>
  <c r="C990" i="9"/>
  <c r="J987" i="9" l="1"/>
  <c r="H987" i="9"/>
  <c r="I987" i="9" s="1"/>
  <c r="AH452" i="9"/>
  <c r="AC452" i="9" a="1"/>
  <c r="AC452" i="9" s="1"/>
  <c r="AA453" i="9" s="1"/>
  <c r="Y452" i="9"/>
  <c r="X453" i="9" s="1"/>
  <c r="T706" i="9"/>
  <c r="R707" i="9" s="1"/>
  <c r="W886" i="9"/>
  <c r="U887" i="9" s="1"/>
  <c r="D992" i="9"/>
  <c r="C991" i="9"/>
  <c r="J988" i="9" l="1"/>
  <c r="H988" i="9"/>
  <c r="I988" i="9" s="1"/>
  <c r="AD453" i="9"/>
  <c r="AG453" i="9"/>
  <c r="Z453" i="9"/>
  <c r="AI453" i="9"/>
  <c r="T707" i="9"/>
  <c r="R708" i="9" s="1"/>
  <c r="W887" i="9"/>
  <c r="U888" i="9" s="1"/>
  <c r="D993" i="9"/>
  <c r="C992" i="9"/>
  <c r="J989" i="9" l="1"/>
  <c r="H989" i="9"/>
  <c r="I989" i="9" s="1"/>
  <c r="AH453" i="9"/>
  <c r="AC453" i="9" a="1"/>
  <c r="AC453" i="9" s="1"/>
  <c r="AA454" i="9" s="1"/>
  <c r="Y453" i="9"/>
  <c r="X454" i="9" s="1"/>
  <c r="T708" i="9"/>
  <c r="R709" i="9" s="1"/>
  <c r="W888" i="9"/>
  <c r="U889" i="9" s="1"/>
  <c r="C993" i="9"/>
  <c r="D994" i="9"/>
  <c r="J990" i="9" l="1"/>
  <c r="H990" i="9"/>
  <c r="I990" i="9" s="1"/>
  <c r="AG454" i="9"/>
  <c r="AI454" i="9"/>
  <c r="Z454" i="9"/>
  <c r="AD454" i="9"/>
  <c r="T709" i="9"/>
  <c r="R710" i="9" s="1"/>
  <c r="W889" i="9"/>
  <c r="U890" i="9" s="1"/>
  <c r="C994" i="9"/>
  <c r="D995" i="9"/>
  <c r="J991" i="9" l="1"/>
  <c r="H991" i="9"/>
  <c r="I991" i="9" s="1"/>
  <c r="Y454" i="9"/>
  <c r="X455" i="9" s="1"/>
  <c r="AC454" i="9" a="1"/>
  <c r="AC454" i="9" s="1"/>
  <c r="AA455" i="9" s="1"/>
  <c r="AH454" i="9"/>
  <c r="T710" i="9"/>
  <c r="R711" i="9" s="1"/>
  <c r="W890" i="9"/>
  <c r="U891" i="9" s="1"/>
  <c r="D996" i="9"/>
  <c r="C995" i="9"/>
  <c r="J992" i="9" l="1"/>
  <c r="H992" i="9"/>
  <c r="I992" i="9" s="1"/>
  <c r="AD455" i="9"/>
  <c r="AI455" i="9"/>
  <c r="Z455" i="9"/>
  <c r="AG455" i="9"/>
  <c r="T711" i="9"/>
  <c r="R712" i="9" s="1"/>
  <c r="W891" i="9"/>
  <c r="U892" i="9" s="1"/>
  <c r="D997" i="9"/>
  <c r="C996" i="9"/>
  <c r="J993" i="9" l="1"/>
  <c r="H993" i="9"/>
  <c r="I993" i="9" s="1"/>
  <c r="Y455" i="9"/>
  <c r="X456" i="9" s="1"/>
  <c r="AC455" i="9" a="1"/>
  <c r="AC455" i="9" s="1"/>
  <c r="AA456" i="9" s="1"/>
  <c r="AH455" i="9"/>
  <c r="W892" i="9"/>
  <c r="U893" i="9" s="1"/>
  <c r="T712" i="9"/>
  <c r="R713" i="9" s="1"/>
  <c r="C997" i="9"/>
  <c r="D998" i="9"/>
  <c r="J994" i="9" l="1"/>
  <c r="H994" i="9"/>
  <c r="I994" i="9" s="1"/>
  <c r="AD456" i="9"/>
  <c r="Z456" i="9"/>
  <c r="AI456" i="9"/>
  <c r="AG456" i="9"/>
  <c r="T713" i="9"/>
  <c r="R714" i="9" s="1"/>
  <c r="W893" i="9"/>
  <c r="U894" i="9" s="1"/>
  <c r="C998" i="9"/>
  <c r="D999" i="9"/>
  <c r="J995" i="9" l="1"/>
  <c r="H995" i="9"/>
  <c r="I995" i="9" s="1"/>
  <c r="AH456" i="9"/>
  <c r="AC456" i="9" a="1"/>
  <c r="AC456" i="9" s="1"/>
  <c r="AA457" i="9" s="1"/>
  <c r="Y456" i="9"/>
  <c r="X457" i="9" s="1"/>
  <c r="T714" i="9"/>
  <c r="R715" i="9" s="1"/>
  <c r="W894" i="9"/>
  <c r="U895" i="9" s="1"/>
  <c r="D1000" i="9"/>
  <c r="C999" i="9"/>
  <c r="J996" i="9" l="1"/>
  <c r="H996" i="9"/>
  <c r="I996" i="9" s="1"/>
  <c r="Z457" i="9"/>
  <c r="AG457" i="9"/>
  <c r="AI457" i="9"/>
  <c r="AD457" i="9"/>
  <c r="W895" i="9"/>
  <c r="U896" i="9" s="1"/>
  <c r="T715" i="9"/>
  <c r="R716" i="9" s="1"/>
  <c r="D1001" i="9"/>
  <c r="C1000" i="9"/>
  <c r="J997" i="9" l="1"/>
  <c r="H997" i="9"/>
  <c r="I997" i="9" s="1"/>
  <c r="Y457" i="9"/>
  <c r="X458" i="9" s="1"/>
  <c r="AC457" i="9" a="1"/>
  <c r="AC457" i="9" s="1"/>
  <c r="AA458" i="9" s="1"/>
  <c r="AH457" i="9"/>
  <c r="W896" i="9"/>
  <c r="U897" i="9" s="1"/>
  <c r="T716" i="9"/>
  <c r="R717" i="9" s="1"/>
  <c r="C1001" i="9"/>
  <c r="D1002" i="9"/>
  <c r="J998" i="9" l="1"/>
  <c r="H998" i="9"/>
  <c r="I998" i="9" s="1"/>
  <c r="AD458" i="9"/>
  <c r="AG458" i="9"/>
  <c r="Z458" i="9"/>
  <c r="AI458" i="9"/>
  <c r="T717" i="9"/>
  <c r="R718" i="9" s="1"/>
  <c r="W897" i="9"/>
  <c r="U898" i="9" s="1"/>
  <c r="C1002" i="9"/>
  <c r="D1003" i="9"/>
  <c r="J999" i="9" l="1"/>
  <c r="H999" i="9"/>
  <c r="I999" i="9" s="1"/>
  <c r="AC458" i="9" a="1"/>
  <c r="AC458" i="9" s="1"/>
  <c r="AA459" i="9" s="1"/>
  <c r="Y458" i="9"/>
  <c r="X459" i="9" s="1"/>
  <c r="AH458" i="9"/>
  <c r="T718" i="9"/>
  <c r="R719" i="9" s="1"/>
  <c r="W898" i="9"/>
  <c r="U899" i="9" s="1"/>
  <c r="D1004" i="9"/>
  <c r="C1003" i="9"/>
  <c r="J1000" i="9" l="1"/>
  <c r="H1000" i="9"/>
  <c r="I1000" i="9" s="1"/>
  <c r="AG459" i="9"/>
  <c r="Z459" i="9"/>
  <c r="AI459" i="9"/>
  <c r="AD459" i="9"/>
  <c r="T719" i="9"/>
  <c r="R720" i="9" s="1"/>
  <c r="W899" i="9"/>
  <c r="U900" i="9" s="1"/>
  <c r="D1005" i="9"/>
  <c r="C1004" i="9"/>
  <c r="J1001" i="9" l="1"/>
  <c r="H1001" i="9"/>
  <c r="I1001" i="9" s="1"/>
  <c r="AH459" i="9"/>
  <c r="AC459" i="9" a="1"/>
  <c r="AC459" i="9" s="1"/>
  <c r="AA460" i="9" s="1"/>
  <c r="Y459" i="9"/>
  <c r="X460" i="9" s="1"/>
  <c r="W900" i="9"/>
  <c r="U901" i="9" s="1"/>
  <c r="T720" i="9"/>
  <c r="R721" i="9" s="1"/>
  <c r="C1005" i="9"/>
  <c r="D1006" i="9"/>
  <c r="J1002" i="9" l="1"/>
  <c r="H1002" i="9"/>
  <c r="I1002" i="9" s="1"/>
  <c r="AD460" i="9"/>
  <c r="AG460" i="9"/>
  <c r="Z460" i="9"/>
  <c r="AI460" i="9"/>
  <c r="W901" i="9"/>
  <c r="U902" i="9" s="1"/>
  <c r="T721" i="9"/>
  <c r="R722" i="9" s="1"/>
  <c r="C1006" i="9"/>
  <c r="D1007" i="9"/>
  <c r="J1003" i="9" l="1"/>
  <c r="H1003" i="9"/>
  <c r="I1003" i="9" s="1"/>
  <c r="AH460" i="9"/>
  <c r="AC460" i="9" a="1"/>
  <c r="AC460" i="9" s="1"/>
  <c r="AA461" i="9" s="1"/>
  <c r="Y460" i="9"/>
  <c r="X461" i="9" s="1"/>
  <c r="T722" i="9"/>
  <c r="R723" i="9" s="1"/>
  <c r="W902" i="9"/>
  <c r="U903" i="9" s="1"/>
  <c r="D1008" i="9"/>
  <c r="C1007" i="9"/>
  <c r="J1004" i="9" l="1"/>
  <c r="H1004" i="9"/>
  <c r="I1004" i="9" s="1"/>
  <c r="AD461" i="9"/>
  <c r="Z461" i="9"/>
  <c r="AI461" i="9"/>
  <c r="AG461" i="9"/>
  <c r="T723" i="9"/>
  <c r="R724" i="9" s="1"/>
  <c r="W903" i="9"/>
  <c r="U904" i="9" s="1"/>
  <c r="D1009" i="9"/>
  <c r="C1008" i="9"/>
  <c r="J1005" i="9" l="1"/>
  <c r="H1005" i="9"/>
  <c r="I1005" i="9" s="1"/>
  <c r="AH461" i="9"/>
  <c r="Y461" i="9"/>
  <c r="X462" i="9" s="1"/>
  <c r="AC461" i="9" a="1"/>
  <c r="AC461" i="9" s="1"/>
  <c r="AA462" i="9" s="1"/>
  <c r="W904" i="9"/>
  <c r="U905" i="9" s="1"/>
  <c r="T724" i="9"/>
  <c r="R725" i="9" s="1"/>
  <c r="C1009" i="9"/>
  <c r="D1010" i="9"/>
  <c r="J1006" i="9" l="1"/>
  <c r="H1006" i="9"/>
  <c r="I1006" i="9" s="1"/>
  <c r="AI462" i="9"/>
  <c r="Z462" i="9"/>
  <c r="AG462" i="9"/>
  <c r="AD462" i="9"/>
  <c r="T725" i="9"/>
  <c r="R726" i="9" s="1"/>
  <c r="W905" i="9"/>
  <c r="U906" i="9" s="1"/>
  <c r="C1010" i="9"/>
  <c r="D1011" i="9"/>
  <c r="J1007" i="9" l="1"/>
  <c r="H1007" i="9"/>
  <c r="I1007" i="9" s="1"/>
  <c r="Y462" i="9"/>
  <c r="X463" i="9" s="1"/>
  <c r="AC462" i="9" a="1"/>
  <c r="AC462" i="9" s="1"/>
  <c r="AA463" i="9" s="1"/>
  <c r="AH462" i="9"/>
  <c r="T726" i="9"/>
  <c r="R727" i="9" s="1"/>
  <c r="W906" i="9"/>
  <c r="U907" i="9" s="1"/>
  <c r="D1012" i="9"/>
  <c r="C1011" i="9"/>
  <c r="J1008" i="9" l="1"/>
  <c r="H1008" i="9"/>
  <c r="I1008" i="9" s="1"/>
  <c r="AD463" i="9"/>
  <c r="AG463" i="9"/>
  <c r="AI463" i="9"/>
  <c r="Z463" i="9"/>
  <c r="W907" i="9"/>
  <c r="U908" i="9" s="1"/>
  <c r="T727" i="9"/>
  <c r="R728" i="9" s="1"/>
  <c r="D1013" i="9"/>
  <c r="C1012" i="9"/>
  <c r="J1009" i="9" l="1"/>
  <c r="H1009" i="9"/>
  <c r="I1009" i="9" s="1"/>
  <c r="AC463" i="9" a="1"/>
  <c r="AC463" i="9" s="1"/>
  <c r="AA464" i="9" s="1"/>
  <c r="Y463" i="9"/>
  <c r="X464" i="9" s="1"/>
  <c r="AH463" i="9"/>
  <c r="W908" i="9"/>
  <c r="U909" i="9" s="1"/>
  <c r="T728" i="9"/>
  <c r="R729" i="9" s="1"/>
  <c r="C1013" i="9"/>
  <c r="D1014" i="9"/>
  <c r="J1010" i="9" l="1"/>
  <c r="H1010" i="9"/>
  <c r="I1010" i="9" s="1"/>
  <c r="AG464" i="9"/>
  <c r="Z464" i="9"/>
  <c r="AI464" i="9"/>
  <c r="AD464" i="9"/>
  <c r="T729" i="9"/>
  <c r="R730" i="9" s="1"/>
  <c r="W909" i="9"/>
  <c r="U910" i="9" s="1"/>
  <c r="C1014" i="9"/>
  <c r="D1015" i="9"/>
  <c r="J1011" i="9" l="1"/>
  <c r="H1011" i="9"/>
  <c r="I1011" i="9" s="1"/>
  <c r="AH464" i="9"/>
  <c r="AC464" i="9" a="1"/>
  <c r="AC464" i="9" s="1"/>
  <c r="AA465" i="9" s="1"/>
  <c r="Y464" i="9"/>
  <c r="X465" i="9" s="1"/>
  <c r="W910" i="9"/>
  <c r="U911" i="9" s="1"/>
  <c r="T730" i="9"/>
  <c r="R731" i="9" s="1"/>
  <c r="D1016" i="9"/>
  <c r="C1015" i="9"/>
  <c r="J1012" i="9" l="1"/>
  <c r="H1012" i="9"/>
  <c r="I1012" i="9" s="1"/>
  <c r="AD465" i="9"/>
  <c r="AG465" i="9"/>
  <c r="AI465" i="9"/>
  <c r="Z465" i="9"/>
  <c r="W911" i="9"/>
  <c r="U912" i="9" s="1"/>
  <c r="T731" i="9"/>
  <c r="R732" i="9" s="1"/>
  <c r="D1017" i="9"/>
  <c r="C1016" i="9"/>
  <c r="J1013" i="9" l="1"/>
  <c r="H1013" i="9"/>
  <c r="I1013" i="9" s="1"/>
  <c r="AC465" i="9" a="1"/>
  <c r="AC465" i="9" s="1"/>
  <c r="AA466" i="9" s="1"/>
  <c r="Y465" i="9"/>
  <c r="X466" i="9" s="1"/>
  <c r="AH465" i="9"/>
  <c r="T732" i="9"/>
  <c r="R733" i="9" s="1"/>
  <c r="W912" i="9"/>
  <c r="U913" i="9" s="1"/>
  <c r="C1017" i="9"/>
  <c r="D1018" i="9"/>
  <c r="J1014" i="9" l="1"/>
  <c r="H1014" i="9"/>
  <c r="I1014" i="9" s="1"/>
  <c r="Z466" i="9"/>
  <c r="AI466" i="9"/>
  <c r="AG466" i="9"/>
  <c r="AD466" i="9"/>
  <c r="T733" i="9"/>
  <c r="R734" i="9" s="1"/>
  <c r="W913" i="9"/>
  <c r="U914" i="9" s="1"/>
  <c r="C1018" i="9"/>
  <c r="D1019" i="9"/>
  <c r="J1015" i="9" l="1"/>
  <c r="H1015" i="9"/>
  <c r="I1015" i="9" s="1"/>
  <c r="AH466" i="9"/>
  <c r="Y466" i="9"/>
  <c r="X467" i="9" s="1"/>
  <c r="AC466" i="9" a="1"/>
  <c r="AC466" i="9" s="1"/>
  <c r="AA467" i="9" s="1"/>
  <c r="W914" i="9"/>
  <c r="U915" i="9" s="1"/>
  <c r="T734" i="9"/>
  <c r="R735" i="9" s="1"/>
  <c r="D1020" i="9"/>
  <c r="C1019" i="9"/>
  <c r="J1016" i="9" l="1"/>
  <c r="H1016" i="9"/>
  <c r="I1016" i="9" s="1"/>
  <c r="AG467" i="9"/>
  <c r="AI467" i="9"/>
  <c r="Z467" i="9"/>
  <c r="AD467" i="9"/>
  <c r="T735" i="9"/>
  <c r="R736" i="9" s="1"/>
  <c r="W915" i="9"/>
  <c r="U916" i="9" s="1"/>
  <c r="D1021" i="9"/>
  <c r="C1020" i="9"/>
  <c r="J1017" i="9" l="1"/>
  <c r="H1017" i="9"/>
  <c r="I1017" i="9" s="1"/>
  <c r="AC467" i="9" a="1"/>
  <c r="AC467" i="9" s="1"/>
  <c r="AA468" i="9" s="1"/>
  <c r="AH467" i="9"/>
  <c r="Y467" i="9"/>
  <c r="X468" i="9" s="1"/>
  <c r="W916" i="9"/>
  <c r="U917" i="9" s="1"/>
  <c r="T736" i="9"/>
  <c r="R737" i="9" s="1"/>
  <c r="C1021" i="9"/>
  <c r="D1022" i="9"/>
  <c r="J1018" i="9" l="1"/>
  <c r="H1018" i="9"/>
  <c r="I1018" i="9" s="1"/>
  <c r="AG468" i="9"/>
  <c r="Z468" i="9"/>
  <c r="AI468" i="9"/>
  <c r="AD468" i="9"/>
  <c r="W917" i="9"/>
  <c r="U918" i="9" s="1"/>
  <c r="T737" i="9"/>
  <c r="R738" i="9" s="1"/>
  <c r="C1022" i="9"/>
  <c r="D1023" i="9"/>
  <c r="J1019" i="9" l="1"/>
  <c r="H1019" i="9"/>
  <c r="I1019" i="9" s="1"/>
  <c r="AH468" i="9"/>
  <c r="Y468" i="9"/>
  <c r="X469" i="9" s="1"/>
  <c r="AC468" i="9" a="1"/>
  <c r="AC468" i="9" s="1"/>
  <c r="AA469" i="9" s="1"/>
  <c r="T738" i="9"/>
  <c r="R739" i="9" s="1"/>
  <c r="W918" i="9"/>
  <c r="U919" i="9" s="1"/>
  <c r="D1024" i="9"/>
  <c r="C1023" i="9"/>
  <c r="J1020" i="9" l="1"/>
  <c r="H1020" i="9"/>
  <c r="I1020" i="9" s="1"/>
  <c r="AG469" i="9"/>
  <c r="Z469" i="9"/>
  <c r="AI469" i="9"/>
  <c r="AD469" i="9"/>
  <c r="W919" i="9"/>
  <c r="U920" i="9" s="1"/>
  <c r="T739" i="9"/>
  <c r="R740" i="9" s="1"/>
  <c r="D1025" i="9"/>
  <c r="C1024" i="9"/>
  <c r="J1021" i="9" l="1"/>
  <c r="H1021" i="9"/>
  <c r="I1021" i="9" s="1"/>
  <c r="Y469" i="9"/>
  <c r="X470" i="9" s="1"/>
  <c r="AC469" i="9" a="1"/>
  <c r="AC469" i="9" s="1"/>
  <c r="AA470" i="9" s="1"/>
  <c r="AH469" i="9"/>
  <c r="T740" i="9"/>
  <c r="R741" i="9" s="1"/>
  <c r="W920" i="9"/>
  <c r="U921" i="9" s="1"/>
  <c r="C1025" i="9"/>
  <c r="D1026" i="9"/>
  <c r="J1022" i="9" l="1"/>
  <c r="H1022" i="9"/>
  <c r="I1022" i="9" s="1"/>
  <c r="AD470" i="9"/>
  <c r="Z470" i="9"/>
  <c r="AG470" i="9"/>
  <c r="AI470" i="9"/>
  <c r="W921" i="9"/>
  <c r="U922" i="9" s="1"/>
  <c r="T741" i="9"/>
  <c r="R742" i="9" s="1"/>
  <c r="C1026" i="9"/>
  <c r="D1027" i="9"/>
  <c r="J1023" i="9" l="1"/>
  <c r="H1023" i="9"/>
  <c r="I1023" i="9" s="1"/>
  <c r="AH470" i="9"/>
  <c r="AC470" i="9" a="1"/>
  <c r="AC470" i="9" s="1"/>
  <c r="AA471" i="9" s="1"/>
  <c r="Y470" i="9"/>
  <c r="X471" i="9" s="1"/>
  <c r="T742" i="9"/>
  <c r="R743" i="9" s="1"/>
  <c r="W922" i="9"/>
  <c r="U923" i="9" s="1"/>
  <c r="D1028" i="9"/>
  <c r="C1027" i="9"/>
  <c r="J1024" i="9" l="1"/>
  <c r="H1024" i="9"/>
  <c r="I1024" i="9" s="1"/>
  <c r="AD471" i="9"/>
  <c r="Z471" i="9"/>
  <c r="AG471" i="9"/>
  <c r="AI471" i="9"/>
  <c r="T743" i="9"/>
  <c r="R744" i="9" s="1"/>
  <c r="W923" i="9"/>
  <c r="U924" i="9" s="1"/>
  <c r="D1029" i="9"/>
  <c r="C1028" i="9"/>
  <c r="J1025" i="9" l="1"/>
  <c r="H1025" i="9"/>
  <c r="I1025" i="9" s="1"/>
  <c r="Y471" i="9"/>
  <c r="X472" i="9" s="1"/>
  <c r="AC471" i="9" a="1"/>
  <c r="AC471" i="9" s="1"/>
  <c r="AA472" i="9" s="1"/>
  <c r="AH471" i="9"/>
  <c r="T744" i="9"/>
  <c r="R745" i="9" s="1"/>
  <c r="W924" i="9"/>
  <c r="U925" i="9" s="1"/>
  <c r="C1029" i="9"/>
  <c r="D1030" i="9"/>
  <c r="J1026" i="9" l="1"/>
  <c r="H1026" i="9"/>
  <c r="I1026" i="9" s="1"/>
  <c r="AD472" i="9"/>
  <c r="Z472" i="9"/>
  <c r="AI472" i="9"/>
  <c r="AG472" i="9"/>
  <c r="T745" i="9"/>
  <c r="R746" i="9" s="1"/>
  <c r="W925" i="9"/>
  <c r="U926" i="9" s="1"/>
  <c r="C1030" i="9"/>
  <c r="D1031" i="9"/>
  <c r="J1027" i="9" l="1"/>
  <c r="H1027" i="9"/>
  <c r="I1027" i="9" s="1"/>
  <c r="AC472" i="9" a="1"/>
  <c r="AC472" i="9" s="1"/>
  <c r="AA473" i="9" s="1"/>
  <c r="AH472" i="9"/>
  <c r="Y472" i="9"/>
  <c r="X473" i="9" s="1"/>
  <c r="T746" i="9"/>
  <c r="R747" i="9" s="1"/>
  <c r="W926" i="9"/>
  <c r="U927" i="9" s="1"/>
  <c r="D1032" i="9"/>
  <c r="C1031" i="9"/>
  <c r="J1028" i="9" l="1"/>
  <c r="H1028" i="9"/>
  <c r="I1028" i="9" s="1"/>
  <c r="AI473" i="9"/>
  <c r="Z473" i="9"/>
  <c r="AG473" i="9"/>
  <c r="AD473" i="9"/>
  <c r="W927" i="9"/>
  <c r="U928" i="9" s="1"/>
  <c r="T747" i="9"/>
  <c r="R748" i="9" s="1"/>
  <c r="D1033" i="9"/>
  <c r="C1032" i="9"/>
  <c r="J1029" i="9" l="1"/>
  <c r="H1029" i="9"/>
  <c r="I1029" i="9" s="1"/>
  <c r="Y473" i="9"/>
  <c r="X474" i="9" s="1"/>
  <c r="AH473" i="9"/>
  <c r="AC473" i="9" a="1"/>
  <c r="AC473" i="9" s="1"/>
  <c r="AA474" i="9" s="1"/>
  <c r="T748" i="9"/>
  <c r="R749" i="9" s="1"/>
  <c r="W928" i="9"/>
  <c r="U929" i="9" s="1"/>
  <c r="C1033" i="9"/>
  <c r="D1034" i="9"/>
  <c r="J1030" i="9" l="1"/>
  <c r="H1030" i="9"/>
  <c r="I1030" i="9" s="1"/>
  <c r="AD474" i="9"/>
  <c r="Z474" i="9"/>
  <c r="AG474" i="9"/>
  <c r="AI474" i="9"/>
  <c r="W929" i="9"/>
  <c r="U930" i="9" s="1"/>
  <c r="T749" i="9"/>
  <c r="R750" i="9" s="1"/>
  <c r="C1034" i="9"/>
  <c r="D1035" i="9"/>
  <c r="J1031" i="9" l="1"/>
  <c r="H1031" i="9"/>
  <c r="I1031" i="9" s="1"/>
  <c r="AH474" i="9"/>
  <c r="Y474" i="9"/>
  <c r="X475" i="9" s="1"/>
  <c r="AC474" i="9" a="1"/>
  <c r="AC474" i="9" s="1"/>
  <c r="AA475" i="9" s="1"/>
  <c r="W930" i="9"/>
  <c r="U931" i="9" s="1"/>
  <c r="T750" i="9"/>
  <c r="R751" i="9" s="1"/>
  <c r="D1036" i="9"/>
  <c r="C1035" i="9"/>
  <c r="J1032" i="9" l="1"/>
  <c r="H1032" i="9"/>
  <c r="I1032" i="9" s="1"/>
  <c r="AG475" i="9"/>
  <c r="AI475" i="9"/>
  <c r="Z475" i="9"/>
  <c r="AD475" i="9"/>
  <c r="T751" i="9"/>
  <c r="R752" i="9" s="1"/>
  <c r="W931" i="9"/>
  <c r="U932" i="9" s="1"/>
  <c r="D1037" i="9"/>
  <c r="C1036" i="9"/>
  <c r="J1033" i="9" l="1"/>
  <c r="H1033" i="9"/>
  <c r="I1033" i="9" s="1"/>
  <c r="AC475" i="9" a="1"/>
  <c r="AC475" i="9" s="1"/>
  <c r="AA476" i="9" s="1"/>
  <c r="Y475" i="9"/>
  <c r="X476" i="9" s="1"/>
  <c r="AH475" i="9"/>
  <c r="W932" i="9"/>
  <c r="U933" i="9" s="1"/>
  <c r="T752" i="9"/>
  <c r="R753" i="9" s="1"/>
  <c r="D1038" i="9"/>
  <c r="C1037" i="9"/>
  <c r="J1034" i="9" l="1"/>
  <c r="H1034" i="9"/>
  <c r="I1034" i="9" s="1"/>
  <c r="AG476" i="9"/>
  <c r="AI476" i="9"/>
  <c r="Z476" i="9"/>
  <c r="AD476" i="9"/>
  <c r="T753" i="9"/>
  <c r="R754" i="9" s="1"/>
  <c r="W933" i="9"/>
  <c r="U934" i="9" s="1"/>
  <c r="C1038" i="9"/>
  <c r="D1039" i="9"/>
  <c r="J1035" i="9" l="1"/>
  <c r="H1035" i="9"/>
  <c r="I1035" i="9" s="1"/>
  <c r="Y476" i="9"/>
  <c r="X477" i="9" s="1"/>
  <c r="AC476" i="9" a="1"/>
  <c r="AC476" i="9" s="1"/>
  <c r="AA477" i="9" s="1"/>
  <c r="AH476" i="9"/>
  <c r="W934" i="9"/>
  <c r="U935" i="9" s="1"/>
  <c r="T754" i="9"/>
  <c r="R755" i="9" s="1"/>
  <c r="D1040" i="9"/>
  <c r="C1039" i="9"/>
  <c r="J1036" i="9" l="1"/>
  <c r="H1036" i="9"/>
  <c r="I1036" i="9" s="1"/>
  <c r="AD477" i="9"/>
  <c r="AG477" i="9"/>
  <c r="AI477" i="9"/>
  <c r="Z477" i="9"/>
  <c r="W935" i="9"/>
  <c r="U936" i="9" s="1"/>
  <c r="T755" i="9"/>
  <c r="R756" i="9" s="1"/>
  <c r="D1041" i="9"/>
  <c r="C1040" i="9"/>
  <c r="J1037" i="9" l="1"/>
  <c r="H1037" i="9"/>
  <c r="I1037" i="9" s="1"/>
  <c r="AC477" i="9" a="1"/>
  <c r="AC477" i="9" s="1"/>
  <c r="AA478" i="9" s="1"/>
  <c r="Y477" i="9"/>
  <c r="X478" i="9" s="1"/>
  <c r="AH477" i="9"/>
  <c r="T756" i="9"/>
  <c r="R757" i="9" s="1"/>
  <c r="W936" i="9"/>
  <c r="U937" i="9" s="1"/>
  <c r="C1041" i="9"/>
  <c r="D1042" i="9"/>
  <c r="J1038" i="9" l="1"/>
  <c r="H1038" i="9"/>
  <c r="I1038" i="9" s="1"/>
  <c r="Z478" i="9"/>
  <c r="AI478" i="9"/>
  <c r="AG478" i="9"/>
  <c r="AD478" i="9"/>
  <c r="W937" i="9"/>
  <c r="U938" i="9" s="1"/>
  <c r="T757" i="9"/>
  <c r="R758" i="9" s="1"/>
  <c r="C1042" i="9"/>
  <c r="D1043" i="9"/>
  <c r="J1039" i="9" l="1"/>
  <c r="H1039" i="9"/>
  <c r="I1039" i="9" s="1"/>
  <c r="AC478" i="9" a="1"/>
  <c r="AC478" i="9" s="1"/>
  <c r="AA479" i="9" s="1"/>
  <c r="Y478" i="9"/>
  <c r="X479" i="9" s="1"/>
  <c r="AH478" i="9"/>
  <c r="W938" i="9"/>
  <c r="U939" i="9" s="1"/>
  <c r="T758" i="9"/>
  <c r="R759" i="9" s="1"/>
  <c r="D1044" i="9"/>
  <c r="C1043" i="9"/>
  <c r="J1040" i="9" l="1"/>
  <c r="H1040" i="9"/>
  <c r="I1040" i="9" s="1"/>
  <c r="Z479" i="9"/>
  <c r="AI479" i="9"/>
  <c r="AG479" i="9"/>
  <c r="AD479" i="9"/>
  <c r="W939" i="9"/>
  <c r="U940" i="9" s="1"/>
  <c r="T759" i="9"/>
  <c r="R760" i="9" s="1"/>
  <c r="D1045" i="9"/>
  <c r="C1044" i="9"/>
  <c r="J1041" i="9" l="1"/>
  <c r="H1041" i="9"/>
  <c r="I1041" i="9" s="1"/>
  <c r="AC479" i="9" a="1"/>
  <c r="AC479" i="9" s="1"/>
  <c r="AA480" i="9" s="1"/>
  <c r="AH479" i="9"/>
  <c r="Y479" i="9"/>
  <c r="X480" i="9" s="1"/>
  <c r="W940" i="9"/>
  <c r="U941" i="9" s="1"/>
  <c r="T760" i="9"/>
  <c r="R761" i="9" s="1"/>
  <c r="C1045" i="9"/>
  <c r="D1046" i="9"/>
  <c r="J1042" i="9" l="1"/>
  <c r="H1042" i="9"/>
  <c r="I1042" i="9" s="1"/>
  <c r="AG480" i="9"/>
  <c r="AI480" i="9"/>
  <c r="Z480" i="9"/>
  <c r="AD480" i="9"/>
  <c r="W941" i="9"/>
  <c r="U942" i="9" s="1"/>
  <c r="T761" i="9"/>
  <c r="R762" i="9" s="1"/>
  <c r="C1046" i="9"/>
  <c r="D1047" i="9"/>
  <c r="J1043" i="9" l="1"/>
  <c r="H1043" i="9"/>
  <c r="I1043" i="9" s="1"/>
  <c r="AH480" i="9"/>
  <c r="AC480" i="9" a="1"/>
  <c r="AC480" i="9" s="1"/>
  <c r="AA481" i="9" s="1"/>
  <c r="Y480" i="9"/>
  <c r="X481" i="9" s="1"/>
  <c r="T762" i="9"/>
  <c r="R763" i="9" s="1"/>
  <c r="W942" i="9"/>
  <c r="U943" i="9" s="1"/>
  <c r="D1048" i="9"/>
  <c r="C1047" i="9"/>
  <c r="J1044" i="9" l="1"/>
  <c r="H1044" i="9"/>
  <c r="I1044" i="9" s="1"/>
  <c r="AD481" i="9"/>
  <c r="AI481" i="9"/>
  <c r="Z481" i="9"/>
  <c r="AG481" i="9"/>
  <c r="T763" i="9"/>
  <c r="R764" i="9" s="1"/>
  <c r="W943" i="9"/>
  <c r="U944" i="9" s="1"/>
  <c r="D1049" i="9"/>
  <c r="C1048" i="9"/>
  <c r="J1045" i="9" l="1"/>
  <c r="H1045" i="9"/>
  <c r="I1045" i="9" s="1"/>
  <c r="Y481" i="9"/>
  <c r="X482" i="9" s="1"/>
  <c r="AC481" i="9" a="1"/>
  <c r="AC481" i="9" s="1"/>
  <c r="AA482" i="9" s="1"/>
  <c r="AH481" i="9"/>
  <c r="W944" i="9"/>
  <c r="U945" i="9" s="1"/>
  <c r="T764" i="9"/>
  <c r="R765" i="9" s="1"/>
  <c r="C1049" i="9"/>
  <c r="D1050" i="9"/>
  <c r="J1046" i="9" l="1"/>
  <c r="H1046" i="9"/>
  <c r="I1046" i="9" s="1"/>
  <c r="AD482" i="9"/>
  <c r="Z482" i="9"/>
  <c r="AG482" i="9"/>
  <c r="AI482" i="9"/>
  <c r="W945" i="9"/>
  <c r="U946" i="9" s="1"/>
  <c r="T765" i="9"/>
  <c r="R766" i="9" s="1"/>
  <c r="C1050" i="9"/>
  <c r="D1051" i="9"/>
  <c r="J1047" i="9" l="1"/>
  <c r="H1047" i="9"/>
  <c r="I1047" i="9" s="1"/>
  <c r="AH482" i="9"/>
  <c r="Y482" i="9"/>
  <c r="X483" i="9" s="1"/>
  <c r="AC482" i="9" a="1"/>
  <c r="AC482" i="9" s="1"/>
  <c r="AA483" i="9" s="1"/>
  <c r="W946" i="9"/>
  <c r="U947" i="9" s="1"/>
  <c r="T766" i="9"/>
  <c r="R767" i="9" s="1"/>
  <c r="D1052" i="9"/>
  <c r="C1051" i="9"/>
  <c r="J1048" i="9" l="1"/>
  <c r="H1048" i="9"/>
  <c r="I1048" i="9" s="1"/>
  <c r="AG483" i="9"/>
  <c r="Z483" i="9"/>
  <c r="AI483" i="9"/>
  <c r="AD483" i="9"/>
  <c r="T767" i="9"/>
  <c r="R768" i="9" s="1"/>
  <c r="W947" i="9"/>
  <c r="U948" i="9" s="1"/>
  <c r="D1053" i="9"/>
  <c r="C1052" i="9"/>
  <c r="J1049" i="9" l="1"/>
  <c r="H1049" i="9"/>
  <c r="I1049" i="9" s="1"/>
  <c r="AH483" i="9"/>
  <c r="Y483" i="9"/>
  <c r="X484" i="9" s="1"/>
  <c r="AC483" i="9" a="1"/>
  <c r="AC483" i="9" s="1"/>
  <c r="AA484" i="9" s="1"/>
  <c r="W948" i="9"/>
  <c r="U949" i="9" s="1"/>
  <c r="T768" i="9"/>
  <c r="R769" i="9" s="1"/>
  <c r="C1053" i="9"/>
  <c r="D1054" i="9"/>
  <c r="J1050" i="9" l="1"/>
  <c r="H1050" i="9"/>
  <c r="I1050" i="9" s="1"/>
  <c r="AI484" i="9"/>
  <c r="Z484" i="9"/>
  <c r="AG484" i="9"/>
  <c r="AD484" i="9"/>
  <c r="W949" i="9"/>
  <c r="U950" i="9" s="1"/>
  <c r="T769" i="9"/>
  <c r="R770" i="9" s="1"/>
  <c r="C1054" i="9"/>
  <c r="D1055" i="9"/>
  <c r="J1051" i="9" l="1"/>
  <c r="H1051" i="9"/>
  <c r="I1051" i="9" s="1"/>
  <c r="AC484" i="9" a="1"/>
  <c r="AC484" i="9" s="1"/>
  <c r="AA485" i="9" s="1"/>
  <c r="Y484" i="9"/>
  <c r="X485" i="9" s="1"/>
  <c r="AH484" i="9"/>
  <c r="T770" i="9"/>
  <c r="R771" i="9" s="1"/>
  <c r="W950" i="9"/>
  <c r="U951" i="9" s="1"/>
  <c r="D1056" i="9"/>
  <c r="C1055" i="9"/>
  <c r="J1052" i="9" l="1"/>
  <c r="H1052" i="9"/>
  <c r="I1052" i="9" s="1"/>
  <c r="Z485" i="9"/>
  <c r="AG485" i="9"/>
  <c r="AI485" i="9"/>
  <c r="AD485" i="9"/>
  <c r="W951" i="9"/>
  <c r="U952" i="9" s="1"/>
  <c r="T771" i="9"/>
  <c r="R772" i="9" s="1"/>
  <c r="D1057" i="9"/>
  <c r="C1056" i="9"/>
  <c r="J1053" i="9" l="1"/>
  <c r="H1053" i="9"/>
  <c r="I1053" i="9" s="1"/>
  <c r="AH485" i="9"/>
  <c r="AC485" i="9" a="1"/>
  <c r="AC485" i="9" s="1"/>
  <c r="AA486" i="9" s="1"/>
  <c r="Y485" i="9"/>
  <c r="X486" i="9" s="1"/>
  <c r="W952" i="9"/>
  <c r="U953" i="9" s="1"/>
  <c r="T772" i="9"/>
  <c r="R773" i="9" s="1"/>
  <c r="C1057" i="9"/>
  <c r="D1058" i="9"/>
  <c r="J1054" i="9" l="1"/>
  <c r="H1054" i="9"/>
  <c r="I1054" i="9" s="1"/>
  <c r="AD486" i="9"/>
  <c r="Z486" i="9"/>
  <c r="AG486" i="9"/>
  <c r="AI486" i="9"/>
  <c r="T773" i="9"/>
  <c r="R774" i="9" s="1"/>
  <c r="W953" i="9"/>
  <c r="U954" i="9" s="1"/>
  <c r="C1058" i="9"/>
  <c r="D1059" i="9"/>
  <c r="J1055" i="9" l="1"/>
  <c r="H1055" i="9"/>
  <c r="I1055" i="9" s="1"/>
  <c r="Y486" i="9"/>
  <c r="X487" i="9" s="1"/>
  <c r="AC486" i="9" a="1"/>
  <c r="AC486" i="9" s="1"/>
  <c r="AA487" i="9" s="1"/>
  <c r="AH486" i="9"/>
  <c r="T774" i="9"/>
  <c r="R775" i="9" s="1"/>
  <c r="W954" i="9"/>
  <c r="U955" i="9" s="1"/>
  <c r="D1060" i="9"/>
  <c r="C1059" i="9"/>
  <c r="J1056" i="9" l="1"/>
  <c r="H1056" i="9"/>
  <c r="I1056" i="9" s="1"/>
  <c r="AD487" i="9"/>
  <c r="AI487" i="9"/>
  <c r="AG487" i="9"/>
  <c r="Z487" i="9"/>
  <c r="W955" i="9"/>
  <c r="U956" i="9" s="1"/>
  <c r="T775" i="9"/>
  <c r="R776" i="9" s="1"/>
  <c r="D1061" i="9"/>
  <c r="C1060" i="9"/>
  <c r="J1057" i="9" l="1"/>
  <c r="H1057" i="9"/>
  <c r="I1057" i="9" s="1"/>
  <c r="AH487" i="9"/>
  <c r="AC487" i="9" a="1"/>
  <c r="AC487" i="9" s="1"/>
  <c r="AA488" i="9" s="1"/>
  <c r="Y487" i="9"/>
  <c r="X488" i="9" s="1"/>
  <c r="W956" i="9"/>
  <c r="U957" i="9" s="1"/>
  <c r="T776" i="9"/>
  <c r="R777" i="9" s="1"/>
  <c r="C1061" i="9"/>
  <c r="D1062" i="9"/>
  <c r="J1058" i="9" l="1"/>
  <c r="H1058" i="9"/>
  <c r="I1058" i="9" s="1"/>
  <c r="AD488" i="9"/>
  <c r="Z488" i="9"/>
  <c r="AG488" i="9"/>
  <c r="AI488" i="9"/>
  <c r="T777" i="9"/>
  <c r="R778" i="9" s="1"/>
  <c r="W957" i="9"/>
  <c r="U958" i="9" s="1"/>
  <c r="C1062" i="9"/>
  <c r="D1063" i="9"/>
  <c r="J1059" i="9" l="1"/>
  <c r="H1059" i="9"/>
  <c r="I1059" i="9" s="1"/>
  <c r="AC488" i="9" a="1"/>
  <c r="AC488" i="9" s="1"/>
  <c r="AA489" i="9" s="1"/>
  <c r="AH488" i="9"/>
  <c r="Y488" i="9"/>
  <c r="X489" i="9" s="1"/>
  <c r="T778" i="9"/>
  <c r="R779" i="9" s="1"/>
  <c r="W958" i="9"/>
  <c r="U959" i="9" s="1"/>
  <c r="D1064" i="9"/>
  <c r="C1063" i="9"/>
  <c r="J1060" i="9" l="1"/>
  <c r="H1060" i="9"/>
  <c r="I1060" i="9" s="1"/>
  <c r="Z489" i="9"/>
  <c r="AG489" i="9"/>
  <c r="AI489" i="9"/>
  <c r="AD489" i="9"/>
  <c r="W959" i="9"/>
  <c r="U960" i="9" s="1"/>
  <c r="T779" i="9"/>
  <c r="R780" i="9" s="1"/>
  <c r="D1065" i="9"/>
  <c r="C1064" i="9"/>
  <c r="J1061" i="9" l="1"/>
  <c r="H1061" i="9"/>
  <c r="I1061" i="9" s="1"/>
  <c r="AC489" i="9" a="1"/>
  <c r="AC489" i="9" s="1"/>
  <c r="AA490" i="9" s="1"/>
  <c r="AH489" i="9"/>
  <c r="Y489" i="9"/>
  <c r="X490" i="9" s="1"/>
  <c r="T780" i="9"/>
  <c r="R781" i="9" s="1"/>
  <c r="W960" i="9"/>
  <c r="U961" i="9" s="1"/>
  <c r="C1065" i="9"/>
  <c r="D1066" i="9"/>
  <c r="J1062" i="9" l="1"/>
  <c r="H1062" i="9"/>
  <c r="I1062" i="9" s="1"/>
  <c r="AI490" i="9"/>
  <c r="AG490" i="9"/>
  <c r="Z490" i="9"/>
  <c r="AD490" i="9"/>
  <c r="T781" i="9"/>
  <c r="R782" i="9" s="1"/>
  <c r="W961" i="9"/>
  <c r="U962" i="9" s="1"/>
  <c r="C1066" i="9"/>
  <c r="D1067" i="9"/>
  <c r="J1063" i="9" l="1"/>
  <c r="H1063" i="9"/>
  <c r="I1063" i="9" s="1"/>
  <c r="Y490" i="9"/>
  <c r="X491" i="9" s="1"/>
  <c r="AC490" i="9" a="1"/>
  <c r="AC490" i="9" s="1"/>
  <c r="AA491" i="9" s="1"/>
  <c r="AH490" i="9"/>
  <c r="W962" i="9"/>
  <c r="U963" i="9" s="1"/>
  <c r="T782" i="9"/>
  <c r="R783" i="9" s="1"/>
  <c r="D1068" i="9"/>
  <c r="C1067" i="9"/>
  <c r="J1064" i="9" l="1"/>
  <c r="H1064" i="9"/>
  <c r="I1064" i="9" s="1"/>
  <c r="AD491" i="9"/>
  <c r="AG491" i="9"/>
  <c r="Z491" i="9"/>
  <c r="AI491" i="9"/>
  <c r="T783" i="9"/>
  <c r="R784" i="9" s="1"/>
  <c r="W963" i="9"/>
  <c r="U964" i="9" s="1"/>
  <c r="D1069" i="9"/>
  <c r="C1068" i="9"/>
  <c r="J1065" i="9" l="1"/>
  <c r="H1065" i="9"/>
  <c r="I1065" i="9" s="1"/>
  <c r="AH491" i="9"/>
  <c r="AC491" i="9" a="1"/>
  <c r="AC491" i="9" s="1"/>
  <c r="AA492" i="9" s="1"/>
  <c r="Y491" i="9"/>
  <c r="X492" i="9" s="1"/>
  <c r="T784" i="9"/>
  <c r="R785" i="9" s="1"/>
  <c r="W964" i="9"/>
  <c r="U965" i="9" s="1"/>
  <c r="C1069" i="9"/>
  <c r="D1070" i="9"/>
  <c r="J1066" i="9" l="1"/>
  <c r="H1066" i="9"/>
  <c r="I1066" i="9" s="1"/>
  <c r="AG492" i="9"/>
  <c r="AI492" i="9"/>
  <c r="Z492" i="9"/>
  <c r="AD492" i="9"/>
  <c r="W965" i="9"/>
  <c r="U966" i="9" s="1"/>
  <c r="T785" i="9"/>
  <c r="R786" i="9" s="1"/>
  <c r="C1070" i="9"/>
  <c r="D1071" i="9"/>
  <c r="J1067" i="9" l="1"/>
  <c r="H1067" i="9"/>
  <c r="I1067" i="9" s="1"/>
  <c r="Y492" i="9"/>
  <c r="X493" i="9" s="1"/>
  <c r="AH492" i="9"/>
  <c r="AC492" i="9" a="1"/>
  <c r="AC492" i="9" s="1"/>
  <c r="AA493" i="9" s="1"/>
  <c r="T786" i="9"/>
  <c r="R787" i="9" s="1"/>
  <c r="W966" i="9"/>
  <c r="U967" i="9" s="1"/>
  <c r="D1072" i="9"/>
  <c r="C1071" i="9"/>
  <c r="J1068" i="9" l="1"/>
  <c r="H1068" i="9"/>
  <c r="I1068" i="9" s="1"/>
  <c r="AD493" i="9"/>
  <c r="Z493" i="9"/>
  <c r="AG493" i="9"/>
  <c r="AI493" i="9"/>
  <c r="T787" i="9"/>
  <c r="R788" i="9" s="1"/>
  <c r="W967" i="9"/>
  <c r="U968" i="9" s="1"/>
  <c r="D1073" i="9"/>
  <c r="C1072" i="9"/>
  <c r="J1069" i="9" l="1"/>
  <c r="H1069" i="9"/>
  <c r="I1069" i="9" s="1"/>
  <c r="Y493" i="9"/>
  <c r="X494" i="9" s="1"/>
  <c r="AH493" i="9"/>
  <c r="AC493" i="9" a="1"/>
  <c r="AC493" i="9" s="1"/>
  <c r="AA494" i="9" s="1"/>
  <c r="W968" i="9"/>
  <c r="U969" i="9" s="1"/>
  <c r="T788" i="9"/>
  <c r="R789" i="9" s="1"/>
  <c r="C1073" i="9"/>
  <c r="D1074" i="9"/>
  <c r="J1070" i="9" l="1"/>
  <c r="H1070" i="9"/>
  <c r="I1070" i="9" s="1"/>
  <c r="AD494" i="9"/>
  <c r="AI494" i="9"/>
  <c r="Z494" i="9"/>
  <c r="AG494" i="9"/>
  <c r="W969" i="9"/>
  <c r="U970" i="9" s="1"/>
  <c r="T789" i="9"/>
  <c r="R790" i="9" s="1"/>
  <c r="C1074" i="9"/>
  <c r="D1075" i="9"/>
  <c r="J1071" i="9" l="1"/>
  <c r="H1071" i="9"/>
  <c r="I1071" i="9" s="1"/>
  <c r="AC494" i="9" a="1"/>
  <c r="AC494" i="9" s="1"/>
  <c r="AA495" i="9" s="1"/>
  <c r="AH494" i="9"/>
  <c r="Y494" i="9"/>
  <c r="X495" i="9" s="1"/>
  <c r="W970" i="9"/>
  <c r="U971" i="9" s="1"/>
  <c r="T790" i="9"/>
  <c r="R791" i="9" s="1"/>
  <c r="D1076" i="9"/>
  <c r="C1075" i="9"/>
  <c r="J1072" i="9" l="1"/>
  <c r="H1072" i="9"/>
  <c r="I1072" i="9" s="1"/>
  <c r="AG495" i="9"/>
  <c r="Z495" i="9"/>
  <c r="AI495" i="9"/>
  <c r="AD495" i="9"/>
  <c r="W971" i="9"/>
  <c r="U972" i="9" s="1"/>
  <c r="T791" i="9"/>
  <c r="R792" i="9" s="1"/>
  <c r="D1077" i="9"/>
  <c r="C1076" i="9"/>
  <c r="J1073" i="9" l="1"/>
  <c r="H1073" i="9"/>
  <c r="I1073" i="9" s="1"/>
  <c r="AC495" i="9" a="1"/>
  <c r="AC495" i="9" s="1"/>
  <c r="AA496" i="9" s="1"/>
  <c r="AH495" i="9"/>
  <c r="Y495" i="9"/>
  <c r="X496" i="9" s="1"/>
  <c r="W972" i="9"/>
  <c r="U973" i="9" s="1"/>
  <c r="T792" i="9"/>
  <c r="R793" i="9" s="1"/>
  <c r="C1077" i="9"/>
  <c r="D1078" i="9"/>
  <c r="J1074" i="9" l="1"/>
  <c r="H1074" i="9"/>
  <c r="I1074" i="9" s="1"/>
  <c r="AI496" i="9"/>
  <c r="AG496" i="9"/>
  <c r="Z496" i="9"/>
  <c r="AD496" i="9"/>
  <c r="T793" i="9"/>
  <c r="R794" i="9" s="1"/>
  <c r="W973" i="9"/>
  <c r="U974" i="9" s="1"/>
  <c r="C1078" i="9"/>
  <c r="D1079" i="9"/>
  <c r="J1075" i="9" l="1"/>
  <c r="H1075" i="9"/>
  <c r="I1075" i="9" s="1"/>
  <c r="Y496" i="9"/>
  <c r="X497" i="9" s="1"/>
  <c r="AC496" i="9" a="1"/>
  <c r="AC496" i="9" s="1"/>
  <c r="AA497" i="9" s="1"/>
  <c r="AH496" i="9"/>
  <c r="W974" i="9"/>
  <c r="U975" i="9" s="1"/>
  <c r="T794" i="9"/>
  <c r="R795" i="9" s="1"/>
  <c r="D1080" i="9"/>
  <c r="C1079" i="9"/>
  <c r="J1076" i="9" l="1"/>
  <c r="H1076" i="9"/>
  <c r="I1076" i="9" s="1"/>
  <c r="AD497" i="9"/>
  <c r="Z497" i="9"/>
  <c r="AG497" i="9"/>
  <c r="AI497" i="9"/>
  <c r="T795" i="9"/>
  <c r="R796" i="9" s="1"/>
  <c r="W975" i="9"/>
  <c r="U976" i="9" s="1"/>
  <c r="D1081" i="9"/>
  <c r="C1080" i="9"/>
  <c r="J1077" i="9" l="1"/>
  <c r="H1077" i="9"/>
  <c r="I1077" i="9" s="1"/>
  <c r="AH497" i="9"/>
  <c r="Y497" i="9"/>
  <c r="X498" i="9" s="1"/>
  <c r="AC497" i="9" a="1"/>
  <c r="AC497" i="9" s="1"/>
  <c r="AA498" i="9" s="1"/>
  <c r="W976" i="9"/>
  <c r="U977" i="9" s="1"/>
  <c r="T796" i="9"/>
  <c r="R797" i="9" s="1"/>
  <c r="C1081" i="9"/>
  <c r="D1082" i="9"/>
  <c r="J1078" i="9" l="1"/>
  <c r="H1078" i="9"/>
  <c r="I1078" i="9" s="1"/>
  <c r="AD498" i="9"/>
  <c r="Z498" i="9"/>
  <c r="AI498" i="9"/>
  <c r="AG498" i="9"/>
  <c r="W977" i="9"/>
  <c r="U978" i="9" s="1"/>
  <c r="T797" i="9"/>
  <c r="R798" i="9" s="1"/>
  <c r="C1082" i="9"/>
  <c r="D1083" i="9"/>
  <c r="J1079" i="9" l="1"/>
  <c r="H1079" i="9"/>
  <c r="I1079" i="9" s="1"/>
  <c r="Y498" i="9"/>
  <c r="X499" i="9" s="1"/>
  <c r="AH498" i="9"/>
  <c r="AC498" i="9" a="1"/>
  <c r="AC498" i="9" s="1"/>
  <c r="AA499" i="9" s="1"/>
  <c r="T798" i="9"/>
  <c r="R799" i="9" s="1"/>
  <c r="W978" i="9"/>
  <c r="U979" i="9" s="1"/>
  <c r="D1084" i="9"/>
  <c r="C1083" i="9"/>
  <c r="J1080" i="9" l="1"/>
  <c r="H1080" i="9"/>
  <c r="I1080" i="9" s="1"/>
  <c r="AD499" i="9"/>
  <c r="AG499" i="9"/>
  <c r="AI499" i="9"/>
  <c r="Z499" i="9"/>
  <c r="T799" i="9"/>
  <c r="R800" i="9" s="1"/>
  <c r="W979" i="9"/>
  <c r="U980" i="9" s="1"/>
  <c r="D1085" i="9"/>
  <c r="C1084" i="9"/>
  <c r="J1081" i="9" l="1"/>
  <c r="H1081" i="9"/>
  <c r="I1081" i="9" s="1"/>
  <c r="AC499" i="9" a="1"/>
  <c r="AC499" i="9" s="1"/>
  <c r="AA500" i="9" s="1"/>
  <c r="Y499" i="9"/>
  <c r="X500" i="9" s="1"/>
  <c r="AH499" i="9"/>
  <c r="T800" i="9"/>
  <c r="R801" i="9" s="1"/>
  <c r="W980" i="9"/>
  <c r="U981" i="9" s="1"/>
  <c r="D1086" i="9"/>
  <c r="C1085" i="9"/>
  <c r="J1082" i="9" l="1"/>
  <c r="H1082" i="9"/>
  <c r="I1082" i="9" s="1"/>
  <c r="Z500" i="9"/>
  <c r="AG500" i="9"/>
  <c r="AI500" i="9"/>
  <c r="AD500" i="9"/>
  <c r="W981" i="9"/>
  <c r="U982" i="9" s="1"/>
  <c r="T801" i="9"/>
  <c r="R802" i="9" s="1"/>
  <c r="C1086" i="9"/>
  <c r="D1087" i="9"/>
  <c r="J1083" i="9" l="1"/>
  <c r="H1083" i="9"/>
  <c r="I1083" i="9" s="1"/>
  <c r="AC500" i="9" a="1"/>
  <c r="AC500" i="9" s="1"/>
  <c r="AA501" i="9" s="1"/>
  <c r="AH500" i="9"/>
  <c r="Y500" i="9"/>
  <c r="X501" i="9" s="1"/>
  <c r="T802" i="9"/>
  <c r="R803" i="9" s="1"/>
  <c r="W982" i="9"/>
  <c r="U983" i="9" s="1"/>
  <c r="D1088" i="9"/>
  <c r="C1087" i="9"/>
  <c r="J1084" i="9" l="1"/>
  <c r="H1084" i="9"/>
  <c r="I1084" i="9" s="1"/>
  <c r="Z501" i="9"/>
  <c r="AG501" i="9"/>
  <c r="AI501" i="9"/>
  <c r="AD501" i="9"/>
  <c r="T803" i="9"/>
  <c r="R804" i="9" s="1"/>
  <c r="W983" i="9"/>
  <c r="U984" i="9" s="1"/>
  <c r="D1089" i="9"/>
  <c r="C1088" i="9"/>
  <c r="J1085" i="9" l="1"/>
  <c r="H1085" i="9"/>
  <c r="I1085" i="9" s="1"/>
  <c r="Y501" i="9"/>
  <c r="X502" i="9" s="1"/>
  <c r="AH501" i="9"/>
  <c r="AC501" i="9" a="1"/>
  <c r="AC501" i="9" s="1"/>
  <c r="AA502" i="9" s="1"/>
  <c r="W984" i="9"/>
  <c r="U985" i="9" s="1"/>
  <c r="T804" i="9"/>
  <c r="R805" i="9" s="1"/>
  <c r="C1089" i="9"/>
  <c r="D1090" i="9"/>
  <c r="J1086" i="9" l="1"/>
  <c r="H1086" i="9"/>
  <c r="I1086" i="9" s="1"/>
  <c r="AD502" i="9"/>
  <c r="Z502" i="9"/>
  <c r="AI502" i="9"/>
  <c r="AG502" i="9"/>
  <c r="T805" i="9"/>
  <c r="R806" i="9" s="1"/>
  <c r="W985" i="9"/>
  <c r="U986" i="9" s="1"/>
  <c r="C1090" i="9"/>
  <c r="D1091" i="9"/>
  <c r="J1087" i="9" l="1"/>
  <c r="H1087" i="9"/>
  <c r="I1087" i="9" s="1"/>
  <c r="AH502" i="9"/>
  <c r="AC502" i="9" a="1"/>
  <c r="AC502" i="9" s="1"/>
  <c r="AA503" i="9" s="1"/>
  <c r="Y502" i="9"/>
  <c r="X503" i="9" s="1"/>
  <c r="W986" i="9"/>
  <c r="U987" i="9" s="1"/>
  <c r="T806" i="9"/>
  <c r="R807" i="9" s="1"/>
  <c r="D1092" i="9"/>
  <c r="C1091" i="9"/>
  <c r="J1088" i="9" l="1"/>
  <c r="H1088" i="9"/>
  <c r="I1088" i="9" s="1"/>
  <c r="AD503" i="9"/>
  <c r="AI503" i="9"/>
  <c r="AG503" i="9"/>
  <c r="Z503" i="9"/>
  <c r="T807" i="9"/>
  <c r="R808" i="9" s="1"/>
  <c r="W987" i="9"/>
  <c r="U988" i="9" s="1"/>
  <c r="D1093" i="9"/>
  <c r="C1092" i="9"/>
  <c r="J1089" i="9" l="1"/>
  <c r="H1089" i="9"/>
  <c r="I1089" i="9" s="1"/>
  <c r="AH503" i="9"/>
  <c r="Y503" i="9"/>
  <c r="X504" i="9" s="1"/>
  <c r="AC503" i="9" a="1"/>
  <c r="AC503" i="9" s="1"/>
  <c r="AA504" i="9" s="1"/>
  <c r="T808" i="9"/>
  <c r="R809" i="9" s="1"/>
  <c r="W988" i="9"/>
  <c r="U989" i="9" s="1"/>
  <c r="C1093" i="9"/>
  <c r="D1094" i="9"/>
  <c r="J1090" i="9" l="1"/>
  <c r="H1090" i="9"/>
  <c r="I1090" i="9" s="1"/>
  <c r="AG504" i="9"/>
  <c r="Z504" i="9"/>
  <c r="AI504" i="9"/>
  <c r="AD504" i="9"/>
  <c r="W989" i="9"/>
  <c r="U990" i="9" s="1"/>
  <c r="T809" i="9"/>
  <c r="R810" i="9" s="1"/>
  <c r="C1094" i="9"/>
  <c r="D1095" i="9"/>
  <c r="J1091" i="9" l="1"/>
  <c r="H1091" i="9"/>
  <c r="I1091" i="9" s="1"/>
  <c r="Y504" i="9"/>
  <c r="X505" i="9" s="1"/>
  <c r="AH504" i="9"/>
  <c r="AC504" i="9" a="1"/>
  <c r="AC504" i="9" s="1"/>
  <c r="AA505" i="9" s="1"/>
  <c r="T810" i="9"/>
  <c r="R811" i="9" s="1"/>
  <c r="W990" i="9"/>
  <c r="U991" i="9" s="1"/>
  <c r="D1096" i="9"/>
  <c r="C1095" i="9"/>
  <c r="J1092" i="9" l="1"/>
  <c r="H1092" i="9"/>
  <c r="I1092" i="9" s="1"/>
  <c r="AD505" i="9"/>
  <c r="AI505" i="9"/>
  <c r="Z505" i="9"/>
  <c r="AG505" i="9"/>
  <c r="W991" i="9"/>
  <c r="U992" i="9" s="1"/>
  <c r="T811" i="9"/>
  <c r="R812" i="9" s="1"/>
  <c r="D1097" i="9"/>
  <c r="C1096" i="9"/>
  <c r="J1093" i="9" l="1"/>
  <c r="H1093" i="9"/>
  <c r="I1093" i="9" s="1"/>
  <c r="Y505" i="9"/>
  <c r="X506" i="9" s="1"/>
  <c r="AC505" i="9" a="1"/>
  <c r="AC505" i="9" s="1"/>
  <c r="AA506" i="9" s="1"/>
  <c r="AH505" i="9"/>
  <c r="T812" i="9"/>
  <c r="R813" i="9" s="1"/>
  <c r="W992" i="9"/>
  <c r="U993" i="9" s="1"/>
  <c r="C1097" i="9"/>
  <c r="D1098" i="9"/>
  <c r="J1094" i="9" l="1"/>
  <c r="H1094" i="9"/>
  <c r="I1094" i="9" s="1"/>
  <c r="AD506" i="9"/>
  <c r="AG506" i="9"/>
  <c r="Z506" i="9"/>
  <c r="AI506" i="9"/>
  <c r="W993" i="9"/>
  <c r="U994" i="9" s="1"/>
  <c r="T813" i="9"/>
  <c r="R814" i="9" s="1"/>
  <c r="C1098" i="9"/>
  <c r="D1099" i="9"/>
  <c r="J1095" i="9" l="1"/>
  <c r="H1095" i="9"/>
  <c r="I1095" i="9" s="1"/>
  <c r="AC506" i="9" a="1"/>
  <c r="AC506" i="9" s="1"/>
  <c r="AA507" i="9" s="1"/>
  <c r="AH506" i="9"/>
  <c r="Y506" i="9"/>
  <c r="X507" i="9" s="1"/>
  <c r="T814" i="9"/>
  <c r="R815" i="9" s="1"/>
  <c r="W994" i="9"/>
  <c r="U995" i="9" s="1"/>
  <c r="D1100" i="9"/>
  <c r="C1099" i="9"/>
  <c r="J1096" i="9" l="1"/>
  <c r="H1096" i="9"/>
  <c r="I1096" i="9" s="1"/>
  <c r="AG507" i="9"/>
  <c r="AI507" i="9"/>
  <c r="Z507" i="9"/>
  <c r="AD507" i="9"/>
  <c r="T815" i="9"/>
  <c r="R816" i="9" s="1"/>
  <c r="W995" i="9"/>
  <c r="U996" i="9" s="1"/>
  <c r="D1101" i="9"/>
  <c r="C1100" i="9"/>
  <c r="J1097" i="9" l="1"/>
  <c r="H1097" i="9"/>
  <c r="I1097" i="9" s="1"/>
  <c r="AC507" i="9" a="1"/>
  <c r="AC507" i="9" s="1"/>
  <c r="AA508" i="9" s="1"/>
  <c r="AH507" i="9"/>
  <c r="Y507" i="9"/>
  <c r="X508" i="9" s="1"/>
  <c r="W996" i="9"/>
  <c r="U997" i="9" s="1"/>
  <c r="T816" i="9"/>
  <c r="R817" i="9" s="1"/>
  <c r="C1101" i="9"/>
  <c r="D1102" i="9"/>
  <c r="J1098" i="9" l="1"/>
  <c r="H1098" i="9"/>
  <c r="I1098" i="9" s="1"/>
  <c r="Z508" i="9"/>
  <c r="AI508" i="9"/>
  <c r="AG508" i="9"/>
  <c r="AD508" i="9"/>
  <c r="T817" i="9"/>
  <c r="R818" i="9" s="1"/>
  <c r="W997" i="9"/>
  <c r="U998" i="9" s="1"/>
  <c r="C1102" i="9"/>
  <c r="D1103" i="9"/>
  <c r="J1099" i="9" l="1"/>
  <c r="H1099" i="9"/>
  <c r="I1099" i="9" s="1"/>
  <c r="AC508" i="9" a="1"/>
  <c r="AC508" i="9" s="1"/>
  <c r="AA509" i="9" s="1"/>
  <c r="AH508" i="9"/>
  <c r="Y508" i="9"/>
  <c r="X509" i="9" s="1"/>
  <c r="W998" i="9"/>
  <c r="U999" i="9" s="1"/>
  <c r="T818" i="9"/>
  <c r="R819" i="9" s="1"/>
  <c r="D1104" i="9"/>
  <c r="C1103" i="9"/>
  <c r="J1100" i="9" l="1"/>
  <c r="H1100" i="9"/>
  <c r="I1100" i="9" s="1"/>
  <c r="Z509" i="9"/>
  <c r="AI509" i="9"/>
  <c r="AG509" i="9"/>
  <c r="AD509" i="9"/>
  <c r="T819" i="9"/>
  <c r="R820" i="9" s="1"/>
  <c r="W999" i="9"/>
  <c r="U1000" i="9" s="1"/>
  <c r="D1105" i="9"/>
  <c r="C1104" i="9"/>
  <c r="J1101" i="9" l="1"/>
  <c r="H1101" i="9"/>
  <c r="I1101" i="9" s="1"/>
  <c r="Y509" i="9"/>
  <c r="X510" i="9" s="1"/>
  <c r="AC509" i="9" a="1"/>
  <c r="AC509" i="9" s="1"/>
  <c r="AA510" i="9" s="1"/>
  <c r="AH509" i="9"/>
  <c r="T820" i="9"/>
  <c r="R821" i="9" s="1"/>
  <c r="W1000" i="9"/>
  <c r="U1001" i="9" s="1"/>
  <c r="C1105" i="9"/>
  <c r="D1106" i="9"/>
  <c r="J1102" i="9" l="1"/>
  <c r="H1102" i="9"/>
  <c r="I1102" i="9" s="1"/>
  <c r="AD510" i="9"/>
  <c r="Z510" i="9"/>
  <c r="AG510" i="9"/>
  <c r="AI510" i="9"/>
  <c r="W1001" i="9"/>
  <c r="U1002" i="9" s="1"/>
  <c r="T821" i="9"/>
  <c r="R822" i="9" s="1"/>
  <c r="C1106" i="9"/>
  <c r="D1107" i="9"/>
  <c r="J1103" i="9" l="1"/>
  <c r="H1103" i="9"/>
  <c r="I1103" i="9" s="1"/>
  <c r="AH510" i="9"/>
  <c r="Y510" i="9"/>
  <c r="X511" i="9" s="1"/>
  <c r="AC510" i="9" a="1"/>
  <c r="AC510" i="9" s="1"/>
  <c r="AA511" i="9" s="1"/>
  <c r="W1002" i="9"/>
  <c r="U1003" i="9" s="1"/>
  <c r="T822" i="9"/>
  <c r="R823" i="9" s="1"/>
  <c r="D1108" i="9"/>
  <c r="C1107" i="9"/>
  <c r="J1104" i="9" l="1"/>
  <c r="H1104" i="9"/>
  <c r="I1104" i="9" s="1"/>
  <c r="AG511" i="9"/>
  <c r="Z511" i="9"/>
  <c r="AI511" i="9"/>
  <c r="AD511" i="9"/>
  <c r="T823" i="9"/>
  <c r="R824" i="9" s="1"/>
  <c r="W1003" i="9"/>
  <c r="U1004" i="9" s="1"/>
  <c r="D1109" i="9"/>
  <c r="C1108" i="9"/>
  <c r="J1105" i="9" l="1"/>
  <c r="H1105" i="9"/>
  <c r="I1105" i="9" s="1"/>
  <c r="Y511" i="9"/>
  <c r="X512" i="9" s="1"/>
  <c r="AH511" i="9"/>
  <c r="AC511" i="9" a="1"/>
  <c r="AC511" i="9" s="1"/>
  <c r="AA512" i="9" s="1"/>
  <c r="W1004" i="9"/>
  <c r="U1005" i="9" s="1"/>
  <c r="T824" i="9"/>
  <c r="R825" i="9" s="1"/>
  <c r="C1109" i="9"/>
  <c r="D1110" i="9"/>
  <c r="J1106" i="9" l="1"/>
  <c r="H1106" i="9"/>
  <c r="I1106" i="9" s="1"/>
  <c r="AD512" i="9"/>
  <c r="AG512" i="9"/>
  <c r="AI512" i="9"/>
  <c r="Z512" i="9"/>
  <c r="T825" i="9"/>
  <c r="R826" i="9" s="1"/>
  <c r="W1005" i="9"/>
  <c r="U1006" i="9" s="1"/>
  <c r="C1110" i="9"/>
  <c r="D1111" i="9"/>
  <c r="J1107" i="9" l="1"/>
  <c r="H1107" i="9"/>
  <c r="I1107" i="9" s="1"/>
  <c r="Y512" i="9"/>
  <c r="X513" i="9" s="1"/>
  <c r="AH512" i="9"/>
  <c r="AC512" i="9" a="1"/>
  <c r="AC512" i="9" s="1"/>
  <c r="AA513" i="9" s="1"/>
  <c r="W1006" i="9"/>
  <c r="U1007" i="9" s="1"/>
  <c r="T826" i="9"/>
  <c r="R827" i="9" s="1"/>
  <c r="D1112" i="9"/>
  <c r="C1111" i="9"/>
  <c r="J1108" i="9" l="1"/>
  <c r="H1108" i="9"/>
  <c r="I1108" i="9" s="1"/>
  <c r="AD513" i="9"/>
  <c r="AI513" i="9"/>
  <c r="AG513" i="9"/>
  <c r="Z513" i="9"/>
  <c r="T827" i="9"/>
  <c r="R828" i="9" s="1"/>
  <c r="W1007" i="9"/>
  <c r="U1008" i="9" s="1"/>
  <c r="D1113" i="9"/>
  <c r="C1112" i="9"/>
  <c r="J1109" i="9" l="1"/>
  <c r="H1109" i="9"/>
  <c r="I1109" i="9" s="1"/>
  <c r="AH513" i="9"/>
  <c r="Y513" i="9"/>
  <c r="X514" i="9" s="1"/>
  <c r="AC513" i="9" a="1"/>
  <c r="AC513" i="9" s="1"/>
  <c r="AA514" i="9" s="1"/>
  <c r="T828" i="9"/>
  <c r="R829" i="9" s="1"/>
  <c r="W1008" i="9"/>
  <c r="U1009" i="9" s="1"/>
  <c r="C1113" i="9"/>
  <c r="D1114" i="9"/>
  <c r="J1110" i="9" l="1"/>
  <c r="H1110" i="9"/>
  <c r="I1110" i="9" s="1"/>
  <c r="Z514" i="9"/>
  <c r="AI514" i="9"/>
  <c r="AG514" i="9"/>
  <c r="AD514" i="9"/>
  <c r="W1009" i="9"/>
  <c r="U1010" i="9" s="1"/>
  <c r="T829" i="9"/>
  <c r="R830" i="9" s="1"/>
  <c r="C1114" i="9"/>
  <c r="D1115" i="9"/>
  <c r="J1111" i="9" l="1"/>
  <c r="H1111" i="9"/>
  <c r="I1111" i="9" s="1"/>
  <c r="AC514" i="9" a="1"/>
  <c r="AC514" i="9" s="1"/>
  <c r="AA515" i="9" s="1"/>
  <c r="AH514" i="9"/>
  <c r="Y514" i="9"/>
  <c r="X515" i="9" s="1"/>
  <c r="W1010" i="9"/>
  <c r="U1011" i="9" s="1"/>
  <c r="T830" i="9"/>
  <c r="R831" i="9" s="1"/>
  <c r="D1116" i="9"/>
  <c r="C1115" i="9"/>
  <c r="J1112" i="9" l="1"/>
  <c r="H1112" i="9"/>
  <c r="I1112" i="9" s="1"/>
  <c r="Z515" i="9"/>
  <c r="AG515" i="9"/>
  <c r="AI515" i="9"/>
  <c r="AD515" i="9"/>
  <c r="T831" i="9"/>
  <c r="R832" i="9" s="1"/>
  <c r="W1011" i="9"/>
  <c r="U1012" i="9" s="1"/>
  <c r="D1117" i="9"/>
  <c r="C1116" i="9"/>
  <c r="J1113" i="9" l="1"/>
  <c r="H1113" i="9"/>
  <c r="I1113" i="9" s="1"/>
  <c r="Y515" i="9"/>
  <c r="X516" i="9" s="1"/>
  <c r="AC515" i="9" a="1"/>
  <c r="AC515" i="9" s="1"/>
  <c r="AA516" i="9" s="1"/>
  <c r="AH515" i="9"/>
  <c r="W1012" i="9"/>
  <c r="U1013" i="9" s="1"/>
  <c r="T832" i="9"/>
  <c r="R833" i="9" s="1"/>
  <c r="C1117" i="9"/>
  <c r="D1118" i="9"/>
  <c r="J1114" i="9" l="1"/>
  <c r="H1114" i="9"/>
  <c r="I1114" i="9" s="1"/>
  <c r="AD516" i="9"/>
  <c r="AG516" i="9"/>
  <c r="Z516" i="9"/>
  <c r="AI516" i="9"/>
  <c r="W1013" i="9"/>
  <c r="U1014" i="9" s="1"/>
  <c r="T833" i="9"/>
  <c r="R834" i="9" s="1"/>
  <c r="C1118" i="9"/>
  <c r="D1119" i="9"/>
  <c r="J1115" i="9" l="1"/>
  <c r="H1115" i="9"/>
  <c r="I1115" i="9" s="1"/>
  <c r="Y516" i="9"/>
  <c r="X517" i="9" s="1"/>
  <c r="AH516" i="9"/>
  <c r="AC516" i="9" a="1"/>
  <c r="AC516" i="9" s="1"/>
  <c r="AA517" i="9" s="1"/>
  <c r="W1014" i="9"/>
  <c r="U1015" i="9" s="1"/>
  <c r="T834" i="9"/>
  <c r="R835" i="9" s="1"/>
  <c r="D1120" i="9"/>
  <c r="C1119" i="9"/>
  <c r="J1116" i="9" l="1"/>
  <c r="H1116" i="9"/>
  <c r="I1116" i="9" s="1"/>
  <c r="AD517" i="9"/>
  <c r="Z517" i="9"/>
  <c r="AI517" i="9"/>
  <c r="AG517" i="9"/>
  <c r="T835" i="9"/>
  <c r="R836" i="9" s="1"/>
  <c r="W1015" i="9"/>
  <c r="U1016" i="9" s="1"/>
  <c r="D1121" i="9"/>
  <c r="C1120" i="9"/>
  <c r="J1117" i="9" l="1"/>
  <c r="H1117" i="9"/>
  <c r="I1117" i="9" s="1"/>
  <c r="AH517" i="9"/>
  <c r="Y517" i="9"/>
  <c r="X518" i="9" s="1"/>
  <c r="AC517" i="9" a="1"/>
  <c r="AC517" i="9" s="1"/>
  <c r="AA518" i="9" s="1"/>
  <c r="W1016" i="9"/>
  <c r="U1017" i="9" s="1"/>
  <c r="T836" i="9"/>
  <c r="R837" i="9" s="1"/>
  <c r="C1121" i="9"/>
  <c r="D1122" i="9"/>
  <c r="J1118" i="9" l="1"/>
  <c r="H1118" i="9"/>
  <c r="I1118" i="9" s="1"/>
  <c r="AI518" i="9"/>
  <c r="Z518" i="9"/>
  <c r="AG518" i="9"/>
  <c r="AD518" i="9"/>
  <c r="T837" i="9"/>
  <c r="R838" i="9" s="1"/>
  <c r="W1017" i="9"/>
  <c r="U1018" i="9" s="1"/>
  <c r="C1122" i="9"/>
  <c r="D1123" i="9"/>
  <c r="J1119" i="9" l="1"/>
  <c r="H1119" i="9"/>
  <c r="I1119" i="9" s="1"/>
  <c r="AH518" i="9"/>
  <c r="Y518" i="9"/>
  <c r="X519" i="9" s="1"/>
  <c r="AC518" i="9" a="1"/>
  <c r="AC518" i="9" s="1"/>
  <c r="AA519" i="9" s="1"/>
  <c r="T838" i="9"/>
  <c r="R839" i="9" s="1"/>
  <c r="W1018" i="9"/>
  <c r="U1019" i="9" s="1"/>
  <c r="D1124" i="9"/>
  <c r="C1123" i="9"/>
  <c r="J1120" i="9" l="1"/>
  <c r="H1120" i="9"/>
  <c r="I1120" i="9" s="1"/>
  <c r="AI519" i="9"/>
  <c r="Z519" i="9"/>
  <c r="AG519" i="9"/>
  <c r="AD519" i="9"/>
  <c r="T839" i="9"/>
  <c r="R840" i="9" s="1"/>
  <c r="W1019" i="9"/>
  <c r="U1020" i="9" s="1"/>
  <c r="D1125" i="9"/>
  <c r="C1124" i="9"/>
  <c r="J1121" i="9" l="1"/>
  <c r="H1121" i="9"/>
  <c r="I1121" i="9" s="1"/>
  <c r="AH519" i="9"/>
  <c r="Y519" i="9"/>
  <c r="X520" i="9" s="1"/>
  <c r="AC519" i="9" a="1"/>
  <c r="AC519" i="9" s="1"/>
  <c r="AA520" i="9" s="1"/>
  <c r="T840" i="9"/>
  <c r="R841" i="9" s="1"/>
  <c r="W1020" i="9"/>
  <c r="U1021" i="9" s="1"/>
  <c r="C1125" i="9"/>
  <c r="D1126" i="9"/>
  <c r="J1122" i="9" l="1"/>
  <c r="H1122" i="9"/>
  <c r="I1122" i="9" s="1"/>
  <c r="AD520" i="9"/>
  <c r="AG520" i="9"/>
  <c r="Z520" i="9"/>
  <c r="AI520" i="9"/>
  <c r="T841" i="9"/>
  <c r="R842" i="9" s="1"/>
  <c r="W1021" i="9"/>
  <c r="U1022" i="9" s="1"/>
  <c r="C1126" i="9"/>
  <c r="D1127" i="9"/>
  <c r="J1123" i="9" l="1"/>
  <c r="H1123" i="9"/>
  <c r="I1123" i="9" s="1"/>
  <c r="Y520" i="9"/>
  <c r="X521" i="9" s="1"/>
  <c r="AH520" i="9"/>
  <c r="AC520" i="9" a="1"/>
  <c r="AC520" i="9" s="1"/>
  <c r="AA521" i="9" s="1"/>
  <c r="T842" i="9"/>
  <c r="R843" i="9" s="1"/>
  <c r="W1022" i="9"/>
  <c r="U1023" i="9" s="1"/>
  <c r="D1128" i="9"/>
  <c r="C1127" i="9"/>
  <c r="J1124" i="9" l="1"/>
  <c r="H1124" i="9"/>
  <c r="I1124" i="9" s="1"/>
  <c r="AD521" i="9"/>
  <c r="AG521" i="9"/>
  <c r="Z521" i="9"/>
  <c r="AI521" i="9"/>
  <c r="W1023" i="9"/>
  <c r="U1024" i="9" s="1"/>
  <c r="T843" i="9"/>
  <c r="R844" i="9" s="1"/>
  <c r="D1129" i="9"/>
  <c r="C1128" i="9"/>
  <c r="J1125" i="9" l="1"/>
  <c r="H1125" i="9"/>
  <c r="I1125" i="9" s="1"/>
  <c r="AH521" i="9"/>
  <c r="Y521" i="9"/>
  <c r="X522" i="9" s="1"/>
  <c r="AC521" i="9" a="1"/>
  <c r="AC521" i="9" s="1"/>
  <c r="AA522" i="9" s="1"/>
  <c r="T844" i="9"/>
  <c r="R845" i="9" s="1"/>
  <c r="W1024" i="9"/>
  <c r="U1025" i="9" s="1"/>
  <c r="C1129" i="9"/>
  <c r="D1130" i="9"/>
  <c r="J1126" i="9" l="1"/>
  <c r="H1126" i="9"/>
  <c r="I1126" i="9" s="1"/>
  <c r="AI522" i="9"/>
  <c r="Z522" i="9"/>
  <c r="AG522" i="9"/>
  <c r="AD522" i="9"/>
  <c r="W1025" i="9"/>
  <c r="U1026" i="9" s="1"/>
  <c r="T845" i="9"/>
  <c r="R846" i="9" s="1"/>
  <c r="C1130" i="9"/>
  <c r="D1131" i="9"/>
  <c r="J1127" i="9" l="1"/>
  <c r="H1127" i="9"/>
  <c r="I1127" i="9" s="1"/>
  <c r="AC522" i="9" a="1"/>
  <c r="AC522" i="9" s="1"/>
  <c r="AA523" i="9" s="1"/>
  <c r="AH522" i="9"/>
  <c r="Y522" i="9"/>
  <c r="X523" i="9" s="1"/>
  <c r="T846" i="9"/>
  <c r="R847" i="9" s="1"/>
  <c r="W1026" i="9"/>
  <c r="U1027" i="9" s="1"/>
  <c r="D1132" i="9"/>
  <c r="C1131" i="9"/>
  <c r="J1128" i="9" l="1"/>
  <c r="H1128" i="9"/>
  <c r="I1128" i="9" s="1"/>
  <c r="AG523" i="9"/>
  <c r="AI523" i="9"/>
  <c r="Z523" i="9"/>
  <c r="AD523" i="9"/>
  <c r="W1027" i="9"/>
  <c r="U1028" i="9" s="1"/>
  <c r="T847" i="9"/>
  <c r="R848" i="9" s="1"/>
  <c r="D1133" i="9"/>
  <c r="C1132" i="9"/>
  <c r="J1129" i="9" l="1"/>
  <c r="H1129" i="9"/>
  <c r="I1129" i="9" s="1"/>
  <c r="AH523" i="9"/>
  <c r="Y523" i="9"/>
  <c r="X524" i="9" s="1"/>
  <c r="AC523" i="9" a="1"/>
  <c r="AC523" i="9" s="1"/>
  <c r="AA524" i="9" s="1"/>
  <c r="T848" i="9"/>
  <c r="R849" i="9" s="1"/>
  <c r="W1028" i="9"/>
  <c r="U1029" i="9" s="1"/>
  <c r="C1133" i="9"/>
  <c r="D1134" i="9"/>
  <c r="J1130" i="9" l="1"/>
  <c r="H1130" i="9"/>
  <c r="I1130" i="9" s="1"/>
  <c r="AI524" i="9"/>
  <c r="Z524" i="9"/>
  <c r="AG524" i="9"/>
  <c r="AD524" i="9"/>
  <c r="W1029" i="9"/>
  <c r="U1030" i="9" s="1"/>
  <c r="T849" i="9"/>
  <c r="R850" i="9" s="1"/>
  <c r="C1134" i="9"/>
  <c r="D1135" i="9"/>
  <c r="J1131" i="9" l="1"/>
  <c r="H1131" i="9"/>
  <c r="I1131" i="9" s="1"/>
  <c r="AH524" i="9"/>
  <c r="Y524" i="9"/>
  <c r="X525" i="9" s="1"/>
  <c r="AC524" i="9" a="1"/>
  <c r="AC524" i="9" s="1"/>
  <c r="AA525" i="9" s="1"/>
  <c r="T850" i="9"/>
  <c r="R851" i="9" s="1"/>
  <c r="W1030" i="9"/>
  <c r="U1031" i="9" s="1"/>
  <c r="D1136" i="9"/>
  <c r="C1135" i="9"/>
  <c r="J1132" i="9" l="1"/>
  <c r="H1132" i="9"/>
  <c r="I1132" i="9" s="1"/>
  <c r="Z525" i="9"/>
  <c r="AG525" i="9"/>
  <c r="AI525" i="9"/>
  <c r="AD525" i="9"/>
  <c r="T851" i="9"/>
  <c r="R852" i="9" s="1"/>
  <c r="W1031" i="9"/>
  <c r="U1032" i="9" s="1"/>
  <c r="D1137" i="9"/>
  <c r="C1136" i="9"/>
  <c r="J1133" i="9" l="1"/>
  <c r="H1133" i="9"/>
  <c r="I1133" i="9" s="1"/>
  <c r="AH525" i="9"/>
  <c r="AC525" i="9" a="1"/>
  <c r="AC525" i="9" s="1"/>
  <c r="AA526" i="9" s="1"/>
  <c r="Y525" i="9"/>
  <c r="X526" i="9" s="1"/>
  <c r="W1032" i="9"/>
  <c r="U1033" i="9" s="1"/>
  <c r="T852" i="9"/>
  <c r="R853" i="9" s="1"/>
  <c r="C1137" i="9"/>
  <c r="D1138" i="9"/>
  <c r="J1134" i="9" l="1"/>
  <c r="H1134" i="9"/>
  <c r="I1134" i="9" s="1"/>
  <c r="AD526" i="9"/>
  <c r="AI526" i="9"/>
  <c r="Z526" i="9"/>
  <c r="AG526" i="9"/>
  <c r="W1033" i="9"/>
  <c r="U1034" i="9" s="1"/>
  <c r="T853" i="9"/>
  <c r="R854" i="9" s="1"/>
  <c r="C1138" i="9"/>
  <c r="D1139" i="9"/>
  <c r="J1135" i="9" l="1"/>
  <c r="H1135" i="9"/>
  <c r="I1135" i="9" s="1"/>
  <c r="AC526" i="9" a="1"/>
  <c r="AC526" i="9" s="1"/>
  <c r="AA527" i="9" s="1"/>
  <c r="Y526" i="9"/>
  <c r="X527" i="9" s="1"/>
  <c r="AH526" i="9"/>
  <c r="T854" i="9"/>
  <c r="R855" i="9" s="1"/>
  <c r="W1034" i="9"/>
  <c r="U1035" i="9" s="1"/>
  <c r="D1140" i="9"/>
  <c r="C1139" i="9"/>
  <c r="J1136" i="9" l="1"/>
  <c r="H1136" i="9"/>
  <c r="I1136" i="9" s="1"/>
  <c r="Z527" i="9"/>
  <c r="AG527" i="9"/>
  <c r="AI527" i="9"/>
  <c r="AD527" i="9"/>
  <c r="W1035" i="9"/>
  <c r="U1036" i="9" s="1"/>
  <c r="T855" i="9"/>
  <c r="R856" i="9" s="1"/>
  <c r="D1141" i="9"/>
  <c r="C1140" i="9"/>
  <c r="J1137" i="9" l="1"/>
  <c r="H1137" i="9"/>
  <c r="I1137" i="9" s="1"/>
  <c r="AC527" i="9" a="1"/>
  <c r="AC527" i="9" s="1"/>
  <c r="AA528" i="9" s="1"/>
  <c r="Y527" i="9"/>
  <c r="X528" i="9" s="1"/>
  <c r="AH527" i="9"/>
  <c r="T856" i="9"/>
  <c r="R857" i="9" s="1"/>
  <c r="W1036" i="9"/>
  <c r="U1037" i="9" s="1"/>
  <c r="C1141" i="9"/>
  <c r="D1142" i="9"/>
  <c r="J1138" i="9" l="1"/>
  <c r="H1138" i="9"/>
  <c r="I1138" i="9" s="1"/>
  <c r="AG528" i="9"/>
  <c r="AI528" i="9"/>
  <c r="Z528" i="9"/>
  <c r="AD528" i="9"/>
  <c r="T857" i="9"/>
  <c r="R858" i="9" s="1"/>
  <c r="W1037" i="9"/>
  <c r="U1038" i="9" s="1"/>
  <c r="C1142" i="9"/>
  <c r="D1143" i="9"/>
  <c r="J1139" i="9" l="1"/>
  <c r="H1139" i="9"/>
  <c r="I1139" i="9" s="1"/>
  <c r="Y528" i="9"/>
  <c r="X529" i="9" s="1"/>
  <c r="AH528" i="9"/>
  <c r="AC528" i="9" a="1"/>
  <c r="AC528" i="9" s="1"/>
  <c r="AA529" i="9" s="1"/>
  <c r="T858" i="9"/>
  <c r="R859" i="9" s="1"/>
  <c r="W1038" i="9"/>
  <c r="U1039" i="9" s="1"/>
  <c r="D1144" i="9"/>
  <c r="C1143" i="9"/>
  <c r="J1140" i="9" l="1"/>
  <c r="H1140" i="9"/>
  <c r="I1140" i="9" s="1"/>
  <c r="AD529" i="9"/>
  <c r="AG529" i="9"/>
  <c r="AI529" i="9"/>
  <c r="Z529" i="9"/>
  <c r="T859" i="9"/>
  <c r="R860" i="9" s="1"/>
  <c r="W1039" i="9"/>
  <c r="U1040" i="9" s="1"/>
  <c r="D1145" i="9"/>
  <c r="C1144" i="9"/>
  <c r="J1141" i="9" l="1"/>
  <c r="H1141" i="9"/>
  <c r="I1141" i="9" s="1"/>
  <c r="AH529" i="9"/>
  <c r="AC529" i="9" a="1"/>
  <c r="AC529" i="9" s="1"/>
  <c r="AA530" i="9" s="1"/>
  <c r="Y529" i="9"/>
  <c r="X530" i="9" s="1"/>
  <c r="T860" i="9"/>
  <c r="R861" i="9" s="1"/>
  <c r="W1040" i="9"/>
  <c r="U1041" i="9" s="1"/>
  <c r="C1145" i="9"/>
  <c r="D1146" i="9"/>
  <c r="J1142" i="9" l="1"/>
  <c r="H1142" i="9"/>
  <c r="I1142" i="9" s="1"/>
  <c r="Z530" i="9"/>
  <c r="AG530" i="9"/>
  <c r="AI530" i="9"/>
  <c r="AD530" i="9"/>
  <c r="T861" i="9"/>
  <c r="R862" i="9" s="1"/>
  <c r="W1041" i="9"/>
  <c r="U1042" i="9" s="1"/>
  <c r="C1146" i="9"/>
  <c r="D1147" i="9"/>
  <c r="J1143" i="9" l="1"/>
  <c r="H1143" i="9"/>
  <c r="I1143" i="9" s="1"/>
  <c r="Y530" i="9"/>
  <c r="X531" i="9" s="1"/>
  <c r="AH530" i="9"/>
  <c r="AC530" i="9" a="1"/>
  <c r="AC530" i="9" s="1"/>
  <c r="AA531" i="9" s="1"/>
  <c r="W1042" i="9"/>
  <c r="U1043" i="9" s="1"/>
  <c r="T862" i="9"/>
  <c r="R863" i="9" s="1"/>
  <c r="D1148" i="9"/>
  <c r="C1147" i="9"/>
  <c r="J1144" i="9" l="1"/>
  <c r="H1144" i="9"/>
  <c r="I1144" i="9" s="1"/>
  <c r="AD531" i="9"/>
  <c r="Z531" i="9"/>
  <c r="AI531" i="9"/>
  <c r="AG531" i="9"/>
  <c r="W1043" i="9"/>
  <c r="U1044" i="9" s="1"/>
  <c r="T863" i="9"/>
  <c r="R864" i="9" s="1"/>
  <c r="D1149" i="9"/>
  <c r="C1148" i="9"/>
  <c r="J1145" i="9" l="1"/>
  <c r="H1145" i="9"/>
  <c r="I1145" i="9" s="1"/>
  <c r="AC531" i="9" a="1"/>
  <c r="AC531" i="9" s="1"/>
  <c r="AA532" i="9" s="1"/>
  <c r="AH531" i="9"/>
  <c r="Y531" i="9"/>
  <c r="X532" i="9" s="1"/>
  <c r="T864" i="9"/>
  <c r="R865" i="9" s="1"/>
  <c r="W1044" i="9"/>
  <c r="U1045" i="9" s="1"/>
  <c r="C1149" i="9"/>
  <c r="D1150" i="9"/>
  <c r="J1146" i="9" l="1"/>
  <c r="H1146" i="9"/>
  <c r="I1146" i="9" s="1"/>
  <c r="AG532" i="9"/>
  <c r="Z532" i="9"/>
  <c r="AI532" i="9"/>
  <c r="AD532" i="9"/>
  <c r="T865" i="9"/>
  <c r="R866" i="9" s="1"/>
  <c r="W1045" i="9"/>
  <c r="U1046" i="9" s="1"/>
  <c r="C1150" i="9"/>
  <c r="D1151" i="9"/>
  <c r="J1147" i="9" l="1"/>
  <c r="H1147" i="9"/>
  <c r="I1147" i="9" s="1"/>
  <c r="AH532" i="9"/>
  <c r="Y532" i="9"/>
  <c r="X533" i="9" s="1"/>
  <c r="AC532" i="9" a="1"/>
  <c r="AC532" i="9" s="1"/>
  <c r="AA533" i="9" s="1"/>
  <c r="W1046" i="9"/>
  <c r="U1047" i="9" s="1"/>
  <c r="T866" i="9"/>
  <c r="R867" i="9" s="1"/>
  <c r="D1152" i="9"/>
  <c r="C1151" i="9"/>
  <c r="J1148" i="9" l="1"/>
  <c r="H1148" i="9"/>
  <c r="I1148" i="9" s="1"/>
  <c r="AG533" i="9"/>
  <c r="AI533" i="9"/>
  <c r="Z533" i="9"/>
  <c r="AD533" i="9"/>
  <c r="W1047" i="9"/>
  <c r="U1048" i="9" s="1"/>
  <c r="T867" i="9"/>
  <c r="R868" i="9" s="1"/>
  <c r="D1153" i="9"/>
  <c r="C1152" i="9"/>
  <c r="J1149" i="9" l="1"/>
  <c r="H1149" i="9"/>
  <c r="I1149" i="9" s="1"/>
  <c r="AC533" i="9" a="1"/>
  <c r="AC533" i="9" s="1"/>
  <c r="AA534" i="9" s="1"/>
  <c r="Y533" i="9"/>
  <c r="X534" i="9" s="1"/>
  <c r="AH533" i="9"/>
  <c r="T868" i="9"/>
  <c r="R869" i="9" s="1"/>
  <c r="W1048" i="9"/>
  <c r="U1049" i="9" s="1"/>
  <c r="C1153" i="9"/>
  <c r="D1154" i="9"/>
  <c r="J1150" i="9" l="1"/>
  <c r="H1150" i="9"/>
  <c r="I1150" i="9" s="1"/>
  <c r="AI534" i="9"/>
  <c r="Z534" i="9"/>
  <c r="AG534" i="9"/>
  <c r="AD534" i="9"/>
  <c r="W1049" i="9"/>
  <c r="U1050" i="9" s="1"/>
  <c r="T869" i="9"/>
  <c r="R870" i="9" s="1"/>
  <c r="D1155" i="9"/>
  <c r="C1154" i="9"/>
  <c r="J1151" i="9" l="1"/>
  <c r="H1151" i="9"/>
  <c r="I1151" i="9" s="1"/>
  <c r="AC534" i="9" a="1"/>
  <c r="AC534" i="9" s="1"/>
  <c r="AA535" i="9" s="1"/>
  <c r="AH534" i="9"/>
  <c r="Y534" i="9"/>
  <c r="X535" i="9" s="1"/>
  <c r="T870" i="9"/>
  <c r="R871" i="9" s="1"/>
  <c r="W1050" i="9"/>
  <c r="U1051" i="9" s="1"/>
  <c r="D1156" i="9"/>
  <c r="C1155" i="9"/>
  <c r="J1152" i="9" l="1"/>
  <c r="H1152" i="9"/>
  <c r="I1152" i="9" s="1"/>
  <c r="AI535" i="9"/>
  <c r="Z535" i="9"/>
  <c r="AG535" i="9"/>
  <c r="AD535" i="9"/>
  <c r="W1051" i="9"/>
  <c r="U1052" i="9" s="1"/>
  <c r="T871" i="9"/>
  <c r="R872" i="9" s="1"/>
  <c r="C1156" i="9"/>
  <c r="D1157" i="9"/>
  <c r="J1153" i="9" l="1"/>
  <c r="H1153" i="9"/>
  <c r="I1153" i="9" s="1"/>
  <c r="AH535" i="9"/>
  <c r="AC535" i="9" a="1"/>
  <c r="AC535" i="9" s="1"/>
  <c r="AA536" i="9" s="1"/>
  <c r="Y535" i="9"/>
  <c r="X536" i="9" s="1"/>
  <c r="T872" i="9"/>
  <c r="R873" i="9" s="1"/>
  <c r="W1052" i="9"/>
  <c r="U1053" i="9" s="1"/>
  <c r="D1158" i="9"/>
  <c r="C1157" i="9"/>
  <c r="J1154" i="9" l="1"/>
  <c r="H1154" i="9"/>
  <c r="I1154" i="9" s="1"/>
  <c r="AD536" i="9"/>
  <c r="Z536" i="9"/>
  <c r="AI536" i="9"/>
  <c r="AG536" i="9"/>
  <c r="W1053" i="9"/>
  <c r="U1054" i="9" s="1"/>
  <c r="T873" i="9"/>
  <c r="R874" i="9" s="1"/>
  <c r="D1159" i="9"/>
  <c r="C1158" i="9"/>
  <c r="J1155" i="9" l="1"/>
  <c r="H1155" i="9"/>
  <c r="I1155" i="9" s="1"/>
  <c r="AH536" i="9"/>
  <c r="Y536" i="9"/>
  <c r="X537" i="9" s="1"/>
  <c r="AC536" i="9" a="1"/>
  <c r="AC536" i="9" s="1"/>
  <c r="AA537" i="9" s="1"/>
  <c r="W1054" i="9"/>
  <c r="U1055" i="9" s="1"/>
  <c r="T874" i="9"/>
  <c r="R875" i="9" s="1"/>
  <c r="C1159" i="9"/>
  <c r="D1160" i="9"/>
  <c r="J1156" i="9" l="1"/>
  <c r="H1156" i="9"/>
  <c r="I1156" i="9" s="1"/>
  <c r="AG537" i="9"/>
  <c r="Z537" i="9"/>
  <c r="AI537" i="9"/>
  <c r="AD537" i="9"/>
  <c r="T875" i="9"/>
  <c r="R876" i="9" s="1"/>
  <c r="W1055" i="9"/>
  <c r="U1056" i="9" s="1"/>
  <c r="C1160" i="9"/>
  <c r="D1161" i="9"/>
  <c r="J1157" i="9" l="1"/>
  <c r="H1157" i="9"/>
  <c r="I1157" i="9" s="1"/>
  <c r="AH537" i="9"/>
  <c r="Y537" i="9"/>
  <c r="X538" i="9" s="1"/>
  <c r="AC537" i="9" a="1"/>
  <c r="AC537" i="9" s="1"/>
  <c r="AA538" i="9" s="1"/>
  <c r="W1056" i="9"/>
  <c r="U1057" i="9" s="1"/>
  <c r="T876" i="9"/>
  <c r="R877" i="9" s="1"/>
  <c r="D1162" i="9"/>
  <c r="C1161" i="9"/>
  <c r="J1158" i="9" l="1"/>
  <c r="H1158" i="9"/>
  <c r="I1158" i="9" s="1"/>
  <c r="AD538" i="9"/>
  <c r="AG538" i="9"/>
  <c r="AI538" i="9"/>
  <c r="Z538" i="9"/>
  <c r="T877" i="9"/>
  <c r="R878" i="9" s="1"/>
  <c r="W1057" i="9"/>
  <c r="U1058" i="9" s="1"/>
  <c r="D1163" i="9"/>
  <c r="C1162" i="9"/>
  <c r="J1159" i="9" l="1"/>
  <c r="H1159" i="9"/>
  <c r="I1159" i="9" s="1"/>
  <c r="AH538" i="9"/>
  <c r="Y538" i="9"/>
  <c r="X539" i="9" s="1"/>
  <c r="AC538" i="9" a="1"/>
  <c r="AC538" i="9" s="1"/>
  <c r="AA539" i="9" s="1"/>
  <c r="W1058" i="9"/>
  <c r="U1059" i="9" s="1"/>
  <c r="T878" i="9"/>
  <c r="R879" i="9" s="1"/>
  <c r="C1163" i="9"/>
  <c r="D1164" i="9"/>
  <c r="J1160" i="9" l="1"/>
  <c r="H1160" i="9"/>
  <c r="I1160" i="9" s="1"/>
  <c r="AD539" i="9"/>
  <c r="AI539" i="9"/>
  <c r="AG539" i="9"/>
  <c r="Z539" i="9"/>
  <c r="T879" i="9"/>
  <c r="R880" i="9" s="1"/>
  <c r="W1059" i="9"/>
  <c r="U1060" i="9" s="1"/>
  <c r="C1164" i="9"/>
  <c r="D1165" i="9"/>
  <c r="J1161" i="9" l="1"/>
  <c r="H1161" i="9"/>
  <c r="I1161" i="9" s="1"/>
  <c r="AC539" i="9" a="1"/>
  <c r="AC539" i="9" s="1"/>
  <c r="AA540" i="9" s="1"/>
  <c r="Y539" i="9"/>
  <c r="X540" i="9" s="1"/>
  <c r="AH539" i="9"/>
  <c r="W1060" i="9"/>
  <c r="U1061" i="9" s="1"/>
  <c r="T880" i="9"/>
  <c r="R881" i="9" s="1"/>
  <c r="D1166" i="9"/>
  <c r="C1165" i="9"/>
  <c r="J1162" i="9" l="1"/>
  <c r="H1162" i="9"/>
  <c r="I1162" i="9" s="1"/>
  <c r="AG540" i="9"/>
  <c r="Z540" i="9"/>
  <c r="AI540" i="9"/>
  <c r="AD540" i="9"/>
  <c r="T881" i="9"/>
  <c r="R882" i="9" s="1"/>
  <c r="W1061" i="9"/>
  <c r="U1062" i="9" s="1"/>
  <c r="D1167" i="9"/>
  <c r="C1166" i="9"/>
  <c r="J1163" i="9" l="1"/>
  <c r="H1163" i="9"/>
  <c r="I1163" i="9" s="1"/>
  <c r="AH540" i="9"/>
  <c r="AC540" i="9" a="1"/>
  <c r="AC540" i="9" s="1"/>
  <c r="AA541" i="9" s="1"/>
  <c r="Y540" i="9"/>
  <c r="X541" i="9" s="1"/>
  <c r="T882" i="9"/>
  <c r="R883" i="9" s="1"/>
  <c r="W1062" i="9"/>
  <c r="U1063" i="9" s="1"/>
  <c r="C1167" i="9"/>
  <c r="D1168" i="9"/>
  <c r="J1164" i="9" l="1"/>
  <c r="H1164" i="9"/>
  <c r="I1164" i="9" s="1"/>
  <c r="T883" i="9"/>
  <c r="R884" i="9" s="1"/>
  <c r="AD541" i="9"/>
  <c r="Z541" i="9"/>
  <c r="AI541" i="9"/>
  <c r="AG541" i="9"/>
  <c r="W1063" i="9"/>
  <c r="U1064" i="9" s="1"/>
  <c r="C1168" i="9"/>
  <c r="D1169" i="9"/>
  <c r="J1165" i="9" l="1"/>
  <c r="H1165" i="9"/>
  <c r="I1165" i="9" s="1"/>
  <c r="T884" i="9"/>
  <c r="R885" i="9" s="1"/>
  <c r="Y541" i="9"/>
  <c r="X542" i="9" s="1"/>
  <c r="AH541" i="9"/>
  <c r="AC541" i="9" a="1"/>
  <c r="AC541" i="9" s="1"/>
  <c r="AA542" i="9" s="1"/>
  <c r="W1064" i="9"/>
  <c r="U1065" i="9" s="1"/>
  <c r="D1170" i="9"/>
  <c r="C1169" i="9"/>
  <c r="J1166" i="9" l="1"/>
  <c r="H1166" i="9"/>
  <c r="I1166" i="9" s="1"/>
  <c r="T885" i="9"/>
  <c r="R886" i="9" s="1"/>
  <c r="AD542" i="9"/>
  <c r="Z542" i="9"/>
  <c r="AG542" i="9"/>
  <c r="AI542" i="9"/>
  <c r="W1065" i="9"/>
  <c r="U1066" i="9" s="1"/>
  <c r="D1171" i="9"/>
  <c r="C1170" i="9"/>
  <c r="J1167" i="9" l="1"/>
  <c r="H1167" i="9"/>
  <c r="I1167" i="9" s="1"/>
  <c r="T886" i="9"/>
  <c r="R887" i="9" s="1"/>
  <c r="AH542" i="9"/>
  <c r="AC542" i="9" a="1"/>
  <c r="AC542" i="9" s="1"/>
  <c r="AA543" i="9" s="1"/>
  <c r="Y542" i="9"/>
  <c r="X543" i="9" s="1"/>
  <c r="W1066" i="9"/>
  <c r="U1067" i="9" s="1"/>
  <c r="C1171" i="9"/>
  <c r="D1172" i="9"/>
  <c r="J1168" i="9" l="1"/>
  <c r="H1168" i="9"/>
  <c r="I1168" i="9" s="1"/>
  <c r="T887" i="9"/>
  <c r="R888" i="9" s="1"/>
  <c r="Z543" i="9"/>
  <c r="AG543" i="9"/>
  <c r="AI543" i="9"/>
  <c r="AD543" i="9"/>
  <c r="W1067" i="9"/>
  <c r="U1068" i="9" s="1"/>
  <c r="C1172" i="9"/>
  <c r="D1173" i="9"/>
  <c r="J1169" i="9" l="1"/>
  <c r="H1169" i="9"/>
  <c r="I1169" i="9" s="1"/>
  <c r="Y543" i="9"/>
  <c r="X544" i="9" s="1"/>
  <c r="AH543" i="9"/>
  <c r="AC543" i="9" a="1"/>
  <c r="AC543" i="9" s="1"/>
  <c r="AA544" i="9" s="1"/>
  <c r="W1068" i="9"/>
  <c r="U1069" i="9" s="1"/>
  <c r="T888" i="9"/>
  <c r="R889" i="9" s="1"/>
  <c r="D1174" i="9"/>
  <c r="C1173" i="9"/>
  <c r="J1170" i="9" l="1"/>
  <c r="H1170" i="9"/>
  <c r="I1170" i="9" s="1"/>
  <c r="AD544" i="9"/>
  <c r="AG544" i="9"/>
  <c r="Z544" i="9"/>
  <c r="AI544" i="9"/>
  <c r="W1069" i="9"/>
  <c r="U1070" i="9" s="1"/>
  <c r="T889" i="9"/>
  <c r="R890" i="9" s="1"/>
  <c r="D1175" i="9"/>
  <c r="C1174" i="9"/>
  <c r="J1171" i="9" l="1"/>
  <c r="H1171" i="9"/>
  <c r="I1171" i="9" s="1"/>
  <c r="AH544" i="9"/>
  <c r="AC544" i="9" a="1"/>
  <c r="AC544" i="9" s="1"/>
  <c r="AA545" i="9" s="1"/>
  <c r="Y544" i="9"/>
  <c r="X545" i="9" s="1"/>
  <c r="W1070" i="9"/>
  <c r="U1071" i="9" s="1"/>
  <c r="T890" i="9"/>
  <c r="R891" i="9" s="1"/>
  <c r="C1175" i="9"/>
  <c r="D1176" i="9"/>
  <c r="J1172" i="9" l="1"/>
  <c r="H1172" i="9"/>
  <c r="I1172" i="9" s="1"/>
  <c r="AD545" i="9"/>
  <c r="Z545" i="9"/>
  <c r="AG545" i="9"/>
  <c r="AI545" i="9"/>
  <c r="W1071" i="9"/>
  <c r="U1072" i="9" s="1"/>
  <c r="T891" i="9"/>
  <c r="C1176" i="9"/>
  <c r="D1177" i="9"/>
  <c r="J1173" i="9" l="1"/>
  <c r="H1173" i="9"/>
  <c r="I1173" i="9" s="1"/>
  <c r="AC545" i="9" a="1"/>
  <c r="AC545" i="9" s="1"/>
  <c r="AA546" i="9" s="1"/>
  <c r="Y545" i="9"/>
  <c r="X546" i="9" s="1"/>
  <c r="AH545" i="9"/>
  <c r="W1072" i="9"/>
  <c r="U1073" i="9" s="1"/>
  <c r="R892" i="9"/>
  <c r="D1178" i="9"/>
  <c r="C1177" i="9"/>
  <c r="J1174" i="9" l="1"/>
  <c r="H1174" i="9"/>
  <c r="I1174" i="9" s="1"/>
  <c r="AG546" i="9"/>
  <c r="Z546" i="9"/>
  <c r="AI546" i="9"/>
  <c r="AD546" i="9"/>
  <c r="W1073" i="9"/>
  <c r="U1074" i="9" s="1"/>
  <c r="T892" i="9"/>
  <c r="R893" i="9" s="1"/>
  <c r="D1179" i="9"/>
  <c r="C1178" i="9"/>
  <c r="J1175" i="9" l="1"/>
  <c r="H1175" i="9"/>
  <c r="I1175" i="9" s="1"/>
  <c r="Y546" i="9"/>
  <c r="X547" i="9" s="1"/>
  <c r="AC546" i="9" a="1"/>
  <c r="AC546" i="9" s="1"/>
  <c r="AA547" i="9" s="1"/>
  <c r="AH546" i="9"/>
  <c r="W1074" i="9"/>
  <c r="U1075" i="9" s="1"/>
  <c r="C1179" i="9"/>
  <c r="D1180" i="9"/>
  <c r="T893" i="9"/>
  <c r="J1176" i="9" l="1"/>
  <c r="H1176" i="9"/>
  <c r="I1176" i="9" s="1"/>
  <c r="AD547" i="9"/>
  <c r="AG547" i="9"/>
  <c r="AI547" i="9"/>
  <c r="Z547" i="9"/>
  <c r="W1075" i="9"/>
  <c r="U1076" i="9" s="1"/>
  <c r="C1180" i="9"/>
  <c r="D1181" i="9"/>
  <c r="R894" i="9"/>
  <c r="J1177" i="9" l="1"/>
  <c r="H1177" i="9"/>
  <c r="I1177" i="9" s="1"/>
  <c r="AH547" i="9"/>
  <c r="AC547" i="9" a="1"/>
  <c r="AC547" i="9" s="1"/>
  <c r="AA548" i="9" s="1"/>
  <c r="Y547" i="9"/>
  <c r="X548" i="9" s="1"/>
  <c r="W1076" i="9"/>
  <c r="U1077" i="9" s="1"/>
  <c r="D1182" i="9"/>
  <c r="C1181" i="9"/>
  <c r="T894" i="9"/>
  <c r="J1178" i="9" l="1"/>
  <c r="H1178" i="9"/>
  <c r="I1178" i="9" s="1"/>
  <c r="AD548" i="9"/>
  <c r="Z548" i="9"/>
  <c r="AI548" i="9"/>
  <c r="AG548" i="9"/>
  <c r="W1077" i="9"/>
  <c r="U1078" i="9" s="1"/>
  <c r="R895" i="9"/>
  <c r="D1183" i="9"/>
  <c r="C1182" i="9"/>
  <c r="J1179" i="9" l="1"/>
  <c r="H1179" i="9"/>
  <c r="I1179" i="9" s="1"/>
  <c r="AC548" i="9" a="1"/>
  <c r="AC548" i="9" s="1"/>
  <c r="AA549" i="9" s="1"/>
  <c r="Y548" i="9"/>
  <c r="X549" i="9" s="1"/>
  <c r="AH548" i="9"/>
  <c r="W1078" i="9"/>
  <c r="U1079" i="9" s="1"/>
  <c r="T895" i="9"/>
  <c r="R896" i="9" s="1"/>
  <c r="C1183" i="9"/>
  <c r="D1184" i="9"/>
  <c r="J1180" i="9" l="1"/>
  <c r="H1180" i="9"/>
  <c r="I1180" i="9" s="1"/>
  <c r="Z549" i="9"/>
  <c r="AI549" i="9"/>
  <c r="AG549" i="9"/>
  <c r="AD549" i="9"/>
  <c r="W1079" i="9"/>
  <c r="U1080" i="9" s="1"/>
  <c r="T896" i="9"/>
  <c r="R897" i="9" s="1"/>
  <c r="C1184" i="9"/>
  <c r="D1185" i="9"/>
  <c r="J1181" i="9" l="1"/>
  <c r="H1181" i="9"/>
  <c r="I1181" i="9" s="1"/>
  <c r="AH549" i="9"/>
  <c r="AC549" i="9" a="1"/>
  <c r="AC549" i="9" s="1"/>
  <c r="AA550" i="9" s="1"/>
  <c r="Y549" i="9"/>
  <c r="X550" i="9" s="1"/>
  <c r="W1080" i="9"/>
  <c r="U1081" i="9" s="1"/>
  <c r="T897" i="9"/>
  <c r="D1186" i="9"/>
  <c r="C1185" i="9"/>
  <c r="J1182" i="9" l="1"/>
  <c r="H1182" i="9"/>
  <c r="I1182" i="9" s="1"/>
  <c r="AI550" i="9"/>
  <c r="AG550" i="9"/>
  <c r="Z550" i="9"/>
  <c r="AD550" i="9"/>
  <c r="W1081" i="9"/>
  <c r="U1082" i="9" s="1"/>
  <c r="R898" i="9"/>
  <c r="D1187" i="9"/>
  <c r="C1186" i="9"/>
  <c r="J1183" i="9" l="1"/>
  <c r="H1183" i="9"/>
  <c r="I1183" i="9" s="1"/>
  <c r="AC550" i="9" a="1"/>
  <c r="AC550" i="9" s="1"/>
  <c r="AA551" i="9" s="1"/>
  <c r="Y550" i="9"/>
  <c r="X551" i="9" s="1"/>
  <c r="AH550" i="9"/>
  <c r="W1082" i="9"/>
  <c r="U1083" i="9" s="1"/>
  <c r="T898" i="9"/>
  <c r="R899" i="9" s="1"/>
  <c r="C1187" i="9"/>
  <c r="D1188" i="9"/>
  <c r="J1184" i="9" l="1"/>
  <c r="H1184" i="9"/>
  <c r="I1184" i="9" s="1"/>
  <c r="Z551" i="9"/>
  <c r="AI551" i="9"/>
  <c r="AG551" i="9"/>
  <c r="AD551" i="9"/>
  <c r="W1083" i="9"/>
  <c r="U1084" i="9" s="1"/>
  <c r="C1188" i="9"/>
  <c r="D1189" i="9"/>
  <c r="T899" i="9"/>
  <c r="J1185" i="9" l="1"/>
  <c r="H1185" i="9"/>
  <c r="I1185" i="9" s="1"/>
  <c r="Y551" i="9"/>
  <c r="X552" i="9" s="1"/>
  <c r="AC551" i="9" a="1"/>
  <c r="AC551" i="9" s="1"/>
  <c r="AA552" i="9" s="1"/>
  <c r="AH551" i="9"/>
  <c r="W1084" i="9"/>
  <c r="U1085" i="9" s="1"/>
  <c r="R900" i="9"/>
  <c r="D1190" i="9"/>
  <c r="C1189" i="9"/>
  <c r="J1186" i="9" l="1"/>
  <c r="H1186" i="9"/>
  <c r="I1186" i="9" s="1"/>
  <c r="AD552" i="9"/>
  <c r="Z552" i="9"/>
  <c r="AI552" i="9"/>
  <c r="AG552" i="9"/>
  <c r="W1085" i="9"/>
  <c r="U1086" i="9" s="1"/>
  <c r="T900" i="9"/>
  <c r="R901" i="9" s="1"/>
  <c r="D1191" i="9"/>
  <c r="C1190" i="9"/>
  <c r="J1187" i="9" l="1"/>
  <c r="H1187" i="9"/>
  <c r="I1187" i="9" s="1"/>
  <c r="AH552" i="9"/>
  <c r="Y552" i="9"/>
  <c r="X553" i="9" s="1"/>
  <c r="AC552" i="9" a="1"/>
  <c r="AC552" i="9" s="1"/>
  <c r="AA553" i="9" s="1"/>
  <c r="W1086" i="9"/>
  <c r="U1087" i="9" s="1"/>
  <c r="T901" i="9"/>
  <c r="R902" i="9" s="1"/>
  <c r="C1191" i="9"/>
  <c r="D1192" i="9"/>
  <c r="J1188" i="9" l="1"/>
  <c r="H1188" i="9"/>
  <c r="I1188" i="9" s="1"/>
  <c r="AG553" i="9"/>
  <c r="AI553" i="9"/>
  <c r="Z553" i="9"/>
  <c r="AD553" i="9"/>
  <c r="W1087" i="9"/>
  <c r="U1088" i="9" s="1"/>
  <c r="T902" i="9"/>
  <c r="R903" i="9" s="1"/>
  <c r="C1192" i="9"/>
  <c r="D1193" i="9"/>
  <c r="J1189" i="9" l="1"/>
  <c r="H1189" i="9"/>
  <c r="I1189" i="9" s="1"/>
  <c r="AC553" i="9" a="1"/>
  <c r="AC553" i="9" s="1"/>
  <c r="AA554" i="9" s="1"/>
  <c r="AH553" i="9"/>
  <c r="Y553" i="9"/>
  <c r="X554" i="9" s="1"/>
  <c r="W1088" i="9"/>
  <c r="U1089" i="9" s="1"/>
  <c r="T903" i="9"/>
  <c r="R904" i="9" s="1"/>
  <c r="D1194" i="9"/>
  <c r="C1193" i="9"/>
  <c r="J1190" i="9" l="1"/>
  <c r="H1190" i="9"/>
  <c r="I1190" i="9" s="1"/>
  <c r="Z554" i="9"/>
  <c r="AI554" i="9"/>
  <c r="AG554" i="9"/>
  <c r="AD554" i="9"/>
  <c r="W1089" i="9"/>
  <c r="U1090" i="9" s="1"/>
  <c r="T904" i="9"/>
  <c r="R905" i="9" s="1"/>
  <c r="D1195" i="9"/>
  <c r="C1194" i="9"/>
  <c r="J1191" i="9" l="1"/>
  <c r="H1191" i="9"/>
  <c r="I1191" i="9" s="1"/>
  <c r="Y554" i="9"/>
  <c r="X555" i="9" s="1"/>
  <c r="AH554" i="9"/>
  <c r="AC554" i="9" a="1"/>
  <c r="AC554" i="9" s="1"/>
  <c r="AA555" i="9" s="1"/>
  <c r="W1090" i="9"/>
  <c r="U1091" i="9" s="1"/>
  <c r="T905" i="9"/>
  <c r="R906" i="9" s="1"/>
  <c r="C1195" i="9"/>
  <c r="D1196" i="9"/>
  <c r="J1192" i="9" l="1"/>
  <c r="H1192" i="9"/>
  <c r="I1192" i="9" s="1"/>
  <c r="AD555" i="9"/>
  <c r="Z555" i="9"/>
  <c r="AG555" i="9"/>
  <c r="AI555" i="9"/>
  <c r="W1091" i="9"/>
  <c r="U1092" i="9" s="1"/>
  <c r="T906" i="9"/>
  <c r="C1196" i="9"/>
  <c r="D1197" i="9"/>
  <c r="J1193" i="9" l="1"/>
  <c r="H1193" i="9"/>
  <c r="I1193" i="9" s="1"/>
  <c r="AH555" i="9"/>
  <c r="AC555" i="9" a="1"/>
  <c r="AC555" i="9" s="1"/>
  <c r="AA556" i="9" s="1"/>
  <c r="Y555" i="9"/>
  <c r="X556" i="9" s="1"/>
  <c r="W1092" i="9"/>
  <c r="U1093" i="9" s="1"/>
  <c r="D1198" i="9"/>
  <c r="C1197" i="9"/>
  <c r="R907" i="9"/>
  <c r="J1194" i="9" l="1"/>
  <c r="H1194" i="9"/>
  <c r="I1194" i="9" s="1"/>
  <c r="AD556" i="9"/>
  <c r="AG556" i="9"/>
  <c r="AI556" i="9"/>
  <c r="Z556" i="9"/>
  <c r="W1093" i="9"/>
  <c r="U1094" i="9" s="1"/>
  <c r="T907" i="9"/>
  <c r="D1199" i="9"/>
  <c r="C1198" i="9"/>
  <c r="J1195" i="9" l="1"/>
  <c r="H1195" i="9"/>
  <c r="I1195" i="9" s="1"/>
  <c r="Y556" i="9"/>
  <c r="X557" i="9" s="1"/>
  <c r="AH556" i="9"/>
  <c r="AC556" i="9" a="1"/>
  <c r="AC556" i="9" s="1"/>
  <c r="AA557" i="9" s="1"/>
  <c r="W1094" i="9"/>
  <c r="U1095" i="9" s="1"/>
  <c r="C1199" i="9"/>
  <c r="D1200" i="9"/>
  <c r="R908" i="9"/>
  <c r="J1196" i="9" l="1"/>
  <c r="H1196" i="9"/>
  <c r="I1196" i="9" s="1"/>
  <c r="AD557" i="9"/>
  <c r="AG557" i="9"/>
  <c r="Z557" i="9"/>
  <c r="AI557" i="9"/>
  <c r="W1095" i="9"/>
  <c r="U1096" i="9" s="1"/>
  <c r="T908" i="9"/>
  <c r="C1200" i="9"/>
  <c r="D1201" i="9"/>
  <c r="J1197" i="9" l="1"/>
  <c r="H1197" i="9"/>
  <c r="I1197" i="9" s="1"/>
  <c r="Y557" i="9"/>
  <c r="X558" i="9" s="1"/>
  <c r="AH557" i="9"/>
  <c r="AC557" i="9" a="1"/>
  <c r="AC557" i="9" s="1"/>
  <c r="AA558" i="9" s="1"/>
  <c r="W1096" i="9"/>
  <c r="U1097" i="9" s="1"/>
  <c r="R909" i="9"/>
  <c r="D1202" i="9"/>
  <c r="C1201" i="9"/>
  <c r="J1198" i="9" l="1"/>
  <c r="H1198" i="9"/>
  <c r="I1198" i="9" s="1"/>
  <c r="AD558" i="9"/>
  <c r="AG558" i="9"/>
  <c r="AI558" i="9"/>
  <c r="Z558" i="9"/>
  <c r="W1097" i="9"/>
  <c r="U1098" i="9" s="1"/>
  <c r="T909" i="9"/>
  <c r="R910" i="9" s="1"/>
  <c r="D1203" i="9"/>
  <c r="C1202" i="9"/>
  <c r="J1199" i="9" l="1"/>
  <c r="H1199" i="9"/>
  <c r="I1199" i="9" s="1"/>
  <c r="Y558" i="9"/>
  <c r="X559" i="9" s="1"/>
  <c r="AC558" i="9" a="1"/>
  <c r="AC558" i="9" s="1"/>
  <c r="AA559" i="9" s="1"/>
  <c r="AH558" i="9"/>
  <c r="W1098" i="9"/>
  <c r="U1099" i="9" s="1"/>
  <c r="T910" i="9"/>
  <c r="R911" i="9" s="1"/>
  <c r="C1203" i="9"/>
  <c r="D1204" i="9"/>
  <c r="J1200" i="9" l="1"/>
  <c r="H1200" i="9"/>
  <c r="I1200" i="9" s="1"/>
  <c r="AD559" i="9"/>
  <c r="Z559" i="9"/>
  <c r="AG559" i="9"/>
  <c r="AI559" i="9"/>
  <c r="W1099" i="9"/>
  <c r="U1100" i="9" s="1"/>
  <c r="T911" i="9"/>
  <c r="C1204" i="9"/>
  <c r="D1205" i="9"/>
  <c r="J1201" i="9" l="1"/>
  <c r="H1201" i="9"/>
  <c r="I1201" i="9" s="1"/>
  <c r="Y559" i="9"/>
  <c r="X560" i="9" s="1"/>
  <c r="AH559" i="9"/>
  <c r="AC559" i="9" a="1"/>
  <c r="AC559" i="9" s="1"/>
  <c r="AA560" i="9" s="1"/>
  <c r="W1100" i="9"/>
  <c r="U1101" i="9" s="1"/>
  <c r="R912" i="9"/>
  <c r="D1206" i="9"/>
  <c r="C1205" i="9"/>
  <c r="J1202" i="9" l="1"/>
  <c r="H1202" i="9"/>
  <c r="I1202" i="9" s="1"/>
  <c r="AD560" i="9"/>
  <c r="AI560" i="9"/>
  <c r="AG560" i="9"/>
  <c r="Z560" i="9"/>
  <c r="W1101" i="9"/>
  <c r="U1102" i="9" s="1"/>
  <c r="T912" i="9"/>
  <c r="R913" i="9" s="1"/>
  <c r="D1207" i="9"/>
  <c r="C1206" i="9"/>
  <c r="J1203" i="9" l="1"/>
  <c r="H1203" i="9"/>
  <c r="I1203" i="9" s="1"/>
  <c r="AH560" i="9"/>
  <c r="Y560" i="9"/>
  <c r="X561" i="9" s="1"/>
  <c r="AC560" i="9" a="1"/>
  <c r="AC560" i="9" s="1"/>
  <c r="AA561" i="9" s="1"/>
  <c r="W1102" i="9"/>
  <c r="U1103" i="9" s="1"/>
  <c r="T913" i="9"/>
  <c r="R914" i="9" s="1"/>
  <c r="C1207" i="9"/>
  <c r="D1208" i="9"/>
  <c r="J1204" i="9" l="1"/>
  <c r="H1204" i="9"/>
  <c r="I1204" i="9" s="1"/>
  <c r="AD561" i="9"/>
  <c r="AI561" i="9"/>
  <c r="Z561" i="9"/>
  <c r="AG561" i="9"/>
  <c r="W1103" i="9"/>
  <c r="U1104" i="9" s="1"/>
  <c r="T914" i="9"/>
  <c r="C1208" i="9"/>
  <c r="D1209" i="9"/>
  <c r="J1205" i="9" l="1"/>
  <c r="H1205" i="9"/>
  <c r="I1205" i="9" s="1"/>
  <c r="AC561" i="9" a="1"/>
  <c r="AC561" i="9" s="1"/>
  <c r="AA562" i="9" s="1"/>
  <c r="Y561" i="9"/>
  <c r="X562" i="9" s="1"/>
  <c r="AH561" i="9"/>
  <c r="W1104" i="9"/>
  <c r="U1105" i="9" s="1"/>
  <c r="R915" i="9"/>
  <c r="D1210" i="9"/>
  <c r="C1209" i="9"/>
  <c r="J1206" i="9" l="1"/>
  <c r="H1206" i="9"/>
  <c r="I1206" i="9" s="1"/>
  <c r="AI562" i="9"/>
  <c r="AG562" i="9"/>
  <c r="Z562" i="9"/>
  <c r="AD562" i="9"/>
  <c r="W1105" i="9"/>
  <c r="U1106" i="9" s="1"/>
  <c r="T915" i="9"/>
  <c r="R916" i="9" s="1"/>
  <c r="D1211" i="9"/>
  <c r="C1210" i="9"/>
  <c r="J1207" i="9" l="1"/>
  <c r="H1207" i="9"/>
  <c r="I1207" i="9" s="1"/>
  <c r="AH562" i="9"/>
  <c r="Y562" i="9"/>
  <c r="X563" i="9" s="1"/>
  <c r="AC562" i="9" a="1"/>
  <c r="AC562" i="9" s="1"/>
  <c r="AA563" i="9" s="1"/>
  <c r="W1106" i="9"/>
  <c r="U1107" i="9" s="1"/>
  <c r="T916" i="9"/>
  <c r="D1212" i="9"/>
  <c r="C1211" i="9"/>
  <c r="J1208" i="9" l="1"/>
  <c r="H1208" i="9"/>
  <c r="I1208" i="9" s="1"/>
  <c r="AD563" i="9"/>
  <c r="Z563" i="9"/>
  <c r="AI563" i="9"/>
  <c r="AG563" i="9"/>
  <c r="W1107" i="9"/>
  <c r="U1108" i="9" s="1"/>
  <c r="R917" i="9"/>
  <c r="C1212" i="9"/>
  <c r="D1213" i="9"/>
  <c r="J1209" i="9" l="1"/>
  <c r="H1209" i="9"/>
  <c r="I1209" i="9" s="1"/>
  <c r="Y563" i="9"/>
  <c r="X564" i="9" s="1"/>
  <c r="AH563" i="9"/>
  <c r="AC563" i="9" a="1"/>
  <c r="AC563" i="9" s="1"/>
  <c r="AA564" i="9" s="1"/>
  <c r="W1108" i="9"/>
  <c r="U1109" i="9" s="1"/>
  <c r="T917" i="9"/>
  <c r="R918" i="9" s="1"/>
  <c r="C1213" i="9"/>
  <c r="D1214" i="9"/>
  <c r="J1210" i="9" l="1"/>
  <c r="H1210" i="9"/>
  <c r="I1210" i="9" s="1"/>
  <c r="AD564" i="9"/>
  <c r="Z564" i="9"/>
  <c r="AI564" i="9"/>
  <c r="AG564" i="9"/>
  <c r="W1109" i="9"/>
  <c r="U1110" i="9" s="1"/>
  <c r="T918" i="9"/>
  <c r="D1215" i="9"/>
  <c r="C1214" i="9"/>
  <c r="J1211" i="9" l="1"/>
  <c r="H1211" i="9"/>
  <c r="I1211" i="9" s="1"/>
  <c r="Y564" i="9"/>
  <c r="X565" i="9" s="1"/>
  <c r="AH564" i="9"/>
  <c r="AC564" i="9" a="1"/>
  <c r="AC564" i="9" s="1"/>
  <c r="AA565" i="9" s="1"/>
  <c r="W1110" i="9"/>
  <c r="U1111" i="9" s="1"/>
  <c r="R919" i="9"/>
  <c r="D1216" i="9"/>
  <c r="C1215" i="9"/>
  <c r="J1212" i="9" l="1"/>
  <c r="H1212" i="9"/>
  <c r="I1212" i="9" s="1"/>
  <c r="AD565" i="9"/>
  <c r="Z565" i="9"/>
  <c r="AG565" i="9"/>
  <c r="AI565" i="9"/>
  <c r="W1111" i="9"/>
  <c r="U1112" i="9" s="1"/>
  <c r="T919" i="9"/>
  <c r="R920" i="9" s="1"/>
  <c r="C1216" i="9"/>
  <c r="D1217" i="9"/>
  <c r="J1213" i="9" l="1"/>
  <c r="H1213" i="9"/>
  <c r="I1213" i="9" s="1"/>
  <c r="Y565" i="9"/>
  <c r="X566" i="9" s="1"/>
  <c r="AH565" i="9"/>
  <c r="AC565" i="9" a="1"/>
  <c r="AC565" i="9" s="1"/>
  <c r="AA566" i="9" s="1"/>
  <c r="W1112" i="9"/>
  <c r="U1113" i="9" s="1"/>
  <c r="T920" i="9"/>
  <c r="R921" i="9" s="1"/>
  <c r="C1217" i="9"/>
  <c r="D1218" i="9"/>
  <c r="J1214" i="9" l="1"/>
  <c r="H1214" i="9"/>
  <c r="I1214" i="9" s="1"/>
  <c r="AD566" i="9"/>
  <c r="AG566" i="9"/>
  <c r="Z566" i="9"/>
  <c r="AI566" i="9"/>
  <c r="W1113" i="9"/>
  <c r="U1114" i="9" s="1"/>
  <c r="T921" i="9"/>
  <c r="R922" i="9" s="1"/>
  <c r="D1219" i="9"/>
  <c r="C1218" i="9"/>
  <c r="J1215" i="9" l="1"/>
  <c r="H1215" i="9"/>
  <c r="I1215" i="9" s="1"/>
  <c r="AH566" i="9"/>
  <c r="AC566" i="9" a="1"/>
  <c r="AC566" i="9" s="1"/>
  <c r="AA567" i="9" s="1"/>
  <c r="Y566" i="9"/>
  <c r="X567" i="9" s="1"/>
  <c r="W1114" i="9"/>
  <c r="U1115" i="9" s="1"/>
  <c r="T922" i="9"/>
  <c r="D1220" i="9"/>
  <c r="C1219" i="9"/>
  <c r="J1216" i="9" l="1"/>
  <c r="H1216" i="9"/>
  <c r="I1216" i="9" s="1"/>
  <c r="AG567" i="9"/>
  <c r="AI567" i="9"/>
  <c r="Z567" i="9"/>
  <c r="AD567" i="9"/>
  <c r="W1115" i="9"/>
  <c r="U1116" i="9" s="1"/>
  <c r="R923" i="9"/>
  <c r="C1220" i="9"/>
  <c r="D1221" i="9"/>
  <c r="J1217" i="9" l="1"/>
  <c r="H1217" i="9"/>
  <c r="I1217" i="9" s="1"/>
  <c r="AC567" i="9" a="1"/>
  <c r="AC567" i="9" s="1"/>
  <c r="AA568" i="9" s="1"/>
  <c r="AH567" i="9"/>
  <c r="Y567" i="9"/>
  <c r="X568" i="9" s="1"/>
  <c r="W1116" i="9"/>
  <c r="U1117" i="9" s="1"/>
  <c r="T923" i="9"/>
  <c r="R924" i="9" s="1"/>
  <c r="C1221" i="9"/>
  <c r="D1222" i="9"/>
  <c r="J1218" i="9" l="1"/>
  <c r="H1218" i="9"/>
  <c r="I1218" i="9" s="1"/>
  <c r="Z568" i="9"/>
  <c r="AG568" i="9"/>
  <c r="AI568" i="9"/>
  <c r="AD568" i="9"/>
  <c r="W1117" i="9"/>
  <c r="U1118" i="9" s="1"/>
  <c r="D1223" i="9"/>
  <c r="C1222" i="9"/>
  <c r="T924" i="9"/>
  <c r="J1219" i="9" l="1"/>
  <c r="H1219" i="9"/>
  <c r="I1219" i="9" s="1"/>
  <c r="AC568" i="9" a="1"/>
  <c r="AC568" i="9" s="1"/>
  <c r="AA569" i="9" s="1"/>
  <c r="AH568" i="9"/>
  <c r="Y568" i="9"/>
  <c r="X569" i="9" s="1"/>
  <c r="W1118" i="9"/>
  <c r="U1119" i="9" s="1"/>
  <c r="R925" i="9"/>
  <c r="D1224" i="9"/>
  <c r="C1223" i="9"/>
  <c r="J1220" i="9" l="1"/>
  <c r="H1220" i="9"/>
  <c r="I1220" i="9" s="1"/>
  <c r="AG569" i="9"/>
  <c r="AI569" i="9"/>
  <c r="Z569" i="9"/>
  <c r="AD569" i="9"/>
  <c r="W1119" i="9"/>
  <c r="U1120" i="9" s="1"/>
  <c r="T925" i="9"/>
  <c r="R926" i="9" s="1"/>
  <c r="D1225" i="9"/>
  <c r="C1224" i="9"/>
  <c r="J1221" i="9" l="1"/>
  <c r="H1221" i="9"/>
  <c r="I1221" i="9" s="1"/>
  <c r="AH569" i="9"/>
  <c r="Y569" i="9"/>
  <c r="X570" i="9" s="1"/>
  <c r="AC569" i="9" a="1"/>
  <c r="AC569" i="9" s="1"/>
  <c r="AA570" i="9" s="1"/>
  <c r="W1120" i="9"/>
  <c r="U1121" i="9" s="1"/>
  <c r="C1225" i="9"/>
  <c r="D1226" i="9"/>
  <c r="T926" i="9"/>
  <c r="J1222" i="9" l="1"/>
  <c r="H1222" i="9"/>
  <c r="I1222" i="9" s="1"/>
  <c r="AD570" i="9"/>
  <c r="AI570" i="9"/>
  <c r="AG570" i="9"/>
  <c r="Z570" i="9"/>
  <c r="W1121" i="9"/>
  <c r="U1122" i="9" s="1"/>
  <c r="C1226" i="9"/>
  <c r="D1227" i="9"/>
  <c r="R927" i="9"/>
  <c r="J1223" i="9" l="1"/>
  <c r="H1223" i="9"/>
  <c r="I1223" i="9" s="1"/>
  <c r="Y570" i="9"/>
  <c r="X571" i="9" s="1"/>
  <c r="AC570" i="9" a="1"/>
  <c r="AC570" i="9" s="1"/>
  <c r="AA571" i="9" s="1"/>
  <c r="AH570" i="9"/>
  <c r="W1122" i="9"/>
  <c r="U1123" i="9" s="1"/>
  <c r="D1228" i="9"/>
  <c r="C1227" i="9"/>
  <c r="T927" i="9"/>
  <c r="J1224" i="9" l="1"/>
  <c r="H1224" i="9"/>
  <c r="I1224" i="9" s="1"/>
  <c r="AD571" i="9"/>
  <c r="AG571" i="9"/>
  <c r="AI571" i="9"/>
  <c r="Z571" i="9"/>
  <c r="W1123" i="9"/>
  <c r="U1124" i="9" s="1"/>
  <c r="R928" i="9"/>
  <c r="D1229" i="9"/>
  <c r="C1228" i="9"/>
  <c r="J1225" i="9" l="1"/>
  <c r="H1225" i="9"/>
  <c r="I1225" i="9" s="1"/>
  <c r="Y571" i="9"/>
  <c r="X572" i="9" s="1"/>
  <c r="AH571" i="9"/>
  <c r="AC571" i="9" a="1"/>
  <c r="AC571" i="9" s="1"/>
  <c r="AA572" i="9" s="1"/>
  <c r="W1124" i="9"/>
  <c r="U1125" i="9" s="1"/>
  <c r="T928" i="9"/>
  <c r="R929" i="9" s="1"/>
  <c r="C1229" i="9"/>
  <c r="D1230" i="9"/>
  <c r="J1226" i="9" l="1"/>
  <c r="H1226" i="9"/>
  <c r="I1226" i="9" s="1"/>
  <c r="AD572" i="9"/>
  <c r="AI572" i="9"/>
  <c r="Z572" i="9"/>
  <c r="AG572" i="9"/>
  <c r="W1125" i="9"/>
  <c r="U1126" i="9" s="1"/>
  <c r="T929" i="9"/>
  <c r="R930" i="9" s="1"/>
  <c r="C1230" i="9"/>
  <c r="D1231" i="9"/>
  <c r="J1227" i="9" l="1"/>
  <c r="H1227" i="9"/>
  <c r="I1227" i="9" s="1"/>
  <c r="Y572" i="9"/>
  <c r="X573" i="9" s="1"/>
  <c r="AC572" i="9" a="1"/>
  <c r="AC572" i="9" s="1"/>
  <c r="AA573" i="9" s="1"/>
  <c r="AH572" i="9"/>
  <c r="W1126" i="9"/>
  <c r="U1127" i="9" s="1"/>
  <c r="T930" i="9"/>
  <c r="R931" i="9" s="1"/>
  <c r="D1232" i="9"/>
  <c r="C1231" i="9"/>
  <c r="J1228" i="9" l="1"/>
  <c r="H1228" i="9"/>
  <c r="I1228" i="9" s="1"/>
  <c r="AD573" i="9"/>
  <c r="AG573" i="9"/>
  <c r="AI573" i="9"/>
  <c r="Z573" i="9"/>
  <c r="W1127" i="9"/>
  <c r="U1128" i="9" s="1"/>
  <c r="T931" i="9"/>
  <c r="R932" i="9" s="1"/>
  <c r="D1233" i="9"/>
  <c r="C1232" i="9"/>
  <c r="J1229" i="9" l="1"/>
  <c r="H1229" i="9"/>
  <c r="I1229" i="9" s="1"/>
  <c r="AH573" i="9"/>
  <c r="Y573" i="9"/>
  <c r="X574" i="9" s="1"/>
  <c r="AC573" i="9" a="1"/>
  <c r="AC573" i="9" s="1"/>
  <c r="AA574" i="9" s="1"/>
  <c r="W1128" i="9"/>
  <c r="U1129" i="9" s="1"/>
  <c r="C1233" i="9"/>
  <c r="D1234" i="9"/>
  <c r="T932" i="9"/>
  <c r="J1230" i="9" l="1"/>
  <c r="H1230" i="9"/>
  <c r="I1230" i="9" s="1"/>
  <c r="AI574" i="9"/>
  <c r="Z574" i="9"/>
  <c r="AG574" i="9"/>
  <c r="AD574" i="9"/>
  <c r="W1129" i="9"/>
  <c r="U1130" i="9" s="1"/>
  <c r="R933" i="9"/>
  <c r="C1234" i="9"/>
  <c r="D1235" i="9"/>
  <c r="J1231" i="9" l="1"/>
  <c r="H1231" i="9"/>
  <c r="I1231" i="9" s="1"/>
  <c r="AC574" i="9" a="1"/>
  <c r="AC574" i="9" s="1"/>
  <c r="AA575" i="9" s="1"/>
  <c r="Y574" i="9"/>
  <c r="X575" i="9" s="1"/>
  <c r="AH574" i="9"/>
  <c r="W1130" i="9"/>
  <c r="U1131" i="9" s="1"/>
  <c r="T933" i="9"/>
  <c r="R934" i="9" s="1"/>
  <c r="D1236" i="9"/>
  <c r="C1235" i="9"/>
  <c r="J1232" i="9" l="1"/>
  <c r="H1232" i="9"/>
  <c r="I1232" i="9" s="1"/>
  <c r="AG575" i="9"/>
  <c r="Z575" i="9"/>
  <c r="AI575" i="9"/>
  <c r="AD575" i="9"/>
  <c r="W1131" i="9"/>
  <c r="U1132" i="9" s="1"/>
  <c r="D1237" i="9"/>
  <c r="C1236" i="9"/>
  <c r="T934" i="9"/>
  <c r="J1233" i="9" l="1"/>
  <c r="H1233" i="9"/>
  <c r="I1233" i="9" s="1"/>
  <c r="AC575" i="9" a="1"/>
  <c r="AC575" i="9" s="1"/>
  <c r="AA576" i="9" s="1"/>
  <c r="Y575" i="9"/>
  <c r="X576" i="9" s="1"/>
  <c r="AH575" i="9"/>
  <c r="W1132" i="9"/>
  <c r="U1133" i="9" s="1"/>
  <c r="R935" i="9"/>
  <c r="C1237" i="9"/>
  <c r="D1238" i="9"/>
  <c r="J1234" i="9" l="1"/>
  <c r="H1234" i="9"/>
  <c r="I1234" i="9" s="1"/>
  <c r="AG576" i="9"/>
  <c r="AI576" i="9"/>
  <c r="Z576" i="9"/>
  <c r="AD576" i="9"/>
  <c r="W1133" i="9"/>
  <c r="U1134" i="9" s="1"/>
  <c r="C1238" i="9"/>
  <c r="D1239" i="9"/>
  <c r="T935" i="9"/>
  <c r="J1235" i="9" l="1"/>
  <c r="H1235" i="9"/>
  <c r="I1235" i="9" s="1"/>
  <c r="AH576" i="9"/>
  <c r="AC576" i="9" a="1"/>
  <c r="AC576" i="9" s="1"/>
  <c r="AA577" i="9" s="1"/>
  <c r="Y576" i="9"/>
  <c r="X577" i="9" s="1"/>
  <c r="W1134" i="9"/>
  <c r="U1135" i="9" s="1"/>
  <c r="R936" i="9"/>
  <c r="D1240" i="9"/>
  <c r="C1239" i="9"/>
  <c r="J1236" i="9" l="1"/>
  <c r="H1236" i="9"/>
  <c r="I1236" i="9" s="1"/>
  <c r="AD577" i="9"/>
  <c r="AI577" i="9"/>
  <c r="Z577" i="9"/>
  <c r="AG577" i="9"/>
  <c r="W1135" i="9"/>
  <c r="U1136" i="9" s="1"/>
  <c r="D1241" i="9"/>
  <c r="C1240" i="9"/>
  <c r="T936" i="9"/>
  <c r="J1237" i="9" l="1"/>
  <c r="H1237" i="9"/>
  <c r="I1237" i="9" s="1"/>
  <c r="Y577" i="9"/>
  <c r="X578" i="9" s="1"/>
  <c r="AH577" i="9"/>
  <c r="AC577" i="9" a="1"/>
  <c r="AC577" i="9" s="1"/>
  <c r="AA578" i="9" s="1"/>
  <c r="W1136" i="9"/>
  <c r="U1137" i="9" s="1"/>
  <c r="R937" i="9"/>
  <c r="C1241" i="9"/>
  <c r="D1242" i="9"/>
  <c r="J1238" i="9" l="1"/>
  <c r="H1238" i="9"/>
  <c r="I1238" i="9" s="1"/>
  <c r="AD578" i="9"/>
  <c r="AG578" i="9"/>
  <c r="AI578" i="9"/>
  <c r="Z578" i="9"/>
  <c r="W1137" i="9"/>
  <c r="U1138" i="9" s="1"/>
  <c r="T937" i="9"/>
  <c r="R938" i="9" s="1"/>
  <c r="C1242" i="9"/>
  <c r="D1243" i="9"/>
  <c r="J1239" i="9" l="1"/>
  <c r="H1239" i="9"/>
  <c r="I1239" i="9" s="1"/>
  <c r="AH578" i="9"/>
  <c r="Y578" i="9"/>
  <c r="X579" i="9" s="1"/>
  <c r="AC578" i="9" a="1"/>
  <c r="AC578" i="9" s="1"/>
  <c r="AA579" i="9" s="1"/>
  <c r="W1138" i="9"/>
  <c r="U1139" i="9" s="1"/>
  <c r="T938" i="9"/>
  <c r="R939" i="9" s="1"/>
  <c r="D1244" i="9"/>
  <c r="C1243" i="9"/>
  <c r="J1240" i="9" l="1"/>
  <c r="H1240" i="9"/>
  <c r="I1240" i="9" s="1"/>
  <c r="AD579" i="9"/>
  <c r="AI579" i="9"/>
  <c r="Z579" i="9"/>
  <c r="AG579" i="9"/>
  <c r="W1139" i="9"/>
  <c r="U1140" i="9" s="1"/>
  <c r="T939" i="9"/>
  <c r="R940" i="9" s="1"/>
  <c r="D1245" i="9"/>
  <c r="C1244" i="9"/>
  <c r="J1241" i="9" l="1"/>
  <c r="H1241" i="9"/>
  <c r="I1241" i="9" s="1"/>
  <c r="Y579" i="9"/>
  <c r="X580" i="9" s="1"/>
  <c r="AC579" i="9" a="1"/>
  <c r="AC579" i="9" s="1"/>
  <c r="AA580" i="9" s="1"/>
  <c r="AH579" i="9"/>
  <c r="W1140" i="9"/>
  <c r="U1141" i="9" s="1"/>
  <c r="C1245" i="9"/>
  <c r="D1246" i="9"/>
  <c r="T940" i="9"/>
  <c r="J1242" i="9" l="1"/>
  <c r="H1242" i="9"/>
  <c r="I1242" i="9" s="1"/>
  <c r="AD580" i="9"/>
  <c r="Z580" i="9"/>
  <c r="AG580" i="9"/>
  <c r="AI580" i="9"/>
  <c r="W1141" i="9"/>
  <c r="U1142" i="9" s="1"/>
  <c r="R941" i="9"/>
  <c r="C1246" i="9"/>
  <c r="D1247" i="9"/>
  <c r="J1243" i="9" l="1"/>
  <c r="H1243" i="9"/>
  <c r="I1243" i="9" s="1"/>
  <c r="AC580" i="9" a="1"/>
  <c r="AC580" i="9" s="1"/>
  <c r="AA581" i="9" s="1"/>
  <c r="Y580" i="9"/>
  <c r="X581" i="9" s="1"/>
  <c r="AH580" i="9"/>
  <c r="W1142" i="9"/>
  <c r="U1143" i="9" s="1"/>
  <c r="T941" i="9"/>
  <c r="R942" i="9" s="1"/>
  <c r="D1248" i="9"/>
  <c r="C1247" i="9"/>
  <c r="J1244" i="9" l="1"/>
  <c r="H1244" i="9"/>
  <c r="I1244" i="9" s="1"/>
  <c r="Z581" i="9"/>
  <c r="AG581" i="9"/>
  <c r="AI581" i="9"/>
  <c r="AD581" i="9"/>
  <c r="W1143" i="9"/>
  <c r="U1144" i="9" s="1"/>
  <c r="D1249" i="9"/>
  <c r="C1248" i="9"/>
  <c r="T942" i="9"/>
  <c r="J1245" i="9" l="1"/>
  <c r="H1245" i="9"/>
  <c r="I1245" i="9" s="1"/>
  <c r="AH581" i="9"/>
  <c r="AC581" i="9" a="1"/>
  <c r="AC581" i="9" s="1"/>
  <c r="AA582" i="9" s="1"/>
  <c r="Y581" i="9"/>
  <c r="X582" i="9" s="1"/>
  <c r="W1144" i="9"/>
  <c r="U1145" i="9" s="1"/>
  <c r="R943" i="9"/>
  <c r="C1249" i="9"/>
  <c r="D1250" i="9"/>
  <c r="J1246" i="9" l="1"/>
  <c r="H1246" i="9"/>
  <c r="I1246" i="9" s="1"/>
  <c r="AD582" i="9"/>
  <c r="AG582" i="9"/>
  <c r="Z582" i="9"/>
  <c r="AI582" i="9"/>
  <c r="W1145" i="9"/>
  <c r="U1146" i="9" s="1"/>
  <c r="T943" i="9"/>
  <c r="R944" i="9" s="1"/>
  <c r="C1250" i="9"/>
  <c r="D1251" i="9"/>
  <c r="J1247" i="9" l="1"/>
  <c r="H1247" i="9"/>
  <c r="I1247" i="9" s="1"/>
  <c r="AH582" i="9"/>
  <c r="AC582" i="9" a="1"/>
  <c r="AC582" i="9" s="1"/>
  <c r="AA583" i="9" s="1"/>
  <c r="Y582" i="9"/>
  <c r="X583" i="9" s="1"/>
  <c r="W1146" i="9"/>
  <c r="U1147" i="9" s="1"/>
  <c r="D1252" i="9"/>
  <c r="C1251" i="9"/>
  <c r="T944" i="9"/>
  <c r="J1248" i="9" l="1"/>
  <c r="H1248" i="9"/>
  <c r="I1248" i="9" s="1"/>
  <c r="AG583" i="9"/>
  <c r="Z583" i="9"/>
  <c r="AI583" i="9"/>
  <c r="AD583" i="9"/>
  <c r="W1147" i="9"/>
  <c r="U1148" i="9" s="1"/>
  <c r="R945" i="9"/>
  <c r="D1253" i="9"/>
  <c r="C1252" i="9"/>
  <c r="J1249" i="9" l="1"/>
  <c r="H1249" i="9"/>
  <c r="I1249" i="9" s="1"/>
  <c r="Y583" i="9"/>
  <c r="X584" i="9" s="1"/>
  <c r="AH583" i="9"/>
  <c r="AC583" i="9" a="1"/>
  <c r="AC583" i="9" s="1"/>
  <c r="AA584" i="9" s="1"/>
  <c r="W1148" i="9"/>
  <c r="U1149" i="9" s="1"/>
  <c r="T945" i="9"/>
  <c r="R946" i="9" s="1"/>
  <c r="C1253" i="9"/>
  <c r="D1254" i="9"/>
  <c r="J1250" i="9" l="1"/>
  <c r="H1250" i="9"/>
  <c r="I1250" i="9" s="1"/>
  <c r="AD584" i="9"/>
  <c r="AI584" i="9"/>
  <c r="AG584" i="9"/>
  <c r="Z584" i="9"/>
  <c r="W1149" i="9"/>
  <c r="U1150" i="9" s="1"/>
  <c r="C1254" i="9"/>
  <c r="D1255" i="9"/>
  <c r="T946" i="9"/>
  <c r="J1251" i="9" l="1"/>
  <c r="H1251" i="9"/>
  <c r="I1251" i="9" s="1"/>
  <c r="AC584" i="9" a="1"/>
  <c r="AC584" i="9" s="1"/>
  <c r="AA585" i="9" s="1"/>
  <c r="Y584" i="9"/>
  <c r="X585" i="9" s="1"/>
  <c r="AH584" i="9"/>
  <c r="W1150" i="9"/>
  <c r="U1151" i="9" s="1"/>
  <c r="R947" i="9"/>
  <c r="D1256" i="9"/>
  <c r="C1255" i="9"/>
  <c r="J1252" i="9" l="1"/>
  <c r="H1252" i="9"/>
  <c r="I1252" i="9" s="1"/>
  <c r="AI585" i="9"/>
  <c r="AG585" i="9"/>
  <c r="Z585" i="9"/>
  <c r="AD585" i="9"/>
  <c r="W1151" i="9"/>
  <c r="U1152" i="9" s="1"/>
  <c r="T947" i="9"/>
  <c r="R948" i="9" s="1"/>
  <c r="D1257" i="9"/>
  <c r="C1256" i="9"/>
  <c r="J1253" i="9" l="1"/>
  <c r="H1253" i="9"/>
  <c r="I1253" i="9" s="1"/>
  <c r="AH585" i="9"/>
  <c r="AC585" i="9" a="1"/>
  <c r="AC585" i="9" s="1"/>
  <c r="AA586" i="9" s="1"/>
  <c r="Y585" i="9"/>
  <c r="X586" i="9" s="1"/>
  <c r="W1152" i="9"/>
  <c r="U1153" i="9" s="1"/>
  <c r="C1257" i="9"/>
  <c r="D1258" i="9"/>
  <c r="T948" i="9"/>
  <c r="J1254" i="9" l="1"/>
  <c r="H1254" i="9"/>
  <c r="I1254" i="9" s="1"/>
  <c r="AD586" i="9"/>
  <c r="Z586" i="9"/>
  <c r="AI586" i="9"/>
  <c r="AG586" i="9"/>
  <c r="W1153" i="9"/>
  <c r="U1154" i="9" s="1"/>
  <c r="R949" i="9"/>
  <c r="C1258" i="9"/>
  <c r="D1259" i="9"/>
  <c r="J1255" i="9" l="1"/>
  <c r="H1255" i="9"/>
  <c r="I1255" i="9" s="1"/>
  <c r="AC586" i="9" a="1"/>
  <c r="AC586" i="9" s="1"/>
  <c r="AA587" i="9" s="1"/>
  <c r="AH586" i="9"/>
  <c r="Y586" i="9"/>
  <c r="X587" i="9" s="1"/>
  <c r="W1154" i="9"/>
  <c r="U1155" i="9" s="1"/>
  <c r="T949" i="9"/>
  <c r="R950" i="9" s="1"/>
  <c r="D1260" i="9"/>
  <c r="C1259" i="9"/>
  <c r="J1256" i="9" l="1"/>
  <c r="H1256" i="9"/>
  <c r="I1256" i="9" s="1"/>
  <c r="AI587" i="9"/>
  <c r="Z587" i="9"/>
  <c r="AG587" i="9"/>
  <c r="AD587" i="9"/>
  <c r="W1155" i="9"/>
  <c r="U1156" i="9" s="1"/>
  <c r="T950" i="9"/>
  <c r="C1260" i="9"/>
  <c r="D1261" i="9"/>
  <c r="J1257" i="9" l="1"/>
  <c r="H1257" i="9"/>
  <c r="I1257" i="9" s="1"/>
  <c r="Y587" i="9"/>
  <c r="X588" i="9" s="1"/>
  <c r="AC587" i="9" a="1"/>
  <c r="AC587" i="9" s="1"/>
  <c r="AA588" i="9" s="1"/>
  <c r="AH587" i="9"/>
  <c r="W1156" i="9"/>
  <c r="U1157" i="9" s="1"/>
  <c r="R951" i="9"/>
  <c r="D1262" i="9"/>
  <c r="C1261" i="9"/>
  <c r="J1258" i="9" l="1"/>
  <c r="H1258" i="9"/>
  <c r="I1258" i="9" s="1"/>
  <c r="AD588" i="9"/>
  <c r="AI588" i="9"/>
  <c r="Z588" i="9"/>
  <c r="AG588" i="9"/>
  <c r="W1157" i="9"/>
  <c r="U1158" i="9" s="1"/>
  <c r="T951" i="9"/>
  <c r="R952" i="9" s="1"/>
  <c r="D1263" i="9"/>
  <c r="C1262" i="9"/>
  <c r="J1259" i="9" l="1"/>
  <c r="H1259" i="9"/>
  <c r="I1259" i="9" s="1"/>
  <c r="Y588" i="9"/>
  <c r="X589" i="9" s="1"/>
  <c r="AH588" i="9"/>
  <c r="AC588" i="9" a="1"/>
  <c r="AC588" i="9" s="1"/>
  <c r="AA589" i="9" s="1"/>
  <c r="W1158" i="9"/>
  <c r="U1159" i="9" s="1"/>
  <c r="T952" i="9"/>
  <c r="D1264" i="9"/>
  <c r="C1263" i="9"/>
  <c r="J1260" i="9" l="1"/>
  <c r="H1260" i="9"/>
  <c r="I1260" i="9" s="1"/>
  <c r="AD589" i="9"/>
  <c r="AI589" i="9"/>
  <c r="AG589" i="9"/>
  <c r="Z589" i="9"/>
  <c r="W1159" i="9"/>
  <c r="U1160" i="9" s="1"/>
  <c r="C1264" i="9"/>
  <c r="D1265" i="9"/>
  <c r="R953" i="9"/>
  <c r="J1261" i="9" l="1"/>
  <c r="H1261" i="9"/>
  <c r="I1261" i="9" s="1"/>
  <c r="AH589" i="9"/>
  <c r="AC589" i="9" a="1"/>
  <c r="AC589" i="9" s="1"/>
  <c r="AA590" i="9" s="1"/>
  <c r="Y589" i="9"/>
  <c r="X590" i="9" s="1"/>
  <c r="W1160" i="9"/>
  <c r="U1161" i="9" s="1"/>
  <c r="T953" i="9"/>
  <c r="C1265" i="9"/>
  <c r="D1266" i="9"/>
  <c r="J1262" i="9" l="1"/>
  <c r="H1262" i="9"/>
  <c r="I1262" i="9" s="1"/>
  <c r="Z590" i="9"/>
  <c r="AI590" i="9"/>
  <c r="AG590" i="9"/>
  <c r="AD590" i="9"/>
  <c r="W1161" i="9"/>
  <c r="U1162" i="9" s="1"/>
  <c r="R954" i="9"/>
  <c r="D1267" i="9"/>
  <c r="C1266" i="9"/>
  <c r="J1263" i="9" l="1"/>
  <c r="H1263" i="9"/>
  <c r="I1263" i="9" s="1"/>
  <c r="AC590" i="9" a="1"/>
  <c r="AC590" i="9" s="1"/>
  <c r="AA591" i="9" s="1"/>
  <c r="Y590" i="9"/>
  <c r="X591" i="9" s="1"/>
  <c r="AH590" i="9"/>
  <c r="W1162" i="9"/>
  <c r="U1163" i="9" s="1"/>
  <c r="T954" i="9"/>
  <c r="R955" i="9" s="1"/>
  <c r="D1268" i="9"/>
  <c r="C1267" i="9"/>
  <c r="J1264" i="9" l="1"/>
  <c r="H1264" i="9"/>
  <c r="I1264" i="9" s="1"/>
  <c r="Z591" i="9"/>
  <c r="AG591" i="9"/>
  <c r="AI591" i="9"/>
  <c r="AD591" i="9"/>
  <c r="W1163" i="9"/>
  <c r="U1164" i="9" s="1"/>
  <c r="T955" i="9"/>
  <c r="R956" i="9" s="1"/>
  <c r="C1268" i="9"/>
  <c r="D1269" i="9"/>
  <c r="J1265" i="9" l="1"/>
  <c r="H1265" i="9"/>
  <c r="I1265" i="9" s="1"/>
  <c r="AH591" i="9"/>
  <c r="Y591" i="9"/>
  <c r="X592" i="9" s="1"/>
  <c r="AC591" i="9" a="1"/>
  <c r="AC591" i="9" s="1"/>
  <c r="AA592" i="9" s="1"/>
  <c r="W1164" i="9"/>
  <c r="U1165" i="9" s="1"/>
  <c r="C1269" i="9"/>
  <c r="D1270" i="9"/>
  <c r="T956" i="9"/>
  <c r="J1266" i="9" l="1"/>
  <c r="H1266" i="9"/>
  <c r="I1266" i="9" s="1"/>
  <c r="AG592" i="9"/>
  <c r="Z592" i="9"/>
  <c r="AI592" i="9"/>
  <c r="AD592" i="9"/>
  <c r="W1165" i="9"/>
  <c r="U1166" i="9" s="1"/>
  <c r="R957" i="9"/>
  <c r="D1271" i="9"/>
  <c r="C1270" i="9"/>
  <c r="J1267" i="9" l="1"/>
  <c r="H1267" i="9"/>
  <c r="I1267" i="9" s="1"/>
  <c r="AH592" i="9"/>
  <c r="AC592" i="9" a="1"/>
  <c r="AC592" i="9" s="1"/>
  <c r="AA593" i="9" s="1"/>
  <c r="Y592" i="9"/>
  <c r="X593" i="9" s="1"/>
  <c r="W1166" i="9"/>
  <c r="U1167" i="9" s="1"/>
  <c r="T957" i="9"/>
  <c r="R958" i="9" s="1"/>
  <c r="D1272" i="9"/>
  <c r="C1271" i="9"/>
  <c r="J1268" i="9" l="1"/>
  <c r="H1268" i="9"/>
  <c r="I1268" i="9" s="1"/>
  <c r="AD593" i="9"/>
  <c r="AG593" i="9"/>
  <c r="Z593" i="9"/>
  <c r="AI593" i="9"/>
  <c r="W1167" i="9"/>
  <c r="U1168" i="9" s="1"/>
  <c r="T958" i="9"/>
  <c r="D1273" i="9"/>
  <c r="C1272" i="9"/>
  <c r="J1269" i="9" l="1"/>
  <c r="H1269" i="9"/>
  <c r="I1269" i="9" s="1"/>
  <c r="AH593" i="9"/>
  <c r="AC593" i="9" a="1"/>
  <c r="AC593" i="9" s="1"/>
  <c r="AA594" i="9" s="1"/>
  <c r="Y593" i="9"/>
  <c r="X594" i="9" s="1"/>
  <c r="W1168" i="9"/>
  <c r="U1169" i="9" s="1"/>
  <c r="R959" i="9"/>
  <c r="C1273" i="9"/>
  <c r="D1274" i="9"/>
  <c r="J1270" i="9" l="1"/>
  <c r="H1270" i="9"/>
  <c r="I1270" i="9" s="1"/>
  <c r="AD594" i="9"/>
  <c r="Z594" i="9"/>
  <c r="AG594" i="9"/>
  <c r="AI594" i="9"/>
  <c r="W1169" i="9"/>
  <c r="U1170" i="9" s="1"/>
  <c r="T959" i="9"/>
  <c r="R960" i="9" s="1"/>
  <c r="C1274" i="9"/>
  <c r="D1275" i="9"/>
  <c r="J1271" i="9" l="1"/>
  <c r="H1271" i="9"/>
  <c r="I1271" i="9" s="1"/>
  <c r="AH594" i="9"/>
  <c r="Y594" i="9"/>
  <c r="X595" i="9" s="1"/>
  <c r="AC594" i="9" a="1"/>
  <c r="AC594" i="9" s="1"/>
  <c r="AA595" i="9" s="1"/>
  <c r="W1170" i="9"/>
  <c r="U1171" i="9" s="1"/>
  <c r="T960" i="9"/>
  <c r="R961" i="9" s="1"/>
  <c r="D1276" i="9"/>
  <c r="C1275" i="9"/>
  <c r="J1272" i="9" l="1"/>
  <c r="H1272" i="9"/>
  <c r="I1272" i="9" s="1"/>
  <c r="AD595" i="9"/>
  <c r="AG595" i="9"/>
  <c r="AI595" i="9"/>
  <c r="Z595" i="9"/>
  <c r="W1171" i="9"/>
  <c r="U1172" i="9" s="1"/>
  <c r="D1277" i="9"/>
  <c r="C1276" i="9"/>
  <c r="T961" i="9"/>
  <c r="J1273" i="9" l="1"/>
  <c r="H1273" i="9"/>
  <c r="I1273" i="9" s="1"/>
  <c r="Y595" i="9"/>
  <c r="X596" i="9" s="1"/>
  <c r="AC595" i="9" a="1"/>
  <c r="AC595" i="9" s="1"/>
  <c r="AA596" i="9" s="1"/>
  <c r="AH595" i="9"/>
  <c r="W1172" i="9"/>
  <c r="U1173" i="9" s="1"/>
  <c r="R962" i="9"/>
  <c r="C1277" i="9"/>
  <c r="D1278" i="9"/>
  <c r="J1274" i="9" l="1"/>
  <c r="H1274" i="9"/>
  <c r="I1274" i="9" s="1"/>
  <c r="AD596" i="9"/>
  <c r="AI596" i="9"/>
  <c r="Z596" i="9"/>
  <c r="AG596" i="9"/>
  <c r="W1173" i="9"/>
  <c r="U1174" i="9" s="1"/>
  <c r="T962" i="9"/>
  <c r="R963" i="9" s="1"/>
  <c r="C1278" i="9"/>
  <c r="D1279" i="9"/>
  <c r="J1275" i="9" l="1"/>
  <c r="H1275" i="9"/>
  <c r="I1275" i="9" s="1"/>
  <c r="AH596" i="9"/>
  <c r="Y596" i="9"/>
  <c r="X597" i="9" s="1"/>
  <c r="AC596" i="9" a="1"/>
  <c r="AC596" i="9" s="1"/>
  <c r="AA597" i="9" s="1"/>
  <c r="W1174" i="9"/>
  <c r="U1175" i="9" s="1"/>
  <c r="T963" i="9"/>
  <c r="R964" i="9" s="1"/>
  <c r="D1280" i="9"/>
  <c r="C1279" i="9"/>
  <c r="J1276" i="9" l="1"/>
  <c r="H1276" i="9"/>
  <c r="I1276" i="9" s="1"/>
  <c r="Z597" i="9"/>
  <c r="AI597" i="9"/>
  <c r="AG597" i="9"/>
  <c r="AD597" i="9"/>
  <c r="W1175" i="9"/>
  <c r="U1176" i="9" s="1"/>
  <c r="T964" i="9"/>
  <c r="D1281" i="9"/>
  <c r="C1280" i="9"/>
  <c r="J1277" i="9" l="1"/>
  <c r="H1277" i="9"/>
  <c r="I1277" i="9" s="1"/>
  <c r="AH597" i="9"/>
  <c r="Y597" i="9"/>
  <c r="X598" i="9" s="1"/>
  <c r="AC597" i="9" a="1"/>
  <c r="AC597" i="9" s="1"/>
  <c r="AA598" i="9" s="1"/>
  <c r="W1176" i="9"/>
  <c r="U1177" i="9" s="1"/>
  <c r="C1281" i="9"/>
  <c r="D1282" i="9"/>
  <c r="R965" i="9"/>
  <c r="J1278" i="9" l="1"/>
  <c r="H1278" i="9"/>
  <c r="I1278" i="9" s="1"/>
  <c r="AG598" i="9"/>
  <c r="Z598" i="9"/>
  <c r="AI598" i="9"/>
  <c r="AD598" i="9"/>
  <c r="W1177" i="9"/>
  <c r="U1178" i="9" s="1"/>
  <c r="T965" i="9"/>
  <c r="D1283" i="9"/>
  <c r="C1282" i="9"/>
  <c r="J1279" i="9" l="1"/>
  <c r="H1279" i="9"/>
  <c r="I1279" i="9" s="1"/>
  <c r="AC598" i="9" a="1"/>
  <c r="AC598" i="9" s="1"/>
  <c r="AA599" i="9" s="1"/>
  <c r="AH598" i="9"/>
  <c r="Y598" i="9"/>
  <c r="X599" i="9" s="1"/>
  <c r="W1178" i="9"/>
  <c r="U1179" i="9" s="1"/>
  <c r="R966" i="9"/>
  <c r="D1284" i="9"/>
  <c r="C1283" i="9"/>
  <c r="J1280" i="9" l="1"/>
  <c r="H1280" i="9"/>
  <c r="I1280" i="9" s="1"/>
  <c r="Z599" i="9"/>
  <c r="AG599" i="9"/>
  <c r="AI599" i="9"/>
  <c r="AD599" i="9"/>
  <c r="W1179" i="9"/>
  <c r="U1180" i="9" s="1"/>
  <c r="T966" i="9"/>
  <c r="R967" i="9" s="1"/>
  <c r="D1285" i="9"/>
  <c r="C1284" i="9"/>
  <c r="J1281" i="9" l="1"/>
  <c r="H1281" i="9"/>
  <c r="I1281" i="9" s="1"/>
  <c r="AH599" i="9"/>
  <c r="Y599" i="9"/>
  <c r="X600" i="9" s="1"/>
  <c r="AC599" i="9" a="1"/>
  <c r="AC599" i="9" s="1"/>
  <c r="AA600" i="9" s="1"/>
  <c r="W1180" i="9"/>
  <c r="U1181" i="9" s="1"/>
  <c r="T967" i="9"/>
  <c r="R968" i="9" s="1"/>
  <c r="C1285" i="9"/>
  <c r="D1286" i="9"/>
  <c r="J1282" i="9" l="1"/>
  <c r="H1282" i="9"/>
  <c r="I1282" i="9" s="1"/>
  <c r="Z600" i="9"/>
  <c r="AI600" i="9"/>
  <c r="AG600" i="9"/>
  <c r="AD600" i="9"/>
  <c r="W1181" i="9"/>
  <c r="U1182" i="9" s="1"/>
  <c r="T968" i="9"/>
  <c r="C1286" i="9"/>
  <c r="D1287" i="9"/>
  <c r="J1283" i="9" l="1"/>
  <c r="H1283" i="9"/>
  <c r="I1283" i="9" s="1"/>
  <c r="AC600" i="9" a="1"/>
  <c r="AC600" i="9" s="1"/>
  <c r="AA601" i="9" s="1"/>
  <c r="AH600" i="9"/>
  <c r="Y600" i="9"/>
  <c r="X601" i="9" s="1"/>
  <c r="W1182" i="9"/>
  <c r="U1183" i="9" s="1"/>
  <c r="R969" i="9"/>
  <c r="D1288" i="9"/>
  <c r="C1287" i="9"/>
  <c r="J1284" i="9" l="1"/>
  <c r="H1284" i="9"/>
  <c r="I1284" i="9" s="1"/>
  <c r="AI601" i="9"/>
  <c r="Z601" i="9"/>
  <c r="AG601" i="9"/>
  <c r="AD601" i="9"/>
  <c r="W1183" i="9"/>
  <c r="U1184" i="9" s="1"/>
  <c r="T969" i="9"/>
  <c r="R970" i="9" s="1"/>
  <c r="D1289" i="9"/>
  <c r="C1288" i="9"/>
  <c r="J1285" i="9" l="1"/>
  <c r="H1285" i="9"/>
  <c r="I1285" i="9" s="1"/>
  <c r="Y601" i="9"/>
  <c r="X602" i="9" s="1"/>
  <c r="AC601" i="9" a="1"/>
  <c r="AC601" i="9" s="1"/>
  <c r="AA602" i="9" s="1"/>
  <c r="AH601" i="9"/>
  <c r="W1184" i="9"/>
  <c r="U1185" i="9" s="1"/>
  <c r="C1289" i="9"/>
  <c r="D1290" i="9"/>
  <c r="T970" i="9"/>
  <c r="J1286" i="9" l="1"/>
  <c r="H1286" i="9"/>
  <c r="I1286" i="9" s="1"/>
  <c r="AD602" i="9"/>
  <c r="AI602" i="9"/>
  <c r="AG602" i="9"/>
  <c r="Z602" i="9"/>
  <c r="W1185" i="9"/>
  <c r="U1186" i="9" s="1"/>
  <c r="C1290" i="9"/>
  <c r="D1291" i="9"/>
  <c r="R971" i="9"/>
  <c r="J1287" i="9" l="1"/>
  <c r="H1287" i="9"/>
  <c r="I1287" i="9" s="1"/>
  <c r="AC602" i="9" a="1"/>
  <c r="AC602" i="9" s="1"/>
  <c r="AA603" i="9" s="1"/>
  <c r="Y602" i="9"/>
  <c r="X603" i="9" s="1"/>
  <c r="AH602" i="9"/>
  <c r="W1186" i="9"/>
  <c r="U1187" i="9" s="1"/>
  <c r="T971" i="9"/>
  <c r="D1292" i="9"/>
  <c r="C1291" i="9"/>
  <c r="J1288" i="9" l="1"/>
  <c r="H1288" i="9"/>
  <c r="I1288" i="9" s="1"/>
  <c r="AG603" i="9"/>
  <c r="Z603" i="9"/>
  <c r="AI603" i="9"/>
  <c r="AD603" i="9"/>
  <c r="W1187" i="9"/>
  <c r="U1188" i="9" s="1"/>
  <c r="R972" i="9"/>
  <c r="D1293" i="9"/>
  <c r="C1292" i="9"/>
  <c r="J1289" i="9" l="1"/>
  <c r="H1289" i="9"/>
  <c r="I1289" i="9" s="1"/>
  <c r="AH603" i="9"/>
  <c r="Y603" i="9"/>
  <c r="X604" i="9" s="1"/>
  <c r="AC603" i="9" a="1"/>
  <c r="AC603" i="9" s="1"/>
  <c r="AA604" i="9" s="1"/>
  <c r="W1188" i="9"/>
  <c r="U1189" i="9" s="1"/>
  <c r="C1293" i="9"/>
  <c r="D1294" i="9"/>
  <c r="T972" i="9"/>
  <c r="J1290" i="9" l="1"/>
  <c r="H1290" i="9"/>
  <c r="I1290" i="9" s="1"/>
  <c r="AD604" i="9"/>
  <c r="AG604" i="9"/>
  <c r="Z604" i="9"/>
  <c r="AI604" i="9"/>
  <c r="W1189" i="9"/>
  <c r="U1190" i="9" s="1"/>
  <c r="R973" i="9"/>
  <c r="C1294" i="9"/>
  <c r="D1295" i="9"/>
  <c r="J1291" i="9" l="1"/>
  <c r="H1291" i="9"/>
  <c r="I1291" i="9" s="1"/>
  <c r="Y604" i="9"/>
  <c r="X605" i="9" s="1"/>
  <c r="AC604" i="9" a="1"/>
  <c r="AC604" i="9" s="1"/>
  <c r="AA605" i="9" s="1"/>
  <c r="AH604" i="9"/>
  <c r="W1190" i="9"/>
  <c r="U1191" i="9" s="1"/>
  <c r="T973" i="9"/>
  <c r="R974" i="9" s="1"/>
  <c r="D1296" i="9"/>
  <c r="C1295" i="9"/>
  <c r="J1292" i="9" l="1"/>
  <c r="H1292" i="9"/>
  <c r="I1292" i="9" s="1"/>
  <c r="AD605" i="9"/>
  <c r="Z605" i="9"/>
  <c r="AI605" i="9"/>
  <c r="AG605" i="9"/>
  <c r="W1191" i="9"/>
  <c r="U1192" i="9" s="1"/>
  <c r="D1297" i="9"/>
  <c r="C1296" i="9"/>
  <c r="T974" i="9"/>
  <c r="J1293" i="9" l="1"/>
  <c r="H1293" i="9"/>
  <c r="I1293" i="9" s="1"/>
  <c r="AC605" i="9" a="1"/>
  <c r="AC605" i="9" s="1"/>
  <c r="AA606" i="9" s="1"/>
  <c r="AH605" i="9"/>
  <c r="Y605" i="9"/>
  <c r="X606" i="9" s="1"/>
  <c r="W1192" i="9"/>
  <c r="U1193" i="9" s="1"/>
  <c r="R975" i="9"/>
  <c r="C1297" i="9"/>
  <c r="D1298" i="9"/>
  <c r="J1294" i="9" l="1"/>
  <c r="H1294" i="9"/>
  <c r="I1294" i="9" s="1"/>
  <c r="AI606" i="9"/>
  <c r="Z606" i="9"/>
  <c r="AG606" i="9"/>
  <c r="AD606" i="9"/>
  <c r="W1193" i="9"/>
  <c r="U1194" i="9" s="1"/>
  <c r="T975" i="9"/>
  <c r="R976" i="9" s="1"/>
  <c r="C1298" i="9"/>
  <c r="D1299" i="9"/>
  <c r="J1295" i="9" l="1"/>
  <c r="H1295" i="9"/>
  <c r="I1295" i="9" s="1"/>
  <c r="Y606" i="9"/>
  <c r="X607" i="9" s="1"/>
  <c r="AH606" i="9"/>
  <c r="AC606" i="9" a="1"/>
  <c r="AC606" i="9" s="1"/>
  <c r="AA607" i="9" s="1"/>
  <c r="W1194" i="9"/>
  <c r="U1195" i="9" s="1"/>
  <c r="T976" i="9"/>
  <c r="D1300" i="9"/>
  <c r="C1299" i="9"/>
  <c r="J1296" i="9" l="1"/>
  <c r="H1296" i="9"/>
  <c r="I1296" i="9" s="1"/>
  <c r="AD607" i="9"/>
  <c r="Z607" i="9"/>
  <c r="AI607" i="9"/>
  <c r="AG607" i="9"/>
  <c r="W1195" i="9"/>
  <c r="U1196" i="9" s="1"/>
  <c r="R977" i="9"/>
  <c r="D1301" i="9"/>
  <c r="C1300" i="9"/>
  <c r="J1297" i="9" l="1"/>
  <c r="H1297" i="9"/>
  <c r="I1297" i="9" s="1"/>
  <c r="AC607" i="9" a="1"/>
  <c r="AC607" i="9" s="1"/>
  <c r="AA608" i="9" s="1"/>
  <c r="Y607" i="9"/>
  <c r="X608" i="9" s="1"/>
  <c r="AH607" i="9"/>
  <c r="W1196" i="9"/>
  <c r="U1197" i="9" s="1"/>
  <c r="T977" i="9"/>
  <c r="R978" i="9" s="1"/>
  <c r="C1301" i="9"/>
  <c r="D1302" i="9"/>
  <c r="J1298" i="9" l="1"/>
  <c r="H1298" i="9"/>
  <c r="I1298" i="9" s="1"/>
  <c r="AG608" i="9"/>
  <c r="Z608" i="9"/>
  <c r="AI608" i="9"/>
  <c r="AD608" i="9"/>
  <c r="W1197" i="9"/>
  <c r="U1198" i="9" s="1"/>
  <c r="C1302" i="9"/>
  <c r="T978" i="9"/>
  <c r="R979" i="9" s="1"/>
  <c r="J1299" i="9" l="1"/>
  <c r="H1299" i="9"/>
  <c r="I1299" i="9" s="1"/>
  <c r="Y608" i="9"/>
  <c r="X609" i="9" s="1"/>
  <c r="AC608" i="9" a="1"/>
  <c r="AC608" i="9" s="1"/>
  <c r="AA609" i="9" s="1"/>
  <c r="AH608" i="9"/>
  <c r="W1198" i="9"/>
  <c r="U1199" i="9" s="1"/>
  <c r="T979" i="9"/>
  <c r="R980" i="9" s="1"/>
  <c r="J1300" i="9" l="1"/>
  <c r="H1300" i="9"/>
  <c r="I1300" i="9" s="1"/>
  <c r="AD609" i="9"/>
  <c r="AG609" i="9"/>
  <c r="AI609" i="9"/>
  <c r="Z609" i="9"/>
  <c r="W1199" i="9"/>
  <c r="U1200" i="9" s="1"/>
  <c r="T980" i="9"/>
  <c r="J1301" i="9" l="1"/>
  <c r="H1301" i="9"/>
  <c r="I1301" i="9" s="1"/>
  <c r="Y609" i="9"/>
  <c r="X610" i="9" s="1"/>
  <c r="AC609" i="9" a="1"/>
  <c r="AC609" i="9" s="1"/>
  <c r="AA610" i="9" s="1"/>
  <c r="AH609" i="9"/>
  <c r="W1200" i="9"/>
  <c r="U1201" i="9" s="1"/>
  <c r="R981" i="9"/>
  <c r="J1302" i="9" l="1"/>
  <c r="H1302" i="9"/>
  <c r="I1302" i="9" s="1"/>
  <c r="AD610" i="9"/>
  <c r="Z610" i="9"/>
  <c r="AI610" i="9"/>
  <c r="AG610" i="9"/>
  <c r="W1201" i="9"/>
  <c r="U1202" i="9" s="1"/>
  <c r="T981" i="9"/>
  <c r="R982" i="9" s="1"/>
  <c r="I15" i="9" l="1"/>
  <c r="Y610" i="9"/>
  <c r="X611" i="9" s="1"/>
  <c r="AH610" i="9"/>
  <c r="AC610" i="9" a="1"/>
  <c r="AC610" i="9" s="1"/>
  <c r="AA611" i="9" s="1"/>
  <c r="W1202" i="9"/>
  <c r="U1203" i="9" s="1"/>
  <c r="T982" i="9"/>
  <c r="R983" i="9" s="1"/>
  <c r="K1242" i="9" l="1"/>
  <c r="K24" i="9"/>
  <c r="AJ24" i="9" s="1"/>
  <c r="K40" i="9"/>
  <c r="AJ40" i="9" s="1"/>
  <c r="K56" i="9"/>
  <c r="AJ56" i="9" s="1"/>
  <c r="K72" i="9"/>
  <c r="AJ72" i="9" s="1"/>
  <c r="K88" i="9"/>
  <c r="AJ88" i="9" s="1"/>
  <c r="K173" i="9"/>
  <c r="AJ173" i="9" s="1"/>
  <c r="K184" i="9"/>
  <c r="AJ184" i="9" s="1"/>
  <c r="K134" i="9"/>
  <c r="AJ134" i="9" s="1"/>
  <c r="K25" i="9"/>
  <c r="AJ25" i="9" s="1"/>
  <c r="K41" i="9"/>
  <c r="AJ41" i="9" s="1"/>
  <c r="K57" i="9"/>
  <c r="AJ57" i="9" s="1"/>
  <c r="K73" i="9"/>
  <c r="AJ73" i="9" s="1"/>
  <c r="K89" i="9"/>
  <c r="AJ89" i="9" s="1"/>
  <c r="K98" i="9"/>
  <c r="AJ98" i="9" s="1"/>
  <c r="K176" i="9"/>
  <c r="AJ176" i="9" s="1"/>
  <c r="K106" i="9"/>
  <c r="AJ106" i="9" s="1"/>
  <c r="K178" i="9"/>
  <c r="AJ178" i="9" s="1"/>
  <c r="K114" i="9"/>
  <c r="AJ114" i="9" s="1"/>
  <c r="K190" i="9"/>
  <c r="AJ190" i="9" s="1"/>
  <c r="K197" i="9"/>
  <c r="AJ197" i="9" s="1"/>
  <c r="K127" i="9"/>
  <c r="AJ127" i="9" s="1"/>
  <c r="K129" i="9"/>
  <c r="AJ129" i="9" s="1"/>
  <c r="K200" i="9"/>
  <c r="AJ200" i="9" s="1"/>
  <c r="K130" i="9"/>
  <c r="AJ130" i="9" s="1"/>
  <c r="K136" i="9"/>
  <c r="AJ136" i="9" s="1"/>
  <c r="K154" i="9"/>
  <c r="AJ154" i="9" s="1"/>
  <c r="K26" i="9"/>
  <c r="AJ26" i="9" s="1"/>
  <c r="K42" i="9"/>
  <c r="AJ42" i="9" s="1"/>
  <c r="K58" i="9"/>
  <c r="AJ58" i="9" s="1"/>
  <c r="K74" i="9"/>
  <c r="AJ74" i="9" s="1"/>
  <c r="K90" i="9"/>
  <c r="AJ90" i="9" s="1"/>
  <c r="K118" i="9"/>
  <c r="AJ118" i="9" s="1"/>
  <c r="K126" i="9"/>
  <c r="AJ126" i="9" s="1"/>
  <c r="K202" i="9"/>
  <c r="AJ202" i="9" s="1"/>
  <c r="K143" i="9"/>
  <c r="AJ143" i="9" s="1"/>
  <c r="K159" i="9"/>
  <c r="AJ159" i="9" s="1"/>
  <c r="K27" i="9"/>
  <c r="AJ27" i="9" s="1"/>
  <c r="K43" i="9"/>
  <c r="AJ43" i="9" s="1"/>
  <c r="K59" i="9"/>
  <c r="AJ59" i="9" s="1"/>
  <c r="K75" i="9"/>
  <c r="AJ75" i="9" s="1"/>
  <c r="K91" i="9"/>
  <c r="AJ91" i="9" s="1"/>
  <c r="K167" i="9"/>
  <c r="AJ167" i="9" s="1"/>
  <c r="K175" i="9"/>
  <c r="AJ175" i="9" s="1"/>
  <c r="K107" i="9"/>
  <c r="AJ107" i="9" s="1"/>
  <c r="K109" i="9"/>
  <c r="AJ109" i="9" s="1"/>
  <c r="K191" i="9"/>
  <c r="AJ191" i="9" s="1"/>
  <c r="K193" i="9"/>
  <c r="AJ193" i="9" s="1"/>
  <c r="K196" i="9"/>
  <c r="AJ196" i="9" s="1"/>
  <c r="K204" i="9"/>
  <c r="AJ204" i="9" s="1"/>
  <c r="K141" i="9"/>
  <c r="AJ141" i="9" s="1"/>
  <c r="K149" i="9"/>
  <c r="AJ149" i="9" s="1"/>
  <c r="K157" i="9"/>
  <c r="AJ157" i="9" s="1"/>
  <c r="K158" i="9"/>
  <c r="AJ158" i="9" s="1"/>
  <c r="K28" i="9"/>
  <c r="AJ28" i="9" s="1"/>
  <c r="K44" i="9"/>
  <c r="AJ44" i="9" s="1"/>
  <c r="K60" i="9"/>
  <c r="AJ60" i="9" s="1"/>
  <c r="K76" i="9"/>
  <c r="AJ76" i="9" s="1"/>
  <c r="K163" i="9"/>
  <c r="AJ163" i="9" s="1"/>
  <c r="K96" i="9"/>
  <c r="AJ96" i="9" s="1"/>
  <c r="K171" i="9"/>
  <c r="AJ171" i="9" s="1"/>
  <c r="K172" i="9"/>
  <c r="AJ172" i="9" s="1"/>
  <c r="K112" i="9"/>
  <c r="AJ112" i="9" s="1"/>
  <c r="K198" i="9"/>
  <c r="AJ198" i="9" s="1"/>
  <c r="K203" i="9"/>
  <c r="AJ203" i="9" s="1"/>
  <c r="K132" i="9"/>
  <c r="AJ132" i="9" s="1"/>
  <c r="K148" i="9"/>
  <c r="AJ148" i="9" s="1"/>
  <c r="K150" i="9"/>
  <c r="AJ150" i="9" s="1"/>
  <c r="K156" i="9"/>
  <c r="AJ156" i="9" s="1"/>
  <c r="K162" i="9"/>
  <c r="AJ162" i="9" s="1"/>
  <c r="K29" i="9"/>
  <c r="AJ29" i="9" s="1"/>
  <c r="K45" i="9"/>
  <c r="AJ45" i="9" s="1"/>
  <c r="K61" i="9"/>
  <c r="AJ61" i="9" s="1"/>
  <c r="K77" i="9"/>
  <c r="AJ77" i="9" s="1"/>
  <c r="K92" i="9"/>
  <c r="AJ92" i="9" s="1"/>
  <c r="K100" i="9"/>
  <c r="AJ100" i="9" s="1"/>
  <c r="K111" i="9"/>
  <c r="AJ111" i="9" s="1"/>
  <c r="K117" i="9"/>
  <c r="AJ117" i="9" s="1"/>
  <c r="K121" i="9"/>
  <c r="AJ121" i="9" s="1"/>
  <c r="K199" i="9"/>
  <c r="AJ199" i="9" s="1"/>
  <c r="K201" i="9"/>
  <c r="AJ201" i="9" s="1"/>
  <c r="K133" i="9"/>
  <c r="AJ133" i="9" s="1"/>
  <c r="K30" i="9"/>
  <c r="AJ30" i="9" s="1"/>
  <c r="K46" i="9"/>
  <c r="AJ46" i="9" s="1"/>
  <c r="K62" i="9"/>
  <c r="AJ62" i="9" s="1"/>
  <c r="K78" i="9"/>
  <c r="AJ78" i="9" s="1"/>
  <c r="K182" i="9"/>
  <c r="AJ182" i="9" s="1"/>
  <c r="K185" i="9"/>
  <c r="AJ185" i="9" s="1"/>
  <c r="K192" i="9"/>
  <c r="AJ192" i="9" s="1"/>
  <c r="K194" i="9"/>
  <c r="AJ194" i="9" s="1"/>
  <c r="K152" i="9"/>
  <c r="AJ152" i="9" s="1"/>
  <c r="K31" i="9"/>
  <c r="AJ31" i="9" s="1"/>
  <c r="K47" i="9"/>
  <c r="AJ47" i="9" s="1"/>
  <c r="K63" i="9"/>
  <c r="AJ63" i="9" s="1"/>
  <c r="K79" i="9"/>
  <c r="AJ79" i="9" s="1"/>
  <c r="K164" i="9"/>
  <c r="AJ164" i="9" s="1"/>
  <c r="K169" i="9"/>
  <c r="AJ169" i="9" s="1"/>
  <c r="K103" i="9"/>
  <c r="AJ103" i="9" s="1"/>
  <c r="K179" i="9"/>
  <c r="AJ179" i="9" s="1"/>
  <c r="K180" i="9"/>
  <c r="AJ180" i="9" s="1"/>
  <c r="K183" i="9"/>
  <c r="AJ183" i="9" s="1"/>
  <c r="K113" i="9"/>
  <c r="AJ113" i="9" s="1"/>
  <c r="K186" i="9"/>
  <c r="AJ186" i="9" s="1"/>
  <c r="K120" i="9"/>
  <c r="AJ120" i="9" s="1"/>
  <c r="K206" i="9"/>
  <c r="AJ206" i="9" s="1"/>
  <c r="K135" i="9"/>
  <c r="AJ135" i="9" s="1"/>
  <c r="K161" i="9"/>
  <c r="AJ161" i="9" s="1"/>
  <c r="K32" i="9"/>
  <c r="AJ32" i="9" s="1"/>
  <c r="K48" i="9"/>
  <c r="AJ48" i="9" s="1"/>
  <c r="K64" i="9"/>
  <c r="AJ64" i="9" s="1"/>
  <c r="K80" i="9"/>
  <c r="AJ80" i="9" s="1"/>
  <c r="K93" i="9"/>
  <c r="AJ93" i="9" s="1"/>
  <c r="K110" i="9"/>
  <c r="AJ110" i="9" s="1"/>
  <c r="K187" i="9"/>
  <c r="AJ187" i="9" s="1"/>
  <c r="K119" i="9"/>
  <c r="AJ119" i="9" s="1"/>
  <c r="K33" i="9"/>
  <c r="AJ33" i="9" s="1"/>
  <c r="K49" i="9"/>
  <c r="AJ49" i="9" s="1"/>
  <c r="K65" i="9"/>
  <c r="AJ65" i="9" s="1"/>
  <c r="K81" i="9"/>
  <c r="AJ81" i="9" s="1"/>
  <c r="K122" i="9"/>
  <c r="AJ122" i="9" s="1"/>
  <c r="K124" i="9"/>
  <c r="AJ124" i="9" s="1"/>
  <c r="K140" i="9"/>
  <c r="AJ140" i="9" s="1"/>
  <c r="K145" i="9"/>
  <c r="AJ145" i="9" s="1"/>
  <c r="K18" i="9"/>
  <c r="K34" i="9"/>
  <c r="AJ34" i="9" s="1"/>
  <c r="K50" i="9"/>
  <c r="AJ50" i="9" s="1"/>
  <c r="K66" i="9"/>
  <c r="AJ66" i="9" s="1"/>
  <c r="K82" i="9"/>
  <c r="AJ82" i="9" s="1"/>
  <c r="K101" i="9"/>
  <c r="AJ101" i="9" s="1"/>
  <c r="K104" i="9"/>
  <c r="AJ104" i="9" s="1"/>
  <c r="K188" i="9"/>
  <c r="AJ188" i="9" s="1"/>
  <c r="K123" i="9"/>
  <c r="AJ123" i="9" s="1"/>
  <c r="K137" i="9"/>
  <c r="AJ137" i="9" s="1"/>
  <c r="K144" i="9"/>
  <c r="AJ144" i="9" s="1"/>
  <c r="K147" i="9"/>
  <c r="AJ147" i="9" s="1"/>
  <c r="K19" i="9"/>
  <c r="AJ19" i="9" s="1"/>
  <c r="K35" i="9"/>
  <c r="AJ35" i="9" s="1"/>
  <c r="K51" i="9"/>
  <c r="AJ51" i="9" s="1"/>
  <c r="K67" i="9"/>
  <c r="AJ67" i="9" s="1"/>
  <c r="K83" i="9"/>
  <c r="AJ83" i="9" s="1"/>
  <c r="K94" i="9"/>
  <c r="AJ94" i="9" s="1"/>
  <c r="K170" i="9"/>
  <c r="AJ170" i="9" s="1"/>
  <c r="K174" i="9"/>
  <c r="AJ174" i="9" s="1"/>
  <c r="K177" i="9"/>
  <c r="AJ177" i="9" s="1"/>
  <c r="K116" i="9"/>
  <c r="AJ116" i="9" s="1"/>
  <c r="K146" i="9"/>
  <c r="AJ146" i="9" s="1"/>
  <c r="K151" i="9"/>
  <c r="AJ151" i="9" s="1"/>
  <c r="K153" i="9"/>
  <c r="AJ153" i="9" s="1"/>
  <c r="K20" i="9"/>
  <c r="AJ20" i="9" s="1"/>
  <c r="K36" i="9"/>
  <c r="AJ36" i="9" s="1"/>
  <c r="K52" i="9"/>
  <c r="AJ52" i="9" s="1"/>
  <c r="K68" i="9"/>
  <c r="AJ68" i="9" s="1"/>
  <c r="K84" i="9"/>
  <c r="AJ84" i="9" s="1"/>
  <c r="K165" i="9"/>
  <c r="AJ165" i="9" s="1"/>
  <c r="K168" i="9"/>
  <c r="AJ168" i="9" s="1"/>
  <c r="K181" i="9"/>
  <c r="AJ181" i="9" s="1"/>
  <c r="K189" i="9"/>
  <c r="AJ189" i="9" s="1"/>
  <c r="K128" i="9"/>
  <c r="AJ128" i="9" s="1"/>
  <c r="K139" i="9"/>
  <c r="AJ139" i="9" s="1"/>
  <c r="K155" i="9"/>
  <c r="AJ155" i="9" s="1"/>
  <c r="K108" i="9"/>
  <c r="AJ108" i="9" s="1"/>
  <c r="K21" i="9"/>
  <c r="AJ21" i="9" s="1"/>
  <c r="K37" i="9"/>
  <c r="AJ37" i="9" s="1"/>
  <c r="K53" i="9"/>
  <c r="AJ53" i="9" s="1"/>
  <c r="K69" i="9"/>
  <c r="AJ69" i="9" s="1"/>
  <c r="K85" i="9"/>
  <c r="AJ85" i="9" s="1"/>
  <c r="K97" i="9"/>
  <c r="AJ97" i="9" s="1"/>
  <c r="K99" i="9"/>
  <c r="AJ99" i="9" s="1"/>
  <c r="K102" i="9"/>
  <c r="AJ102" i="9" s="1"/>
  <c r="K195" i="9"/>
  <c r="AJ195" i="9" s="1"/>
  <c r="K125" i="9"/>
  <c r="AJ125" i="9" s="1"/>
  <c r="K205" i="9"/>
  <c r="AJ205" i="9" s="1"/>
  <c r="K142" i="9"/>
  <c r="AJ142" i="9" s="1"/>
  <c r="K22" i="9"/>
  <c r="AJ22" i="9" s="1"/>
  <c r="K38" i="9"/>
  <c r="AJ38" i="9" s="1"/>
  <c r="K54" i="9"/>
  <c r="AJ54" i="9" s="1"/>
  <c r="K70" i="9"/>
  <c r="AJ70" i="9" s="1"/>
  <c r="K86" i="9"/>
  <c r="AJ86" i="9" s="1"/>
  <c r="K166" i="9"/>
  <c r="AJ166" i="9" s="1"/>
  <c r="K105" i="9"/>
  <c r="AJ105" i="9" s="1"/>
  <c r="K115" i="9"/>
  <c r="AJ115" i="9" s="1"/>
  <c r="K131" i="9"/>
  <c r="AJ131" i="9" s="1"/>
  <c r="K207" i="9"/>
  <c r="AJ207" i="9" s="1"/>
  <c r="K138" i="9"/>
  <c r="AJ138" i="9" s="1"/>
  <c r="K160" i="9"/>
  <c r="AJ160" i="9" s="1"/>
  <c r="K23" i="9"/>
  <c r="AJ23" i="9" s="1"/>
  <c r="K87" i="9"/>
  <c r="AJ87" i="9" s="1"/>
  <c r="K39" i="9"/>
  <c r="AJ39" i="9" s="1"/>
  <c r="K71" i="9"/>
  <c r="AJ71" i="9" s="1"/>
  <c r="K55" i="9"/>
  <c r="AJ55" i="9" s="1"/>
  <c r="K95" i="9"/>
  <c r="AJ95" i="9" s="1"/>
  <c r="K208" i="9"/>
  <c r="AJ208" i="9" s="1"/>
  <c r="K209" i="9"/>
  <c r="AJ209" i="9" s="1"/>
  <c r="K210" i="9"/>
  <c r="AJ210" i="9" s="1"/>
  <c r="K211" i="9"/>
  <c r="AJ211" i="9" s="1"/>
  <c r="K212" i="9"/>
  <c r="AJ212" i="9" s="1"/>
  <c r="K213" i="9"/>
  <c r="AJ213" i="9" s="1"/>
  <c r="K214" i="9"/>
  <c r="AJ214" i="9" s="1"/>
  <c r="K215" i="9"/>
  <c r="AJ215" i="9" s="1"/>
  <c r="K216" i="9"/>
  <c r="AJ216" i="9" s="1"/>
  <c r="K217" i="9"/>
  <c r="AJ217" i="9" s="1"/>
  <c r="K218" i="9"/>
  <c r="AJ218" i="9" s="1"/>
  <c r="K219" i="9"/>
  <c r="AJ219" i="9" s="1"/>
  <c r="K220" i="9"/>
  <c r="AJ220" i="9" s="1"/>
  <c r="K221" i="9"/>
  <c r="AJ221" i="9" s="1"/>
  <c r="K222" i="9"/>
  <c r="AJ222" i="9" s="1"/>
  <c r="K223" i="9"/>
  <c r="AJ223" i="9" s="1"/>
  <c r="K224" i="9"/>
  <c r="AJ224" i="9" s="1"/>
  <c r="K225" i="9"/>
  <c r="AJ225" i="9" s="1"/>
  <c r="K226" i="9"/>
  <c r="AJ226" i="9" s="1"/>
  <c r="K227" i="9"/>
  <c r="AJ227" i="9" s="1"/>
  <c r="K228" i="9"/>
  <c r="AJ228" i="9" s="1"/>
  <c r="K229" i="9"/>
  <c r="AJ229" i="9" s="1"/>
  <c r="K230" i="9"/>
  <c r="AJ230" i="9" s="1"/>
  <c r="K231" i="9"/>
  <c r="AJ231" i="9" s="1"/>
  <c r="K232" i="9"/>
  <c r="AJ232" i="9" s="1"/>
  <c r="K233" i="9"/>
  <c r="AJ233" i="9" s="1"/>
  <c r="K234" i="9"/>
  <c r="AJ234" i="9" s="1"/>
  <c r="K235" i="9"/>
  <c r="AJ235" i="9" s="1"/>
  <c r="K236" i="9"/>
  <c r="AJ236" i="9" s="1"/>
  <c r="K237" i="9"/>
  <c r="AJ237" i="9" s="1"/>
  <c r="K238" i="9"/>
  <c r="AJ238" i="9" s="1"/>
  <c r="K239" i="9"/>
  <c r="AJ239" i="9" s="1"/>
  <c r="K240" i="9"/>
  <c r="AJ240" i="9" s="1"/>
  <c r="K241" i="9"/>
  <c r="AJ241" i="9" s="1"/>
  <c r="K242" i="9"/>
  <c r="AJ242" i="9" s="1"/>
  <c r="K243" i="9"/>
  <c r="AJ243" i="9" s="1"/>
  <c r="K244" i="9"/>
  <c r="AJ244" i="9" s="1"/>
  <c r="K245" i="9"/>
  <c r="AJ245" i="9" s="1"/>
  <c r="K246" i="9"/>
  <c r="AJ246" i="9" s="1"/>
  <c r="K247" i="9"/>
  <c r="AJ247" i="9" s="1"/>
  <c r="K248" i="9"/>
  <c r="AJ248" i="9" s="1"/>
  <c r="K249" i="9"/>
  <c r="AJ249" i="9" s="1"/>
  <c r="K250" i="9"/>
  <c r="AJ250" i="9" s="1"/>
  <c r="K251" i="9"/>
  <c r="AJ251" i="9" s="1"/>
  <c r="K252" i="9"/>
  <c r="AJ252" i="9" s="1"/>
  <c r="K253" i="9"/>
  <c r="AJ253" i="9" s="1"/>
  <c r="K254" i="9"/>
  <c r="AJ254" i="9" s="1"/>
  <c r="K255" i="9"/>
  <c r="AJ255" i="9" s="1"/>
  <c r="K256" i="9"/>
  <c r="AJ256" i="9" s="1"/>
  <c r="K257" i="9"/>
  <c r="AJ257" i="9" s="1"/>
  <c r="K258" i="9"/>
  <c r="AJ258" i="9" s="1"/>
  <c r="K259" i="9"/>
  <c r="AJ259" i="9" s="1"/>
  <c r="K260" i="9"/>
  <c r="AJ260" i="9" s="1"/>
  <c r="K261" i="9"/>
  <c r="AJ261" i="9" s="1"/>
  <c r="K262" i="9"/>
  <c r="AJ262" i="9" s="1"/>
  <c r="K263" i="9"/>
  <c r="AJ263" i="9" s="1"/>
  <c r="K264" i="9"/>
  <c r="AJ264" i="9" s="1"/>
  <c r="K265" i="9"/>
  <c r="AJ265" i="9" s="1"/>
  <c r="K266" i="9"/>
  <c r="AJ266" i="9" s="1"/>
  <c r="K267" i="9"/>
  <c r="AJ267" i="9" s="1"/>
  <c r="K268" i="9"/>
  <c r="AJ268" i="9" s="1"/>
  <c r="K269" i="9"/>
  <c r="AJ269" i="9" s="1"/>
  <c r="K270" i="9"/>
  <c r="AJ270" i="9" s="1"/>
  <c r="K271" i="9"/>
  <c r="AJ271" i="9" s="1"/>
  <c r="K272" i="9"/>
  <c r="AJ272" i="9" s="1"/>
  <c r="K273" i="9"/>
  <c r="AJ273" i="9" s="1"/>
  <c r="K274" i="9"/>
  <c r="AJ274" i="9" s="1"/>
  <c r="K275" i="9"/>
  <c r="AJ275" i="9" s="1"/>
  <c r="K276" i="9"/>
  <c r="AJ276" i="9" s="1"/>
  <c r="K277" i="9"/>
  <c r="AJ277" i="9" s="1"/>
  <c r="K278" i="9"/>
  <c r="AJ278" i="9" s="1"/>
  <c r="K279" i="9"/>
  <c r="AJ279" i="9" s="1"/>
  <c r="K280" i="9"/>
  <c r="AJ280" i="9" s="1"/>
  <c r="K281" i="9"/>
  <c r="AJ281" i="9" s="1"/>
  <c r="K282" i="9"/>
  <c r="AJ282" i="9" s="1"/>
  <c r="K283" i="9"/>
  <c r="AJ283" i="9" s="1"/>
  <c r="K284" i="9"/>
  <c r="AJ284" i="9" s="1"/>
  <c r="K285" i="9"/>
  <c r="AJ285" i="9" s="1"/>
  <c r="K286" i="9"/>
  <c r="AJ286" i="9" s="1"/>
  <c r="K287" i="9"/>
  <c r="AJ287" i="9" s="1"/>
  <c r="K288" i="9"/>
  <c r="AJ288" i="9" s="1"/>
  <c r="K289" i="9"/>
  <c r="AJ289" i="9" s="1"/>
  <c r="K290" i="9"/>
  <c r="AJ290" i="9" s="1"/>
  <c r="K291" i="9"/>
  <c r="AJ291" i="9" s="1"/>
  <c r="K292" i="9"/>
  <c r="AJ292" i="9" s="1"/>
  <c r="K293" i="9"/>
  <c r="AJ293" i="9" s="1"/>
  <c r="K294" i="9"/>
  <c r="AJ294" i="9" s="1"/>
  <c r="K295" i="9"/>
  <c r="AJ295" i="9" s="1"/>
  <c r="K296" i="9"/>
  <c r="AJ296" i="9" s="1"/>
  <c r="K297" i="9"/>
  <c r="AJ297" i="9" s="1"/>
  <c r="K298" i="9"/>
  <c r="AJ298" i="9" s="1"/>
  <c r="K299" i="9"/>
  <c r="AJ299" i="9" s="1"/>
  <c r="K300" i="9"/>
  <c r="AJ300" i="9" s="1"/>
  <c r="K301" i="9"/>
  <c r="AJ301" i="9" s="1"/>
  <c r="K302" i="9"/>
  <c r="AJ302" i="9" s="1"/>
  <c r="K303" i="9"/>
  <c r="AJ303" i="9" s="1"/>
  <c r="K304" i="9"/>
  <c r="AJ304" i="9" s="1"/>
  <c r="K305" i="9"/>
  <c r="AJ305" i="9" s="1"/>
  <c r="K306" i="9"/>
  <c r="AJ306" i="9" s="1"/>
  <c r="K307" i="9"/>
  <c r="AJ307" i="9" s="1"/>
  <c r="K308" i="9"/>
  <c r="AJ308" i="9" s="1"/>
  <c r="K309" i="9"/>
  <c r="AJ309" i="9" s="1"/>
  <c r="K310" i="9"/>
  <c r="AJ310" i="9" s="1"/>
  <c r="K311" i="9"/>
  <c r="AJ311" i="9" s="1"/>
  <c r="K312" i="9"/>
  <c r="AJ312" i="9" s="1"/>
  <c r="K313" i="9"/>
  <c r="AJ313" i="9" s="1"/>
  <c r="K314" i="9"/>
  <c r="AJ314" i="9" s="1"/>
  <c r="K315" i="9"/>
  <c r="AJ315" i="9" s="1"/>
  <c r="K316" i="9"/>
  <c r="AJ316" i="9" s="1"/>
  <c r="K317" i="9"/>
  <c r="AJ317" i="9" s="1"/>
  <c r="K318" i="9"/>
  <c r="AJ318" i="9" s="1"/>
  <c r="K319" i="9"/>
  <c r="AJ319" i="9" s="1"/>
  <c r="K320" i="9"/>
  <c r="AJ320" i="9" s="1"/>
  <c r="K321" i="9"/>
  <c r="AJ321" i="9" s="1"/>
  <c r="K322" i="9"/>
  <c r="AJ322" i="9" s="1"/>
  <c r="K323" i="9"/>
  <c r="AJ323" i="9" s="1"/>
  <c r="K324" i="9"/>
  <c r="AJ324" i="9" s="1"/>
  <c r="K325" i="9"/>
  <c r="AJ325" i="9" s="1"/>
  <c r="K326" i="9"/>
  <c r="AJ326" i="9" s="1"/>
  <c r="K327" i="9"/>
  <c r="AJ327" i="9" s="1"/>
  <c r="K328" i="9"/>
  <c r="AJ328" i="9" s="1"/>
  <c r="K329" i="9"/>
  <c r="AJ329" i="9" s="1"/>
  <c r="K330" i="9"/>
  <c r="AJ330" i="9" s="1"/>
  <c r="K331" i="9"/>
  <c r="AJ331" i="9" s="1"/>
  <c r="K332" i="9"/>
  <c r="AJ332" i="9" s="1"/>
  <c r="K333" i="9"/>
  <c r="AJ333" i="9" s="1"/>
  <c r="K334" i="9"/>
  <c r="AJ334" i="9" s="1"/>
  <c r="K335" i="9"/>
  <c r="AJ335" i="9" s="1"/>
  <c r="K336" i="9"/>
  <c r="AJ336" i="9" s="1"/>
  <c r="K337" i="9"/>
  <c r="AJ337" i="9" s="1"/>
  <c r="K338" i="9"/>
  <c r="AJ338" i="9" s="1"/>
  <c r="K339" i="9"/>
  <c r="AJ339" i="9" s="1"/>
  <c r="K340" i="9"/>
  <c r="AJ340" i="9" s="1"/>
  <c r="K341" i="9"/>
  <c r="AJ341" i="9" s="1"/>
  <c r="K342" i="9"/>
  <c r="AJ342" i="9" s="1"/>
  <c r="K343" i="9"/>
  <c r="AJ343" i="9" s="1"/>
  <c r="K344" i="9"/>
  <c r="AJ344" i="9" s="1"/>
  <c r="K345" i="9"/>
  <c r="AJ345" i="9" s="1"/>
  <c r="K346" i="9"/>
  <c r="AJ346" i="9" s="1"/>
  <c r="K347" i="9"/>
  <c r="AJ347" i="9" s="1"/>
  <c r="K348" i="9"/>
  <c r="AJ348" i="9" s="1"/>
  <c r="K349" i="9"/>
  <c r="AJ349" i="9" s="1"/>
  <c r="K350" i="9"/>
  <c r="AJ350" i="9" s="1"/>
  <c r="K351" i="9"/>
  <c r="AJ351" i="9" s="1"/>
  <c r="K352" i="9"/>
  <c r="AJ352" i="9" s="1"/>
  <c r="K353" i="9"/>
  <c r="AJ353" i="9" s="1"/>
  <c r="K354" i="9"/>
  <c r="AJ354" i="9" s="1"/>
  <c r="K355" i="9"/>
  <c r="AJ355" i="9" s="1"/>
  <c r="K356" i="9"/>
  <c r="AJ356" i="9" s="1"/>
  <c r="K357" i="9"/>
  <c r="AJ357" i="9" s="1"/>
  <c r="K358" i="9"/>
  <c r="AJ358" i="9" s="1"/>
  <c r="K359" i="9"/>
  <c r="AJ359" i="9" s="1"/>
  <c r="K360" i="9"/>
  <c r="AJ360" i="9" s="1"/>
  <c r="K361" i="9"/>
  <c r="AJ361" i="9" s="1"/>
  <c r="K362" i="9"/>
  <c r="AJ362" i="9" s="1"/>
  <c r="K363" i="9"/>
  <c r="AJ363" i="9" s="1"/>
  <c r="K364" i="9"/>
  <c r="AJ364" i="9" s="1"/>
  <c r="K365" i="9"/>
  <c r="AJ365" i="9" s="1"/>
  <c r="K366" i="9"/>
  <c r="AJ366" i="9" s="1"/>
  <c r="K367" i="9"/>
  <c r="AJ367" i="9" s="1"/>
  <c r="K368" i="9"/>
  <c r="AJ368" i="9" s="1"/>
  <c r="K369" i="9"/>
  <c r="AJ369" i="9" s="1"/>
  <c r="K370" i="9"/>
  <c r="AJ370" i="9" s="1"/>
  <c r="K371" i="9"/>
  <c r="AJ371" i="9" s="1"/>
  <c r="K372" i="9"/>
  <c r="AJ372" i="9" s="1"/>
  <c r="K373" i="9"/>
  <c r="AJ373" i="9" s="1"/>
  <c r="K374" i="9"/>
  <c r="AJ374" i="9" s="1"/>
  <c r="K375" i="9"/>
  <c r="AJ375" i="9" s="1"/>
  <c r="K376" i="9"/>
  <c r="AJ376" i="9" s="1"/>
  <c r="K377" i="9"/>
  <c r="AJ377" i="9" s="1"/>
  <c r="K378" i="9"/>
  <c r="AJ378" i="9" s="1"/>
  <c r="K379" i="9"/>
  <c r="AJ379" i="9" s="1"/>
  <c r="K380" i="9"/>
  <c r="AJ380" i="9" s="1"/>
  <c r="K381" i="9"/>
  <c r="AJ381" i="9" s="1"/>
  <c r="K382" i="9"/>
  <c r="AJ382" i="9" s="1"/>
  <c r="K383" i="9"/>
  <c r="AJ383" i="9" s="1"/>
  <c r="K384" i="9"/>
  <c r="AJ384" i="9" s="1"/>
  <c r="K385" i="9"/>
  <c r="AJ385" i="9" s="1"/>
  <c r="K386" i="9"/>
  <c r="AJ386" i="9" s="1"/>
  <c r="K387" i="9"/>
  <c r="AJ387" i="9" s="1"/>
  <c r="K388" i="9"/>
  <c r="AJ388" i="9" s="1"/>
  <c r="K389" i="9"/>
  <c r="AJ389" i="9" s="1"/>
  <c r="K390" i="9"/>
  <c r="AJ390" i="9" s="1"/>
  <c r="K391" i="9"/>
  <c r="AJ391" i="9" s="1"/>
  <c r="K392" i="9"/>
  <c r="AJ392" i="9" s="1"/>
  <c r="K393" i="9"/>
  <c r="AJ393" i="9" s="1"/>
  <c r="K394" i="9"/>
  <c r="AJ394" i="9" s="1"/>
  <c r="K395" i="9"/>
  <c r="AJ395" i="9" s="1"/>
  <c r="K396" i="9"/>
  <c r="AJ396" i="9" s="1"/>
  <c r="K397" i="9"/>
  <c r="AJ397" i="9" s="1"/>
  <c r="K398" i="9"/>
  <c r="AJ398" i="9" s="1"/>
  <c r="K399" i="9"/>
  <c r="AJ399" i="9" s="1"/>
  <c r="K400" i="9"/>
  <c r="AJ400" i="9" s="1"/>
  <c r="K401" i="9"/>
  <c r="AJ401" i="9" s="1"/>
  <c r="K402" i="9"/>
  <c r="AJ402" i="9" s="1"/>
  <c r="K403" i="9"/>
  <c r="AJ403" i="9" s="1"/>
  <c r="K404" i="9"/>
  <c r="AJ404" i="9" s="1"/>
  <c r="K405" i="9"/>
  <c r="AJ405" i="9" s="1"/>
  <c r="K406" i="9"/>
  <c r="AJ406" i="9" s="1"/>
  <c r="K407" i="9"/>
  <c r="AJ407" i="9" s="1"/>
  <c r="K408" i="9"/>
  <c r="AJ408" i="9" s="1"/>
  <c r="K409" i="9"/>
  <c r="AJ409" i="9" s="1"/>
  <c r="K410" i="9"/>
  <c r="AJ410" i="9" s="1"/>
  <c r="K411" i="9"/>
  <c r="AJ411" i="9" s="1"/>
  <c r="K412" i="9"/>
  <c r="AJ412" i="9" s="1"/>
  <c r="K413" i="9"/>
  <c r="AJ413" i="9" s="1"/>
  <c r="K414" i="9"/>
  <c r="AJ414" i="9" s="1"/>
  <c r="K415" i="9"/>
  <c r="AJ415" i="9" s="1"/>
  <c r="K416" i="9"/>
  <c r="AJ416" i="9" s="1"/>
  <c r="K417" i="9"/>
  <c r="AJ417" i="9" s="1"/>
  <c r="K418" i="9"/>
  <c r="AJ418" i="9" s="1"/>
  <c r="K419" i="9"/>
  <c r="AJ419" i="9" s="1"/>
  <c r="K420" i="9"/>
  <c r="AJ420" i="9" s="1"/>
  <c r="K421" i="9"/>
  <c r="AJ421" i="9" s="1"/>
  <c r="K422" i="9"/>
  <c r="AJ422" i="9" s="1"/>
  <c r="K423" i="9"/>
  <c r="AJ423" i="9" s="1"/>
  <c r="K424" i="9"/>
  <c r="AJ424" i="9" s="1"/>
  <c r="K425" i="9"/>
  <c r="AJ425" i="9" s="1"/>
  <c r="K426" i="9"/>
  <c r="AJ426" i="9" s="1"/>
  <c r="K427" i="9"/>
  <c r="AJ427" i="9" s="1"/>
  <c r="K428" i="9"/>
  <c r="AJ428" i="9" s="1"/>
  <c r="K429" i="9"/>
  <c r="AJ429" i="9" s="1"/>
  <c r="K430" i="9"/>
  <c r="AJ430" i="9" s="1"/>
  <c r="K431" i="9"/>
  <c r="AJ431" i="9" s="1"/>
  <c r="K432" i="9"/>
  <c r="AJ432" i="9" s="1"/>
  <c r="K433" i="9"/>
  <c r="AJ433" i="9" s="1"/>
  <c r="K434" i="9"/>
  <c r="AJ434" i="9" s="1"/>
  <c r="K435" i="9"/>
  <c r="AJ435" i="9" s="1"/>
  <c r="K436" i="9"/>
  <c r="AJ436" i="9" s="1"/>
  <c r="K437" i="9"/>
  <c r="AJ437" i="9" s="1"/>
  <c r="K438" i="9"/>
  <c r="AJ438" i="9" s="1"/>
  <c r="K439" i="9"/>
  <c r="AJ439" i="9" s="1"/>
  <c r="K440" i="9"/>
  <c r="AJ440" i="9" s="1"/>
  <c r="K441" i="9"/>
  <c r="AJ441" i="9" s="1"/>
  <c r="K442" i="9"/>
  <c r="AJ442" i="9" s="1"/>
  <c r="K443" i="9"/>
  <c r="AJ443" i="9" s="1"/>
  <c r="K444" i="9"/>
  <c r="AJ444" i="9" s="1"/>
  <c r="K445" i="9"/>
  <c r="AJ445" i="9" s="1"/>
  <c r="K446" i="9"/>
  <c r="AJ446" i="9" s="1"/>
  <c r="K447" i="9"/>
  <c r="AJ447" i="9" s="1"/>
  <c r="K448" i="9"/>
  <c r="AJ448" i="9" s="1"/>
  <c r="K449" i="9"/>
  <c r="AJ449" i="9" s="1"/>
  <c r="K450" i="9"/>
  <c r="AJ450" i="9" s="1"/>
  <c r="K451" i="9"/>
  <c r="AJ451" i="9" s="1"/>
  <c r="K452" i="9"/>
  <c r="AJ452" i="9" s="1"/>
  <c r="K453" i="9"/>
  <c r="AJ453" i="9" s="1"/>
  <c r="K454" i="9"/>
  <c r="AJ454" i="9" s="1"/>
  <c r="K455" i="9"/>
  <c r="AJ455" i="9" s="1"/>
  <c r="K456" i="9"/>
  <c r="AJ456" i="9" s="1"/>
  <c r="K457" i="9"/>
  <c r="AJ457" i="9" s="1"/>
  <c r="K458" i="9"/>
  <c r="AJ458" i="9" s="1"/>
  <c r="K459" i="9"/>
  <c r="AJ459" i="9" s="1"/>
  <c r="K460" i="9"/>
  <c r="AJ460" i="9" s="1"/>
  <c r="K461" i="9"/>
  <c r="AJ461" i="9" s="1"/>
  <c r="K462" i="9"/>
  <c r="AJ462" i="9" s="1"/>
  <c r="K463" i="9"/>
  <c r="AJ463" i="9" s="1"/>
  <c r="K464" i="9"/>
  <c r="AJ464" i="9" s="1"/>
  <c r="K465" i="9"/>
  <c r="AJ465" i="9" s="1"/>
  <c r="K466" i="9"/>
  <c r="AJ466" i="9" s="1"/>
  <c r="K467" i="9"/>
  <c r="AJ467" i="9" s="1"/>
  <c r="K468" i="9"/>
  <c r="AJ468" i="9" s="1"/>
  <c r="K469" i="9"/>
  <c r="AJ469" i="9" s="1"/>
  <c r="K470" i="9"/>
  <c r="AJ470" i="9" s="1"/>
  <c r="K471" i="9"/>
  <c r="AJ471" i="9" s="1"/>
  <c r="K472" i="9"/>
  <c r="AJ472" i="9" s="1"/>
  <c r="K473" i="9"/>
  <c r="AJ473" i="9" s="1"/>
  <c r="K474" i="9"/>
  <c r="AJ474" i="9" s="1"/>
  <c r="K475" i="9"/>
  <c r="AJ475" i="9" s="1"/>
  <c r="K476" i="9"/>
  <c r="AJ476" i="9" s="1"/>
  <c r="K477" i="9"/>
  <c r="AJ477" i="9" s="1"/>
  <c r="K478" i="9"/>
  <c r="AJ478" i="9" s="1"/>
  <c r="K479" i="9"/>
  <c r="AJ479" i="9" s="1"/>
  <c r="K480" i="9"/>
  <c r="AJ480" i="9" s="1"/>
  <c r="K481" i="9"/>
  <c r="AJ481" i="9" s="1"/>
  <c r="K482" i="9"/>
  <c r="AJ482" i="9" s="1"/>
  <c r="K483" i="9"/>
  <c r="AJ483" i="9" s="1"/>
  <c r="K484" i="9"/>
  <c r="AJ484" i="9" s="1"/>
  <c r="K485" i="9"/>
  <c r="AJ485" i="9" s="1"/>
  <c r="K486" i="9"/>
  <c r="AJ486" i="9" s="1"/>
  <c r="K487" i="9"/>
  <c r="AJ487" i="9" s="1"/>
  <c r="K488" i="9"/>
  <c r="AJ488" i="9" s="1"/>
  <c r="K489" i="9"/>
  <c r="AJ489" i="9" s="1"/>
  <c r="K490" i="9"/>
  <c r="AJ490" i="9" s="1"/>
  <c r="K491" i="9"/>
  <c r="AJ491" i="9" s="1"/>
  <c r="K492" i="9"/>
  <c r="AJ492" i="9" s="1"/>
  <c r="K493" i="9"/>
  <c r="AJ493" i="9" s="1"/>
  <c r="K494" i="9"/>
  <c r="AJ494" i="9" s="1"/>
  <c r="K495" i="9"/>
  <c r="AJ495" i="9" s="1"/>
  <c r="K496" i="9"/>
  <c r="AJ496" i="9" s="1"/>
  <c r="K497" i="9"/>
  <c r="AJ497" i="9" s="1"/>
  <c r="K498" i="9"/>
  <c r="AJ498" i="9" s="1"/>
  <c r="K499" i="9"/>
  <c r="AJ499" i="9" s="1"/>
  <c r="K500" i="9"/>
  <c r="AJ500" i="9" s="1"/>
  <c r="K501" i="9"/>
  <c r="AJ501" i="9" s="1"/>
  <c r="K502" i="9"/>
  <c r="AJ502" i="9" s="1"/>
  <c r="K503" i="9"/>
  <c r="AJ503" i="9" s="1"/>
  <c r="K504" i="9"/>
  <c r="AJ504" i="9" s="1"/>
  <c r="K505" i="9"/>
  <c r="AJ505" i="9" s="1"/>
  <c r="K506" i="9"/>
  <c r="AJ506" i="9" s="1"/>
  <c r="K507" i="9"/>
  <c r="AJ507" i="9" s="1"/>
  <c r="K508" i="9"/>
  <c r="AJ508" i="9" s="1"/>
  <c r="K509" i="9"/>
  <c r="AJ509" i="9" s="1"/>
  <c r="K510" i="9"/>
  <c r="AJ510" i="9" s="1"/>
  <c r="K511" i="9"/>
  <c r="AJ511" i="9" s="1"/>
  <c r="K512" i="9"/>
  <c r="AJ512" i="9" s="1"/>
  <c r="K513" i="9"/>
  <c r="AJ513" i="9" s="1"/>
  <c r="K514" i="9"/>
  <c r="AJ514" i="9" s="1"/>
  <c r="K515" i="9"/>
  <c r="AJ515" i="9" s="1"/>
  <c r="K516" i="9"/>
  <c r="AJ516" i="9" s="1"/>
  <c r="K517" i="9"/>
  <c r="AJ517" i="9" s="1"/>
  <c r="K518" i="9"/>
  <c r="AJ518" i="9" s="1"/>
  <c r="K519" i="9"/>
  <c r="AJ519" i="9" s="1"/>
  <c r="K520" i="9"/>
  <c r="AJ520" i="9" s="1"/>
  <c r="K521" i="9"/>
  <c r="AJ521" i="9" s="1"/>
  <c r="K522" i="9"/>
  <c r="AJ522" i="9" s="1"/>
  <c r="K523" i="9"/>
  <c r="AJ523" i="9" s="1"/>
  <c r="K524" i="9"/>
  <c r="AJ524" i="9" s="1"/>
  <c r="K525" i="9"/>
  <c r="AJ525" i="9" s="1"/>
  <c r="K526" i="9"/>
  <c r="AJ526" i="9" s="1"/>
  <c r="K527" i="9"/>
  <c r="AJ527" i="9" s="1"/>
  <c r="K528" i="9"/>
  <c r="AJ528" i="9" s="1"/>
  <c r="K529" i="9"/>
  <c r="AJ529" i="9" s="1"/>
  <c r="K530" i="9"/>
  <c r="AJ530" i="9" s="1"/>
  <c r="K531" i="9"/>
  <c r="AJ531" i="9" s="1"/>
  <c r="K532" i="9"/>
  <c r="AJ532" i="9" s="1"/>
  <c r="K533" i="9"/>
  <c r="AJ533" i="9" s="1"/>
  <c r="K534" i="9"/>
  <c r="AJ534" i="9" s="1"/>
  <c r="K535" i="9"/>
  <c r="AJ535" i="9" s="1"/>
  <c r="K536" i="9"/>
  <c r="AJ536" i="9" s="1"/>
  <c r="K537" i="9"/>
  <c r="AJ537" i="9" s="1"/>
  <c r="K538" i="9"/>
  <c r="AJ538" i="9" s="1"/>
  <c r="K539" i="9"/>
  <c r="AJ539" i="9" s="1"/>
  <c r="K540" i="9"/>
  <c r="AJ540" i="9" s="1"/>
  <c r="K541" i="9"/>
  <c r="AJ541" i="9" s="1"/>
  <c r="K542" i="9"/>
  <c r="AJ542" i="9" s="1"/>
  <c r="K543" i="9"/>
  <c r="AJ543" i="9" s="1"/>
  <c r="K544" i="9"/>
  <c r="AJ544" i="9" s="1"/>
  <c r="K545" i="9"/>
  <c r="AJ545" i="9" s="1"/>
  <c r="K546" i="9"/>
  <c r="AJ546" i="9" s="1"/>
  <c r="K547" i="9"/>
  <c r="AJ547" i="9" s="1"/>
  <c r="K548" i="9"/>
  <c r="AJ548" i="9" s="1"/>
  <c r="K549" i="9"/>
  <c r="AJ549" i="9" s="1"/>
  <c r="K550" i="9"/>
  <c r="AJ550" i="9" s="1"/>
  <c r="K551" i="9"/>
  <c r="AJ551" i="9" s="1"/>
  <c r="K552" i="9"/>
  <c r="AJ552" i="9" s="1"/>
  <c r="K553" i="9"/>
  <c r="AJ553" i="9" s="1"/>
  <c r="K554" i="9"/>
  <c r="AJ554" i="9" s="1"/>
  <c r="K555" i="9"/>
  <c r="AJ555" i="9" s="1"/>
  <c r="K556" i="9"/>
  <c r="AJ556" i="9" s="1"/>
  <c r="K557" i="9"/>
  <c r="AJ557" i="9" s="1"/>
  <c r="K558" i="9"/>
  <c r="AJ558" i="9" s="1"/>
  <c r="K559" i="9"/>
  <c r="AJ559" i="9" s="1"/>
  <c r="K560" i="9"/>
  <c r="AJ560" i="9" s="1"/>
  <c r="K561" i="9"/>
  <c r="AJ561" i="9" s="1"/>
  <c r="K562" i="9"/>
  <c r="AJ562" i="9" s="1"/>
  <c r="K563" i="9"/>
  <c r="AJ563" i="9" s="1"/>
  <c r="K564" i="9"/>
  <c r="AJ564" i="9" s="1"/>
  <c r="K565" i="9"/>
  <c r="AJ565" i="9" s="1"/>
  <c r="K566" i="9"/>
  <c r="AJ566" i="9" s="1"/>
  <c r="K567" i="9"/>
  <c r="AJ567" i="9" s="1"/>
  <c r="K568" i="9"/>
  <c r="AJ568" i="9" s="1"/>
  <c r="K569" i="9"/>
  <c r="AJ569" i="9" s="1"/>
  <c r="K570" i="9"/>
  <c r="AJ570" i="9" s="1"/>
  <c r="K571" i="9"/>
  <c r="AJ571" i="9" s="1"/>
  <c r="K572" i="9"/>
  <c r="AJ572" i="9" s="1"/>
  <c r="K573" i="9"/>
  <c r="AJ573" i="9" s="1"/>
  <c r="K574" i="9"/>
  <c r="AJ574" i="9" s="1"/>
  <c r="K575" i="9"/>
  <c r="AJ575" i="9" s="1"/>
  <c r="K576" i="9"/>
  <c r="AJ576" i="9" s="1"/>
  <c r="K577" i="9"/>
  <c r="AJ577" i="9" s="1"/>
  <c r="K578" i="9"/>
  <c r="AJ578" i="9" s="1"/>
  <c r="K579" i="9"/>
  <c r="AJ579" i="9" s="1"/>
  <c r="K580" i="9"/>
  <c r="AJ580" i="9" s="1"/>
  <c r="K581" i="9"/>
  <c r="AJ581" i="9" s="1"/>
  <c r="K582" i="9"/>
  <c r="AJ582" i="9" s="1"/>
  <c r="K583" i="9"/>
  <c r="AJ583" i="9" s="1"/>
  <c r="K584" i="9"/>
  <c r="AJ584" i="9" s="1"/>
  <c r="K585" i="9"/>
  <c r="AJ585" i="9" s="1"/>
  <c r="K586" i="9"/>
  <c r="AJ586" i="9" s="1"/>
  <c r="K587" i="9"/>
  <c r="AJ587" i="9" s="1"/>
  <c r="K588" i="9"/>
  <c r="AJ588" i="9" s="1"/>
  <c r="K589" i="9"/>
  <c r="AJ589" i="9" s="1"/>
  <c r="K590" i="9"/>
  <c r="AJ590" i="9" s="1"/>
  <c r="K591" i="9"/>
  <c r="AJ591" i="9" s="1"/>
  <c r="K592" i="9"/>
  <c r="AJ592" i="9" s="1"/>
  <c r="K593" i="9"/>
  <c r="AJ593" i="9" s="1"/>
  <c r="K594" i="9"/>
  <c r="AJ594" i="9" s="1"/>
  <c r="K595" i="9"/>
  <c r="AJ595" i="9" s="1"/>
  <c r="K596" i="9"/>
  <c r="AJ596" i="9" s="1"/>
  <c r="K597" i="9"/>
  <c r="AJ597" i="9" s="1"/>
  <c r="K598" i="9"/>
  <c r="AJ598" i="9" s="1"/>
  <c r="K599" i="9"/>
  <c r="AJ599" i="9" s="1"/>
  <c r="K600" i="9"/>
  <c r="AJ600" i="9" s="1"/>
  <c r="K601" i="9"/>
  <c r="AJ601" i="9" s="1"/>
  <c r="K602" i="9"/>
  <c r="AJ602" i="9" s="1"/>
  <c r="K603" i="9"/>
  <c r="AJ603" i="9" s="1"/>
  <c r="K604" i="9"/>
  <c r="AJ604" i="9" s="1"/>
  <c r="K605" i="9"/>
  <c r="AJ605" i="9" s="1"/>
  <c r="K606" i="9"/>
  <c r="AJ606" i="9" s="1"/>
  <c r="K607" i="9"/>
  <c r="AJ607" i="9" s="1"/>
  <c r="K608" i="9"/>
  <c r="AJ608" i="9" s="1"/>
  <c r="K609" i="9"/>
  <c r="AJ609" i="9" s="1"/>
  <c r="K610" i="9"/>
  <c r="AJ610" i="9" s="1"/>
  <c r="K611" i="9"/>
  <c r="K612" i="9"/>
  <c r="K613" i="9"/>
  <c r="K614" i="9"/>
  <c r="K615" i="9"/>
  <c r="K616" i="9"/>
  <c r="K617" i="9"/>
  <c r="K618" i="9"/>
  <c r="K619" i="9"/>
  <c r="K620" i="9"/>
  <c r="K621" i="9"/>
  <c r="K622" i="9"/>
  <c r="K623" i="9"/>
  <c r="K624" i="9"/>
  <c r="K625" i="9"/>
  <c r="K626" i="9"/>
  <c r="K627" i="9"/>
  <c r="K628" i="9"/>
  <c r="K629" i="9"/>
  <c r="K630" i="9"/>
  <c r="K631" i="9"/>
  <c r="K632" i="9"/>
  <c r="K633" i="9"/>
  <c r="K634" i="9"/>
  <c r="K635" i="9"/>
  <c r="K636" i="9"/>
  <c r="K637" i="9"/>
  <c r="K638" i="9"/>
  <c r="K639" i="9"/>
  <c r="K640" i="9"/>
  <c r="K641" i="9"/>
  <c r="K642" i="9"/>
  <c r="K643" i="9"/>
  <c r="K644" i="9"/>
  <c r="K645" i="9"/>
  <c r="K646" i="9"/>
  <c r="K647" i="9"/>
  <c r="K648" i="9"/>
  <c r="K649" i="9"/>
  <c r="K650" i="9"/>
  <c r="K651" i="9"/>
  <c r="K652" i="9"/>
  <c r="K653" i="9"/>
  <c r="K654" i="9"/>
  <c r="K655" i="9"/>
  <c r="K656" i="9"/>
  <c r="K657" i="9"/>
  <c r="K658" i="9"/>
  <c r="K659" i="9"/>
  <c r="K660" i="9"/>
  <c r="K661" i="9"/>
  <c r="K662" i="9"/>
  <c r="K663" i="9"/>
  <c r="K664" i="9"/>
  <c r="K665" i="9"/>
  <c r="K666" i="9"/>
  <c r="K667" i="9"/>
  <c r="K668" i="9"/>
  <c r="K669" i="9"/>
  <c r="K670" i="9"/>
  <c r="K671" i="9"/>
  <c r="K672" i="9"/>
  <c r="K673" i="9"/>
  <c r="K674" i="9"/>
  <c r="K675" i="9"/>
  <c r="K676" i="9"/>
  <c r="K677" i="9"/>
  <c r="K678" i="9"/>
  <c r="K679" i="9"/>
  <c r="K680" i="9"/>
  <c r="K681" i="9"/>
  <c r="K682" i="9"/>
  <c r="K683" i="9"/>
  <c r="K684" i="9"/>
  <c r="K685" i="9"/>
  <c r="K686" i="9"/>
  <c r="K687" i="9"/>
  <c r="K688" i="9"/>
  <c r="K689" i="9"/>
  <c r="K690" i="9"/>
  <c r="K691" i="9"/>
  <c r="K692" i="9"/>
  <c r="K693" i="9"/>
  <c r="K694" i="9"/>
  <c r="K695" i="9"/>
  <c r="K696" i="9"/>
  <c r="K697" i="9"/>
  <c r="K698" i="9"/>
  <c r="K699" i="9"/>
  <c r="K700" i="9"/>
  <c r="K701" i="9"/>
  <c r="K702" i="9"/>
  <c r="K703" i="9"/>
  <c r="K704" i="9"/>
  <c r="K705" i="9"/>
  <c r="K706" i="9"/>
  <c r="K707" i="9"/>
  <c r="K708" i="9"/>
  <c r="K709" i="9"/>
  <c r="K710" i="9"/>
  <c r="K711" i="9"/>
  <c r="K712" i="9"/>
  <c r="K713" i="9"/>
  <c r="K714" i="9"/>
  <c r="K715" i="9"/>
  <c r="K716" i="9"/>
  <c r="K717" i="9"/>
  <c r="K718" i="9"/>
  <c r="K719" i="9"/>
  <c r="K720" i="9"/>
  <c r="K721" i="9"/>
  <c r="K722" i="9"/>
  <c r="K723" i="9"/>
  <c r="K724" i="9"/>
  <c r="K725" i="9"/>
  <c r="K726" i="9"/>
  <c r="K727" i="9"/>
  <c r="K728" i="9"/>
  <c r="K729" i="9"/>
  <c r="K730" i="9"/>
  <c r="K731" i="9"/>
  <c r="K732" i="9"/>
  <c r="K733" i="9"/>
  <c r="K734" i="9"/>
  <c r="K735" i="9"/>
  <c r="K736" i="9"/>
  <c r="K737" i="9"/>
  <c r="K738" i="9"/>
  <c r="K739" i="9"/>
  <c r="K740" i="9"/>
  <c r="K741" i="9"/>
  <c r="K742" i="9"/>
  <c r="K743" i="9"/>
  <c r="K744" i="9"/>
  <c r="K745" i="9"/>
  <c r="K746" i="9"/>
  <c r="K747" i="9"/>
  <c r="K748" i="9"/>
  <c r="K749" i="9"/>
  <c r="K750" i="9"/>
  <c r="K751" i="9"/>
  <c r="K752" i="9"/>
  <c r="K753" i="9"/>
  <c r="K754" i="9"/>
  <c r="K755" i="9"/>
  <c r="K756" i="9"/>
  <c r="K757" i="9"/>
  <c r="K758" i="9"/>
  <c r="K759" i="9"/>
  <c r="K760" i="9"/>
  <c r="K761" i="9"/>
  <c r="K762" i="9"/>
  <c r="K763" i="9"/>
  <c r="K764" i="9"/>
  <c r="K765" i="9"/>
  <c r="K766" i="9"/>
  <c r="K767" i="9"/>
  <c r="K768" i="9"/>
  <c r="K769" i="9"/>
  <c r="K770" i="9"/>
  <c r="K771" i="9"/>
  <c r="K772" i="9"/>
  <c r="K773" i="9"/>
  <c r="K774" i="9"/>
  <c r="K775" i="9"/>
  <c r="K776" i="9"/>
  <c r="K777" i="9"/>
  <c r="K778" i="9"/>
  <c r="K779" i="9"/>
  <c r="K780" i="9"/>
  <c r="K781" i="9"/>
  <c r="K782" i="9"/>
  <c r="K783" i="9"/>
  <c r="K784" i="9"/>
  <c r="K785" i="9"/>
  <c r="K786" i="9"/>
  <c r="K787" i="9"/>
  <c r="K788" i="9"/>
  <c r="K789" i="9"/>
  <c r="K790" i="9"/>
  <c r="K791" i="9"/>
  <c r="K792" i="9"/>
  <c r="K793" i="9"/>
  <c r="K794" i="9"/>
  <c r="K795" i="9"/>
  <c r="K796" i="9"/>
  <c r="K797" i="9"/>
  <c r="K798" i="9"/>
  <c r="K799" i="9"/>
  <c r="K800" i="9"/>
  <c r="K801" i="9"/>
  <c r="K802" i="9"/>
  <c r="K803" i="9"/>
  <c r="K804" i="9"/>
  <c r="K805" i="9"/>
  <c r="K806" i="9"/>
  <c r="K807" i="9"/>
  <c r="K808" i="9"/>
  <c r="K809" i="9"/>
  <c r="K810" i="9"/>
  <c r="K811" i="9"/>
  <c r="K812" i="9"/>
  <c r="K813" i="9"/>
  <c r="K814" i="9"/>
  <c r="K815" i="9"/>
  <c r="K816" i="9"/>
  <c r="K817" i="9"/>
  <c r="K818" i="9"/>
  <c r="K819" i="9"/>
  <c r="K820" i="9"/>
  <c r="K821" i="9"/>
  <c r="K822" i="9"/>
  <c r="K823" i="9"/>
  <c r="K824" i="9"/>
  <c r="K825" i="9"/>
  <c r="K826" i="9"/>
  <c r="K827" i="9"/>
  <c r="K828" i="9"/>
  <c r="K829" i="9"/>
  <c r="K830" i="9"/>
  <c r="K831" i="9"/>
  <c r="K832" i="9"/>
  <c r="K833" i="9"/>
  <c r="K834" i="9"/>
  <c r="K835" i="9"/>
  <c r="K836" i="9"/>
  <c r="K837" i="9"/>
  <c r="K838" i="9"/>
  <c r="K839" i="9"/>
  <c r="K840" i="9"/>
  <c r="K841" i="9"/>
  <c r="K842" i="9"/>
  <c r="K843" i="9"/>
  <c r="K844" i="9"/>
  <c r="K845" i="9"/>
  <c r="K846" i="9"/>
  <c r="K847" i="9"/>
  <c r="K848" i="9"/>
  <c r="K849" i="9"/>
  <c r="K850" i="9"/>
  <c r="K851" i="9"/>
  <c r="K852" i="9"/>
  <c r="K853" i="9"/>
  <c r="K854" i="9"/>
  <c r="K855" i="9"/>
  <c r="K856" i="9"/>
  <c r="K857" i="9"/>
  <c r="K858" i="9"/>
  <c r="K859" i="9"/>
  <c r="K860" i="9"/>
  <c r="K861" i="9"/>
  <c r="K862" i="9"/>
  <c r="K863" i="9"/>
  <c r="K864" i="9"/>
  <c r="K865" i="9"/>
  <c r="K866" i="9"/>
  <c r="K867" i="9"/>
  <c r="K868" i="9"/>
  <c r="K869" i="9"/>
  <c r="K870" i="9"/>
  <c r="K871" i="9"/>
  <c r="K872" i="9"/>
  <c r="K873" i="9"/>
  <c r="K874" i="9"/>
  <c r="K875" i="9"/>
  <c r="K876" i="9"/>
  <c r="K877" i="9"/>
  <c r="K878" i="9"/>
  <c r="K879" i="9"/>
  <c r="K880" i="9"/>
  <c r="K881" i="9"/>
  <c r="K882" i="9"/>
  <c r="K883" i="9"/>
  <c r="K884" i="9"/>
  <c r="K885" i="9"/>
  <c r="K886" i="9"/>
  <c r="K887" i="9"/>
  <c r="K888" i="9"/>
  <c r="K889" i="9"/>
  <c r="K890" i="9"/>
  <c r="K891" i="9"/>
  <c r="K892" i="9"/>
  <c r="K893" i="9"/>
  <c r="K894" i="9"/>
  <c r="K895" i="9"/>
  <c r="K896" i="9"/>
  <c r="K897" i="9"/>
  <c r="K898" i="9"/>
  <c r="K899" i="9"/>
  <c r="K900" i="9"/>
  <c r="K901" i="9"/>
  <c r="K902" i="9"/>
  <c r="K903" i="9"/>
  <c r="K904" i="9"/>
  <c r="K905" i="9"/>
  <c r="K906" i="9"/>
  <c r="K907" i="9"/>
  <c r="K908" i="9"/>
  <c r="K909" i="9"/>
  <c r="K910" i="9"/>
  <c r="K911" i="9"/>
  <c r="K912" i="9"/>
  <c r="K913" i="9"/>
  <c r="K914" i="9"/>
  <c r="K915" i="9"/>
  <c r="K916" i="9"/>
  <c r="K917" i="9"/>
  <c r="K918" i="9"/>
  <c r="K919" i="9"/>
  <c r="K920" i="9"/>
  <c r="K921" i="9"/>
  <c r="K922" i="9"/>
  <c r="K923" i="9"/>
  <c r="K924" i="9"/>
  <c r="K925" i="9"/>
  <c r="K926" i="9"/>
  <c r="K927" i="9"/>
  <c r="K928" i="9"/>
  <c r="K929" i="9"/>
  <c r="K930" i="9"/>
  <c r="K931" i="9"/>
  <c r="K932" i="9"/>
  <c r="K933" i="9"/>
  <c r="K934" i="9"/>
  <c r="K935" i="9"/>
  <c r="K936" i="9"/>
  <c r="K937" i="9"/>
  <c r="K938" i="9"/>
  <c r="K939" i="9"/>
  <c r="K940" i="9"/>
  <c r="K941" i="9"/>
  <c r="K942" i="9"/>
  <c r="K943" i="9"/>
  <c r="K944" i="9"/>
  <c r="K945" i="9"/>
  <c r="K946" i="9"/>
  <c r="K947" i="9"/>
  <c r="K948" i="9"/>
  <c r="K949" i="9"/>
  <c r="K950" i="9"/>
  <c r="K951" i="9"/>
  <c r="K952" i="9"/>
  <c r="K953" i="9"/>
  <c r="K954" i="9"/>
  <c r="K955" i="9"/>
  <c r="K956" i="9"/>
  <c r="K957" i="9"/>
  <c r="K958" i="9"/>
  <c r="K959" i="9"/>
  <c r="K960" i="9"/>
  <c r="K961" i="9"/>
  <c r="K962" i="9"/>
  <c r="K963" i="9"/>
  <c r="K964" i="9"/>
  <c r="K965" i="9"/>
  <c r="K966" i="9"/>
  <c r="K967" i="9"/>
  <c r="K968" i="9"/>
  <c r="K969" i="9"/>
  <c r="K970" i="9"/>
  <c r="K971" i="9"/>
  <c r="K972" i="9"/>
  <c r="K973" i="9"/>
  <c r="K974" i="9"/>
  <c r="K975" i="9"/>
  <c r="K976" i="9"/>
  <c r="K977" i="9"/>
  <c r="K978" i="9"/>
  <c r="K979" i="9"/>
  <c r="K980" i="9"/>
  <c r="K981" i="9"/>
  <c r="K982" i="9"/>
  <c r="K983" i="9"/>
  <c r="K984" i="9"/>
  <c r="K985" i="9"/>
  <c r="K986" i="9"/>
  <c r="K987" i="9"/>
  <c r="K988" i="9"/>
  <c r="K989" i="9"/>
  <c r="K990" i="9"/>
  <c r="K991" i="9"/>
  <c r="K992" i="9"/>
  <c r="K993" i="9"/>
  <c r="K994" i="9"/>
  <c r="K995" i="9"/>
  <c r="K996" i="9"/>
  <c r="K997" i="9"/>
  <c r="K998" i="9"/>
  <c r="K999" i="9"/>
  <c r="K1000" i="9"/>
  <c r="K1001" i="9"/>
  <c r="K1002" i="9"/>
  <c r="K1003" i="9"/>
  <c r="K1004" i="9"/>
  <c r="K1005" i="9"/>
  <c r="K1006" i="9"/>
  <c r="K1007" i="9"/>
  <c r="K1008" i="9"/>
  <c r="K1009" i="9"/>
  <c r="K1010" i="9"/>
  <c r="K1011" i="9"/>
  <c r="K1012" i="9"/>
  <c r="K1013" i="9"/>
  <c r="K1014" i="9"/>
  <c r="K1015" i="9"/>
  <c r="K1016" i="9"/>
  <c r="K1017" i="9"/>
  <c r="K1018" i="9"/>
  <c r="K1019" i="9"/>
  <c r="K1020" i="9"/>
  <c r="K1021" i="9"/>
  <c r="K1022" i="9"/>
  <c r="K1023" i="9"/>
  <c r="K1024" i="9"/>
  <c r="K1025" i="9"/>
  <c r="K1026" i="9"/>
  <c r="K1027" i="9"/>
  <c r="K1028" i="9"/>
  <c r="K1029" i="9"/>
  <c r="K1030" i="9"/>
  <c r="K1031" i="9"/>
  <c r="K1032" i="9"/>
  <c r="K1033" i="9"/>
  <c r="K1034" i="9"/>
  <c r="K1035" i="9"/>
  <c r="K1036" i="9"/>
  <c r="K1037" i="9"/>
  <c r="K1038" i="9"/>
  <c r="K1039" i="9"/>
  <c r="K1040" i="9"/>
  <c r="K1041" i="9"/>
  <c r="K1042" i="9"/>
  <c r="K1043" i="9"/>
  <c r="K1044" i="9"/>
  <c r="K1045" i="9"/>
  <c r="K1046" i="9"/>
  <c r="K1047" i="9"/>
  <c r="K1048" i="9"/>
  <c r="K1049" i="9"/>
  <c r="K1050" i="9"/>
  <c r="K1051" i="9"/>
  <c r="K1052" i="9"/>
  <c r="K1053" i="9"/>
  <c r="K1054" i="9"/>
  <c r="K1055" i="9"/>
  <c r="K1056" i="9"/>
  <c r="K1057" i="9"/>
  <c r="K1058" i="9"/>
  <c r="K1059" i="9"/>
  <c r="K1060" i="9"/>
  <c r="K1061" i="9"/>
  <c r="K1062" i="9"/>
  <c r="K1063" i="9"/>
  <c r="K1064" i="9"/>
  <c r="K1065" i="9"/>
  <c r="K1066" i="9"/>
  <c r="K1067" i="9"/>
  <c r="K1068" i="9"/>
  <c r="K1069" i="9"/>
  <c r="K1070" i="9"/>
  <c r="K1071" i="9"/>
  <c r="K1072" i="9"/>
  <c r="K1073" i="9"/>
  <c r="K1074" i="9"/>
  <c r="K1075" i="9"/>
  <c r="K1076" i="9"/>
  <c r="K1077" i="9"/>
  <c r="K1078" i="9"/>
  <c r="K1079" i="9"/>
  <c r="K1080" i="9"/>
  <c r="K1081" i="9"/>
  <c r="K1082" i="9"/>
  <c r="K1083" i="9"/>
  <c r="K1084" i="9"/>
  <c r="K1085" i="9"/>
  <c r="K1086" i="9"/>
  <c r="K1087" i="9"/>
  <c r="K1088" i="9"/>
  <c r="K1089" i="9"/>
  <c r="K1090" i="9"/>
  <c r="K1091" i="9"/>
  <c r="K1092" i="9"/>
  <c r="K1093" i="9"/>
  <c r="K1094" i="9"/>
  <c r="K1095" i="9"/>
  <c r="K1096" i="9"/>
  <c r="K1097" i="9"/>
  <c r="K1098" i="9"/>
  <c r="K1099" i="9"/>
  <c r="K1100" i="9"/>
  <c r="K1101" i="9"/>
  <c r="K1102" i="9"/>
  <c r="K1103" i="9"/>
  <c r="K1104" i="9"/>
  <c r="K1105" i="9"/>
  <c r="K1106" i="9"/>
  <c r="K1107" i="9"/>
  <c r="K1108" i="9"/>
  <c r="K1109" i="9"/>
  <c r="K1110" i="9"/>
  <c r="K1111" i="9"/>
  <c r="K1112" i="9"/>
  <c r="K1113" i="9"/>
  <c r="K1114" i="9"/>
  <c r="K1115" i="9"/>
  <c r="K1116" i="9"/>
  <c r="K1117" i="9"/>
  <c r="K1118" i="9"/>
  <c r="K1119" i="9"/>
  <c r="K1120" i="9"/>
  <c r="K1121" i="9"/>
  <c r="K1122" i="9"/>
  <c r="K1123" i="9"/>
  <c r="K1124" i="9"/>
  <c r="K1125" i="9"/>
  <c r="K1126" i="9"/>
  <c r="K1127" i="9"/>
  <c r="K1128" i="9"/>
  <c r="K1129" i="9"/>
  <c r="K1130" i="9"/>
  <c r="K1131" i="9"/>
  <c r="K1132" i="9"/>
  <c r="K1133" i="9"/>
  <c r="K1134" i="9"/>
  <c r="K1135" i="9"/>
  <c r="K1136" i="9"/>
  <c r="K1137" i="9"/>
  <c r="K1138" i="9"/>
  <c r="K1139" i="9"/>
  <c r="K1140" i="9"/>
  <c r="K1141" i="9"/>
  <c r="K1142" i="9"/>
  <c r="K1143" i="9"/>
  <c r="K1144" i="9"/>
  <c r="K1145" i="9"/>
  <c r="K1146" i="9"/>
  <c r="K1147" i="9"/>
  <c r="K1148" i="9"/>
  <c r="K1149" i="9"/>
  <c r="K1150" i="9"/>
  <c r="K1151" i="9"/>
  <c r="K1152" i="9"/>
  <c r="K1153" i="9"/>
  <c r="K1154" i="9"/>
  <c r="K1155" i="9"/>
  <c r="K1156" i="9"/>
  <c r="K1157" i="9"/>
  <c r="K1158" i="9"/>
  <c r="K1159" i="9"/>
  <c r="K1160" i="9"/>
  <c r="K1161" i="9"/>
  <c r="K1162" i="9"/>
  <c r="K1163" i="9"/>
  <c r="K1164" i="9"/>
  <c r="K1165" i="9"/>
  <c r="K1166" i="9"/>
  <c r="K1167" i="9"/>
  <c r="K1168" i="9"/>
  <c r="K1169" i="9"/>
  <c r="K1170" i="9"/>
  <c r="K1171" i="9"/>
  <c r="K1172" i="9"/>
  <c r="K1173" i="9"/>
  <c r="K1174" i="9"/>
  <c r="K1175" i="9"/>
  <c r="K1176" i="9"/>
  <c r="K1177" i="9"/>
  <c r="K1178" i="9"/>
  <c r="K1179" i="9"/>
  <c r="K1180" i="9"/>
  <c r="K1181" i="9"/>
  <c r="K1182" i="9"/>
  <c r="K1183" i="9"/>
  <c r="K1184" i="9"/>
  <c r="K1185" i="9"/>
  <c r="K1186" i="9"/>
  <c r="K1187" i="9"/>
  <c r="K1188" i="9"/>
  <c r="K1189" i="9"/>
  <c r="K1190" i="9"/>
  <c r="K1191" i="9"/>
  <c r="K1192" i="9"/>
  <c r="K1193" i="9"/>
  <c r="K1194" i="9"/>
  <c r="K1195" i="9"/>
  <c r="K1196" i="9"/>
  <c r="K1197" i="9"/>
  <c r="K1198" i="9"/>
  <c r="K1199" i="9"/>
  <c r="K1200" i="9"/>
  <c r="K1201" i="9"/>
  <c r="K1202" i="9"/>
  <c r="K1203" i="9"/>
  <c r="K1204" i="9"/>
  <c r="K1205" i="9"/>
  <c r="K1206" i="9"/>
  <c r="K1207" i="9"/>
  <c r="K1208" i="9"/>
  <c r="K1209" i="9"/>
  <c r="K1210" i="9"/>
  <c r="K1211" i="9"/>
  <c r="K1212" i="9"/>
  <c r="K1213" i="9"/>
  <c r="K1214" i="9"/>
  <c r="K1215" i="9"/>
  <c r="K1216" i="9"/>
  <c r="K1217" i="9"/>
  <c r="K1218" i="9"/>
  <c r="K1219" i="9"/>
  <c r="K1220" i="9"/>
  <c r="K1221" i="9"/>
  <c r="K1222" i="9"/>
  <c r="K1223" i="9"/>
  <c r="K1224" i="9"/>
  <c r="K1225" i="9"/>
  <c r="K1226" i="9"/>
  <c r="K1227" i="9"/>
  <c r="K1228" i="9"/>
  <c r="K1229" i="9"/>
  <c r="K1230" i="9"/>
  <c r="K1231" i="9"/>
  <c r="K1232" i="9"/>
  <c r="K1233" i="9"/>
  <c r="K1234" i="9"/>
  <c r="K1235" i="9"/>
  <c r="K1236" i="9"/>
  <c r="K1237" i="9"/>
  <c r="K1238" i="9"/>
  <c r="K1239" i="9"/>
  <c r="K1240" i="9"/>
  <c r="K1241" i="9"/>
  <c r="K1243" i="9"/>
  <c r="K1244" i="9"/>
  <c r="K1245" i="9"/>
  <c r="K1246" i="9"/>
  <c r="K1247" i="9"/>
  <c r="K1248" i="9"/>
  <c r="K1249" i="9"/>
  <c r="K1250" i="9"/>
  <c r="K1251" i="9"/>
  <c r="K1252" i="9"/>
  <c r="K1253" i="9"/>
  <c r="K1254" i="9"/>
  <c r="K1255" i="9"/>
  <c r="K1256" i="9"/>
  <c r="K1257" i="9"/>
  <c r="K1258" i="9"/>
  <c r="K1259" i="9"/>
  <c r="K1260" i="9"/>
  <c r="K1261" i="9"/>
  <c r="K1262" i="9"/>
  <c r="K1263" i="9"/>
  <c r="K1264" i="9"/>
  <c r="K1265" i="9"/>
  <c r="K1266" i="9"/>
  <c r="K1267" i="9"/>
  <c r="K1268" i="9"/>
  <c r="K1269" i="9"/>
  <c r="K1270" i="9"/>
  <c r="K1271" i="9"/>
  <c r="K1272" i="9"/>
  <c r="K1273" i="9"/>
  <c r="K1274" i="9"/>
  <c r="K1275" i="9"/>
  <c r="K1276" i="9"/>
  <c r="K1277" i="9"/>
  <c r="K1278" i="9"/>
  <c r="K1279" i="9"/>
  <c r="K1280" i="9"/>
  <c r="K1281" i="9"/>
  <c r="K1282" i="9"/>
  <c r="K1283" i="9"/>
  <c r="K1284" i="9"/>
  <c r="K1285" i="9"/>
  <c r="K1286" i="9"/>
  <c r="K1287" i="9"/>
  <c r="K1288" i="9"/>
  <c r="K1289" i="9"/>
  <c r="K1290" i="9"/>
  <c r="K1291" i="9"/>
  <c r="K1292" i="9"/>
  <c r="K1293" i="9"/>
  <c r="K1294" i="9"/>
  <c r="K1295" i="9"/>
  <c r="K1296" i="9"/>
  <c r="K1297" i="9"/>
  <c r="K1298" i="9"/>
  <c r="K1299" i="9"/>
  <c r="K1300" i="9"/>
  <c r="K1301" i="9"/>
  <c r="K1302" i="9"/>
  <c r="AD611" i="9"/>
  <c r="AI611" i="9"/>
  <c r="Z611" i="9"/>
  <c r="AG611" i="9"/>
  <c r="W1203" i="9"/>
  <c r="U1204" i="9" s="1"/>
  <c r="T983" i="9"/>
  <c r="R984" i="9" s="1"/>
  <c r="E2" i="10" l="1" a="1"/>
  <c r="E2" i="10" s="1"/>
  <c r="AJ611" i="9"/>
  <c r="AC611" i="9" a="1"/>
  <c r="AC611" i="9" s="1"/>
  <c r="AA612" i="9" s="1"/>
  <c r="AH611" i="9"/>
  <c r="Y611" i="9"/>
  <c r="X612" i="9" s="1"/>
  <c r="W1204" i="9"/>
  <c r="U1205" i="9" s="1"/>
  <c r="T984" i="9"/>
  <c r="AG612" i="9" l="1"/>
  <c r="AI612" i="9"/>
  <c r="AJ612" i="9" s="1"/>
  <c r="Z612" i="9"/>
  <c r="AD612" i="9"/>
  <c r="W1205" i="9"/>
  <c r="U1206" i="9" s="1"/>
  <c r="R985" i="9"/>
  <c r="AC612" i="9" l="1" a="1"/>
  <c r="AC612" i="9" s="1"/>
  <c r="AA613" i="9" s="1"/>
  <c r="Y612" i="9"/>
  <c r="X613" i="9" s="1"/>
  <c r="AH612" i="9"/>
  <c r="W1206" i="9"/>
  <c r="U1207" i="9" s="1"/>
  <c r="T985" i="9"/>
  <c r="R986" i="9" s="1"/>
  <c r="Z613" i="9" l="1"/>
  <c r="AI613" i="9"/>
  <c r="AJ613" i="9" s="1"/>
  <c r="AG613" i="9"/>
  <c r="AD613" i="9"/>
  <c r="W1207" i="9"/>
  <c r="U1208" i="9" s="1"/>
  <c r="T986" i="9"/>
  <c r="Y613" i="9" l="1"/>
  <c r="X614" i="9" s="1"/>
  <c r="AH613" i="9"/>
  <c r="AC613" i="9" a="1"/>
  <c r="AC613" i="9" s="1"/>
  <c r="AA614" i="9" s="1"/>
  <c r="W1208" i="9"/>
  <c r="U1209" i="9" s="1"/>
  <c r="R987" i="9"/>
  <c r="AD614" i="9" l="1"/>
  <c r="AG614" i="9"/>
  <c r="AI614" i="9"/>
  <c r="AJ614" i="9" s="1"/>
  <c r="Z614" i="9"/>
  <c r="W1209" i="9"/>
  <c r="U1210" i="9" s="1"/>
  <c r="T987" i="9"/>
  <c r="R988" i="9" s="1"/>
  <c r="AC614" i="9" l="1" a="1"/>
  <c r="AC614" i="9" s="1"/>
  <c r="AA615" i="9" s="1"/>
  <c r="Y614" i="9"/>
  <c r="X615" i="9" s="1"/>
  <c r="AH614" i="9"/>
  <c r="W1210" i="9"/>
  <c r="U1211" i="9" s="1"/>
  <c r="T988" i="9"/>
  <c r="AI615" i="9" l="1"/>
  <c r="AJ615" i="9" s="1"/>
  <c r="AG615" i="9"/>
  <c r="Z615" i="9"/>
  <c r="AD615" i="9"/>
  <c r="W1211" i="9"/>
  <c r="U1212" i="9" s="1"/>
  <c r="R989" i="9"/>
  <c r="AH615" i="9" l="1"/>
  <c r="Y615" i="9"/>
  <c r="X616" i="9" s="1"/>
  <c r="AC615" i="9" a="1"/>
  <c r="AC615" i="9" s="1"/>
  <c r="AA616" i="9" s="1"/>
  <c r="W1212" i="9"/>
  <c r="U1213" i="9" s="1"/>
  <c r="T989" i="9"/>
  <c r="AD616" i="9" l="1"/>
  <c r="Z616" i="9"/>
  <c r="AI616" i="9"/>
  <c r="AJ616" i="9" s="1"/>
  <c r="AG616" i="9"/>
  <c r="W1213" i="9"/>
  <c r="U1214" i="9" s="1"/>
  <c r="R990" i="9"/>
  <c r="Y616" i="9" l="1"/>
  <c r="X617" i="9" s="1"/>
  <c r="AC616" i="9" a="1"/>
  <c r="AC616" i="9" s="1"/>
  <c r="AA617" i="9" s="1"/>
  <c r="AH616" i="9"/>
  <c r="W1214" i="9"/>
  <c r="U1215" i="9" s="1"/>
  <c r="T990" i="9"/>
  <c r="R991" i="9" s="1"/>
  <c r="AD617" i="9" l="1"/>
  <c r="AI617" i="9"/>
  <c r="AJ617" i="9" s="1"/>
  <c r="Z617" i="9"/>
  <c r="AG617" i="9"/>
  <c r="W1215" i="9"/>
  <c r="U1216" i="9" s="1"/>
  <c r="T991" i="9"/>
  <c r="Y617" i="9" l="1"/>
  <c r="X618" i="9" s="1"/>
  <c r="AC617" i="9" a="1"/>
  <c r="AC617" i="9" s="1"/>
  <c r="AA618" i="9" s="1"/>
  <c r="AH617" i="9"/>
  <c r="W1216" i="9"/>
  <c r="U1217" i="9" s="1"/>
  <c r="R992" i="9"/>
  <c r="AD618" i="9" l="1"/>
  <c r="AG618" i="9"/>
  <c r="Z618" i="9"/>
  <c r="AI618" i="9"/>
  <c r="AJ618" i="9" s="1"/>
  <c r="W1217" i="9"/>
  <c r="U1218" i="9" s="1"/>
  <c r="T992" i="9"/>
  <c r="R993" i="9" s="1"/>
  <c r="AH618" i="9" l="1"/>
  <c r="AC618" i="9" a="1"/>
  <c r="AC618" i="9" s="1"/>
  <c r="AA619" i="9" s="1"/>
  <c r="Y618" i="9"/>
  <c r="X619" i="9" s="1"/>
  <c r="W1218" i="9"/>
  <c r="U1219" i="9" s="1"/>
  <c r="T993" i="9"/>
  <c r="R994" i="9" s="1"/>
  <c r="AG619" i="9" l="1"/>
  <c r="AI619" i="9"/>
  <c r="AJ619" i="9" s="1"/>
  <c r="Z619" i="9"/>
  <c r="AD619" i="9"/>
  <c r="W1219" i="9"/>
  <c r="U1220" i="9" s="1"/>
  <c r="T994" i="9"/>
  <c r="AC619" i="9" l="1" a="1"/>
  <c r="AC619" i="9" s="1"/>
  <c r="AA620" i="9" s="1"/>
  <c r="AH619" i="9"/>
  <c r="Y619" i="9"/>
  <c r="X620" i="9" s="1"/>
  <c r="W1220" i="9"/>
  <c r="U1221" i="9" s="1"/>
  <c r="R995" i="9"/>
  <c r="AG620" i="9" l="1"/>
  <c r="Z620" i="9"/>
  <c r="AI620" i="9"/>
  <c r="AJ620" i="9" s="1"/>
  <c r="AD620" i="9"/>
  <c r="W1221" i="9"/>
  <c r="U1222" i="9" s="1"/>
  <c r="T995" i="9"/>
  <c r="R996" i="9" s="1"/>
  <c r="AH620" i="9" l="1"/>
  <c r="Y620" i="9"/>
  <c r="X621" i="9" s="1"/>
  <c r="AC620" i="9" a="1"/>
  <c r="AC620" i="9" s="1"/>
  <c r="AA621" i="9" s="1"/>
  <c r="W1222" i="9"/>
  <c r="U1223" i="9" s="1"/>
  <c r="T996" i="9"/>
  <c r="R997" i="9" s="1"/>
  <c r="AD621" i="9" l="1"/>
  <c r="AI621" i="9"/>
  <c r="AJ621" i="9" s="1"/>
  <c r="AG621" i="9"/>
  <c r="Z621" i="9"/>
  <c r="W1223" i="9"/>
  <c r="U1224" i="9" s="1"/>
  <c r="T997" i="9"/>
  <c r="R998" i="9" s="1"/>
  <c r="AC621" i="9" l="1" a="1"/>
  <c r="AC621" i="9" s="1"/>
  <c r="AA622" i="9" s="1"/>
  <c r="Y621" i="9"/>
  <c r="X622" i="9" s="1"/>
  <c r="AH621" i="9"/>
  <c r="W1224" i="9"/>
  <c r="U1225" i="9" s="1"/>
  <c r="T998" i="9"/>
  <c r="R999" i="9" s="1"/>
  <c r="Z622" i="9" l="1"/>
  <c r="AG622" i="9"/>
  <c r="AI622" i="9"/>
  <c r="AJ622" i="9" s="1"/>
  <c r="AD622" i="9"/>
  <c r="W1225" i="9"/>
  <c r="U1226" i="9" s="1"/>
  <c r="T999" i="9"/>
  <c r="AH622" i="9" l="1"/>
  <c r="AC622" i="9" a="1"/>
  <c r="AC622" i="9" s="1"/>
  <c r="AA623" i="9" s="1"/>
  <c r="Y622" i="9"/>
  <c r="X623" i="9" s="1"/>
  <c r="W1226" i="9"/>
  <c r="U1227" i="9" s="1"/>
  <c r="R1000" i="9"/>
  <c r="AI623" i="9" l="1"/>
  <c r="AJ623" i="9" s="1"/>
  <c r="Z623" i="9"/>
  <c r="AG623" i="9"/>
  <c r="AD623" i="9"/>
  <c r="W1227" i="9"/>
  <c r="U1228" i="9" s="1"/>
  <c r="T1000" i="9"/>
  <c r="R1001" i="9" s="1"/>
  <c r="AC623" i="9" l="1" a="1"/>
  <c r="AC623" i="9" s="1"/>
  <c r="AA624" i="9" s="1"/>
  <c r="Y623" i="9"/>
  <c r="X624" i="9" s="1"/>
  <c r="AH623" i="9"/>
  <c r="W1228" i="9"/>
  <c r="U1229" i="9" s="1"/>
  <c r="T1001" i="9"/>
  <c r="R1002" i="9" s="1"/>
  <c r="Z624" i="9" l="1"/>
  <c r="AG624" i="9"/>
  <c r="AI624" i="9"/>
  <c r="AJ624" i="9" s="1"/>
  <c r="AD624" i="9"/>
  <c r="W1229" i="9"/>
  <c r="U1230" i="9" s="1"/>
  <c r="T1002" i="9"/>
  <c r="R1003" i="9" s="1"/>
  <c r="AC624" i="9" l="1" a="1"/>
  <c r="AC624" i="9" s="1"/>
  <c r="AA625" i="9" s="1"/>
  <c r="AH624" i="9"/>
  <c r="Y624" i="9"/>
  <c r="X625" i="9" s="1"/>
  <c r="W1230" i="9"/>
  <c r="U1231" i="9" s="1"/>
  <c r="T1003" i="9"/>
  <c r="R1004" i="9" s="1"/>
  <c r="Z625" i="9" l="1"/>
  <c r="AI625" i="9"/>
  <c r="AJ625" i="9" s="1"/>
  <c r="AG625" i="9"/>
  <c r="AD625" i="9"/>
  <c r="W1231" i="9"/>
  <c r="U1232" i="9" s="1"/>
  <c r="T1004" i="9"/>
  <c r="R1005" i="9" s="1"/>
  <c r="Y625" i="9" l="1"/>
  <c r="X626" i="9" s="1"/>
  <c r="AH625" i="9"/>
  <c r="AC625" i="9" a="1"/>
  <c r="AC625" i="9" s="1"/>
  <c r="AA626" i="9" s="1"/>
  <c r="W1232" i="9"/>
  <c r="U1233" i="9" s="1"/>
  <c r="T1005" i="9"/>
  <c r="R1006" i="9" s="1"/>
  <c r="AD626" i="9" l="1"/>
  <c r="AI626" i="9"/>
  <c r="AJ626" i="9" s="1"/>
  <c r="AG626" i="9"/>
  <c r="Z626" i="9"/>
  <c r="W1233" i="9"/>
  <c r="U1234" i="9" s="1"/>
  <c r="T1006" i="9"/>
  <c r="R1007" i="9" s="1"/>
  <c r="Y626" i="9" l="1"/>
  <c r="X627" i="9" s="1"/>
  <c r="AH626" i="9"/>
  <c r="AC626" i="9" a="1"/>
  <c r="AC626" i="9" s="1"/>
  <c r="AA627" i="9" s="1"/>
  <c r="W1234" i="9"/>
  <c r="U1235" i="9" s="1"/>
  <c r="T1007" i="9"/>
  <c r="AD627" i="9" l="1"/>
  <c r="Z627" i="9"/>
  <c r="AG627" i="9"/>
  <c r="AI627" i="9"/>
  <c r="AJ627" i="9" s="1"/>
  <c r="W1235" i="9"/>
  <c r="U1236" i="9" s="1"/>
  <c r="R1008" i="9"/>
  <c r="AH627" i="9" l="1"/>
  <c r="AC627" i="9" a="1"/>
  <c r="AC627" i="9" s="1"/>
  <c r="AA628" i="9" s="1"/>
  <c r="Y627" i="9"/>
  <c r="X628" i="9" s="1"/>
  <c r="W1236" i="9"/>
  <c r="U1237" i="9" s="1"/>
  <c r="T1008" i="9"/>
  <c r="R1009" i="9" s="1"/>
  <c r="AI628" i="9" l="1"/>
  <c r="AJ628" i="9" s="1"/>
  <c r="Z628" i="9"/>
  <c r="AG628" i="9"/>
  <c r="AD628" i="9"/>
  <c r="W1237" i="9"/>
  <c r="U1238" i="9" s="1"/>
  <c r="T1009" i="9"/>
  <c r="AC628" i="9" l="1" a="1"/>
  <c r="AC628" i="9" s="1"/>
  <c r="AA629" i="9" s="1"/>
  <c r="Y628" i="9"/>
  <c r="X629" i="9" s="1"/>
  <c r="AH628" i="9"/>
  <c r="W1238" i="9"/>
  <c r="U1239" i="9" s="1"/>
  <c r="R1010" i="9"/>
  <c r="Z629" i="9" l="1"/>
  <c r="AI629" i="9"/>
  <c r="AJ629" i="9" s="1"/>
  <c r="AG629" i="9"/>
  <c r="AD629" i="9"/>
  <c r="W1239" i="9"/>
  <c r="U1240" i="9" s="1"/>
  <c r="T1010" i="9"/>
  <c r="R1011" i="9" s="1"/>
  <c r="Y629" i="9" l="1"/>
  <c r="X630" i="9" s="1"/>
  <c r="AH629" i="9"/>
  <c r="AC629" i="9" a="1"/>
  <c r="AC629" i="9" s="1"/>
  <c r="AA630" i="9" s="1"/>
  <c r="W1240" i="9"/>
  <c r="U1241" i="9" s="1"/>
  <c r="T1011" i="9"/>
  <c r="AD630" i="9" l="1"/>
  <c r="AI630" i="9"/>
  <c r="AJ630" i="9" s="1"/>
  <c r="AG630" i="9"/>
  <c r="Z630" i="9"/>
  <c r="W1241" i="9"/>
  <c r="U1242" i="9" s="1"/>
  <c r="R1012" i="9"/>
  <c r="Y630" i="9" l="1"/>
  <c r="X631" i="9" s="1"/>
  <c r="AC630" i="9" a="1"/>
  <c r="AC630" i="9" s="1"/>
  <c r="AA631" i="9" s="1"/>
  <c r="AH630" i="9"/>
  <c r="W1242" i="9"/>
  <c r="U18" i="9" s="1"/>
  <c r="T1012" i="9"/>
  <c r="R1013" i="9" s="1"/>
  <c r="AD631" i="9" l="1"/>
  <c r="AG631" i="9"/>
  <c r="AI631" i="9"/>
  <c r="AJ631" i="9" s="1"/>
  <c r="Z631" i="9"/>
  <c r="U1243" i="9"/>
  <c r="V15" i="9"/>
  <c r="W18" i="9"/>
  <c r="T1013" i="9"/>
  <c r="R1014" i="9" s="1"/>
  <c r="W1243" i="9" l="1"/>
  <c r="U1244" i="9" s="1"/>
  <c r="AC631" i="9" a="1"/>
  <c r="AC631" i="9" s="1"/>
  <c r="AA632" i="9" s="1"/>
  <c r="AH631" i="9"/>
  <c r="Y631" i="9"/>
  <c r="X632" i="9" s="1"/>
  <c r="T1014" i="9"/>
  <c r="R1015" i="9" s="1"/>
  <c r="W1244" i="9" l="1"/>
  <c r="U1245" i="9" s="1"/>
  <c r="AG632" i="9"/>
  <c r="Z632" i="9"/>
  <c r="AI632" i="9"/>
  <c r="AJ632" i="9" s="1"/>
  <c r="AD632" i="9"/>
  <c r="T1015" i="9"/>
  <c r="W1245" i="9" l="1"/>
  <c r="U1246" i="9" s="1"/>
  <c r="AH632" i="9"/>
  <c r="Y632" i="9"/>
  <c r="X633" i="9" s="1"/>
  <c r="AC632" i="9" a="1"/>
  <c r="AC632" i="9" s="1"/>
  <c r="AA633" i="9" s="1"/>
  <c r="R1016" i="9"/>
  <c r="W1246" i="9" l="1"/>
  <c r="U1247" i="9" s="1"/>
  <c r="AD633" i="9"/>
  <c r="Z633" i="9"/>
  <c r="AG633" i="9"/>
  <c r="AI633" i="9"/>
  <c r="AJ633" i="9" s="1"/>
  <c r="T1016" i="9"/>
  <c r="R1017" i="9" s="1"/>
  <c r="W1247" i="9" l="1"/>
  <c r="U1248" i="9" s="1"/>
  <c r="AH633" i="9"/>
  <c r="Y633" i="9"/>
  <c r="X634" i="9" s="1"/>
  <c r="AC633" i="9" a="1"/>
  <c r="AC633" i="9" s="1"/>
  <c r="AA634" i="9" s="1"/>
  <c r="T1017" i="9"/>
  <c r="R1018" i="9" s="1"/>
  <c r="W1248" i="9" l="1"/>
  <c r="U1249" i="9" s="1"/>
  <c r="AD634" i="9"/>
  <c r="Z634" i="9"/>
  <c r="AI634" i="9"/>
  <c r="AJ634" i="9" s="1"/>
  <c r="AG634" i="9"/>
  <c r="T1018" i="9"/>
  <c r="R1019" i="9" s="1"/>
  <c r="W1249" i="9" l="1"/>
  <c r="U1250" i="9" s="1"/>
  <c r="AC634" i="9" a="1"/>
  <c r="AC634" i="9" s="1"/>
  <c r="AA635" i="9" s="1"/>
  <c r="AH634" i="9"/>
  <c r="Y634" i="9"/>
  <c r="X635" i="9" s="1"/>
  <c r="T1019" i="9"/>
  <c r="W1250" i="9" l="1"/>
  <c r="U1251" i="9" s="1"/>
  <c r="Z635" i="9"/>
  <c r="AG635" i="9"/>
  <c r="AI635" i="9"/>
  <c r="AJ635" i="9" s="1"/>
  <c r="AD635" i="9"/>
  <c r="R1020" i="9"/>
  <c r="W1251" i="9" l="1"/>
  <c r="U1252" i="9" s="1"/>
  <c r="AC635" i="9" a="1"/>
  <c r="AC635" i="9" s="1"/>
  <c r="AA636" i="9" s="1"/>
  <c r="Y635" i="9"/>
  <c r="X636" i="9" s="1"/>
  <c r="AH635" i="9"/>
  <c r="T1020" i="9"/>
  <c r="R1021" i="9" s="1"/>
  <c r="W1252" i="9" l="1"/>
  <c r="U1253" i="9" s="1"/>
  <c r="Z636" i="9"/>
  <c r="AI636" i="9"/>
  <c r="AJ636" i="9" s="1"/>
  <c r="AG636" i="9"/>
  <c r="AD636" i="9"/>
  <c r="T1021" i="9"/>
  <c r="R1022" i="9" s="1"/>
  <c r="W1253" i="9" l="1"/>
  <c r="U1254" i="9" s="1"/>
  <c r="Y636" i="9"/>
  <c r="X637" i="9" s="1"/>
  <c r="AC636" i="9" a="1"/>
  <c r="AC636" i="9" s="1"/>
  <c r="AA637" i="9" s="1"/>
  <c r="AH636" i="9"/>
  <c r="T1022" i="9"/>
  <c r="R1023" i="9" s="1"/>
  <c r="W1254" i="9" l="1"/>
  <c r="U1255" i="9" s="1"/>
  <c r="AD637" i="9"/>
  <c r="AG637" i="9"/>
  <c r="Z637" i="9"/>
  <c r="AI637" i="9"/>
  <c r="AJ637" i="9" s="1"/>
  <c r="T1023" i="9"/>
  <c r="W1255" i="9" l="1"/>
  <c r="U1256" i="9" s="1"/>
  <c r="AC637" i="9" a="1"/>
  <c r="AC637" i="9" s="1"/>
  <c r="AA638" i="9" s="1"/>
  <c r="AH637" i="9"/>
  <c r="Y637" i="9"/>
  <c r="X638" i="9" s="1"/>
  <c r="R1024" i="9"/>
  <c r="W1256" i="9" l="1"/>
  <c r="U1257" i="9" s="1"/>
  <c r="AG638" i="9"/>
  <c r="AI638" i="9"/>
  <c r="AJ638" i="9" s="1"/>
  <c r="Z638" i="9"/>
  <c r="AD638" i="9"/>
  <c r="T1024" i="9"/>
  <c r="R1025" i="9" s="1"/>
  <c r="W1257" i="9" l="1"/>
  <c r="U1258" i="9" s="1"/>
  <c r="AH638" i="9"/>
  <c r="AC638" i="9" a="1"/>
  <c r="AC638" i="9" s="1"/>
  <c r="AA639" i="9" s="1"/>
  <c r="Y638" i="9"/>
  <c r="X639" i="9" s="1"/>
  <c r="T1025" i="9"/>
  <c r="R1026" i="9" s="1"/>
  <c r="W1258" i="9" l="1"/>
  <c r="U1259" i="9" s="1"/>
  <c r="AI639" i="9"/>
  <c r="AJ639" i="9" s="1"/>
  <c r="AG639" i="9"/>
  <c r="Z639" i="9"/>
  <c r="AD639" i="9"/>
  <c r="T1026" i="9"/>
  <c r="R1027" i="9" s="1"/>
  <c r="W1259" i="9" l="1"/>
  <c r="U1260" i="9" s="1"/>
  <c r="AC639" i="9" a="1"/>
  <c r="AC639" i="9" s="1"/>
  <c r="AA640" i="9" s="1"/>
  <c r="AH639" i="9"/>
  <c r="Y639" i="9"/>
  <c r="X640" i="9" s="1"/>
  <c r="T1027" i="9"/>
  <c r="W1260" i="9" l="1"/>
  <c r="U1261" i="9" s="1"/>
  <c r="AI640" i="9"/>
  <c r="AJ640" i="9" s="1"/>
  <c r="Z640" i="9"/>
  <c r="AG640" i="9"/>
  <c r="AD640" i="9"/>
  <c r="R1028" i="9"/>
  <c r="W1261" i="9" l="1"/>
  <c r="U1262" i="9" s="1"/>
  <c r="AH640" i="9"/>
  <c r="AC640" i="9" a="1"/>
  <c r="AC640" i="9" s="1"/>
  <c r="AA641" i="9" s="1"/>
  <c r="Y640" i="9"/>
  <c r="X641" i="9" s="1"/>
  <c r="T1028" i="9"/>
  <c r="R1029" i="9" s="1"/>
  <c r="W1262" i="9" l="1"/>
  <c r="U1263" i="9" s="1"/>
  <c r="AI641" i="9"/>
  <c r="AJ641" i="9" s="1"/>
  <c r="Z641" i="9"/>
  <c r="AG641" i="9"/>
  <c r="AD641" i="9"/>
  <c r="T1029" i="9"/>
  <c r="R1030" i="9" s="1"/>
  <c r="W1263" i="9" l="1"/>
  <c r="U1264" i="9" s="1"/>
  <c r="Y641" i="9"/>
  <c r="X642" i="9" s="1"/>
  <c r="AH641" i="9"/>
  <c r="AC641" i="9" a="1"/>
  <c r="AC641" i="9" s="1"/>
  <c r="AA642" i="9" s="1"/>
  <c r="T1030" i="9"/>
  <c r="R1031" i="9" s="1"/>
  <c r="W1264" i="9" l="1"/>
  <c r="U1265" i="9" s="1"/>
  <c r="AD642" i="9"/>
  <c r="Z642" i="9"/>
  <c r="AG642" i="9"/>
  <c r="AI642" i="9"/>
  <c r="AJ642" i="9" s="1"/>
  <c r="T1031" i="9"/>
  <c r="W1265" i="9" l="1"/>
  <c r="U1266" i="9" s="1"/>
  <c r="AH642" i="9"/>
  <c r="AC642" i="9" a="1"/>
  <c r="AC642" i="9" s="1"/>
  <c r="AA643" i="9" s="1"/>
  <c r="Y642" i="9"/>
  <c r="X643" i="9" s="1"/>
  <c r="R1032" i="9"/>
  <c r="W1266" i="9" l="1"/>
  <c r="U1267" i="9" s="1"/>
  <c r="AG643" i="9"/>
  <c r="AI643" i="9"/>
  <c r="AJ643" i="9" s="1"/>
  <c r="Z643" i="9"/>
  <c r="AD643" i="9"/>
  <c r="T1032" i="9"/>
  <c r="W1267" i="9" l="1"/>
  <c r="U1268" i="9" s="1"/>
  <c r="AC643" i="9" a="1"/>
  <c r="AC643" i="9" s="1"/>
  <c r="AA644" i="9" s="1"/>
  <c r="Y643" i="9"/>
  <c r="X644" i="9" s="1"/>
  <c r="AH643" i="9"/>
  <c r="R1033" i="9"/>
  <c r="W1268" i="9" l="1"/>
  <c r="U1269" i="9" s="1"/>
  <c r="Z644" i="9"/>
  <c r="AI644" i="9"/>
  <c r="AJ644" i="9" s="1"/>
  <c r="AG644" i="9"/>
  <c r="AD644" i="9"/>
  <c r="T1033" i="9"/>
  <c r="R1034" i="9" s="1"/>
  <c r="W1269" i="9" l="1"/>
  <c r="U1270" i="9" s="1"/>
  <c r="AH644" i="9"/>
  <c r="AC644" i="9" a="1"/>
  <c r="AC644" i="9" s="1"/>
  <c r="AA645" i="9" s="1"/>
  <c r="Y644" i="9"/>
  <c r="X645" i="9" s="1"/>
  <c r="T1034" i="9"/>
  <c r="R1035" i="9" s="1"/>
  <c r="W1270" i="9" l="1"/>
  <c r="U1271" i="9" s="1"/>
  <c r="Z645" i="9"/>
  <c r="AI645" i="9"/>
  <c r="AJ645" i="9" s="1"/>
  <c r="AG645" i="9"/>
  <c r="AD645" i="9"/>
  <c r="T1035" i="9"/>
  <c r="W1271" i="9" l="1"/>
  <c r="U1272" i="9" s="1"/>
  <c r="AH645" i="9"/>
  <c r="AC645" i="9" a="1"/>
  <c r="AC645" i="9" s="1"/>
  <c r="AA646" i="9" s="1"/>
  <c r="Y645" i="9"/>
  <c r="X646" i="9" s="1"/>
  <c r="R1036" i="9"/>
  <c r="W1272" i="9" l="1"/>
  <c r="U1273" i="9" s="1"/>
  <c r="AD646" i="9"/>
  <c r="Z646" i="9"/>
  <c r="AI646" i="9"/>
  <c r="AJ646" i="9" s="1"/>
  <c r="AG646" i="9"/>
  <c r="T1036" i="9"/>
  <c r="R1037" i="9" s="1"/>
  <c r="W1273" i="9" l="1"/>
  <c r="U1274" i="9" s="1"/>
  <c r="AC646" i="9" a="1"/>
  <c r="AC646" i="9" s="1"/>
  <c r="AA647" i="9" s="1"/>
  <c r="Y646" i="9"/>
  <c r="X647" i="9" s="1"/>
  <c r="AH646" i="9"/>
  <c r="T1037" i="9"/>
  <c r="R1038" i="9" s="1"/>
  <c r="W1274" i="9" l="1"/>
  <c r="U1275" i="9" s="1"/>
  <c r="AG647" i="9"/>
  <c r="AI647" i="9"/>
  <c r="AJ647" i="9" s="1"/>
  <c r="Z647" i="9"/>
  <c r="AD647" i="9"/>
  <c r="T1038" i="9"/>
  <c r="W1275" i="9" l="1"/>
  <c r="U1276" i="9" s="1"/>
  <c r="Y647" i="9"/>
  <c r="X648" i="9" s="1"/>
  <c r="AC647" i="9" a="1"/>
  <c r="AC647" i="9" s="1"/>
  <c r="AA648" i="9" s="1"/>
  <c r="AH647" i="9"/>
  <c r="R1039" i="9"/>
  <c r="W1276" i="9" l="1"/>
  <c r="U1277" i="9" s="1"/>
  <c r="AD648" i="9"/>
  <c r="Z648" i="9"/>
  <c r="AI648" i="9"/>
  <c r="AJ648" i="9" s="1"/>
  <c r="AG648" i="9"/>
  <c r="T1039" i="9"/>
  <c r="W1277" i="9" l="1"/>
  <c r="U1278" i="9" s="1"/>
  <c r="AH648" i="9"/>
  <c r="Y648" i="9"/>
  <c r="X649" i="9" s="1"/>
  <c r="AC648" i="9" a="1"/>
  <c r="AC648" i="9" s="1"/>
  <c r="AA649" i="9" s="1"/>
  <c r="R1040" i="9"/>
  <c r="W1278" i="9" l="1"/>
  <c r="U1279" i="9" s="1"/>
  <c r="AD649" i="9"/>
  <c r="AG649" i="9"/>
  <c r="Z649" i="9"/>
  <c r="AI649" i="9"/>
  <c r="AJ649" i="9" s="1"/>
  <c r="T1040" i="9"/>
  <c r="W1279" i="9" l="1"/>
  <c r="U1280" i="9" s="1"/>
  <c r="Y649" i="9"/>
  <c r="X650" i="9" s="1"/>
  <c r="AH649" i="9"/>
  <c r="AC649" i="9" a="1"/>
  <c r="AC649" i="9" s="1"/>
  <c r="AA650" i="9" s="1"/>
  <c r="R1041" i="9"/>
  <c r="W1280" i="9" l="1"/>
  <c r="U1281" i="9" s="1"/>
  <c r="AD650" i="9"/>
  <c r="Z650" i="9"/>
  <c r="AI650" i="9"/>
  <c r="AJ650" i="9" s="1"/>
  <c r="AG650" i="9"/>
  <c r="T1041" i="9"/>
  <c r="W1281" i="9" l="1"/>
  <c r="U1282" i="9" s="1"/>
  <c r="Y650" i="9"/>
  <c r="X651" i="9" s="1"/>
  <c r="AC650" i="9" a="1"/>
  <c r="AC650" i="9" s="1"/>
  <c r="AA651" i="9" s="1"/>
  <c r="AH650" i="9"/>
  <c r="R1042" i="9"/>
  <c r="W1282" i="9" l="1"/>
  <c r="U1283" i="9" s="1"/>
  <c r="AD651" i="9"/>
  <c r="Z651" i="9"/>
  <c r="AI651" i="9"/>
  <c r="AJ651" i="9" s="1"/>
  <c r="AG651" i="9"/>
  <c r="T1042" i="9"/>
  <c r="R1043" i="9" s="1"/>
  <c r="W1283" i="9" l="1"/>
  <c r="U1284" i="9" s="1"/>
  <c r="AH651" i="9"/>
  <c r="AC651" i="9" a="1"/>
  <c r="AC651" i="9" s="1"/>
  <c r="AA652" i="9" s="1"/>
  <c r="Y651" i="9"/>
  <c r="X652" i="9" s="1"/>
  <c r="T1043" i="9"/>
  <c r="W1284" i="9" l="1"/>
  <c r="U1285" i="9" s="1"/>
  <c r="AI652" i="9"/>
  <c r="AJ652" i="9" s="1"/>
  <c r="AG652" i="9"/>
  <c r="Z652" i="9"/>
  <c r="AD652" i="9"/>
  <c r="R1044" i="9"/>
  <c r="W1285" i="9" l="1"/>
  <c r="U1286" i="9" s="1"/>
  <c r="AC652" i="9" a="1"/>
  <c r="AC652" i="9" s="1"/>
  <c r="AA653" i="9" s="1"/>
  <c r="AH652" i="9"/>
  <c r="Y652" i="9"/>
  <c r="X653" i="9" s="1"/>
  <c r="T1044" i="9"/>
  <c r="W1286" i="9" l="1"/>
  <c r="U1287" i="9" s="1"/>
  <c r="AI653" i="9"/>
  <c r="AJ653" i="9" s="1"/>
  <c r="AG653" i="9"/>
  <c r="Z653" i="9"/>
  <c r="AD653" i="9"/>
  <c r="R1045" i="9"/>
  <c r="W1287" i="9" l="1"/>
  <c r="U1288" i="9" s="1"/>
  <c r="Y653" i="9"/>
  <c r="X654" i="9" s="1"/>
  <c r="AC653" i="9" a="1"/>
  <c r="AC653" i="9" s="1"/>
  <c r="AA654" i="9" s="1"/>
  <c r="AH653" i="9"/>
  <c r="T1045" i="9"/>
  <c r="R1046" i="9" s="1"/>
  <c r="W1288" i="9" l="1"/>
  <c r="U1289" i="9" s="1"/>
  <c r="AD654" i="9"/>
  <c r="AI654" i="9"/>
  <c r="AJ654" i="9" s="1"/>
  <c r="Z654" i="9"/>
  <c r="AG654" i="9"/>
  <c r="T1046" i="9"/>
  <c r="R1047" i="9" s="1"/>
  <c r="W1289" i="9" l="1"/>
  <c r="U1290" i="9" s="1"/>
  <c r="AH654" i="9"/>
  <c r="Y654" i="9"/>
  <c r="X655" i="9" s="1"/>
  <c r="AC654" i="9" a="1"/>
  <c r="AC654" i="9" s="1"/>
  <c r="AA655" i="9" s="1"/>
  <c r="T1047" i="9"/>
  <c r="W1290" i="9" l="1"/>
  <c r="U1291" i="9" s="1"/>
  <c r="AD655" i="9"/>
  <c r="Z655" i="9"/>
  <c r="AG655" i="9"/>
  <c r="AI655" i="9"/>
  <c r="AJ655" i="9" s="1"/>
  <c r="R1048" i="9"/>
  <c r="W1291" i="9" l="1"/>
  <c r="U1292" i="9" s="1"/>
  <c r="Y655" i="9"/>
  <c r="X656" i="9" s="1"/>
  <c r="AC655" i="9" a="1"/>
  <c r="AC655" i="9" s="1"/>
  <c r="AA656" i="9" s="1"/>
  <c r="AH655" i="9"/>
  <c r="T1048" i="9"/>
  <c r="R1049" i="9" s="1"/>
  <c r="W1292" i="9" l="1"/>
  <c r="U1293" i="9" s="1"/>
  <c r="AD656" i="9"/>
  <c r="AI656" i="9"/>
  <c r="AJ656" i="9" s="1"/>
  <c r="AG656" i="9"/>
  <c r="Z656" i="9"/>
  <c r="T1049" i="9"/>
  <c r="R1050" i="9" s="1"/>
  <c r="W1293" i="9" l="1"/>
  <c r="U1294" i="9" s="1"/>
  <c r="AC656" i="9" a="1"/>
  <c r="AC656" i="9" s="1"/>
  <c r="AA657" i="9" s="1"/>
  <c r="AH656" i="9"/>
  <c r="Y656" i="9"/>
  <c r="X657" i="9" s="1"/>
  <c r="T1050" i="9"/>
  <c r="R1051" i="9" s="1"/>
  <c r="W1294" i="9" l="1"/>
  <c r="U1295" i="9" s="1"/>
  <c r="AI657" i="9"/>
  <c r="AJ657" i="9" s="1"/>
  <c r="Z657" i="9"/>
  <c r="AG657" i="9"/>
  <c r="AD657" i="9"/>
  <c r="T1051" i="9"/>
  <c r="W1295" i="9" l="1"/>
  <c r="U1296" i="9" s="1"/>
  <c r="AC657" i="9" a="1"/>
  <c r="AC657" i="9" s="1"/>
  <c r="AA658" i="9" s="1"/>
  <c r="Y657" i="9"/>
  <c r="X658" i="9" s="1"/>
  <c r="AH657" i="9"/>
  <c r="R1052" i="9"/>
  <c r="W1296" i="9" l="1"/>
  <c r="U1297" i="9" s="1"/>
  <c r="Z658" i="9"/>
  <c r="AG658" i="9"/>
  <c r="AI658" i="9"/>
  <c r="AJ658" i="9" s="1"/>
  <c r="AD658" i="9"/>
  <c r="T1052" i="9"/>
  <c r="R1053" i="9" s="1"/>
  <c r="W1297" i="9" l="1"/>
  <c r="U1298" i="9" s="1"/>
  <c r="AH658" i="9"/>
  <c r="AC658" i="9" a="1"/>
  <c r="AC658" i="9" s="1"/>
  <c r="AA659" i="9" s="1"/>
  <c r="Y658" i="9"/>
  <c r="X659" i="9" s="1"/>
  <c r="T1053" i="9"/>
  <c r="R1054" i="9" s="1"/>
  <c r="W1298" i="9" l="1"/>
  <c r="U1299" i="9" s="1"/>
  <c r="AG659" i="9"/>
  <c r="Z659" i="9"/>
  <c r="AI659" i="9"/>
  <c r="AJ659" i="9" s="1"/>
  <c r="AD659" i="9"/>
  <c r="T1054" i="9"/>
  <c r="R1055" i="9" s="1"/>
  <c r="W1299" i="9" l="1"/>
  <c r="U1300" i="9" s="1"/>
  <c r="AC659" i="9" a="1"/>
  <c r="AC659" i="9" s="1"/>
  <c r="AA660" i="9" s="1"/>
  <c r="AH659" i="9"/>
  <c r="Y659" i="9"/>
  <c r="X660" i="9" s="1"/>
  <c r="T1055" i="9"/>
  <c r="W1300" i="9" l="1"/>
  <c r="U1301" i="9" s="1"/>
  <c r="AG660" i="9"/>
  <c r="Z660" i="9"/>
  <c r="AI660" i="9"/>
  <c r="AJ660" i="9" s="1"/>
  <c r="AD660" i="9"/>
  <c r="R1056" i="9"/>
  <c r="W1301" i="9" l="1"/>
  <c r="U1302" i="9" s="1"/>
  <c r="AH660" i="9"/>
  <c r="AC660" i="9" a="1"/>
  <c r="AC660" i="9" s="1"/>
  <c r="AA661" i="9" s="1"/>
  <c r="Y660" i="9"/>
  <c r="X661" i="9" s="1"/>
  <c r="T1056" i="9"/>
  <c r="R1057" i="9" s="1"/>
  <c r="W1302" i="9" l="1"/>
  <c r="AG661" i="9"/>
  <c r="AI661" i="9"/>
  <c r="AJ661" i="9" s="1"/>
  <c r="Z661" i="9"/>
  <c r="AD661" i="9"/>
  <c r="T1057" i="9"/>
  <c r="R1058" i="9" s="1"/>
  <c r="AC661" i="9" l="1" a="1"/>
  <c r="AC661" i="9" s="1"/>
  <c r="AA662" i="9" s="1"/>
  <c r="AH661" i="9"/>
  <c r="Y661" i="9"/>
  <c r="X662" i="9" s="1"/>
  <c r="T1058" i="9"/>
  <c r="R1059" i="9" s="1"/>
  <c r="Z662" i="9" l="1"/>
  <c r="AI662" i="9"/>
  <c r="AJ662" i="9" s="1"/>
  <c r="AG662" i="9"/>
  <c r="AD662" i="9"/>
  <c r="T1059" i="9"/>
  <c r="AC662" i="9" l="1" a="1"/>
  <c r="AC662" i="9" s="1"/>
  <c r="AA663" i="9" s="1"/>
  <c r="Y662" i="9"/>
  <c r="X663" i="9" s="1"/>
  <c r="AH662" i="9"/>
  <c r="R1060" i="9"/>
  <c r="Z663" i="9" l="1"/>
  <c r="AG663" i="9"/>
  <c r="AI663" i="9"/>
  <c r="AJ663" i="9" s="1"/>
  <c r="AD663" i="9"/>
  <c r="T1060" i="9"/>
  <c r="R1061" i="9" s="1"/>
  <c r="AH663" i="9" l="1"/>
  <c r="Y663" i="9"/>
  <c r="X664" i="9" s="1"/>
  <c r="AC663" i="9" a="1"/>
  <c r="AC663" i="9" s="1"/>
  <c r="AA664" i="9" s="1"/>
  <c r="T1061" i="9"/>
  <c r="R1062" i="9" s="1"/>
  <c r="AD664" i="9" l="1"/>
  <c r="AI664" i="9"/>
  <c r="AJ664" i="9" s="1"/>
  <c r="AG664" i="9"/>
  <c r="Z664" i="9"/>
  <c r="T1062" i="9"/>
  <c r="R1063" i="9" s="1"/>
  <c r="Y664" i="9" l="1"/>
  <c r="X665" i="9" s="1"/>
  <c r="AH664" i="9"/>
  <c r="AC664" i="9" a="1"/>
  <c r="AC664" i="9" s="1"/>
  <c r="AA665" i="9" s="1"/>
  <c r="T1063" i="9"/>
  <c r="AD665" i="9" l="1"/>
  <c r="Z665" i="9"/>
  <c r="AI665" i="9"/>
  <c r="AJ665" i="9" s="1"/>
  <c r="AG665" i="9"/>
  <c r="R1064" i="9"/>
  <c r="Y665" i="9" l="1"/>
  <c r="X666" i="9" s="1"/>
  <c r="AC665" i="9" a="1"/>
  <c r="AC665" i="9" s="1"/>
  <c r="AA666" i="9" s="1"/>
  <c r="AH665" i="9"/>
  <c r="T1064" i="9"/>
  <c r="R1065" i="9" s="1"/>
  <c r="AD666" i="9" l="1"/>
  <c r="AI666" i="9"/>
  <c r="AJ666" i="9" s="1"/>
  <c r="AG666" i="9"/>
  <c r="Z666" i="9"/>
  <c r="T1065" i="9"/>
  <c r="R1066" i="9" s="1"/>
  <c r="AH666" i="9" l="1"/>
  <c r="Y666" i="9"/>
  <c r="X667" i="9" s="1"/>
  <c r="AC666" i="9" a="1"/>
  <c r="AC666" i="9" s="1"/>
  <c r="AA667" i="9" s="1"/>
  <c r="T1066" i="9"/>
  <c r="R1067" i="9" s="1"/>
  <c r="AD667" i="9" l="1"/>
  <c r="AI667" i="9"/>
  <c r="AJ667" i="9" s="1"/>
  <c r="Z667" i="9"/>
  <c r="AG667" i="9"/>
  <c r="T1067" i="9"/>
  <c r="AH667" i="9" l="1"/>
  <c r="AC667" i="9" a="1"/>
  <c r="AC667" i="9" s="1"/>
  <c r="AA668" i="9" s="1"/>
  <c r="Y667" i="9"/>
  <c r="X668" i="9" s="1"/>
  <c r="R1068" i="9"/>
  <c r="AG668" i="9" l="1"/>
  <c r="AI668" i="9"/>
  <c r="AJ668" i="9" s="1"/>
  <c r="Z668" i="9"/>
  <c r="AD668" i="9"/>
  <c r="T1068" i="9"/>
  <c r="R1069" i="9" s="1"/>
  <c r="Y668" i="9" l="1"/>
  <c r="X669" i="9" s="1"/>
  <c r="AC668" i="9" a="1"/>
  <c r="AC668" i="9" s="1"/>
  <c r="AA669" i="9" s="1"/>
  <c r="AH668" i="9"/>
  <c r="T1069" i="9"/>
  <c r="R1070" i="9" s="1"/>
  <c r="AD669" i="9" l="1"/>
  <c r="AG669" i="9"/>
  <c r="Z669" i="9"/>
  <c r="AI669" i="9"/>
  <c r="AJ669" i="9" s="1"/>
  <c r="T1070" i="9"/>
  <c r="R1071" i="9" s="1"/>
  <c r="AH669" i="9" l="1"/>
  <c r="Y669" i="9"/>
  <c r="X670" i="9" s="1"/>
  <c r="AC669" i="9" a="1"/>
  <c r="AC669" i="9" s="1"/>
  <c r="AA670" i="9" s="1"/>
  <c r="T1071" i="9"/>
  <c r="AD670" i="9" l="1"/>
  <c r="AG670" i="9"/>
  <c r="Z670" i="9"/>
  <c r="AI670" i="9"/>
  <c r="AJ670" i="9" s="1"/>
  <c r="R1072" i="9"/>
  <c r="Y670" i="9" l="1"/>
  <c r="X671" i="9" s="1"/>
  <c r="AH670" i="9"/>
  <c r="AC670" i="9" a="1"/>
  <c r="AC670" i="9" s="1"/>
  <c r="AA671" i="9" s="1"/>
  <c r="T1072" i="9"/>
  <c r="AD671" i="9" l="1"/>
  <c r="AI671" i="9"/>
  <c r="AJ671" i="9" s="1"/>
  <c r="Z671" i="9"/>
  <c r="AG671" i="9"/>
  <c r="R1073" i="9"/>
  <c r="AC671" i="9" l="1" a="1"/>
  <c r="AC671" i="9" s="1"/>
  <c r="AA672" i="9" s="1"/>
  <c r="AH671" i="9"/>
  <c r="Y671" i="9"/>
  <c r="X672" i="9" s="1"/>
  <c r="T1073" i="9"/>
  <c r="R1074" i="9" s="1"/>
  <c r="Z672" i="9" l="1"/>
  <c r="AI672" i="9"/>
  <c r="AJ672" i="9" s="1"/>
  <c r="AG672" i="9"/>
  <c r="AD672" i="9"/>
  <c r="T1074" i="9"/>
  <c r="R1075" i="9" s="1"/>
  <c r="AC672" i="9" l="1" a="1"/>
  <c r="AC672" i="9" s="1"/>
  <c r="AA673" i="9" s="1"/>
  <c r="Y672" i="9"/>
  <c r="X673" i="9" s="1"/>
  <c r="AH672" i="9"/>
  <c r="T1075" i="9"/>
  <c r="Z673" i="9" l="1"/>
  <c r="AI673" i="9"/>
  <c r="AJ673" i="9" s="1"/>
  <c r="AG673" i="9"/>
  <c r="AD673" i="9"/>
  <c r="R1076" i="9"/>
  <c r="AC673" i="9" l="1" a="1"/>
  <c r="AC673" i="9" s="1"/>
  <c r="AA674" i="9" s="1"/>
  <c r="Y673" i="9"/>
  <c r="X674" i="9" s="1"/>
  <c r="AH673" i="9"/>
  <c r="T1076" i="9"/>
  <c r="R1077" i="9" s="1"/>
  <c r="Z674" i="9" l="1"/>
  <c r="AG674" i="9"/>
  <c r="AI674" i="9"/>
  <c r="AJ674" i="9" s="1"/>
  <c r="AD674" i="9"/>
  <c r="T1077" i="9"/>
  <c r="R1078" i="9" s="1"/>
  <c r="AH674" i="9" l="1"/>
  <c r="Y674" i="9"/>
  <c r="X675" i="9" s="1"/>
  <c r="AC674" i="9" a="1"/>
  <c r="AC674" i="9" s="1"/>
  <c r="AA675" i="9" s="1"/>
  <c r="T1078" i="9"/>
  <c r="R1079" i="9" s="1"/>
  <c r="AD675" i="9" l="1"/>
  <c r="AG675" i="9"/>
  <c r="Z675" i="9"/>
  <c r="AI675" i="9"/>
  <c r="AJ675" i="9" s="1"/>
  <c r="T1079" i="9"/>
  <c r="AC675" i="9" l="1" a="1"/>
  <c r="AC675" i="9" s="1"/>
  <c r="AA676" i="9" s="1"/>
  <c r="Y675" i="9"/>
  <c r="X676" i="9" s="1"/>
  <c r="AH675" i="9"/>
  <c r="R1080" i="9"/>
  <c r="Z676" i="9" l="1"/>
  <c r="AI676" i="9"/>
  <c r="AJ676" i="9" s="1"/>
  <c r="AG676" i="9"/>
  <c r="AD676" i="9"/>
  <c r="T1080" i="9"/>
  <c r="R1081" i="9" s="1"/>
  <c r="AC676" i="9" l="1" a="1"/>
  <c r="AC676" i="9" s="1"/>
  <c r="AA677" i="9" s="1"/>
  <c r="AH676" i="9"/>
  <c r="Y676" i="9"/>
  <c r="X677" i="9" s="1"/>
  <c r="T1081" i="9"/>
  <c r="R1082" i="9" s="1"/>
  <c r="Z677" i="9" l="1"/>
  <c r="AI677" i="9"/>
  <c r="AJ677" i="9" s="1"/>
  <c r="AG677" i="9"/>
  <c r="AD677" i="9"/>
  <c r="T1082" i="9"/>
  <c r="R1083" i="9" s="1"/>
  <c r="AC677" i="9" l="1" a="1"/>
  <c r="AC677" i="9" s="1"/>
  <c r="AA678" i="9" s="1"/>
  <c r="Y677" i="9"/>
  <c r="X678" i="9" s="1"/>
  <c r="AH677" i="9"/>
  <c r="T1083" i="9"/>
  <c r="AG678" i="9" l="1"/>
  <c r="Z678" i="9"/>
  <c r="AI678" i="9"/>
  <c r="AJ678" i="9" s="1"/>
  <c r="AD678" i="9"/>
  <c r="R1084" i="9"/>
  <c r="AH678" i="9" l="1"/>
  <c r="Y678" i="9"/>
  <c r="X679" i="9" s="1"/>
  <c r="AC678" i="9" a="1"/>
  <c r="AC678" i="9" s="1"/>
  <c r="AA679" i="9" s="1"/>
  <c r="T1084" i="9"/>
  <c r="R1085" i="9" s="1"/>
  <c r="AD679" i="9" l="1"/>
  <c r="AG679" i="9"/>
  <c r="AI679" i="9"/>
  <c r="AJ679" i="9" s="1"/>
  <c r="Z679" i="9"/>
  <c r="T1085" i="9"/>
  <c r="Y679" i="9" l="1"/>
  <c r="X680" i="9" s="1"/>
  <c r="AC679" i="9" a="1"/>
  <c r="AC679" i="9" s="1"/>
  <c r="AA680" i="9" s="1"/>
  <c r="AH679" i="9"/>
  <c r="R1086" i="9"/>
  <c r="AD680" i="9" l="1"/>
  <c r="AG680" i="9"/>
  <c r="Z680" i="9"/>
  <c r="AI680" i="9"/>
  <c r="AJ680" i="9" s="1"/>
  <c r="T1086" i="9"/>
  <c r="R1087" i="9" s="1"/>
  <c r="AC680" i="9" l="1" a="1"/>
  <c r="AC680" i="9" s="1"/>
  <c r="AA681" i="9" s="1"/>
  <c r="Y680" i="9"/>
  <c r="X681" i="9" s="1"/>
  <c r="AH680" i="9"/>
  <c r="T1087" i="9"/>
  <c r="AG681" i="9" l="1"/>
  <c r="AI681" i="9"/>
  <c r="AJ681" i="9" s="1"/>
  <c r="Z681" i="9"/>
  <c r="AD681" i="9"/>
  <c r="R1088" i="9"/>
  <c r="AH681" i="9" l="1"/>
  <c r="AC681" i="9" a="1"/>
  <c r="AC681" i="9" s="1"/>
  <c r="AA682" i="9" s="1"/>
  <c r="Y681" i="9"/>
  <c r="X682" i="9" s="1"/>
  <c r="T1088" i="9"/>
  <c r="R1089" i="9" s="1"/>
  <c r="AG682" i="9" l="1"/>
  <c r="AI682" i="9"/>
  <c r="AJ682" i="9" s="1"/>
  <c r="Z682" i="9"/>
  <c r="AD682" i="9"/>
  <c r="T1089" i="9"/>
  <c r="R1090" i="9" s="1"/>
  <c r="AC682" i="9" l="1" a="1"/>
  <c r="AC682" i="9" s="1"/>
  <c r="AA683" i="9" s="1"/>
  <c r="Y682" i="9"/>
  <c r="X683" i="9" s="1"/>
  <c r="AH682" i="9"/>
  <c r="T1090" i="9"/>
  <c r="R1091" i="9" s="1"/>
  <c r="Z683" i="9" l="1"/>
  <c r="AG683" i="9"/>
  <c r="AI683" i="9"/>
  <c r="AJ683" i="9" s="1"/>
  <c r="AD683" i="9"/>
  <c r="T1091" i="9"/>
  <c r="R1092" i="9" s="1"/>
  <c r="Y683" i="9" l="1"/>
  <c r="X684" i="9" s="1"/>
  <c r="AH683" i="9"/>
  <c r="AC683" i="9" a="1"/>
  <c r="AC683" i="9" s="1"/>
  <c r="AA684" i="9" s="1"/>
  <c r="T1092" i="9"/>
  <c r="R1093" i="9" s="1"/>
  <c r="AD684" i="9" l="1"/>
  <c r="Z684" i="9"/>
  <c r="AI684" i="9"/>
  <c r="AJ684" i="9" s="1"/>
  <c r="AG684" i="9"/>
  <c r="T1093" i="9"/>
  <c r="R1094" i="9" s="1"/>
  <c r="AH684" i="9" l="1"/>
  <c r="AC684" i="9" a="1"/>
  <c r="AC684" i="9" s="1"/>
  <c r="AA685" i="9" s="1"/>
  <c r="Y684" i="9"/>
  <c r="X685" i="9" s="1"/>
  <c r="T1094" i="9"/>
  <c r="R1095" i="9" s="1"/>
  <c r="AG685" i="9" l="1"/>
  <c r="Z685" i="9"/>
  <c r="AI685" i="9"/>
  <c r="AJ685" i="9" s="1"/>
  <c r="AD685" i="9"/>
  <c r="T1095" i="9"/>
  <c r="R1096" i="9" s="1"/>
  <c r="AH685" i="9" l="1"/>
  <c r="Y685" i="9"/>
  <c r="X686" i="9" s="1"/>
  <c r="AC685" i="9" a="1"/>
  <c r="AC685" i="9" s="1"/>
  <c r="AA686" i="9" s="1"/>
  <c r="T1096" i="9"/>
  <c r="R1097" i="9" s="1"/>
  <c r="AD686" i="9" l="1"/>
  <c r="Z686" i="9"/>
  <c r="AI686" i="9"/>
  <c r="AJ686" i="9" s="1"/>
  <c r="AG686" i="9"/>
  <c r="T1097" i="9"/>
  <c r="R1098" i="9" s="1"/>
  <c r="AC686" i="9" l="1" a="1"/>
  <c r="AC686" i="9" s="1"/>
  <c r="AA687" i="9" s="1"/>
  <c r="AH686" i="9"/>
  <c r="Y686" i="9"/>
  <c r="X687" i="9" s="1"/>
  <c r="T1098" i="9"/>
  <c r="R1099" i="9" s="1"/>
  <c r="Z687" i="9" l="1"/>
  <c r="AI687" i="9"/>
  <c r="AJ687" i="9" s="1"/>
  <c r="AG687" i="9"/>
  <c r="AD687" i="9"/>
  <c r="T1099" i="9"/>
  <c r="AH687" i="9" l="1"/>
  <c r="AC687" i="9" a="1"/>
  <c r="AC687" i="9" s="1"/>
  <c r="AA688" i="9" s="1"/>
  <c r="Y687" i="9"/>
  <c r="X688" i="9" s="1"/>
  <c r="R1100" i="9"/>
  <c r="Z688" i="9" l="1"/>
  <c r="AG688" i="9"/>
  <c r="AI688" i="9"/>
  <c r="AJ688" i="9" s="1"/>
  <c r="AD688" i="9"/>
  <c r="T1100" i="9"/>
  <c r="R1101" i="9" s="1"/>
  <c r="AH688" i="9" l="1"/>
  <c r="AC688" i="9" a="1"/>
  <c r="AC688" i="9" s="1"/>
  <c r="AA689" i="9" s="1"/>
  <c r="Y688" i="9"/>
  <c r="X689" i="9" s="1"/>
  <c r="T1101" i="9"/>
  <c r="R1102" i="9" s="1"/>
  <c r="Z689" i="9" l="1"/>
  <c r="AI689" i="9"/>
  <c r="AJ689" i="9" s="1"/>
  <c r="AG689" i="9"/>
  <c r="AD689" i="9"/>
  <c r="T1102" i="9"/>
  <c r="R1103" i="9" s="1"/>
  <c r="AC689" i="9" l="1" a="1"/>
  <c r="AC689" i="9" s="1"/>
  <c r="AA690" i="9" s="1"/>
  <c r="AH689" i="9"/>
  <c r="Y689" i="9"/>
  <c r="X690" i="9" s="1"/>
  <c r="T1103" i="9"/>
  <c r="Z690" i="9" l="1"/>
  <c r="AG690" i="9"/>
  <c r="AI690" i="9"/>
  <c r="AJ690" i="9" s="1"/>
  <c r="AD690" i="9"/>
  <c r="R1104" i="9"/>
  <c r="AH690" i="9" l="1"/>
  <c r="AC690" i="9" a="1"/>
  <c r="AC690" i="9" s="1"/>
  <c r="AA691" i="9" s="1"/>
  <c r="Y690" i="9"/>
  <c r="X691" i="9" s="1"/>
  <c r="T1104" i="9"/>
  <c r="R1105" i="9" s="1"/>
  <c r="Z691" i="9" l="1"/>
  <c r="AI691" i="9"/>
  <c r="AJ691" i="9" s="1"/>
  <c r="AG691" i="9"/>
  <c r="AD691" i="9"/>
  <c r="T1105" i="9"/>
  <c r="R1106" i="9" s="1"/>
  <c r="AH691" i="9" l="1"/>
  <c r="Y691" i="9"/>
  <c r="X692" i="9" s="1"/>
  <c r="AC691" i="9" a="1"/>
  <c r="AC691" i="9" s="1"/>
  <c r="AA692" i="9" s="1"/>
  <c r="T1106" i="9"/>
  <c r="R1107" i="9" s="1"/>
  <c r="AD692" i="9" l="1"/>
  <c r="AI692" i="9"/>
  <c r="AJ692" i="9" s="1"/>
  <c r="Z692" i="9"/>
  <c r="AG692" i="9"/>
  <c r="T1107" i="9"/>
  <c r="AH692" i="9" l="1"/>
  <c r="AC692" i="9" a="1"/>
  <c r="AC692" i="9" s="1"/>
  <c r="AA693" i="9" s="1"/>
  <c r="Y692" i="9"/>
  <c r="X693" i="9" s="1"/>
  <c r="R1108" i="9"/>
  <c r="Z693" i="9" l="1"/>
  <c r="AG693" i="9"/>
  <c r="AI693" i="9"/>
  <c r="AJ693" i="9" s="1"/>
  <c r="AD693" i="9"/>
  <c r="T1108" i="9"/>
  <c r="R1109" i="9" s="1"/>
  <c r="Y693" i="9" l="1"/>
  <c r="X694" i="9" s="1"/>
  <c r="AH693" i="9"/>
  <c r="AC693" i="9" a="1"/>
  <c r="AC693" i="9" s="1"/>
  <c r="AA694" i="9" s="1"/>
  <c r="T1109" i="9"/>
  <c r="R1110" i="9" s="1"/>
  <c r="AD694" i="9" l="1"/>
  <c r="Z694" i="9"/>
  <c r="AI694" i="9"/>
  <c r="AJ694" i="9" s="1"/>
  <c r="AG694" i="9"/>
  <c r="T1110" i="9"/>
  <c r="R1111" i="9" s="1"/>
  <c r="Y694" i="9" l="1"/>
  <c r="X695" i="9" s="1"/>
  <c r="AC694" i="9" a="1"/>
  <c r="AC694" i="9" s="1"/>
  <c r="AA695" i="9" s="1"/>
  <c r="AH694" i="9"/>
  <c r="T1111" i="9"/>
  <c r="AD695" i="9" l="1"/>
  <c r="AI695" i="9"/>
  <c r="AJ695" i="9" s="1"/>
  <c r="Z695" i="9"/>
  <c r="AG695" i="9"/>
  <c r="R1112" i="9"/>
  <c r="AH695" i="9" l="1"/>
  <c r="Y695" i="9"/>
  <c r="X696" i="9" s="1"/>
  <c r="AC695" i="9" a="1"/>
  <c r="AC695" i="9" s="1"/>
  <c r="AA696" i="9" s="1"/>
  <c r="T1112" i="9"/>
  <c r="R1113" i="9" s="1"/>
  <c r="AD696" i="9" l="1"/>
  <c r="AI696" i="9"/>
  <c r="AJ696" i="9" s="1"/>
  <c r="Z696" i="9"/>
  <c r="AG696" i="9"/>
  <c r="T1113" i="9"/>
  <c r="R1114" i="9" s="1"/>
  <c r="AH696" i="9" l="1"/>
  <c r="Y696" i="9"/>
  <c r="X697" i="9" s="1"/>
  <c r="AC696" i="9" a="1"/>
  <c r="AC696" i="9" s="1"/>
  <c r="AA697" i="9" s="1"/>
  <c r="T1114" i="9"/>
  <c r="R1115" i="9" s="1"/>
  <c r="AD697" i="9" l="1"/>
  <c r="AI697" i="9"/>
  <c r="AJ697" i="9" s="1"/>
  <c r="AG697" i="9"/>
  <c r="Z697" i="9"/>
  <c r="T1115" i="9"/>
  <c r="AH697" i="9" l="1"/>
  <c r="AC697" i="9" a="1"/>
  <c r="AC697" i="9" s="1"/>
  <c r="AA698" i="9" s="1"/>
  <c r="Y697" i="9"/>
  <c r="X698" i="9" s="1"/>
  <c r="R1116" i="9"/>
  <c r="AG698" i="9" l="1"/>
  <c r="AI698" i="9"/>
  <c r="AJ698" i="9" s="1"/>
  <c r="Z698" i="9"/>
  <c r="AD698" i="9"/>
  <c r="T1116" i="9"/>
  <c r="R1117" i="9" s="1"/>
  <c r="Y698" i="9" l="1"/>
  <c r="X699" i="9" s="1"/>
  <c r="AH698" i="9"/>
  <c r="AC698" i="9" a="1"/>
  <c r="AC698" i="9" s="1"/>
  <c r="AA699" i="9" s="1"/>
  <c r="T1117" i="9"/>
  <c r="R1118" i="9" s="1"/>
  <c r="AD699" i="9" l="1"/>
  <c r="AG699" i="9"/>
  <c r="AI699" i="9"/>
  <c r="AJ699" i="9" s="1"/>
  <c r="Z699" i="9"/>
  <c r="T1118" i="9"/>
  <c r="R1119" i="9" s="1"/>
  <c r="Y699" i="9" l="1"/>
  <c r="X700" i="9" s="1"/>
  <c r="AH699" i="9"/>
  <c r="AC699" i="9" a="1"/>
  <c r="AC699" i="9" s="1"/>
  <c r="AA700" i="9" s="1"/>
  <c r="T1119" i="9"/>
  <c r="AD700" i="9" l="1"/>
  <c r="AG700" i="9"/>
  <c r="Z700" i="9"/>
  <c r="AI700" i="9"/>
  <c r="AJ700" i="9" s="1"/>
  <c r="R1120" i="9"/>
  <c r="AH700" i="9" l="1"/>
  <c r="AC700" i="9" a="1"/>
  <c r="AC700" i="9" s="1"/>
  <c r="AA701" i="9" s="1"/>
  <c r="Y700" i="9"/>
  <c r="X701" i="9" s="1"/>
  <c r="T1120" i="9"/>
  <c r="AG701" i="9" l="1"/>
  <c r="Z701" i="9"/>
  <c r="AI701" i="9"/>
  <c r="AJ701" i="9" s="1"/>
  <c r="AD701" i="9"/>
  <c r="R1121" i="9"/>
  <c r="AC701" i="9" l="1" a="1"/>
  <c r="AC701" i="9" s="1"/>
  <c r="AA702" i="9" s="1"/>
  <c r="Y701" i="9"/>
  <c r="X702" i="9" s="1"/>
  <c r="AH701" i="9"/>
  <c r="T1121" i="9"/>
  <c r="R1122" i="9" s="1"/>
  <c r="AG702" i="9" l="1"/>
  <c r="Z702" i="9"/>
  <c r="AI702" i="9"/>
  <c r="AJ702" i="9" s="1"/>
  <c r="AD702" i="9"/>
  <c r="T1122" i="9"/>
  <c r="R1123" i="9" s="1"/>
  <c r="AC702" i="9" l="1" a="1"/>
  <c r="AC702" i="9" s="1"/>
  <c r="AA703" i="9" s="1"/>
  <c r="Y702" i="9"/>
  <c r="X703" i="9" s="1"/>
  <c r="AH702" i="9"/>
  <c r="T1123" i="9"/>
  <c r="R1124" i="9" s="1"/>
  <c r="Z703" i="9" l="1"/>
  <c r="AG703" i="9"/>
  <c r="AI703" i="9"/>
  <c r="AJ703" i="9" s="1"/>
  <c r="AD703" i="9"/>
  <c r="T1124" i="9"/>
  <c r="R1125" i="9" s="1"/>
  <c r="AH703" i="9" l="1"/>
  <c r="AC703" i="9" a="1"/>
  <c r="AC703" i="9" s="1"/>
  <c r="AA704" i="9" s="1"/>
  <c r="Y703" i="9"/>
  <c r="X704" i="9" s="1"/>
  <c r="T1125" i="9"/>
  <c r="R1126" i="9" s="1"/>
  <c r="Z704" i="9" l="1"/>
  <c r="AI704" i="9"/>
  <c r="AJ704" i="9" s="1"/>
  <c r="AG704" i="9"/>
  <c r="AD704" i="9"/>
  <c r="T1126" i="9"/>
  <c r="R1127" i="9" s="1"/>
  <c r="AC704" i="9" l="1" a="1"/>
  <c r="AC704" i="9" s="1"/>
  <c r="AA705" i="9" s="1"/>
  <c r="AH704" i="9"/>
  <c r="Y704" i="9"/>
  <c r="X705" i="9" s="1"/>
  <c r="T1127" i="9"/>
  <c r="AI705" i="9" l="1"/>
  <c r="AJ705" i="9" s="1"/>
  <c r="AG705" i="9"/>
  <c r="Z705" i="9"/>
  <c r="AD705" i="9"/>
  <c r="R1128" i="9"/>
  <c r="AH705" i="9" l="1"/>
  <c r="AC705" i="9" a="1"/>
  <c r="AC705" i="9" s="1"/>
  <c r="AA706" i="9" s="1"/>
  <c r="Y705" i="9"/>
  <c r="X706" i="9" s="1"/>
  <c r="T1128" i="9"/>
  <c r="AI706" i="9" l="1"/>
  <c r="AJ706" i="9" s="1"/>
  <c r="Z706" i="9"/>
  <c r="AG706" i="9"/>
  <c r="AD706" i="9"/>
  <c r="R1129" i="9"/>
  <c r="AH706" i="9" l="1"/>
  <c r="AC706" i="9" a="1"/>
  <c r="AC706" i="9" s="1"/>
  <c r="AA707" i="9" s="1"/>
  <c r="Y706" i="9"/>
  <c r="X707" i="9" s="1"/>
  <c r="T1129" i="9"/>
  <c r="R1130" i="9" s="1"/>
  <c r="Z707" i="9" l="1"/>
  <c r="AI707" i="9"/>
  <c r="AJ707" i="9" s="1"/>
  <c r="AG707" i="9"/>
  <c r="AD707" i="9"/>
  <c r="T1130" i="9"/>
  <c r="R1131" i="9" s="1"/>
  <c r="Y707" i="9" l="1"/>
  <c r="X708" i="9" s="1"/>
  <c r="AC707" i="9" a="1"/>
  <c r="AC707" i="9" s="1"/>
  <c r="AA708" i="9" s="1"/>
  <c r="AH707" i="9"/>
  <c r="T1131" i="9"/>
  <c r="AD708" i="9" l="1"/>
  <c r="AG708" i="9"/>
  <c r="AI708" i="9"/>
  <c r="AJ708" i="9" s="1"/>
  <c r="Z708" i="9"/>
  <c r="R1132" i="9"/>
  <c r="AH708" i="9" l="1"/>
  <c r="AC708" i="9" a="1"/>
  <c r="AC708" i="9" s="1"/>
  <c r="AA709" i="9" s="1"/>
  <c r="Y708" i="9"/>
  <c r="X709" i="9" s="1"/>
  <c r="T1132" i="9"/>
  <c r="R1133" i="9" s="1"/>
  <c r="AI709" i="9" l="1"/>
  <c r="AJ709" i="9" s="1"/>
  <c r="AG709" i="9"/>
  <c r="Z709" i="9"/>
  <c r="AD709" i="9"/>
  <c r="T1133" i="9"/>
  <c r="AC709" i="9" l="1" a="1"/>
  <c r="AC709" i="9" s="1"/>
  <c r="AA710" i="9" s="1"/>
  <c r="Y709" i="9"/>
  <c r="X710" i="9" s="1"/>
  <c r="AH709" i="9"/>
  <c r="R1134" i="9"/>
  <c r="AI710" i="9" l="1"/>
  <c r="AJ710" i="9" s="1"/>
  <c r="AG710" i="9"/>
  <c r="Z710" i="9"/>
  <c r="AD710" i="9"/>
  <c r="T1134" i="9"/>
  <c r="R1135" i="9" s="1"/>
  <c r="AC710" i="9" l="1" a="1"/>
  <c r="AC710" i="9" s="1"/>
  <c r="AA711" i="9" s="1"/>
  <c r="Y710" i="9"/>
  <c r="X711" i="9" s="1"/>
  <c r="AH710" i="9"/>
  <c r="T1135" i="9"/>
  <c r="AG711" i="9" l="1"/>
  <c r="AI711" i="9"/>
  <c r="AJ711" i="9" s="1"/>
  <c r="Z711" i="9"/>
  <c r="AD711" i="9"/>
  <c r="R1136" i="9"/>
  <c r="Y711" i="9" l="1"/>
  <c r="X712" i="9" s="1"/>
  <c r="AH711" i="9"/>
  <c r="AC711" i="9" a="1"/>
  <c r="AC711" i="9" s="1"/>
  <c r="AA712" i="9" s="1"/>
  <c r="T1136" i="9"/>
  <c r="AD712" i="9" l="1"/>
  <c r="Z712" i="9"/>
  <c r="AG712" i="9"/>
  <c r="AI712" i="9"/>
  <c r="AJ712" i="9" s="1"/>
  <c r="R1137" i="9"/>
  <c r="AC712" i="9" l="1" a="1"/>
  <c r="AC712" i="9" s="1"/>
  <c r="AA713" i="9" s="1"/>
  <c r="AH712" i="9"/>
  <c r="Y712" i="9"/>
  <c r="X713" i="9" s="1"/>
  <c r="T1137" i="9"/>
  <c r="Z713" i="9" l="1"/>
  <c r="AI713" i="9"/>
  <c r="AJ713" i="9" s="1"/>
  <c r="AG713" i="9"/>
  <c r="AD713" i="9"/>
  <c r="R1138" i="9"/>
  <c r="AH713" i="9" l="1"/>
  <c r="AC713" i="9" a="1"/>
  <c r="AC713" i="9" s="1"/>
  <c r="AA714" i="9" s="1"/>
  <c r="Y713" i="9"/>
  <c r="X714" i="9" s="1"/>
  <c r="T1138" i="9"/>
  <c r="AD714" i="9" l="1"/>
  <c r="AI714" i="9"/>
  <c r="AJ714" i="9" s="1"/>
  <c r="Z714" i="9"/>
  <c r="AG714" i="9"/>
  <c r="R1139" i="9"/>
  <c r="AH714" i="9" l="1"/>
  <c r="Y714" i="9"/>
  <c r="X715" i="9" s="1"/>
  <c r="AC714" i="9" a="1"/>
  <c r="AC714" i="9" s="1"/>
  <c r="AA715" i="9" s="1"/>
  <c r="T1139" i="9"/>
  <c r="R1140" i="9" s="1"/>
  <c r="AD715" i="9" l="1"/>
  <c r="AG715" i="9"/>
  <c r="Z715" i="9"/>
  <c r="AI715" i="9"/>
  <c r="AJ715" i="9" s="1"/>
  <c r="T1140" i="9"/>
  <c r="R1141" i="9" s="1"/>
  <c r="Y715" i="9" l="1"/>
  <c r="X716" i="9" s="1"/>
  <c r="AC715" i="9" a="1"/>
  <c r="AC715" i="9" s="1"/>
  <c r="AA716" i="9" s="1"/>
  <c r="AH715" i="9"/>
  <c r="T1141" i="9"/>
  <c r="R1142" i="9" s="1"/>
  <c r="AD716" i="9" l="1"/>
  <c r="AI716" i="9"/>
  <c r="AJ716" i="9" s="1"/>
  <c r="Z716" i="9"/>
  <c r="AG716" i="9"/>
  <c r="T1142" i="9"/>
  <c r="R1143" i="9" s="1"/>
  <c r="AH716" i="9" l="1"/>
  <c r="AC716" i="9" a="1"/>
  <c r="AC716" i="9" s="1"/>
  <c r="AA717" i="9" s="1"/>
  <c r="Y716" i="9"/>
  <c r="X717" i="9" s="1"/>
  <c r="T1143" i="9"/>
  <c r="Z717" i="9" l="1"/>
  <c r="AG717" i="9"/>
  <c r="AI717" i="9"/>
  <c r="AJ717" i="9" s="1"/>
  <c r="AD717" i="9"/>
  <c r="R1144" i="9"/>
  <c r="Y717" i="9" l="1"/>
  <c r="X718" i="9" s="1"/>
  <c r="AC717" i="9" a="1"/>
  <c r="AC717" i="9" s="1"/>
  <c r="AA718" i="9" s="1"/>
  <c r="AH717" i="9"/>
  <c r="T1144" i="9"/>
  <c r="R1145" i="9" s="1"/>
  <c r="AD718" i="9" l="1"/>
  <c r="AI718" i="9"/>
  <c r="AJ718" i="9" s="1"/>
  <c r="Z718" i="9"/>
  <c r="AG718" i="9"/>
  <c r="T1145" i="9"/>
  <c r="R1146" i="9" s="1"/>
  <c r="Y718" i="9" l="1"/>
  <c r="X719" i="9" s="1"/>
  <c r="AC718" i="9" a="1"/>
  <c r="AC718" i="9" s="1"/>
  <c r="AA719" i="9" s="1"/>
  <c r="AH718" i="9"/>
  <c r="T1146" i="9"/>
  <c r="R1147" i="9" s="1"/>
  <c r="AD719" i="9" l="1"/>
  <c r="Z719" i="9"/>
  <c r="AI719" i="9"/>
  <c r="AJ719" i="9" s="1"/>
  <c r="AG719" i="9"/>
  <c r="T1147" i="9"/>
  <c r="R1148" i="9" s="1"/>
  <c r="AH719" i="9" l="1"/>
  <c r="Y719" i="9"/>
  <c r="X720" i="9" s="1"/>
  <c r="AC719" i="9" a="1"/>
  <c r="AC719" i="9" s="1"/>
  <c r="AA720" i="9" s="1"/>
  <c r="T1148" i="9"/>
  <c r="R1149" i="9" s="1"/>
  <c r="AD720" i="9" l="1"/>
  <c r="AG720" i="9"/>
  <c r="Z720" i="9"/>
  <c r="AI720" i="9"/>
  <c r="AJ720" i="9" s="1"/>
  <c r="T1149" i="9"/>
  <c r="R1150" i="9" s="1"/>
  <c r="AH720" i="9" l="1"/>
  <c r="Y720" i="9"/>
  <c r="X721" i="9" s="1"/>
  <c r="AC720" i="9" a="1"/>
  <c r="AC720" i="9" s="1"/>
  <c r="AA721" i="9" s="1"/>
  <c r="T1150" i="9"/>
  <c r="R1151" i="9" s="1"/>
  <c r="AD721" i="9" l="1"/>
  <c r="Z721" i="9"/>
  <c r="AG721" i="9"/>
  <c r="AI721" i="9"/>
  <c r="AJ721" i="9" s="1"/>
  <c r="T1151" i="9"/>
  <c r="AH721" i="9" l="1"/>
  <c r="AC721" i="9" a="1"/>
  <c r="AC721" i="9" s="1"/>
  <c r="AA722" i="9" s="1"/>
  <c r="Y721" i="9"/>
  <c r="X722" i="9" s="1"/>
  <c r="R1152" i="9"/>
  <c r="AI722" i="9" l="1"/>
  <c r="AJ722" i="9" s="1"/>
  <c r="AG722" i="9"/>
  <c r="Z722" i="9"/>
  <c r="AD722" i="9"/>
  <c r="T1152" i="9"/>
  <c r="R1153" i="9" s="1"/>
  <c r="Y722" i="9" l="1"/>
  <c r="X723" i="9" s="1"/>
  <c r="AH722" i="9"/>
  <c r="AC722" i="9" a="1"/>
  <c r="AC722" i="9" s="1"/>
  <c r="AA723" i="9" s="1"/>
  <c r="T1153" i="9"/>
  <c r="R1154" i="9" s="1"/>
  <c r="AD723" i="9" l="1"/>
  <c r="Z723" i="9"/>
  <c r="AG723" i="9"/>
  <c r="AI723" i="9"/>
  <c r="AJ723" i="9" s="1"/>
  <c r="T1154" i="9"/>
  <c r="R1155" i="9" s="1"/>
  <c r="AC723" i="9" l="1" a="1"/>
  <c r="AC723" i="9" s="1"/>
  <c r="AA724" i="9" s="1"/>
  <c r="Y723" i="9"/>
  <c r="X724" i="9" s="1"/>
  <c r="AH723" i="9"/>
  <c r="T1155" i="9"/>
  <c r="Z724" i="9" l="1"/>
  <c r="AG724" i="9"/>
  <c r="AI724" i="9"/>
  <c r="AJ724" i="9" s="1"/>
  <c r="AD724" i="9"/>
  <c r="R1156" i="9"/>
  <c r="AH724" i="9" l="1"/>
  <c r="Y724" i="9"/>
  <c r="X725" i="9" s="1"/>
  <c r="AC724" i="9" a="1"/>
  <c r="AC724" i="9" s="1"/>
  <c r="AA725" i="9" s="1"/>
  <c r="T1156" i="9"/>
  <c r="R1157" i="9" s="1"/>
  <c r="AD725" i="9" l="1"/>
  <c r="AI725" i="9"/>
  <c r="AJ725" i="9" s="1"/>
  <c r="AG725" i="9"/>
  <c r="Z725" i="9"/>
  <c r="T1157" i="9"/>
  <c r="Y725" i="9" l="1"/>
  <c r="X726" i="9" s="1"/>
  <c r="AH725" i="9"/>
  <c r="AC725" i="9" a="1"/>
  <c r="AC725" i="9" s="1"/>
  <c r="AA726" i="9" s="1"/>
  <c r="R1158" i="9"/>
  <c r="AD726" i="9" l="1"/>
  <c r="AG726" i="9"/>
  <c r="AI726" i="9"/>
  <c r="AJ726" i="9" s="1"/>
  <c r="Z726" i="9"/>
  <c r="T1158" i="9"/>
  <c r="R1159" i="9" s="1"/>
  <c r="AC726" i="9" l="1" a="1"/>
  <c r="AC726" i="9" s="1"/>
  <c r="AA727" i="9" s="1"/>
  <c r="AH726" i="9"/>
  <c r="Y726" i="9"/>
  <c r="X727" i="9" s="1"/>
  <c r="T1159" i="9"/>
  <c r="R1160" i="9" s="1"/>
  <c r="Z727" i="9" l="1"/>
  <c r="AI727" i="9"/>
  <c r="AJ727" i="9" s="1"/>
  <c r="AG727" i="9"/>
  <c r="AD727" i="9"/>
  <c r="T1160" i="9"/>
  <c r="R1161" i="9" s="1"/>
  <c r="Y727" i="9" l="1"/>
  <c r="X728" i="9" s="1"/>
  <c r="AC727" i="9" a="1"/>
  <c r="AC727" i="9" s="1"/>
  <c r="AA728" i="9" s="1"/>
  <c r="AH727" i="9"/>
  <c r="T1161" i="9"/>
  <c r="AD728" i="9" l="1"/>
  <c r="Z728" i="9"/>
  <c r="AI728" i="9"/>
  <c r="AJ728" i="9" s="1"/>
  <c r="AG728" i="9"/>
  <c r="R1162" i="9"/>
  <c r="AC728" i="9" l="1" a="1"/>
  <c r="AC728" i="9" s="1"/>
  <c r="AA729" i="9" s="1"/>
  <c r="Y728" i="9"/>
  <c r="X729" i="9" s="1"/>
  <c r="AH728" i="9"/>
  <c r="T1162" i="9"/>
  <c r="R1163" i="9" s="1"/>
  <c r="AI729" i="9" l="1"/>
  <c r="AJ729" i="9" s="1"/>
  <c r="AG729" i="9"/>
  <c r="Z729" i="9"/>
  <c r="AD729" i="9"/>
  <c r="T1163" i="9"/>
  <c r="R1164" i="9" s="1"/>
  <c r="AC729" i="9" l="1" a="1"/>
  <c r="AC729" i="9" s="1"/>
  <c r="AA730" i="9" s="1"/>
  <c r="Y729" i="9"/>
  <c r="X730" i="9" s="1"/>
  <c r="AH729" i="9"/>
  <c r="T1164" i="9"/>
  <c r="R1165" i="9" s="1"/>
  <c r="AG730" i="9" l="1"/>
  <c r="AI730" i="9"/>
  <c r="AJ730" i="9" s="1"/>
  <c r="Z730" i="9"/>
  <c r="AD730" i="9"/>
  <c r="T1165" i="9"/>
  <c r="R1166" i="9" s="1"/>
  <c r="AH730" i="9" l="1"/>
  <c r="Y730" i="9"/>
  <c r="X731" i="9" s="1"/>
  <c r="AC730" i="9" a="1"/>
  <c r="AC730" i="9" s="1"/>
  <c r="AA731" i="9" s="1"/>
  <c r="T1166" i="9"/>
  <c r="R1167" i="9" s="1"/>
  <c r="AD731" i="9" l="1"/>
  <c r="AG731" i="9"/>
  <c r="Z731" i="9"/>
  <c r="AI731" i="9"/>
  <c r="AJ731" i="9" s="1"/>
  <c r="T1167" i="9"/>
  <c r="R1168" i="9" s="1"/>
  <c r="Y731" i="9" l="1"/>
  <c r="X732" i="9" s="1"/>
  <c r="AC731" i="9" a="1"/>
  <c r="AC731" i="9" s="1"/>
  <c r="AA732" i="9" s="1"/>
  <c r="AH731" i="9"/>
  <c r="T1168" i="9"/>
  <c r="R1169" i="9" s="1"/>
  <c r="AD732" i="9" l="1"/>
  <c r="AG732" i="9"/>
  <c r="AI732" i="9"/>
  <c r="AJ732" i="9" s="1"/>
  <c r="Z732" i="9"/>
  <c r="T1169" i="9"/>
  <c r="AH732" i="9" l="1"/>
  <c r="Y732" i="9"/>
  <c r="X733" i="9" s="1"/>
  <c r="AC732" i="9" a="1"/>
  <c r="AC732" i="9" s="1"/>
  <c r="AA733" i="9" s="1"/>
  <c r="R1170" i="9"/>
  <c r="AD733" i="9" l="1"/>
  <c r="AI733" i="9"/>
  <c r="AJ733" i="9" s="1"/>
  <c r="AG733" i="9"/>
  <c r="Z733" i="9"/>
  <c r="T1170" i="9"/>
  <c r="Y733" i="9" l="1"/>
  <c r="X734" i="9" s="1"/>
  <c r="AH733" i="9"/>
  <c r="AC733" i="9" a="1"/>
  <c r="AC733" i="9" s="1"/>
  <c r="AA734" i="9" s="1"/>
  <c r="R1171" i="9"/>
  <c r="AD734" i="9" l="1"/>
  <c r="Z734" i="9"/>
  <c r="AI734" i="9"/>
  <c r="AJ734" i="9" s="1"/>
  <c r="AG734" i="9"/>
  <c r="T1171" i="9"/>
  <c r="AC734" i="9" l="1" a="1"/>
  <c r="AC734" i="9" s="1"/>
  <c r="AA735" i="9" s="1"/>
  <c r="AH734" i="9"/>
  <c r="Y734" i="9"/>
  <c r="X735" i="9" s="1"/>
  <c r="R1172" i="9"/>
  <c r="Z735" i="9" l="1"/>
  <c r="AI735" i="9"/>
  <c r="AJ735" i="9" s="1"/>
  <c r="AG735" i="9"/>
  <c r="AD735" i="9"/>
  <c r="T1172" i="9"/>
  <c r="R1173" i="9" s="1"/>
  <c r="AH735" i="9" l="1"/>
  <c r="Y735" i="9"/>
  <c r="X736" i="9" s="1"/>
  <c r="AC735" i="9" a="1"/>
  <c r="AC735" i="9" s="1"/>
  <c r="AA736" i="9" s="1"/>
  <c r="T1173" i="9"/>
  <c r="AD736" i="9" l="1"/>
  <c r="Z736" i="9"/>
  <c r="AI736" i="9"/>
  <c r="AJ736" i="9" s="1"/>
  <c r="AG736" i="9"/>
  <c r="R1174" i="9"/>
  <c r="AH736" i="9" l="1"/>
  <c r="AC736" i="9" a="1"/>
  <c r="AC736" i="9" s="1"/>
  <c r="AA737" i="9" s="1"/>
  <c r="Y736" i="9"/>
  <c r="X737" i="9" s="1"/>
  <c r="T1174" i="9"/>
  <c r="R1175" i="9" s="1"/>
  <c r="AG737" i="9" l="1"/>
  <c r="Z737" i="9"/>
  <c r="AI737" i="9"/>
  <c r="AJ737" i="9" s="1"/>
  <c r="AD737" i="9"/>
  <c r="T1175" i="9"/>
  <c r="R1176" i="9" s="1"/>
  <c r="AH737" i="9" l="1"/>
  <c r="AC737" i="9" a="1"/>
  <c r="AC737" i="9" s="1"/>
  <c r="AA738" i="9" s="1"/>
  <c r="Y737" i="9"/>
  <c r="X738" i="9" s="1"/>
  <c r="T1176" i="9"/>
  <c r="R1177" i="9" s="1"/>
  <c r="Z738" i="9" l="1"/>
  <c r="AG738" i="9"/>
  <c r="AI738" i="9"/>
  <c r="AJ738" i="9" s="1"/>
  <c r="AD738" i="9"/>
  <c r="T1177" i="9"/>
  <c r="Y738" i="9" l="1"/>
  <c r="X739" i="9" s="1"/>
  <c r="AH738" i="9"/>
  <c r="AC738" i="9" a="1"/>
  <c r="AC738" i="9" s="1"/>
  <c r="AA739" i="9" s="1"/>
  <c r="R1178" i="9"/>
  <c r="AD739" i="9" l="1"/>
  <c r="Z739" i="9"/>
  <c r="AG739" i="9"/>
  <c r="AI739" i="9"/>
  <c r="AJ739" i="9" s="1"/>
  <c r="T1178" i="9"/>
  <c r="R1179" i="9" s="1"/>
  <c r="Y739" i="9" l="1"/>
  <c r="X740" i="9" s="1"/>
  <c r="AC739" i="9" a="1"/>
  <c r="AC739" i="9" s="1"/>
  <c r="AA740" i="9" s="1"/>
  <c r="AH739" i="9"/>
  <c r="T1179" i="9"/>
  <c r="R1180" i="9" s="1"/>
  <c r="AD740" i="9" l="1"/>
  <c r="AG740" i="9"/>
  <c r="AI740" i="9"/>
  <c r="AJ740" i="9" s="1"/>
  <c r="Z740" i="9"/>
  <c r="T1180" i="9"/>
  <c r="R1181" i="9" s="1"/>
  <c r="Y740" i="9" l="1"/>
  <c r="X741" i="9" s="1"/>
  <c r="AH740" i="9"/>
  <c r="AC740" i="9" a="1"/>
  <c r="AC740" i="9" s="1"/>
  <c r="AA741" i="9" s="1"/>
  <c r="T1181" i="9"/>
  <c r="AD741" i="9" l="1"/>
  <c r="AI741" i="9"/>
  <c r="AJ741" i="9" s="1"/>
  <c r="AG741" i="9"/>
  <c r="Z741" i="9"/>
  <c r="R1182" i="9"/>
  <c r="AH741" i="9" l="1"/>
  <c r="AC741" i="9" a="1"/>
  <c r="AC741" i="9" s="1"/>
  <c r="AA742" i="9" s="1"/>
  <c r="Y741" i="9"/>
  <c r="X742" i="9" s="1"/>
  <c r="T1182" i="9"/>
  <c r="R1183" i="9" s="1"/>
  <c r="AD742" i="9" l="1"/>
  <c r="Z742" i="9"/>
  <c r="AG742" i="9"/>
  <c r="AI742" i="9"/>
  <c r="AJ742" i="9" s="1"/>
  <c r="T1183" i="9"/>
  <c r="R1184" i="9" s="1"/>
  <c r="AH742" i="9" l="1"/>
  <c r="AC742" i="9" a="1"/>
  <c r="AC742" i="9" s="1"/>
  <c r="AA743" i="9" s="1"/>
  <c r="Y742" i="9"/>
  <c r="X743" i="9" s="1"/>
  <c r="T1184" i="9"/>
  <c r="R1185" i="9" s="1"/>
  <c r="AG743" i="9" l="1"/>
  <c r="AI743" i="9"/>
  <c r="AJ743" i="9" s="1"/>
  <c r="Z743" i="9"/>
  <c r="AD743" i="9"/>
  <c r="T1185" i="9"/>
  <c r="R1186" i="9" s="1"/>
  <c r="AH743" i="9" l="1"/>
  <c r="Y743" i="9"/>
  <c r="X744" i="9" s="1"/>
  <c r="AC743" i="9" a="1"/>
  <c r="AC743" i="9" s="1"/>
  <c r="AA744" i="9" s="1"/>
  <c r="T1186" i="9"/>
  <c r="R1187" i="9" s="1"/>
  <c r="AD744" i="9" l="1"/>
  <c r="AG744" i="9"/>
  <c r="Z744" i="9"/>
  <c r="AI744" i="9"/>
  <c r="AJ744" i="9" s="1"/>
  <c r="T1187" i="9"/>
  <c r="R1188" i="9" s="1"/>
  <c r="AC744" i="9" l="1" a="1"/>
  <c r="AC744" i="9" s="1"/>
  <c r="AA745" i="9" s="1"/>
  <c r="Y744" i="9"/>
  <c r="X745" i="9" s="1"/>
  <c r="AH744" i="9"/>
  <c r="T1188" i="9"/>
  <c r="AG745" i="9" l="1"/>
  <c r="AI745" i="9"/>
  <c r="AJ745" i="9" s="1"/>
  <c r="Z745" i="9"/>
  <c r="AD745" i="9"/>
  <c r="R1189" i="9"/>
  <c r="AC745" i="9" l="1" a="1"/>
  <c r="AC745" i="9" s="1"/>
  <c r="AA746" i="9" s="1"/>
  <c r="AH745" i="9"/>
  <c r="Y745" i="9"/>
  <c r="X746" i="9" s="1"/>
  <c r="T1189" i="9"/>
  <c r="R1190" i="9" s="1"/>
  <c r="AG746" i="9" l="1"/>
  <c r="Z746" i="9"/>
  <c r="AI746" i="9"/>
  <c r="AJ746" i="9" s="1"/>
  <c r="AD746" i="9"/>
  <c r="T1190" i="9"/>
  <c r="R1191" i="9" s="1"/>
  <c r="AH746" i="9" l="1"/>
  <c r="Y746" i="9"/>
  <c r="X747" i="9" s="1"/>
  <c r="AC746" i="9" a="1"/>
  <c r="AC746" i="9" s="1"/>
  <c r="AA747" i="9" s="1"/>
  <c r="T1191" i="9"/>
  <c r="R1192" i="9" s="1"/>
  <c r="AD747" i="9" l="1"/>
  <c r="Z747" i="9"/>
  <c r="AI747" i="9"/>
  <c r="AJ747" i="9" s="1"/>
  <c r="AG747" i="9"/>
  <c r="T1192" i="9"/>
  <c r="R1193" i="9" s="1"/>
  <c r="Y747" i="9" l="1"/>
  <c r="X748" i="9" s="1"/>
  <c r="AH747" i="9"/>
  <c r="AC747" i="9" a="1"/>
  <c r="AC747" i="9" s="1"/>
  <c r="AA748" i="9" s="1"/>
  <c r="T1193" i="9"/>
  <c r="AD748" i="9" l="1"/>
  <c r="AI748" i="9"/>
  <c r="AJ748" i="9" s="1"/>
  <c r="Z748" i="9"/>
  <c r="AG748" i="9"/>
  <c r="R1194" i="9"/>
  <c r="AC748" i="9" l="1" a="1"/>
  <c r="AC748" i="9" s="1"/>
  <c r="AA749" i="9" s="1"/>
  <c r="AH748" i="9"/>
  <c r="Y748" i="9"/>
  <c r="X749" i="9" s="1"/>
  <c r="T1194" i="9"/>
  <c r="R1195" i="9" s="1"/>
  <c r="AG749" i="9" l="1"/>
  <c r="Z749" i="9"/>
  <c r="AI749" i="9"/>
  <c r="AJ749" i="9" s="1"/>
  <c r="AD749" i="9"/>
  <c r="T1195" i="9"/>
  <c r="R1196" i="9" s="1"/>
  <c r="Y749" i="9" l="1"/>
  <c r="X750" i="9" s="1"/>
  <c r="AH749" i="9"/>
  <c r="AC749" i="9" a="1"/>
  <c r="AC749" i="9" s="1"/>
  <c r="AA750" i="9" s="1"/>
  <c r="T1196" i="9"/>
  <c r="R1197" i="9" s="1"/>
  <c r="AD750" i="9" l="1"/>
  <c r="AI750" i="9"/>
  <c r="AJ750" i="9" s="1"/>
  <c r="Z750" i="9"/>
  <c r="AG750" i="9"/>
  <c r="T1197" i="9"/>
  <c r="AH750" i="9" l="1"/>
  <c r="Y750" i="9"/>
  <c r="X751" i="9" s="1"/>
  <c r="AC750" i="9" a="1"/>
  <c r="AC750" i="9" s="1"/>
  <c r="AA751" i="9" s="1"/>
  <c r="R1198" i="9"/>
  <c r="AD751" i="9" l="1"/>
  <c r="Z751" i="9"/>
  <c r="AI751" i="9"/>
  <c r="AJ751" i="9" s="1"/>
  <c r="AG751" i="9"/>
  <c r="T1198" i="9"/>
  <c r="Y751" i="9" l="1"/>
  <c r="X752" i="9" s="1"/>
  <c r="AH751" i="9"/>
  <c r="AC751" i="9" a="1"/>
  <c r="AC751" i="9" s="1"/>
  <c r="AA752" i="9" s="1"/>
  <c r="R1199" i="9"/>
  <c r="AD752" i="9" l="1"/>
  <c r="AG752" i="9"/>
  <c r="Z752" i="9"/>
  <c r="AI752" i="9"/>
  <c r="AJ752" i="9" s="1"/>
  <c r="T1199" i="9"/>
  <c r="R1200" i="9" s="1"/>
  <c r="AH752" i="9" l="1"/>
  <c r="AC752" i="9" a="1"/>
  <c r="AC752" i="9" s="1"/>
  <c r="AA753" i="9" s="1"/>
  <c r="Y752" i="9"/>
  <c r="X753" i="9" s="1"/>
  <c r="T1200" i="9"/>
  <c r="R1201" i="9" s="1"/>
  <c r="Z753" i="9" l="1"/>
  <c r="AG753" i="9"/>
  <c r="AI753" i="9"/>
  <c r="AJ753" i="9" s="1"/>
  <c r="AD753" i="9"/>
  <c r="T1201" i="9"/>
  <c r="AH753" i="9" l="1"/>
  <c r="Y753" i="9"/>
  <c r="X754" i="9" s="1"/>
  <c r="AC753" i="9" a="1"/>
  <c r="AC753" i="9" s="1"/>
  <c r="AA754" i="9" s="1"/>
  <c r="R1202" i="9"/>
  <c r="AD754" i="9" l="1"/>
  <c r="Z754" i="9"/>
  <c r="AG754" i="9"/>
  <c r="AI754" i="9"/>
  <c r="AJ754" i="9" s="1"/>
  <c r="T1202" i="9"/>
  <c r="R1203" i="9" s="1"/>
  <c r="AC754" i="9" l="1" a="1"/>
  <c r="AC754" i="9" s="1"/>
  <c r="AA755" i="9" s="1"/>
  <c r="AH754" i="9"/>
  <c r="Y754" i="9"/>
  <c r="X755" i="9" s="1"/>
  <c r="T1203" i="9"/>
  <c r="R1204" i="9" s="1"/>
  <c r="AG755" i="9" l="1"/>
  <c r="AI755" i="9"/>
  <c r="AJ755" i="9" s="1"/>
  <c r="Z755" i="9"/>
  <c r="AD755" i="9"/>
  <c r="T1204" i="9"/>
  <c r="R1205" i="9" s="1"/>
  <c r="AC755" i="9" l="1" a="1"/>
  <c r="AC755" i="9" s="1"/>
  <c r="AA756" i="9" s="1"/>
  <c r="AH755" i="9"/>
  <c r="Y755" i="9"/>
  <c r="X756" i="9" s="1"/>
  <c r="T1205" i="9"/>
  <c r="Z756" i="9" l="1"/>
  <c r="AI756" i="9"/>
  <c r="AJ756" i="9" s="1"/>
  <c r="AG756" i="9"/>
  <c r="AD756" i="9"/>
  <c r="R1206" i="9"/>
  <c r="AC756" i="9" l="1" a="1"/>
  <c r="AC756" i="9" s="1"/>
  <c r="AA757" i="9" s="1"/>
  <c r="AH756" i="9"/>
  <c r="Y756" i="9"/>
  <c r="X757" i="9" s="1"/>
  <c r="T1206" i="9"/>
  <c r="R1207" i="9" s="1"/>
  <c r="Z757" i="9" l="1"/>
  <c r="AG757" i="9"/>
  <c r="AI757" i="9"/>
  <c r="AJ757" i="9" s="1"/>
  <c r="AD757" i="9"/>
  <c r="T1207" i="9"/>
  <c r="R1208" i="9" s="1"/>
  <c r="Y757" i="9" l="1"/>
  <c r="X758" i="9" s="1"/>
  <c r="AH757" i="9"/>
  <c r="AC757" i="9" a="1"/>
  <c r="AC757" i="9" s="1"/>
  <c r="AA758" i="9" s="1"/>
  <c r="T1208" i="9"/>
  <c r="R1209" i="9" s="1"/>
  <c r="AD758" i="9" l="1"/>
  <c r="Z758" i="9"/>
  <c r="AG758" i="9"/>
  <c r="AI758" i="9"/>
  <c r="AJ758" i="9" s="1"/>
  <c r="T1209" i="9"/>
  <c r="Y758" i="9" l="1"/>
  <c r="X759" i="9" s="1"/>
  <c r="AH758" i="9"/>
  <c r="AC758" i="9" a="1"/>
  <c r="AC758" i="9" s="1"/>
  <c r="AA759" i="9" s="1"/>
  <c r="R1210" i="9"/>
  <c r="AD759" i="9" l="1"/>
  <c r="Z759" i="9"/>
  <c r="AI759" i="9"/>
  <c r="AJ759" i="9" s="1"/>
  <c r="AG759" i="9"/>
  <c r="T1210" i="9"/>
  <c r="R1211" i="9" s="1"/>
  <c r="AH759" i="9" l="1"/>
  <c r="Y759" i="9"/>
  <c r="X760" i="9" s="1"/>
  <c r="AC759" i="9" a="1"/>
  <c r="AC759" i="9" s="1"/>
  <c r="AA760" i="9" s="1"/>
  <c r="T1211" i="9"/>
  <c r="R1212" i="9" s="1"/>
  <c r="AD760" i="9" l="1"/>
  <c r="Z760" i="9"/>
  <c r="AG760" i="9"/>
  <c r="AI760" i="9"/>
  <c r="AJ760" i="9" s="1"/>
  <c r="T1212" i="9"/>
  <c r="R1213" i="9" s="1"/>
  <c r="Y760" i="9" l="1"/>
  <c r="X761" i="9" s="1"/>
  <c r="AH760" i="9"/>
  <c r="AC760" i="9" a="1"/>
  <c r="AC760" i="9" s="1"/>
  <c r="AA761" i="9" s="1"/>
  <c r="T1213" i="9"/>
  <c r="R1214" i="9" s="1"/>
  <c r="AD761" i="9" l="1"/>
  <c r="Z761" i="9"/>
  <c r="AG761" i="9"/>
  <c r="AI761" i="9"/>
  <c r="AJ761" i="9" s="1"/>
  <c r="T1214" i="9"/>
  <c r="AH761" i="9" l="1"/>
  <c r="Y761" i="9"/>
  <c r="X762" i="9" s="1"/>
  <c r="AC761" i="9" a="1"/>
  <c r="AC761" i="9" s="1"/>
  <c r="AA762" i="9" s="1"/>
  <c r="R1215" i="9"/>
  <c r="AD762" i="9" l="1"/>
  <c r="Z762" i="9"/>
  <c r="AG762" i="9"/>
  <c r="AI762" i="9"/>
  <c r="AJ762" i="9" s="1"/>
  <c r="T1215" i="9"/>
  <c r="R1216" i="9" s="1"/>
  <c r="AH762" i="9" l="1"/>
  <c r="AC762" i="9" a="1"/>
  <c r="AC762" i="9" s="1"/>
  <c r="AA763" i="9" s="1"/>
  <c r="Y762" i="9"/>
  <c r="X763" i="9" s="1"/>
  <c r="T1216" i="9"/>
  <c r="R1217" i="9" s="1"/>
  <c r="Z763" i="9" l="1"/>
  <c r="AG763" i="9"/>
  <c r="AI763" i="9"/>
  <c r="AJ763" i="9" s="1"/>
  <c r="AD763" i="9"/>
  <c r="T1217" i="9"/>
  <c r="R1218" i="9" s="1"/>
  <c r="AH763" i="9" l="1"/>
  <c r="AC763" i="9" a="1"/>
  <c r="AC763" i="9" s="1"/>
  <c r="AA764" i="9" s="1"/>
  <c r="Y763" i="9"/>
  <c r="X764" i="9" s="1"/>
  <c r="T1218" i="9"/>
  <c r="R1219" i="9" s="1"/>
  <c r="AI764" i="9" l="1"/>
  <c r="AJ764" i="9" s="1"/>
  <c r="AG764" i="9"/>
  <c r="Z764" i="9"/>
  <c r="AD764" i="9"/>
  <c r="T1219" i="9"/>
  <c r="R1220" i="9" s="1"/>
  <c r="AH764" i="9" l="1"/>
  <c r="Y764" i="9"/>
  <c r="X765" i="9" s="1"/>
  <c r="AC764" i="9" a="1"/>
  <c r="AC764" i="9" s="1"/>
  <c r="AA765" i="9" s="1"/>
  <c r="T1220" i="9"/>
  <c r="R1221" i="9" s="1"/>
  <c r="AD765" i="9" l="1"/>
  <c r="AG765" i="9"/>
  <c r="Z765" i="9"/>
  <c r="AI765" i="9"/>
  <c r="AJ765" i="9" s="1"/>
  <c r="T1221" i="9"/>
  <c r="R1222" i="9" s="1"/>
  <c r="AH765" i="9" l="1"/>
  <c r="AC765" i="9" a="1"/>
  <c r="AC765" i="9" s="1"/>
  <c r="AA766" i="9" s="1"/>
  <c r="Y765" i="9"/>
  <c r="X766" i="9" s="1"/>
  <c r="T1222" i="9"/>
  <c r="AI766" i="9" l="1"/>
  <c r="AJ766" i="9" s="1"/>
  <c r="AG766" i="9"/>
  <c r="Z766" i="9"/>
  <c r="AD766" i="9"/>
  <c r="R1223" i="9"/>
  <c r="AC766" i="9" l="1" a="1"/>
  <c r="AC766" i="9" s="1"/>
  <c r="AA767" i="9" s="1"/>
  <c r="AH766" i="9"/>
  <c r="Y766" i="9"/>
  <c r="X767" i="9" s="1"/>
  <c r="T1223" i="9"/>
  <c r="R1224" i="9" s="1"/>
  <c r="Z767" i="9" l="1"/>
  <c r="AG767" i="9"/>
  <c r="AI767" i="9"/>
  <c r="AJ767" i="9" s="1"/>
  <c r="AD767" i="9"/>
  <c r="T1224" i="9"/>
  <c r="R1225" i="9" s="1"/>
  <c r="Y767" i="9" l="1"/>
  <c r="X768" i="9" s="1"/>
  <c r="AC767" i="9" a="1"/>
  <c r="AC767" i="9" s="1"/>
  <c r="AA768" i="9" s="1"/>
  <c r="AH767" i="9"/>
  <c r="T1225" i="9"/>
  <c r="R1226" i="9" s="1"/>
  <c r="AD768" i="9" l="1"/>
  <c r="Z768" i="9"/>
  <c r="AI768" i="9"/>
  <c r="AJ768" i="9" s="1"/>
  <c r="AG768" i="9"/>
  <c r="T1226" i="9"/>
  <c r="R1227" i="9" s="1"/>
  <c r="Y768" i="9" l="1"/>
  <c r="X769" i="9" s="1"/>
  <c r="AC768" i="9" a="1"/>
  <c r="AC768" i="9" s="1"/>
  <c r="AA769" i="9" s="1"/>
  <c r="AH768" i="9"/>
  <c r="T1227" i="9"/>
  <c r="AD769" i="9" l="1"/>
  <c r="AG769" i="9"/>
  <c r="Z769" i="9"/>
  <c r="AI769" i="9"/>
  <c r="AJ769" i="9" s="1"/>
  <c r="R1228" i="9"/>
  <c r="Y769" i="9" l="1"/>
  <c r="X770" i="9" s="1"/>
  <c r="AC769" i="9" a="1"/>
  <c r="AC769" i="9" s="1"/>
  <c r="AA770" i="9" s="1"/>
  <c r="AH769" i="9"/>
  <c r="T1228" i="9"/>
  <c r="R1229" i="9" s="1"/>
  <c r="AD770" i="9" l="1"/>
  <c r="AI770" i="9"/>
  <c r="AJ770" i="9" s="1"/>
  <c r="Z770" i="9"/>
  <c r="AG770" i="9"/>
  <c r="T1229" i="9"/>
  <c r="R1230" i="9" s="1"/>
  <c r="Y770" i="9" l="1"/>
  <c r="X771" i="9" s="1"/>
  <c r="AC770" i="9" a="1"/>
  <c r="AC770" i="9" s="1"/>
  <c r="AA771" i="9" s="1"/>
  <c r="AH770" i="9"/>
  <c r="T1230" i="9"/>
  <c r="R1231" i="9" s="1"/>
  <c r="AD771" i="9" l="1"/>
  <c r="AG771" i="9"/>
  <c r="Z771" i="9"/>
  <c r="AI771" i="9"/>
  <c r="AJ771" i="9" s="1"/>
  <c r="T1231" i="9"/>
  <c r="AH771" i="9" l="1"/>
  <c r="Y771" i="9"/>
  <c r="X772" i="9" s="1"/>
  <c r="AC771" i="9" a="1"/>
  <c r="AC771" i="9" s="1"/>
  <c r="AA772" i="9" s="1"/>
  <c r="R1232" i="9"/>
  <c r="AD772" i="9" l="1"/>
  <c r="AI772" i="9"/>
  <c r="AJ772" i="9" s="1"/>
  <c r="Z772" i="9"/>
  <c r="AG772" i="9"/>
  <c r="T1232" i="9"/>
  <c r="R1233" i="9" s="1"/>
  <c r="AH772" i="9" l="1"/>
  <c r="AC772" i="9" a="1"/>
  <c r="AC772" i="9" s="1"/>
  <c r="AA773" i="9" s="1"/>
  <c r="Y772" i="9"/>
  <c r="X773" i="9" s="1"/>
  <c r="T1233" i="9"/>
  <c r="R1234" i="9" s="1"/>
  <c r="AI773" i="9" l="1"/>
  <c r="AJ773" i="9" s="1"/>
  <c r="Z773" i="9"/>
  <c r="AG773" i="9"/>
  <c r="AD773" i="9"/>
  <c r="T1234" i="9"/>
  <c r="R1235" i="9" s="1"/>
  <c r="AH773" i="9" l="1"/>
  <c r="Y773" i="9"/>
  <c r="X774" i="9" s="1"/>
  <c r="AC773" i="9" a="1"/>
  <c r="AC773" i="9" s="1"/>
  <c r="AA774" i="9" s="1"/>
  <c r="T1235" i="9"/>
  <c r="AD774" i="9" l="1"/>
  <c r="Z774" i="9"/>
  <c r="AG774" i="9"/>
  <c r="AI774" i="9"/>
  <c r="AJ774" i="9" s="1"/>
  <c r="R1236" i="9"/>
  <c r="AC774" i="9" l="1" a="1"/>
  <c r="AC774" i="9" s="1"/>
  <c r="AA775" i="9" s="1"/>
  <c r="AH774" i="9"/>
  <c r="Y774" i="9"/>
  <c r="X775" i="9" s="1"/>
  <c r="T1236" i="9"/>
  <c r="R1237" i="9" s="1"/>
  <c r="Z775" i="9" l="1"/>
  <c r="AG775" i="9"/>
  <c r="AI775" i="9"/>
  <c r="AJ775" i="9" s="1"/>
  <c r="AD775" i="9"/>
  <c r="T1237" i="9"/>
  <c r="R1238" i="9" s="1"/>
  <c r="AC775" i="9" l="1" a="1"/>
  <c r="AC775" i="9" s="1"/>
  <c r="AA776" i="9" s="1"/>
  <c r="Y775" i="9"/>
  <c r="X776" i="9" s="1"/>
  <c r="AH775" i="9"/>
  <c r="T1238" i="9"/>
  <c r="R1239" i="9" s="1"/>
  <c r="Z776" i="9" l="1"/>
  <c r="AI776" i="9"/>
  <c r="AJ776" i="9" s="1"/>
  <c r="AG776" i="9"/>
  <c r="AD776" i="9"/>
  <c r="T1239" i="9"/>
  <c r="AC776" i="9" l="1" a="1"/>
  <c r="AC776" i="9" s="1"/>
  <c r="AA777" i="9" s="1"/>
  <c r="Y776" i="9"/>
  <c r="X777" i="9" s="1"/>
  <c r="AH776" i="9"/>
  <c r="R1240" i="9"/>
  <c r="AI777" i="9" l="1"/>
  <c r="AJ777" i="9" s="1"/>
  <c r="Z777" i="9"/>
  <c r="AG777" i="9"/>
  <c r="AD777" i="9"/>
  <c r="T1240" i="9"/>
  <c r="R1241" i="9" s="1"/>
  <c r="AH777" i="9" l="1"/>
  <c r="Y777" i="9"/>
  <c r="X778" i="9" s="1"/>
  <c r="AC777" i="9" a="1"/>
  <c r="AC777" i="9" s="1"/>
  <c r="AA778" i="9" s="1"/>
  <c r="T1241" i="9"/>
  <c r="AD778" i="9" l="1"/>
  <c r="AI778" i="9"/>
  <c r="AJ778" i="9" s="1"/>
  <c r="AG778" i="9"/>
  <c r="Z778" i="9"/>
  <c r="R1242" i="9"/>
  <c r="AC778" i="9" l="1" a="1"/>
  <c r="AC778" i="9" s="1"/>
  <c r="AA779" i="9" s="1"/>
  <c r="Y778" i="9"/>
  <c r="X779" i="9" s="1"/>
  <c r="AH778" i="9"/>
  <c r="T1242" i="9"/>
  <c r="AI779" i="9" l="1"/>
  <c r="AJ779" i="9" s="1"/>
  <c r="Z779" i="9"/>
  <c r="AG779" i="9"/>
  <c r="AD779" i="9"/>
  <c r="R1243" i="9"/>
  <c r="R18" i="9"/>
  <c r="AH779" i="9" l="1"/>
  <c r="Y779" i="9"/>
  <c r="X780" i="9" s="1"/>
  <c r="AC779" i="9" a="1"/>
  <c r="AC779" i="9" s="1"/>
  <c r="AA780" i="9" s="1"/>
  <c r="X18" i="9"/>
  <c r="Y15" i="9" s="1"/>
  <c r="T1243" i="9"/>
  <c r="R1244" i="9" s="1"/>
  <c r="S15" i="9"/>
  <c r="T18" i="9"/>
  <c r="AD780" i="9" l="1"/>
  <c r="Z780" i="9"/>
  <c r="AI780" i="9"/>
  <c r="AJ780" i="9" s="1"/>
  <c r="AG780" i="9"/>
  <c r="Z18" i="9"/>
  <c r="T1244" i="9"/>
  <c r="Y780" i="9" l="1"/>
  <c r="X781" i="9" s="1"/>
  <c r="AH780" i="9"/>
  <c r="AC780" i="9" a="1"/>
  <c r="AC780" i="9" s="1"/>
  <c r="AA781" i="9" s="1"/>
  <c r="R1245" i="9"/>
  <c r="AD781" i="9" l="1"/>
  <c r="Z781" i="9"/>
  <c r="AG781" i="9"/>
  <c r="AI781" i="9"/>
  <c r="AJ781" i="9" s="1"/>
  <c r="T1245" i="9"/>
  <c r="R1246" i="9" s="1"/>
  <c r="AH781" i="9" l="1"/>
  <c r="Y781" i="9"/>
  <c r="X782" i="9" s="1"/>
  <c r="AC781" i="9" a="1"/>
  <c r="AC781" i="9" s="1"/>
  <c r="AA782" i="9" s="1"/>
  <c r="T1246" i="9"/>
  <c r="R1247" i="9" s="1"/>
  <c r="AD782" i="9" l="1"/>
  <c r="Z782" i="9"/>
  <c r="AI782" i="9"/>
  <c r="AJ782" i="9" s="1"/>
  <c r="AG782" i="9"/>
  <c r="T1247" i="9"/>
  <c r="AH782" i="9" l="1"/>
  <c r="Y782" i="9"/>
  <c r="X783" i="9" s="1"/>
  <c r="AC782" i="9" a="1"/>
  <c r="AC782" i="9" s="1"/>
  <c r="AA783" i="9" s="1"/>
  <c r="R1248" i="9"/>
  <c r="AD783" i="9" l="1"/>
  <c r="AG783" i="9"/>
  <c r="Z783" i="9"/>
  <c r="AI783" i="9"/>
  <c r="AJ783" i="9" s="1"/>
  <c r="T1248" i="9"/>
  <c r="AC783" i="9" l="1" a="1"/>
  <c r="AC783" i="9" s="1"/>
  <c r="AA784" i="9" s="1"/>
  <c r="AH783" i="9"/>
  <c r="Y783" i="9"/>
  <c r="X784" i="9" s="1"/>
  <c r="R1249" i="9"/>
  <c r="AI784" i="9" l="1"/>
  <c r="AJ784" i="9" s="1"/>
  <c r="AG784" i="9"/>
  <c r="Z784" i="9"/>
  <c r="AD784" i="9"/>
  <c r="T1249" i="9"/>
  <c r="Y784" i="9" l="1"/>
  <c r="X785" i="9" s="1"/>
  <c r="AH784" i="9"/>
  <c r="AC784" i="9" a="1"/>
  <c r="AC784" i="9" s="1"/>
  <c r="AA785" i="9" s="1"/>
  <c r="R1250" i="9"/>
  <c r="AD785" i="9" l="1"/>
  <c r="Z785" i="9"/>
  <c r="AG785" i="9"/>
  <c r="AI785" i="9"/>
  <c r="AJ785" i="9" s="1"/>
  <c r="T1250" i="9"/>
  <c r="R1251" i="9" s="1"/>
  <c r="AC785" i="9" l="1" a="1"/>
  <c r="AC785" i="9" s="1"/>
  <c r="AA786" i="9" s="1"/>
  <c r="Y785" i="9"/>
  <c r="X786" i="9" s="1"/>
  <c r="AH785" i="9"/>
  <c r="T1251" i="9"/>
  <c r="AG786" i="9" l="1"/>
  <c r="Z786" i="9"/>
  <c r="AI786" i="9"/>
  <c r="AJ786" i="9" s="1"/>
  <c r="AD786" i="9"/>
  <c r="R1252" i="9"/>
  <c r="AC786" i="9" l="1" a="1"/>
  <c r="AC786" i="9" s="1"/>
  <c r="AA787" i="9" s="1"/>
  <c r="AH786" i="9"/>
  <c r="Y786" i="9"/>
  <c r="X787" i="9" s="1"/>
  <c r="T1252" i="9"/>
  <c r="R1253" i="9" s="1"/>
  <c r="AG787" i="9" l="1"/>
  <c r="AI787" i="9"/>
  <c r="AJ787" i="9" s="1"/>
  <c r="Z787" i="9"/>
  <c r="AD787" i="9"/>
  <c r="T1253" i="9"/>
  <c r="R1254" i="9" s="1"/>
  <c r="AC787" i="9" l="1" a="1"/>
  <c r="AC787" i="9" s="1"/>
  <c r="AA788" i="9" s="1"/>
  <c r="AH787" i="9"/>
  <c r="Y787" i="9"/>
  <c r="X788" i="9" s="1"/>
  <c r="T1254" i="9"/>
  <c r="AI788" i="9" l="1"/>
  <c r="AJ788" i="9" s="1"/>
  <c r="Z788" i="9"/>
  <c r="AG788" i="9"/>
  <c r="AD788" i="9"/>
  <c r="R1255" i="9"/>
  <c r="AH788" i="9" l="1"/>
  <c r="Y788" i="9"/>
  <c r="X789" i="9" s="1"/>
  <c r="AC788" i="9" a="1"/>
  <c r="AC788" i="9" s="1"/>
  <c r="AA789" i="9" s="1"/>
  <c r="T1255" i="9"/>
  <c r="R1256" i="9" s="1"/>
  <c r="AD789" i="9" l="1"/>
  <c r="Z789" i="9"/>
  <c r="AG789" i="9"/>
  <c r="AI789" i="9"/>
  <c r="AJ789" i="9" s="1"/>
  <c r="T1256" i="9"/>
  <c r="R1257" i="9" s="1"/>
  <c r="Y789" i="9" l="1"/>
  <c r="X790" i="9" s="1"/>
  <c r="AH789" i="9"/>
  <c r="AC789" i="9" a="1"/>
  <c r="AC789" i="9" s="1"/>
  <c r="AA790" i="9" s="1"/>
  <c r="T1257" i="9"/>
  <c r="R1258" i="9" s="1"/>
  <c r="AD790" i="9" l="1"/>
  <c r="AG790" i="9"/>
  <c r="Z790" i="9"/>
  <c r="AI790" i="9"/>
  <c r="AJ790" i="9" s="1"/>
  <c r="T1258" i="9"/>
  <c r="R1259" i="9" s="1"/>
  <c r="AC790" i="9" l="1" a="1"/>
  <c r="AC790" i="9" s="1"/>
  <c r="AA791" i="9" s="1"/>
  <c r="Y790" i="9"/>
  <c r="X791" i="9" s="1"/>
  <c r="AH790" i="9"/>
  <c r="T1259" i="9"/>
  <c r="Z791" i="9" l="1"/>
  <c r="AG791" i="9"/>
  <c r="AI791" i="9"/>
  <c r="AJ791" i="9" s="1"/>
  <c r="AD791" i="9"/>
  <c r="R1260" i="9"/>
  <c r="Y791" i="9" l="1"/>
  <c r="X792" i="9" s="1"/>
  <c r="AC791" i="9" a="1"/>
  <c r="AC791" i="9" s="1"/>
  <c r="AA792" i="9" s="1"/>
  <c r="AH791" i="9"/>
  <c r="T1260" i="9"/>
  <c r="AD792" i="9" l="1"/>
  <c r="AI792" i="9"/>
  <c r="AJ792" i="9" s="1"/>
  <c r="AG792" i="9"/>
  <c r="Z792" i="9"/>
  <c r="R1261" i="9"/>
  <c r="AH792" i="9" l="1"/>
  <c r="Y792" i="9"/>
  <c r="X793" i="9" s="1"/>
  <c r="AC792" i="9" a="1"/>
  <c r="AC792" i="9" s="1"/>
  <c r="AA793" i="9" s="1"/>
  <c r="T1261" i="9"/>
  <c r="R1262" i="9" s="1"/>
  <c r="AD793" i="9" l="1"/>
  <c r="Z793" i="9"/>
  <c r="AG793" i="9"/>
  <c r="AI793" i="9"/>
  <c r="AJ793" i="9" s="1"/>
  <c r="T1262" i="9"/>
  <c r="AC793" i="9" l="1" a="1"/>
  <c r="AC793" i="9" s="1"/>
  <c r="AA794" i="9" s="1"/>
  <c r="AH793" i="9"/>
  <c r="Y793" i="9"/>
  <c r="X794" i="9" s="1"/>
  <c r="R1263" i="9"/>
  <c r="Z794" i="9" l="1"/>
  <c r="AG794" i="9"/>
  <c r="AI794" i="9"/>
  <c r="AJ794" i="9" s="1"/>
  <c r="AD794" i="9"/>
  <c r="T1263" i="9"/>
  <c r="R1264" i="9" s="1"/>
  <c r="AH794" i="9" l="1"/>
  <c r="Y794" i="9"/>
  <c r="X795" i="9" s="1"/>
  <c r="AC794" i="9" a="1"/>
  <c r="AC794" i="9" s="1"/>
  <c r="AA795" i="9" s="1"/>
  <c r="T1264" i="9"/>
  <c r="R1265" i="9" s="1"/>
  <c r="AD795" i="9" l="1"/>
  <c r="Z795" i="9"/>
  <c r="AG795" i="9"/>
  <c r="AI795" i="9"/>
  <c r="AJ795" i="9" s="1"/>
  <c r="T1265" i="9"/>
  <c r="R1266" i="9" s="1"/>
  <c r="Y795" i="9" l="1"/>
  <c r="X796" i="9" s="1"/>
  <c r="AC795" i="9" a="1"/>
  <c r="AC795" i="9" s="1"/>
  <c r="AA796" i="9" s="1"/>
  <c r="AH795" i="9"/>
  <c r="T1266" i="9"/>
  <c r="AD796" i="9" l="1"/>
  <c r="AG796" i="9"/>
  <c r="Z796" i="9"/>
  <c r="AI796" i="9"/>
  <c r="AJ796" i="9" s="1"/>
  <c r="R1267" i="9"/>
  <c r="AC796" i="9" l="1" a="1"/>
  <c r="AC796" i="9" s="1"/>
  <c r="AA797" i="9" s="1"/>
  <c r="Y796" i="9"/>
  <c r="X797" i="9" s="1"/>
  <c r="AH796" i="9"/>
  <c r="T1267" i="9"/>
  <c r="R1268" i="9" s="1"/>
  <c r="Z797" i="9" l="1"/>
  <c r="AI797" i="9"/>
  <c r="AJ797" i="9" s="1"/>
  <c r="AG797" i="9"/>
  <c r="AD797" i="9"/>
  <c r="T1268" i="9"/>
  <c r="R1269" i="9" s="1"/>
  <c r="AC797" i="9" l="1" a="1"/>
  <c r="AC797" i="9" s="1"/>
  <c r="AA798" i="9" s="1"/>
  <c r="AH797" i="9"/>
  <c r="Y797" i="9"/>
  <c r="X798" i="9" s="1"/>
  <c r="T1269" i="9"/>
  <c r="R1270" i="9" s="1"/>
  <c r="Z798" i="9" l="1"/>
  <c r="AG798" i="9"/>
  <c r="AI798" i="9"/>
  <c r="AJ798" i="9" s="1"/>
  <c r="AD798" i="9"/>
  <c r="T1270" i="9"/>
  <c r="Y798" i="9" l="1"/>
  <c r="X799" i="9" s="1"/>
  <c r="AC798" i="9" a="1"/>
  <c r="AC798" i="9" s="1"/>
  <c r="AA799" i="9" s="1"/>
  <c r="AH798" i="9"/>
  <c r="R1271" i="9"/>
  <c r="AD799" i="9" l="1"/>
  <c r="Z799" i="9"/>
  <c r="AG799" i="9"/>
  <c r="AI799" i="9"/>
  <c r="AJ799" i="9" s="1"/>
  <c r="T1271" i="9"/>
  <c r="R1272" i="9" s="1"/>
  <c r="AH799" i="9" l="1"/>
  <c r="Y799" i="9"/>
  <c r="X800" i="9" s="1"/>
  <c r="AC799" i="9" a="1"/>
  <c r="AC799" i="9" s="1"/>
  <c r="AA800" i="9" s="1"/>
  <c r="T1272" i="9"/>
  <c r="AD800" i="9" l="1"/>
  <c r="Z800" i="9"/>
  <c r="AI800" i="9"/>
  <c r="AJ800" i="9" s="1"/>
  <c r="AG800" i="9"/>
  <c r="R1273" i="9"/>
  <c r="Y800" i="9" l="1"/>
  <c r="X801" i="9" s="1"/>
  <c r="AH800" i="9"/>
  <c r="AC800" i="9" a="1"/>
  <c r="AC800" i="9" s="1"/>
  <c r="AA801" i="9" s="1"/>
  <c r="T1273" i="9"/>
  <c r="AD801" i="9" l="1"/>
  <c r="Z801" i="9"/>
  <c r="AG801" i="9"/>
  <c r="AI801" i="9"/>
  <c r="AJ801" i="9" s="1"/>
  <c r="R1274" i="9"/>
  <c r="AC801" i="9" l="1" a="1"/>
  <c r="AC801" i="9" s="1"/>
  <c r="AA802" i="9" s="1"/>
  <c r="AH801" i="9"/>
  <c r="Y801" i="9"/>
  <c r="X802" i="9" s="1"/>
  <c r="T1274" i="9"/>
  <c r="R1275" i="9" s="1"/>
  <c r="AI802" i="9" l="1"/>
  <c r="AJ802" i="9" s="1"/>
  <c r="AG802" i="9"/>
  <c r="Z802" i="9"/>
  <c r="AD802" i="9"/>
  <c r="T1275" i="9"/>
  <c r="AH802" i="9" l="1"/>
  <c r="Y802" i="9"/>
  <c r="X803" i="9" s="1"/>
  <c r="AC802" i="9" a="1"/>
  <c r="AC802" i="9" s="1"/>
  <c r="AA803" i="9" s="1"/>
  <c r="R1276" i="9"/>
  <c r="AD803" i="9" l="1"/>
  <c r="AG803" i="9"/>
  <c r="Z803" i="9"/>
  <c r="AI803" i="9"/>
  <c r="AJ803" i="9" s="1"/>
  <c r="T1276" i="9"/>
  <c r="Y803" i="9" l="1"/>
  <c r="X804" i="9" s="1"/>
  <c r="AC803" i="9" a="1"/>
  <c r="AC803" i="9" s="1"/>
  <c r="AA804" i="9" s="1"/>
  <c r="AH803" i="9"/>
  <c r="R1277" i="9"/>
  <c r="AD804" i="9" l="1"/>
  <c r="AI804" i="9"/>
  <c r="AJ804" i="9" s="1"/>
  <c r="AG804" i="9"/>
  <c r="Z804" i="9"/>
  <c r="T1277" i="9"/>
  <c r="AH804" i="9" l="1"/>
  <c r="AC804" i="9" a="1"/>
  <c r="AC804" i="9" s="1"/>
  <c r="AA805" i="9" s="1"/>
  <c r="Y804" i="9"/>
  <c r="X805" i="9" s="1"/>
  <c r="R1278" i="9"/>
  <c r="AG805" i="9" l="1"/>
  <c r="Z805" i="9"/>
  <c r="AI805" i="9"/>
  <c r="AJ805" i="9" s="1"/>
  <c r="AD805" i="9"/>
  <c r="T1278" i="9"/>
  <c r="R1279" i="9" s="1"/>
  <c r="AH805" i="9" l="1"/>
  <c r="AC805" i="9" a="1"/>
  <c r="AC805" i="9" s="1"/>
  <c r="AA806" i="9" s="1"/>
  <c r="Y805" i="9"/>
  <c r="X806" i="9" s="1"/>
  <c r="T1279" i="9"/>
  <c r="Z806" i="9" l="1"/>
  <c r="AG806" i="9"/>
  <c r="AI806" i="9"/>
  <c r="AJ806" i="9" s="1"/>
  <c r="AD806" i="9"/>
  <c r="R1280" i="9"/>
  <c r="Y806" i="9" l="1"/>
  <c r="X807" i="9" s="1"/>
  <c r="AC806" i="9" a="1"/>
  <c r="AC806" i="9" s="1"/>
  <c r="AA807" i="9" s="1"/>
  <c r="AH806" i="9"/>
  <c r="T1280" i="9"/>
  <c r="R1281" i="9" s="1"/>
  <c r="AD807" i="9" l="1"/>
  <c r="Z807" i="9"/>
  <c r="AG807" i="9"/>
  <c r="AI807" i="9"/>
  <c r="AJ807" i="9" s="1"/>
  <c r="T1281" i="9"/>
  <c r="R1282" i="9" s="1"/>
  <c r="AC807" i="9" l="1" a="1"/>
  <c r="AC807" i="9" s="1"/>
  <c r="AA808" i="9" s="1"/>
  <c r="AH807" i="9"/>
  <c r="Y807" i="9"/>
  <c r="X808" i="9" s="1"/>
  <c r="T1282" i="9"/>
  <c r="R1283" i="9" s="1"/>
  <c r="Z808" i="9" l="1"/>
  <c r="AI808" i="9"/>
  <c r="AJ808" i="9" s="1"/>
  <c r="AG808" i="9"/>
  <c r="AD808" i="9"/>
  <c r="T1283" i="9"/>
  <c r="AH808" i="9" l="1"/>
  <c r="AC808" i="9" a="1"/>
  <c r="AC808" i="9" s="1"/>
  <c r="AA809" i="9" s="1"/>
  <c r="Y808" i="9"/>
  <c r="X809" i="9" s="1"/>
  <c r="R1284" i="9"/>
  <c r="AI809" i="9" l="1"/>
  <c r="AJ809" i="9" s="1"/>
  <c r="Z809" i="9"/>
  <c r="AG809" i="9"/>
  <c r="AD809" i="9"/>
  <c r="T1284" i="9"/>
  <c r="R1285" i="9" s="1"/>
  <c r="AH809" i="9" l="1"/>
  <c r="Y809" i="9"/>
  <c r="X810" i="9" s="1"/>
  <c r="AC809" i="9" a="1"/>
  <c r="AC809" i="9" s="1"/>
  <c r="AA810" i="9" s="1"/>
  <c r="T1285" i="9"/>
  <c r="R1286" i="9" s="1"/>
  <c r="AD810" i="9" l="1"/>
  <c r="AI810" i="9"/>
  <c r="AJ810" i="9" s="1"/>
  <c r="AG810" i="9"/>
  <c r="Z810" i="9"/>
  <c r="T1286" i="9"/>
  <c r="R1287" i="9" s="1"/>
  <c r="AC810" i="9" l="1" a="1"/>
  <c r="AC810" i="9" s="1"/>
  <c r="AA811" i="9" s="1"/>
  <c r="AH810" i="9"/>
  <c r="Y810" i="9"/>
  <c r="X811" i="9" s="1"/>
  <c r="T1287" i="9"/>
  <c r="R1288" i="9" s="1"/>
  <c r="AI811" i="9" l="1"/>
  <c r="AJ811" i="9" s="1"/>
  <c r="Z811" i="9"/>
  <c r="AG811" i="9"/>
  <c r="AD811" i="9"/>
  <c r="T1288" i="9"/>
  <c r="R1289" i="9" s="1"/>
  <c r="AH811" i="9" l="1"/>
  <c r="AC811" i="9" a="1"/>
  <c r="AC811" i="9" s="1"/>
  <c r="AA812" i="9" s="1"/>
  <c r="Y811" i="9"/>
  <c r="X812" i="9" s="1"/>
  <c r="T1289" i="9"/>
  <c r="R1290" i="9" s="1"/>
  <c r="Z812" i="9" l="1"/>
  <c r="AG812" i="9"/>
  <c r="AI812" i="9"/>
  <c r="AJ812" i="9" s="1"/>
  <c r="AD812" i="9"/>
  <c r="T1290" i="9"/>
  <c r="R1291" i="9" s="1"/>
  <c r="AH812" i="9" l="1"/>
  <c r="Y812" i="9"/>
  <c r="X813" i="9" s="1"/>
  <c r="AC812" i="9" a="1"/>
  <c r="AC812" i="9" s="1"/>
  <c r="AA813" i="9" s="1"/>
  <c r="T1291" i="9"/>
  <c r="AD813" i="9" l="1"/>
  <c r="AI813" i="9"/>
  <c r="AJ813" i="9" s="1"/>
  <c r="Z813" i="9"/>
  <c r="AG813" i="9"/>
  <c r="R1292" i="9"/>
  <c r="Y813" i="9" l="1"/>
  <c r="X814" i="9" s="1"/>
  <c r="AC813" i="9" a="1"/>
  <c r="AC813" i="9" s="1"/>
  <c r="AA814" i="9" s="1"/>
  <c r="AH813" i="9"/>
  <c r="T1292" i="9"/>
  <c r="R1293" i="9" s="1"/>
  <c r="AD814" i="9" l="1"/>
  <c r="Z814" i="9"/>
  <c r="AI814" i="9"/>
  <c r="AJ814" i="9" s="1"/>
  <c r="AG814" i="9"/>
  <c r="T1293" i="9"/>
  <c r="R1294" i="9" s="1"/>
  <c r="AC814" i="9" l="1" a="1"/>
  <c r="AC814" i="9" s="1"/>
  <c r="AA815" i="9" s="1"/>
  <c r="AH814" i="9"/>
  <c r="Y814" i="9"/>
  <c r="X815" i="9" s="1"/>
  <c r="T1294" i="9"/>
  <c r="Z815" i="9" l="1"/>
  <c r="AI815" i="9"/>
  <c r="AJ815" i="9" s="1"/>
  <c r="AG815" i="9"/>
  <c r="AD815" i="9"/>
  <c r="R1295" i="9"/>
  <c r="AC815" i="9" l="1" a="1"/>
  <c r="AC815" i="9" s="1"/>
  <c r="AA816" i="9" s="1"/>
  <c r="AH815" i="9"/>
  <c r="Y815" i="9"/>
  <c r="X816" i="9" s="1"/>
  <c r="T1295" i="9"/>
  <c r="R1296" i="9" s="1"/>
  <c r="AG816" i="9" l="1"/>
  <c r="Z816" i="9"/>
  <c r="AI816" i="9"/>
  <c r="AJ816" i="9" s="1"/>
  <c r="AD816" i="9"/>
  <c r="T1296" i="9"/>
  <c r="R1297" i="9" s="1"/>
  <c r="AH816" i="9" l="1"/>
  <c r="AC816" i="9" a="1"/>
  <c r="AC816" i="9" s="1"/>
  <c r="AA817" i="9" s="1"/>
  <c r="Y816" i="9"/>
  <c r="X817" i="9" s="1"/>
  <c r="T1297" i="9"/>
  <c r="R1298" i="9" s="1"/>
  <c r="AD817" i="9" l="1"/>
  <c r="AI817" i="9"/>
  <c r="AJ817" i="9" s="1"/>
  <c r="Z817" i="9"/>
  <c r="AG817" i="9"/>
  <c r="T1298" i="9"/>
  <c r="R1299" i="9" s="1"/>
  <c r="Y817" i="9" l="1"/>
  <c r="X818" i="9" s="1"/>
  <c r="AC817" i="9" a="1"/>
  <c r="AC817" i="9" s="1"/>
  <c r="AA818" i="9" s="1"/>
  <c r="AH817" i="9"/>
  <c r="T1299" i="9"/>
  <c r="AD818" i="9" l="1"/>
  <c r="AG818" i="9"/>
  <c r="AI818" i="9"/>
  <c r="AJ818" i="9" s="1"/>
  <c r="Z818" i="9"/>
  <c r="R1300" i="9"/>
  <c r="AC818" i="9" l="1" a="1"/>
  <c r="AC818" i="9" s="1"/>
  <c r="AA819" i="9" s="1"/>
  <c r="AH818" i="9"/>
  <c r="Y818" i="9"/>
  <c r="X819" i="9" s="1"/>
  <c r="T1300" i="9"/>
  <c r="R1301" i="9" s="1"/>
  <c r="Z819" i="9" l="1"/>
  <c r="AI819" i="9"/>
  <c r="AJ819" i="9" s="1"/>
  <c r="AG819" i="9"/>
  <c r="AD819" i="9"/>
  <c r="T1301" i="9"/>
  <c r="R1302" i="9" s="1"/>
  <c r="AC819" i="9" l="1" a="1"/>
  <c r="AC819" i="9" s="1"/>
  <c r="AA820" i="9" s="1"/>
  <c r="Y819" i="9"/>
  <c r="X820" i="9" s="1"/>
  <c r="AH819" i="9"/>
  <c r="T1302" i="9"/>
  <c r="AG820" i="9" l="1"/>
  <c r="AI820" i="9"/>
  <c r="AJ820" i="9" s="1"/>
  <c r="Z820" i="9"/>
  <c r="AD820" i="9"/>
  <c r="AH820" i="9" l="1"/>
  <c r="AC820" i="9" a="1"/>
  <c r="AC820" i="9" s="1"/>
  <c r="AA821" i="9" s="1"/>
  <c r="Y820" i="9"/>
  <c r="X821" i="9" s="1"/>
  <c r="Z821" i="9" l="1"/>
  <c r="AG821" i="9"/>
  <c r="AI821" i="9"/>
  <c r="AJ821" i="9" s="1"/>
  <c r="AD821" i="9"/>
  <c r="AC821" i="9" l="1" a="1"/>
  <c r="AC821" i="9" s="1"/>
  <c r="AA822" i="9" s="1"/>
  <c r="Y821" i="9"/>
  <c r="X822" i="9" s="1"/>
  <c r="AH821" i="9"/>
  <c r="Z822" i="9" l="1"/>
  <c r="AG822" i="9"/>
  <c r="AI822" i="9"/>
  <c r="AJ822" i="9" s="1"/>
  <c r="AD822" i="9"/>
  <c r="Y822" i="9" l="1"/>
  <c r="X823" i="9" s="1"/>
  <c r="AH822" i="9"/>
  <c r="AC822" i="9" a="1"/>
  <c r="AC822" i="9" s="1"/>
  <c r="AA823" i="9" s="1"/>
  <c r="AD823" i="9" l="1"/>
  <c r="AI823" i="9"/>
  <c r="AJ823" i="9" s="1"/>
  <c r="AG823" i="9"/>
  <c r="Z823" i="9"/>
  <c r="AH823" i="9" l="1"/>
  <c r="Y823" i="9"/>
  <c r="X824" i="9" s="1"/>
  <c r="AC823" i="9" a="1"/>
  <c r="AC823" i="9" s="1"/>
  <c r="AA824" i="9" s="1"/>
  <c r="AD824" i="9" l="1"/>
  <c r="AI824" i="9"/>
  <c r="AJ824" i="9" s="1"/>
  <c r="Z824" i="9"/>
  <c r="AG824" i="9"/>
  <c r="AH824" i="9" l="1"/>
  <c r="Y824" i="9"/>
  <c r="X825" i="9" s="1"/>
  <c r="AC824" i="9" a="1"/>
  <c r="AC824" i="9" s="1"/>
  <c r="AA825" i="9" s="1"/>
  <c r="AD825" i="9" l="1"/>
  <c r="AI825" i="9"/>
  <c r="AJ825" i="9" s="1"/>
  <c r="AG825" i="9"/>
  <c r="Z825" i="9"/>
  <c r="AC825" i="9" l="1" a="1"/>
  <c r="AC825" i="9" s="1"/>
  <c r="AA826" i="9" s="1"/>
  <c r="AH825" i="9"/>
  <c r="Y825" i="9"/>
  <c r="X826" i="9" s="1"/>
  <c r="AI826" i="9" l="1"/>
  <c r="AJ826" i="9" s="1"/>
  <c r="AG826" i="9"/>
  <c r="Z826" i="9"/>
  <c r="AD826" i="9"/>
  <c r="AH826" i="9" l="1"/>
  <c r="Y826" i="9"/>
  <c r="X827" i="9" s="1"/>
  <c r="AC826" i="9" a="1"/>
  <c r="AC826" i="9" s="1"/>
  <c r="AA827" i="9" s="1"/>
  <c r="AD827" i="9" l="1"/>
  <c r="AG827" i="9"/>
  <c r="Z827" i="9"/>
  <c r="AI827" i="9"/>
  <c r="AJ827" i="9" s="1"/>
  <c r="AC827" i="9" l="1" a="1"/>
  <c r="AC827" i="9" s="1"/>
  <c r="AA828" i="9" s="1"/>
  <c r="AH827" i="9"/>
  <c r="Y827" i="9"/>
  <c r="X828" i="9" s="1"/>
  <c r="Z828" i="9" l="1"/>
  <c r="AI828" i="9"/>
  <c r="AJ828" i="9" s="1"/>
  <c r="AG828" i="9"/>
  <c r="AD828" i="9"/>
  <c r="AH828" i="9" l="1"/>
  <c r="AC828" i="9" a="1"/>
  <c r="AC828" i="9" s="1"/>
  <c r="AA829" i="9" s="1"/>
  <c r="Y828" i="9"/>
  <c r="X829" i="9" s="1"/>
  <c r="Z829" i="9" l="1"/>
  <c r="AG829" i="9"/>
  <c r="AI829" i="9"/>
  <c r="AJ829" i="9" s="1"/>
  <c r="AD829" i="9"/>
  <c r="AC829" i="9" l="1" a="1"/>
  <c r="AC829" i="9" s="1"/>
  <c r="AA830" i="9" s="1"/>
  <c r="Y829" i="9"/>
  <c r="X830" i="9" s="1"/>
  <c r="AH829" i="9"/>
  <c r="AG830" i="9" l="1"/>
  <c r="AI830" i="9"/>
  <c r="AJ830" i="9" s="1"/>
  <c r="Z830" i="9"/>
  <c r="AD830" i="9"/>
  <c r="AC830" i="9" l="1" a="1"/>
  <c r="AC830" i="9" s="1"/>
  <c r="AA831" i="9" s="1"/>
  <c r="AH830" i="9"/>
  <c r="Y830" i="9"/>
  <c r="X831" i="9" s="1"/>
  <c r="AG831" i="9" l="1"/>
  <c r="Z831" i="9"/>
  <c r="AI831" i="9"/>
  <c r="AJ831" i="9" s="1"/>
  <c r="AD831" i="9"/>
  <c r="AC831" i="9" l="1" a="1"/>
  <c r="AC831" i="9" s="1"/>
  <c r="AA832" i="9" s="1"/>
  <c r="Y831" i="9"/>
  <c r="X832" i="9" s="1"/>
  <c r="AH831" i="9"/>
  <c r="Z832" i="9" l="1"/>
  <c r="AG832" i="9"/>
  <c r="AI832" i="9"/>
  <c r="AJ832" i="9" s="1"/>
  <c r="AD832" i="9"/>
  <c r="Y832" i="9" l="1"/>
  <c r="X833" i="9" s="1"/>
  <c r="AC832" i="9" a="1"/>
  <c r="AC832" i="9" s="1"/>
  <c r="AA833" i="9" s="1"/>
  <c r="AH832" i="9"/>
  <c r="AD833" i="9" l="1"/>
  <c r="Z833" i="9"/>
  <c r="AI833" i="9"/>
  <c r="AJ833" i="9" s="1"/>
  <c r="AG833" i="9"/>
  <c r="AH833" i="9" l="1"/>
  <c r="AC833" i="9" a="1"/>
  <c r="AC833" i="9" s="1"/>
  <c r="AA834" i="9" s="1"/>
  <c r="Y833" i="9"/>
  <c r="X834" i="9" s="1"/>
  <c r="Z834" i="9" l="1"/>
  <c r="AI834" i="9"/>
  <c r="AJ834" i="9" s="1"/>
  <c r="AG834" i="9"/>
  <c r="AD834" i="9"/>
  <c r="AC834" i="9" l="1" a="1"/>
  <c r="AC834" i="9" s="1"/>
  <c r="AA835" i="9" s="1"/>
  <c r="AH834" i="9"/>
  <c r="Y834" i="9"/>
  <c r="X835" i="9" s="1"/>
  <c r="AI835" i="9" l="1"/>
  <c r="AJ835" i="9" s="1"/>
  <c r="AG835" i="9"/>
  <c r="Z835" i="9"/>
  <c r="AD835" i="9"/>
  <c r="Y835" i="9" l="1"/>
  <c r="X836" i="9" s="1"/>
  <c r="AH835" i="9"/>
  <c r="AC835" i="9" a="1"/>
  <c r="AC835" i="9" s="1"/>
  <c r="AA836" i="9" s="1"/>
  <c r="AD836" i="9" l="1"/>
  <c r="AI836" i="9"/>
  <c r="AJ836" i="9" s="1"/>
  <c r="Z836" i="9"/>
  <c r="AG836" i="9"/>
  <c r="AH836" i="9" l="1"/>
  <c r="Y836" i="9"/>
  <c r="X837" i="9" s="1"/>
  <c r="AC836" i="9" a="1"/>
  <c r="AC836" i="9" s="1"/>
  <c r="AA837" i="9" s="1"/>
  <c r="AD837" i="9" l="1"/>
  <c r="Z837" i="9"/>
  <c r="AI837" i="9"/>
  <c r="AJ837" i="9" s="1"/>
  <c r="AG837" i="9"/>
  <c r="AC837" i="9" l="1" a="1"/>
  <c r="AC837" i="9" s="1"/>
  <c r="AA838" i="9" s="1"/>
  <c r="AH837" i="9"/>
  <c r="Y837" i="9"/>
  <c r="X838" i="9" s="1"/>
  <c r="Z838" i="9" l="1"/>
  <c r="AG838" i="9"/>
  <c r="AI838" i="9"/>
  <c r="AJ838" i="9" s="1"/>
  <c r="AD838" i="9"/>
  <c r="AC838" i="9" l="1" a="1"/>
  <c r="AC838" i="9" s="1"/>
  <c r="AA839" i="9" s="1"/>
  <c r="AH838" i="9"/>
  <c r="Y838" i="9"/>
  <c r="X839" i="9" s="1"/>
  <c r="Z839" i="9" l="1"/>
  <c r="AG839" i="9"/>
  <c r="AI839" i="9"/>
  <c r="AJ839" i="9" s="1"/>
  <c r="AD839" i="9"/>
  <c r="AC839" i="9" l="1" a="1"/>
  <c r="AC839" i="9" s="1"/>
  <c r="AA840" i="9" s="1"/>
  <c r="Y839" i="9"/>
  <c r="X840" i="9" s="1"/>
  <c r="AH839" i="9"/>
  <c r="AG840" i="9" l="1"/>
  <c r="Z840" i="9"/>
  <c r="AI840" i="9"/>
  <c r="AJ840" i="9" s="1"/>
  <c r="AD840" i="9"/>
  <c r="AC840" i="9" l="1" a="1"/>
  <c r="AC840" i="9" s="1"/>
  <c r="AA841" i="9" s="1"/>
  <c r="Y840" i="9"/>
  <c r="X841" i="9" s="1"/>
  <c r="AH840" i="9"/>
  <c r="AI841" i="9" l="1"/>
  <c r="AJ841" i="9" s="1"/>
  <c r="Z841" i="9"/>
  <c r="AG841" i="9"/>
  <c r="AD841" i="9"/>
  <c r="AC841" i="9" l="1" a="1"/>
  <c r="AC841" i="9" s="1"/>
  <c r="AA842" i="9" s="1"/>
  <c r="Y841" i="9"/>
  <c r="X842" i="9" s="1"/>
  <c r="AH841" i="9"/>
  <c r="AG842" i="9" l="1"/>
  <c r="AI842" i="9"/>
  <c r="AJ842" i="9" s="1"/>
  <c r="Z842" i="9"/>
  <c r="AD842" i="9"/>
  <c r="AH842" i="9" l="1"/>
  <c r="Y842" i="9"/>
  <c r="X843" i="9" s="1"/>
  <c r="AC842" i="9" a="1"/>
  <c r="AC842" i="9" s="1"/>
  <c r="AA843" i="9" s="1"/>
  <c r="AD843" i="9" l="1"/>
  <c r="Z843" i="9"/>
  <c r="AI843" i="9"/>
  <c r="AJ843" i="9" s="1"/>
  <c r="AG843" i="9"/>
  <c r="AH843" i="9" l="1"/>
  <c r="Y843" i="9"/>
  <c r="X844" i="9" s="1"/>
  <c r="AC843" i="9" a="1"/>
  <c r="AC843" i="9" s="1"/>
  <c r="AA844" i="9" s="1"/>
  <c r="AD844" i="9" l="1"/>
  <c r="AI844" i="9"/>
  <c r="AJ844" i="9" s="1"/>
  <c r="AG844" i="9"/>
  <c r="Z844" i="9"/>
  <c r="AH844" i="9" l="1"/>
  <c r="Y844" i="9"/>
  <c r="X845" i="9" s="1"/>
  <c r="AC844" i="9" a="1"/>
  <c r="AC844" i="9" s="1"/>
  <c r="AA845" i="9" s="1"/>
  <c r="AD845" i="9" l="1"/>
  <c r="AG845" i="9"/>
  <c r="Z845" i="9"/>
  <c r="AI845" i="9"/>
  <c r="AJ845" i="9" s="1"/>
  <c r="AH845" i="9" l="1"/>
  <c r="Y845" i="9"/>
  <c r="X846" i="9" s="1"/>
  <c r="AC845" i="9" a="1"/>
  <c r="AC845" i="9" s="1"/>
  <c r="AA846" i="9" s="1"/>
  <c r="AD846" i="9" l="1"/>
  <c r="Z846" i="9"/>
  <c r="AG846" i="9"/>
  <c r="AI846" i="9"/>
  <c r="AJ846" i="9" s="1"/>
  <c r="AH846" i="9" l="1"/>
  <c r="Y846" i="9"/>
  <c r="X847" i="9" s="1"/>
  <c r="AC846" i="9" a="1"/>
  <c r="AC846" i="9" s="1"/>
  <c r="AA847" i="9" s="1"/>
  <c r="AD847" i="9" l="1"/>
  <c r="Z847" i="9"/>
  <c r="AG847" i="9"/>
  <c r="AI847" i="9"/>
  <c r="AJ847" i="9" s="1"/>
  <c r="AC847" i="9" l="1" a="1"/>
  <c r="AC847" i="9" s="1"/>
  <c r="AA848" i="9" s="1"/>
  <c r="AH847" i="9"/>
  <c r="Y847" i="9"/>
  <c r="X848" i="9" s="1"/>
  <c r="AI848" i="9" l="1"/>
  <c r="AJ848" i="9" s="1"/>
  <c r="AG848" i="9"/>
  <c r="Z848" i="9"/>
  <c r="AD848" i="9"/>
  <c r="AH848" i="9" l="1"/>
  <c r="Y848" i="9"/>
  <c r="X849" i="9" s="1"/>
  <c r="AC848" i="9" a="1"/>
  <c r="AC848" i="9" s="1"/>
  <c r="AA849" i="9" s="1"/>
  <c r="AD849" i="9" l="1"/>
  <c r="Z849" i="9"/>
  <c r="AG849" i="9"/>
  <c r="AI849" i="9"/>
  <c r="AJ849" i="9" s="1"/>
  <c r="AH849" i="9" l="1"/>
  <c r="Y849" i="9"/>
  <c r="X850" i="9" s="1"/>
  <c r="AC849" i="9" a="1"/>
  <c r="AC849" i="9" s="1"/>
  <c r="AA850" i="9" s="1"/>
  <c r="AD850" i="9" l="1"/>
  <c r="Z850" i="9"/>
  <c r="AG850" i="9"/>
  <c r="AI850" i="9"/>
  <c r="AJ850" i="9" s="1"/>
  <c r="Y850" i="9" l="1"/>
  <c r="X851" i="9" s="1"/>
  <c r="AC850" i="9" a="1"/>
  <c r="AC850" i="9" s="1"/>
  <c r="AA851" i="9" s="1"/>
  <c r="AH850" i="9"/>
  <c r="AD851" i="9" l="1"/>
  <c r="AG851" i="9"/>
  <c r="AI851" i="9"/>
  <c r="AJ851" i="9" s="1"/>
  <c r="Z851" i="9"/>
  <c r="Y851" i="9" l="1"/>
  <c r="X852" i="9" s="1"/>
  <c r="AH851" i="9"/>
  <c r="AC851" i="9" a="1"/>
  <c r="AC851" i="9" s="1"/>
  <c r="AA852" i="9" s="1"/>
  <c r="AD852" i="9" l="1"/>
  <c r="AI852" i="9"/>
  <c r="AJ852" i="9" s="1"/>
  <c r="AG852" i="9"/>
  <c r="Z852" i="9"/>
  <c r="AC852" i="9" l="1" a="1"/>
  <c r="AC852" i="9" s="1"/>
  <c r="AA853" i="9" s="1"/>
  <c r="AH852" i="9"/>
  <c r="Y852" i="9"/>
  <c r="X853" i="9" s="1"/>
  <c r="Z853" i="9" l="1"/>
  <c r="AI853" i="9"/>
  <c r="AJ853" i="9" s="1"/>
  <c r="AG853" i="9"/>
  <c r="AD853" i="9"/>
  <c r="Y853" i="9" l="1"/>
  <c r="X854" i="9" s="1"/>
  <c r="AC853" i="9" a="1"/>
  <c r="AC853" i="9" s="1"/>
  <c r="AA854" i="9" s="1"/>
  <c r="AH853" i="9"/>
  <c r="AD854" i="9" l="1"/>
  <c r="AI854" i="9"/>
  <c r="AJ854" i="9" s="1"/>
  <c r="Z854" i="9"/>
  <c r="AG854" i="9"/>
  <c r="AH854" i="9" l="1"/>
  <c r="Y854" i="9"/>
  <c r="X855" i="9" s="1"/>
  <c r="AC854" i="9" a="1"/>
  <c r="AC854" i="9" s="1"/>
  <c r="AA855" i="9" s="1"/>
  <c r="AD855" i="9" l="1"/>
  <c r="AI855" i="9"/>
  <c r="AJ855" i="9" s="1"/>
  <c r="AG855" i="9"/>
  <c r="Z855" i="9"/>
  <c r="AH855" i="9" l="1"/>
  <c r="Y855" i="9"/>
  <c r="X856" i="9" s="1"/>
  <c r="AC855" i="9" a="1"/>
  <c r="AC855" i="9" s="1"/>
  <c r="AA856" i="9" s="1"/>
  <c r="AD856" i="9" l="1"/>
  <c r="AI856" i="9"/>
  <c r="AJ856" i="9" s="1"/>
  <c r="Z856" i="9"/>
  <c r="AG856" i="9"/>
  <c r="Y856" i="9" l="1"/>
  <c r="X857" i="9" s="1"/>
  <c r="AH856" i="9"/>
  <c r="AC856" i="9" a="1"/>
  <c r="AC856" i="9" s="1"/>
  <c r="AA857" i="9" s="1"/>
  <c r="AD857" i="9" l="1"/>
  <c r="Z857" i="9"/>
  <c r="AI857" i="9"/>
  <c r="AJ857" i="9" s="1"/>
  <c r="AG857" i="9"/>
  <c r="AC857" i="9" l="1" a="1"/>
  <c r="AC857" i="9" s="1"/>
  <c r="AA858" i="9" s="1"/>
  <c r="AH857" i="9"/>
  <c r="Y857" i="9"/>
  <c r="X858" i="9" s="1"/>
  <c r="AG858" i="9" l="1"/>
  <c r="Z858" i="9"/>
  <c r="AI858" i="9"/>
  <c r="AJ858" i="9" s="1"/>
  <c r="AD858" i="9"/>
  <c r="AH858" i="9" l="1"/>
  <c r="Y858" i="9"/>
  <c r="X859" i="9" s="1"/>
  <c r="AC858" i="9" a="1"/>
  <c r="AC858" i="9" s="1"/>
  <c r="AA859" i="9" s="1"/>
  <c r="AD859" i="9" l="1"/>
  <c r="AI859" i="9"/>
  <c r="AJ859" i="9" s="1"/>
  <c r="AG859" i="9"/>
  <c r="Z859" i="9"/>
  <c r="Y859" i="9" l="1"/>
  <c r="X860" i="9" s="1"/>
  <c r="AH859" i="9"/>
  <c r="AC859" i="9" a="1"/>
  <c r="AC859" i="9" s="1"/>
  <c r="AA860" i="9" s="1"/>
  <c r="AD860" i="9" l="1"/>
  <c r="Z860" i="9"/>
  <c r="AG860" i="9"/>
  <c r="AI860" i="9"/>
  <c r="AJ860" i="9" s="1"/>
  <c r="Y860" i="9" l="1"/>
  <c r="X861" i="9" s="1"/>
  <c r="AC860" i="9" a="1"/>
  <c r="AC860" i="9" s="1"/>
  <c r="AA861" i="9" s="1"/>
  <c r="AH860" i="9"/>
  <c r="AD861" i="9" l="1"/>
  <c r="Z861" i="9"/>
  <c r="AG861" i="9"/>
  <c r="AI861" i="9"/>
  <c r="AJ861" i="9" s="1"/>
  <c r="AC861" i="9" l="1" a="1"/>
  <c r="AC861" i="9" s="1"/>
  <c r="AA862" i="9" s="1"/>
  <c r="AH861" i="9"/>
  <c r="Y861" i="9"/>
  <c r="X862" i="9" s="1"/>
  <c r="Z862" i="9" l="1"/>
  <c r="AG862" i="9"/>
  <c r="AI862" i="9"/>
  <c r="AJ862" i="9" s="1"/>
  <c r="AD862" i="9"/>
  <c r="Y862" i="9" l="1"/>
  <c r="X863" i="9" s="1"/>
  <c r="AH862" i="9"/>
  <c r="AC862" i="9" a="1"/>
  <c r="AC862" i="9" s="1"/>
  <c r="AA863" i="9" s="1"/>
  <c r="AD863" i="9" l="1"/>
  <c r="AG863" i="9"/>
  <c r="Z863" i="9"/>
  <c r="AI863" i="9"/>
  <c r="AJ863" i="9" s="1"/>
  <c r="AH863" i="9" l="1"/>
  <c r="AC863" i="9" a="1"/>
  <c r="AC863" i="9" s="1"/>
  <c r="AA864" i="9" s="1"/>
  <c r="Y863" i="9"/>
  <c r="X864" i="9" s="1"/>
  <c r="Z864" i="9" l="1"/>
  <c r="AG864" i="9"/>
  <c r="AI864" i="9"/>
  <c r="AJ864" i="9" s="1"/>
  <c r="AD864" i="9"/>
  <c r="Y864" i="9" l="1"/>
  <c r="X865" i="9" s="1"/>
  <c r="AH864" i="9"/>
  <c r="AC864" i="9" a="1"/>
  <c r="AC864" i="9" s="1"/>
  <c r="AA865" i="9" s="1"/>
  <c r="AD865" i="9" l="1"/>
  <c r="AG865" i="9"/>
  <c r="AI865" i="9"/>
  <c r="AJ865" i="9" s="1"/>
  <c r="Z865" i="9"/>
  <c r="Y865" i="9" l="1"/>
  <c r="X866" i="9" s="1"/>
  <c r="AH865" i="9"/>
  <c r="AC865" i="9" a="1"/>
  <c r="AC865" i="9" s="1"/>
  <c r="AA866" i="9" s="1"/>
  <c r="AD866" i="9" l="1"/>
  <c r="Z866" i="9"/>
  <c r="AG866" i="9"/>
  <c r="AI866" i="9"/>
  <c r="AJ866" i="9" s="1"/>
  <c r="AH866" i="9" l="1"/>
  <c r="Y866" i="9"/>
  <c r="X867" i="9" s="1"/>
  <c r="AC866" i="9" a="1"/>
  <c r="AC866" i="9" s="1"/>
  <c r="AA867" i="9" s="1"/>
  <c r="AD867" i="9" l="1"/>
  <c r="AI867" i="9"/>
  <c r="AJ867" i="9" s="1"/>
  <c r="Z867" i="9"/>
  <c r="AG867" i="9"/>
  <c r="AH867" i="9" l="1"/>
  <c r="AC867" i="9" a="1"/>
  <c r="AC867" i="9" s="1"/>
  <c r="AA868" i="9" s="1"/>
  <c r="Y867" i="9"/>
  <c r="X868" i="9" s="1"/>
  <c r="AG868" i="9" l="1"/>
  <c r="Z868" i="9"/>
  <c r="AI868" i="9"/>
  <c r="AJ868" i="9" s="1"/>
  <c r="AD868" i="9"/>
  <c r="Y868" i="9" l="1"/>
  <c r="X869" i="9" s="1"/>
  <c r="AH868" i="9"/>
  <c r="AC868" i="9" a="1"/>
  <c r="AC868" i="9" s="1"/>
  <c r="AA869" i="9" s="1"/>
  <c r="AD869" i="9" l="1"/>
  <c r="Z869" i="9"/>
  <c r="AG869" i="9"/>
  <c r="AI869" i="9"/>
  <c r="AJ869" i="9" s="1"/>
  <c r="AH869" i="9" l="1"/>
  <c r="AC869" i="9" a="1"/>
  <c r="AC869" i="9" s="1"/>
  <c r="AA870" i="9" s="1"/>
  <c r="Y869" i="9"/>
  <c r="X870" i="9" s="1"/>
  <c r="Z870" i="9" l="1"/>
  <c r="AI870" i="9"/>
  <c r="AJ870" i="9" s="1"/>
  <c r="AG870" i="9"/>
  <c r="AD870" i="9"/>
  <c r="AH870" i="9" l="1"/>
  <c r="AC870" i="9" a="1"/>
  <c r="AC870" i="9" s="1"/>
  <c r="AA871" i="9" s="1"/>
  <c r="Y870" i="9"/>
  <c r="X871" i="9" s="1"/>
  <c r="AG871" i="9" l="1"/>
  <c r="Z871" i="9"/>
  <c r="AI871" i="9"/>
  <c r="AJ871" i="9" s="1"/>
  <c r="AD871" i="9"/>
  <c r="AC871" i="9" l="1" a="1"/>
  <c r="AC871" i="9" s="1"/>
  <c r="AA872" i="9" s="1"/>
  <c r="Y871" i="9"/>
  <c r="X872" i="9" s="1"/>
  <c r="AH871" i="9"/>
  <c r="AG872" i="9" l="1"/>
  <c r="Z872" i="9"/>
  <c r="AI872" i="9"/>
  <c r="AJ872" i="9" s="1"/>
  <c r="AD872" i="9"/>
  <c r="AC872" i="9" l="1" a="1"/>
  <c r="AC872" i="9" s="1"/>
  <c r="AA873" i="9" s="1"/>
  <c r="Y872" i="9"/>
  <c r="X873" i="9" s="1"/>
  <c r="AH872" i="9"/>
  <c r="AG873" i="9" l="1"/>
  <c r="Z873" i="9"/>
  <c r="AI873" i="9"/>
  <c r="AJ873" i="9" s="1"/>
  <c r="AD873" i="9"/>
  <c r="Y873" i="9" l="1"/>
  <c r="X874" i="9" s="1"/>
  <c r="AH873" i="9"/>
  <c r="AC873" i="9" a="1"/>
  <c r="AC873" i="9" s="1"/>
  <c r="AA874" i="9" s="1"/>
  <c r="AD874" i="9" l="1"/>
  <c r="AI874" i="9"/>
  <c r="AJ874" i="9" s="1"/>
  <c r="Z874" i="9"/>
  <c r="AG874" i="9"/>
  <c r="AC874" i="9" l="1" a="1"/>
  <c r="AC874" i="9" s="1"/>
  <c r="AA875" i="9" s="1"/>
  <c r="AH874" i="9"/>
  <c r="Y874" i="9"/>
  <c r="X875" i="9" s="1"/>
  <c r="Z875" i="9" l="1"/>
  <c r="AG875" i="9"/>
  <c r="AI875" i="9"/>
  <c r="AJ875" i="9" s="1"/>
  <c r="AD875" i="9"/>
  <c r="AH875" i="9" l="1"/>
  <c r="AC875" i="9" a="1"/>
  <c r="AC875" i="9" s="1"/>
  <c r="AA876" i="9" s="1"/>
  <c r="Y875" i="9"/>
  <c r="X876" i="9" s="1"/>
  <c r="AI876" i="9" l="1"/>
  <c r="AJ876" i="9" s="1"/>
  <c r="Z876" i="9"/>
  <c r="AG876" i="9"/>
  <c r="AD876" i="9"/>
  <c r="AC876" i="9" l="1" a="1"/>
  <c r="AC876" i="9" s="1"/>
  <c r="AA877" i="9" s="1"/>
  <c r="Y876" i="9"/>
  <c r="X877" i="9" s="1"/>
  <c r="AH876" i="9"/>
  <c r="Z877" i="9" l="1"/>
  <c r="AI877" i="9"/>
  <c r="AJ877" i="9" s="1"/>
  <c r="AG877" i="9"/>
  <c r="AD877" i="9"/>
  <c r="AH877" i="9" l="1"/>
  <c r="Y877" i="9"/>
  <c r="X878" i="9" s="1"/>
  <c r="AC877" i="9" a="1"/>
  <c r="AC877" i="9" s="1"/>
  <c r="AA878" i="9" s="1"/>
  <c r="AD878" i="9" l="1"/>
  <c r="AG878" i="9"/>
  <c r="Z878" i="9"/>
  <c r="AI878" i="9"/>
  <c r="AJ878" i="9" s="1"/>
  <c r="Y878" i="9" l="1"/>
  <c r="X879" i="9" s="1"/>
  <c r="AH878" i="9"/>
  <c r="AC878" i="9" a="1"/>
  <c r="AC878" i="9" s="1"/>
  <c r="AA879" i="9" s="1"/>
  <c r="AD879" i="9" l="1"/>
  <c r="Z879" i="9"/>
  <c r="AI879" i="9"/>
  <c r="AJ879" i="9" s="1"/>
  <c r="AG879" i="9"/>
  <c r="Y879" i="9" l="1"/>
  <c r="X880" i="9" s="1"/>
  <c r="AC879" i="9" a="1"/>
  <c r="AC879" i="9" s="1"/>
  <c r="AA880" i="9" s="1"/>
  <c r="AH879" i="9"/>
  <c r="AD880" i="9" l="1"/>
  <c r="AG880" i="9"/>
  <c r="Z880" i="9"/>
  <c r="AI880" i="9"/>
  <c r="AJ880" i="9" s="1"/>
  <c r="Y880" i="9" l="1"/>
  <c r="X881" i="9" s="1"/>
  <c r="AH880" i="9"/>
  <c r="AC880" i="9" a="1"/>
  <c r="AC880" i="9" s="1"/>
  <c r="AA881" i="9" s="1"/>
  <c r="AD881" i="9" l="1"/>
  <c r="AG881" i="9"/>
  <c r="AI881" i="9"/>
  <c r="AJ881" i="9" s="1"/>
  <c r="Z881" i="9"/>
  <c r="Y881" i="9" l="1"/>
  <c r="X882" i="9" s="1"/>
  <c r="AC881" i="9" a="1"/>
  <c r="AC881" i="9" s="1"/>
  <c r="AA882" i="9" s="1"/>
  <c r="AH881" i="9"/>
  <c r="AD882" i="9" l="1"/>
  <c r="Z882" i="9"/>
  <c r="AI882" i="9"/>
  <c r="AJ882" i="9" s="1"/>
  <c r="AG882" i="9"/>
  <c r="AH882" i="9" l="1"/>
  <c r="AC882" i="9" a="1"/>
  <c r="AC882" i="9" s="1"/>
  <c r="AA883" i="9" s="1"/>
  <c r="Y882" i="9"/>
  <c r="X883" i="9" s="1"/>
  <c r="Z883" i="9" l="1"/>
  <c r="AI883" i="9"/>
  <c r="AJ883" i="9" s="1"/>
  <c r="AG883" i="9"/>
  <c r="AD883" i="9"/>
  <c r="Y883" i="9" l="1"/>
  <c r="X884" i="9" s="1"/>
  <c r="AC883" i="9" a="1"/>
  <c r="AC883" i="9" s="1"/>
  <c r="AA884" i="9" s="1"/>
  <c r="AH883" i="9"/>
  <c r="AD884" i="9" l="1"/>
  <c r="AI884" i="9"/>
  <c r="AJ884" i="9" s="1"/>
  <c r="AG884" i="9"/>
  <c r="Z884" i="9"/>
  <c r="Y884" i="9" l="1"/>
  <c r="X885" i="9" s="1"/>
  <c r="AC884" i="9" a="1"/>
  <c r="AC884" i="9" s="1"/>
  <c r="AA885" i="9" s="1"/>
  <c r="AH884" i="9"/>
  <c r="AD885" i="9" l="1"/>
  <c r="AI885" i="9"/>
  <c r="AJ885" i="9" s="1"/>
  <c r="AG885" i="9"/>
  <c r="Z885" i="9"/>
  <c r="AC885" i="9" l="1" a="1"/>
  <c r="AC885" i="9" s="1"/>
  <c r="AA886" i="9" s="1"/>
  <c r="AH885" i="9"/>
  <c r="Y885" i="9"/>
  <c r="X886" i="9" s="1"/>
  <c r="AG886" i="9" l="1"/>
  <c r="AI886" i="9"/>
  <c r="AJ886" i="9" s="1"/>
  <c r="Z886" i="9"/>
  <c r="AD886" i="9"/>
  <c r="Y886" i="9" l="1"/>
  <c r="X887" i="9" s="1"/>
  <c r="AH886" i="9"/>
  <c r="AC886" i="9" a="1"/>
  <c r="AC886" i="9" s="1"/>
  <c r="AA887" i="9" s="1"/>
  <c r="AD887" i="9" l="1"/>
  <c r="AI887" i="9"/>
  <c r="AJ887" i="9" s="1"/>
  <c r="AG887" i="9"/>
  <c r="Z887" i="9"/>
  <c r="Y887" i="9" l="1"/>
  <c r="X888" i="9" s="1"/>
  <c r="AC887" i="9" a="1"/>
  <c r="AC887" i="9" s="1"/>
  <c r="AA888" i="9" s="1"/>
  <c r="AH887" i="9"/>
  <c r="AD888" i="9" l="1"/>
  <c r="AI888" i="9"/>
  <c r="AJ888" i="9" s="1"/>
  <c r="Z888" i="9"/>
  <c r="AG888" i="9"/>
  <c r="AH888" i="9" l="1"/>
  <c r="Y888" i="9"/>
  <c r="X889" i="9" s="1"/>
  <c r="AC888" i="9" a="1"/>
  <c r="AC888" i="9" s="1"/>
  <c r="AA889" i="9" s="1"/>
  <c r="AD889" i="9" l="1"/>
  <c r="AG889" i="9"/>
  <c r="Z889" i="9"/>
  <c r="AI889" i="9"/>
  <c r="AJ889" i="9" s="1"/>
  <c r="AH889" i="9" l="1"/>
  <c r="AC889" i="9" a="1"/>
  <c r="AC889" i="9" s="1"/>
  <c r="AA890" i="9" s="1"/>
  <c r="Y889" i="9"/>
  <c r="X890" i="9" s="1"/>
  <c r="Z890" i="9" l="1"/>
  <c r="AG890" i="9"/>
  <c r="AI890" i="9"/>
  <c r="AJ890" i="9" s="1"/>
  <c r="AD890" i="9"/>
  <c r="AC890" i="9" l="1" a="1"/>
  <c r="AC890" i="9" s="1"/>
  <c r="AA891" i="9" s="1"/>
  <c r="AH890" i="9"/>
  <c r="Y890" i="9"/>
  <c r="X891" i="9" s="1"/>
  <c r="Z891" i="9" l="1"/>
  <c r="AG891" i="9"/>
  <c r="AI891" i="9"/>
  <c r="AJ891" i="9" s="1"/>
  <c r="AD891" i="9"/>
  <c r="Y891" i="9" l="1"/>
  <c r="X892" i="9" s="1"/>
  <c r="AH891" i="9"/>
  <c r="AC891" i="9" a="1"/>
  <c r="AC891" i="9" s="1"/>
  <c r="AA892" i="9" s="1"/>
  <c r="AD892" i="9" l="1"/>
  <c r="AG892" i="9"/>
  <c r="AI892" i="9"/>
  <c r="AJ892" i="9" s="1"/>
  <c r="Z892" i="9"/>
  <c r="AC892" i="9" l="1" a="1"/>
  <c r="AC892" i="9" s="1"/>
  <c r="AA893" i="9" s="1"/>
  <c r="Y892" i="9"/>
  <c r="X893" i="9" s="1"/>
  <c r="AH892" i="9"/>
  <c r="AI893" i="9" l="1"/>
  <c r="AJ893" i="9" s="1"/>
  <c r="Z893" i="9"/>
  <c r="AG893" i="9"/>
  <c r="AD893" i="9"/>
  <c r="AC893" i="9" l="1" a="1"/>
  <c r="AC893" i="9" s="1"/>
  <c r="AA894" i="9" s="1"/>
  <c r="AH893" i="9"/>
  <c r="Y893" i="9"/>
  <c r="X894" i="9" s="1"/>
  <c r="Z894" i="9" l="1"/>
  <c r="AI894" i="9"/>
  <c r="AJ894" i="9" s="1"/>
  <c r="AG894" i="9"/>
  <c r="AD894" i="9"/>
  <c r="AH894" i="9" l="1"/>
  <c r="Y894" i="9"/>
  <c r="X895" i="9" s="1"/>
  <c r="AC894" i="9" a="1"/>
  <c r="AC894" i="9" s="1"/>
  <c r="AA895" i="9" s="1"/>
  <c r="AD895" i="9" l="1"/>
  <c r="AI895" i="9"/>
  <c r="AJ895" i="9" s="1"/>
  <c r="AG895" i="9"/>
  <c r="Z895" i="9"/>
  <c r="Y895" i="9" l="1"/>
  <c r="X896" i="9" s="1"/>
  <c r="AC895" i="9" a="1"/>
  <c r="AC895" i="9" s="1"/>
  <c r="AA896" i="9" s="1"/>
  <c r="AH895" i="9"/>
  <c r="AD896" i="9" l="1"/>
  <c r="AG896" i="9"/>
  <c r="AI896" i="9"/>
  <c r="AJ896" i="9" s="1"/>
  <c r="Z896" i="9"/>
  <c r="AC896" i="9" l="1" a="1"/>
  <c r="AC896" i="9" s="1"/>
  <c r="AA897" i="9" s="1"/>
  <c r="Y896" i="9"/>
  <c r="X897" i="9" s="1"/>
  <c r="AH896" i="9"/>
  <c r="Z897" i="9" l="1"/>
  <c r="AG897" i="9"/>
  <c r="AI897" i="9"/>
  <c r="AJ897" i="9" s="1"/>
  <c r="AD897" i="9"/>
  <c r="AH897" i="9" l="1"/>
  <c r="Y897" i="9"/>
  <c r="X898" i="9" s="1"/>
  <c r="AC897" i="9" a="1"/>
  <c r="AC897" i="9" s="1"/>
  <c r="AA898" i="9" s="1"/>
  <c r="AD898" i="9" l="1"/>
  <c r="Z898" i="9"/>
  <c r="AI898" i="9"/>
  <c r="AJ898" i="9" s="1"/>
  <c r="AG898" i="9"/>
  <c r="AC898" i="9" l="1" a="1"/>
  <c r="AC898" i="9" s="1"/>
  <c r="AA899" i="9" s="1"/>
  <c r="Y898" i="9"/>
  <c r="X899" i="9" s="1"/>
  <c r="AH898" i="9"/>
  <c r="Z899" i="9" l="1"/>
  <c r="AI899" i="9"/>
  <c r="AJ899" i="9" s="1"/>
  <c r="AG899" i="9"/>
  <c r="AD899" i="9"/>
  <c r="Y899" i="9" l="1"/>
  <c r="X900" i="9" s="1"/>
  <c r="AH899" i="9"/>
  <c r="AC899" i="9" a="1"/>
  <c r="AC899" i="9" s="1"/>
  <c r="AA900" i="9" s="1"/>
  <c r="AD900" i="9" l="1"/>
  <c r="Z900" i="9"/>
  <c r="AG900" i="9"/>
  <c r="AI900" i="9"/>
  <c r="AJ900" i="9" s="1"/>
  <c r="AC900" i="9" l="1" a="1"/>
  <c r="AC900" i="9" s="1"/>
  <c r="AA901" i="9" s="1"/>
  <c r="Y900" i="9"/>
  <c r="X901" i="9" s="1"/>
  <c r="AH900" i="9"/>
  <c r="AG901" i="9" l="1"/>
  <c r="AI901" i="9"/>
  <c r="AJ901" i="9" s="1"/>
  <c r="Z901" i="9"/>
  <c r="AD901" i="9"/>
  <c r="AC901" i="9" l="1" a="1"/>
  <c r="AC901" i="9" s="1"/>
  <c r="AA902" i="9" s="1"/>
  <c r="Y901" i="9"/>
  <c r="X902" i="9" s="1"/>
  <c r="AH901" i="9"/>
  <c r="Z902" i="9" l="1"/>
  <c r="AI902" i="9"/>
  <c r="AJ902" i="9" s="1"/>
  <c r="AG902" i="9"/>
  <c r="AD902" i="9"/>
  <c r="AC902" i="9" l="1" a="1"/>
  <c r="AC902" i="9" s="1"/>
  <c r="AA903" i="9" s="1"/>
  <c r="Y902" i="9"/>
  <c r="X903" i="9" s="1"/>
  <c r="AH902" i="9"/>
  <c r="Z903" i="9" l="1"/>
  <c r="AG903" i="9"/>
  <c r="AI903" i="9"/>
  <c r="AJ903" i="9" s="1"/>
  <c r="AD903" i="9"/>
  <c r="AH903" i="9" l="1"/>
  <c r="Y903" i="9"/>
  <c r="X904" i="9" s="1"/>
  <c r="AC903" i="9" a="1"/>
  <c r="AC903" i="9" s="1"/>
  <c r="AA904" i="9" s="1"/>
  <c r="AD904" i="9" l="1"/>
  <c r="Z904" i="9"/>
  <c r="AI904" i="9"/>
  <c r="AJ904" i="9" s="1"/>
  <c r="AG904" i="9"/>
  <c r="AC904" i="9" l="1" a="1"/>
  <c r="AC904" i="9" s="1"/>
  <c r="AA905" i="9" s="1"/>
  <c r="AH904" i="9"/>
  <c r="Y904" i="9"/>
  <c r="X905" i="9" s="1"/>
  <c r="AG905" i="9" l="1"/>
  <c r="Z905" i="9"/>
  <c r="AI905" i="9"/>
  <c r="AJ905" i="9" s="1"/>
  <c r="AD905" i="9"/>
  <c r="AC905" i="9" l="1" a="1"/>
  <c r="AC905" i="9" s="1"/>
  <c r="AA906" i="9" s="1"/>
  <c r="AH905" i="9"/>
  <c r="Y905" i="9"/>
  <c r="X906" i="9" s="1"/>
  <c r="AG906" i="9" l="1"/>
  <c r="AI906" i="9"/>
  <c r="AJ906" i="9" s="1"/>
  <c r="Z906" i="9"/>
  <c r="AD906" i="9"/>
  <c r="AC906" i="9" l="1" a="1"/>
  <c r="AC906" i="9" s="1"/>
  <c r="AA907" i="9" s="1"/>
  <c r="Y906" i="9"/>
  <c r="X907" i="9" s="1"/>
  <c r="AH906" i="9"/>
  <c r="AG907" i="9" l="1"/>
  <c r="Z907" i="9"/>
  <c r="AI907" i="9"/>
  <c r="AJ907" i="9" s="1"/>
  <c r="AD907" i="9"/>
  <c r="Y907" i="9" l="1"/>
  <c r="X908" i="9" s="1"/>
  <c r="AC907" i="9" a="1"/>
  <c r="AC907" i="9" s="1"/>
  <c r="AA908" i="9" s="1"/>
  <c r="AH907" i="9"/>
  <c r="AD908" i="9" l="1"/>
  <c r="AI908" i="9"/>
  <c r="AJ908" i="9" s="1"/>
  <c r="AG908" i="9"/>
  <c r="Z908" i="9"/>
  <c r="Y908" i="9" l="1"/>
  <c r="X909" i="9" s="1"/>
  <c r="AC908" i="9" a="1"/>
  <c r="AC908" i="9" s="1"/>
  <c r="AA909" i="9" s="1"/>
  <c r="AH908" i="9"/>
  <c r="AD909" i="9" l="1"/>
  <c r="AI909" i="9"/>
  <c r="AJ909" i="9" s="1"/>
  <c r="AG909" i="9"/>
  <c r="Z909" i="9"/>
  <c r="AC909" i="9" l="1" a="1"/>
  <c r="AC909" i="9" s="1"/>
  <c r="AA910" i="9" s="1"/>
  <c r="AH909" i="9"/>
  <c r="Y909" i="9"/>
  <c r="X910" i="9" s="1"/>
  <c r="Z910" i="9" l="1"/>
  <c r="AG910" i="9"/>
  <c r="AI910" i="9"/>
  <c r="AJ910" i="9" s="1"/>
  <c r="AD910" i="9"/>
  <c r="AC910" i="9" l="1" a="1"/>
  <c r="AC910" i="9" s="1"/>
  <c r="AA911" i="9" s="1"/>
  <c r="Y910" i="9"/>
  <c r="X911" i="9" s="1"/>
  <c r="AH910" i="9"/>
  <c r="AI911" i="9" l="1"/>
  <c r="AJ911" i="9" s="1"/>
  <c r="Z911" i="9"/>
  <c r="AG911" i="9"/>
  <c r="AD911" i="9"/>
  <c r="AH911" i="9" l="1"/>
  <c r="AC911" i="9" a="1"/>
  <c r="AC911" i="9" s="1"/>
  <c r="AA912" i="9" s="1"/>
  <c r="Y911" i="9"/>
  <c r="X912" i="9" s="1"/>
  <c r="AI912" i="9" l="1"/>
  <c r="AJ912" i="9" s="1"/>
  <c r="Z912" i="9"/>
  <c r="AG912" i="9"/>
  <c r="AD912" i="9"/>
  <c r="AC912" i="9" l="1" a="1"/>
  <c r="AC912" i="9" s="1"/>
  <c r="AA913" i="9" s="1"/>
  <c r="AH912" i="9"/>
  <c r="Y912" i="9"/>
  <c r="X913" i="9" s="1"/>
  <c r="AI913" i="9" l="1"/>
  <c r="AJ913" i="9" s="1"/>
  <c r="AG913" i="9"/>
  <c r="Z913" i="9"/>
  <c r="AD913" i="9"/>
  <c r="Y913" i="9" l="1"/>
  <c r="X914" i="9" s="1"/>
  <c r="AH913" i="9"/>
  <c r="AC913" i="9" a="1"/>
  <c r="AC913" i="9" s="1"/>
  <c r="AA914" i="9" s="1"/>
  <c r="AD914" i="9" l="1"/>
  <c r="Z914" i="9"/>
  <c r="AG914" i="9"/>
  <c r="AI914" i="9"/>
  <c r="AJ914" i="9" s="1"/>
  <c r="AH914" i="9" l="1"/>
  <c r="Y914" i="9"/>
  <c r="X915" i="9" s="1"/>
  <c r="AC914" i="9" a="1"/>
  <c r="AC914" i="9" s="1"/>
  <c r="AA915" i="9" s="1"/>
  <c r="AD915" i="9" l="1"/>
  <c r="AI915" i="9"/>
  <c r="AJ915" i="9" s="1"/>
  <c r="Z915" i="9"/>
  <c r="AG915" i="9"/>
  <c r="AH915" i="9" l="1"/>
  <c r="AC915" i="9" a="1"/>
  <c r="AC915" i="9" s="1"/>
  <c r="AA916" i="9" s="1"/>
  <c r="Y915" i="9"/>
  <c r="X916" i="9" s="1"/>
  <c r="AG916" i="9" l="1"/>
  <c r="AI916" i="9"/>
  <c r="AJ916" i="9" s="1"/>
  <c r="Z916" i="9"/>
  <c r="AD916" i="9"/>
  <c r="AH916" i="9" l="1"/>
  <c r="AC916" i="9" a="1"/>
  <c r="AC916" i="9" s="1"/>
  <c r="AA917" i="9" s="1"/>
  <c r="Y916" i="9"/>
  <c r="X917" i="9" s="1"/>
  <c r="AI917" i="9" l="1"/>
  <c r="AJ917" i="9" s="1"/>
  <c r="AG917" i="9"/>
  <c r="Z917" i="9"/>
  <c r="AD917" i="9"/>
  <c r="AH917" i="9" l="1"/>
  <c r="Y917" i="9"/>
  <c r="X918" i="9" s="1"/>
  <c r="AC917" i="9" a="1"/>
  <c r="AC917" i="9" s="1"/>
  <c r="AA918" i="9" s="1"/>
  <c r="AD918" i="9" l="1"/>
  <c r="Z918" i="9"/>
  <c r="AG918" i="9"/>
  <c r="AI918" i="9"/>
  <c r="AJ918" i="9" s="1"/>
  <c r="Y918" i="9" l="1"/>
  <c r="X919" i="9" s="1"/>
  <c r="AH918" i="9"/>
  <c r="AC918" i="9" a="1"/>
  <c r="AC918" i="9" s="1"/>
  <c r="AA919" i="9" s="1"/>
  <c r="AD919" i="9" l="1"/>
  <c r="AG919" i="9"/>
  <c r="Z919" i="9"/>
  <c r="AI919" i="9"/>
  <c r="AJ919" i="9" s="1"/>
  <c r="Y919" i="9" l="1"/>
  <c r="X920" i="9" s="1"/>
  <c r="AC919" i="9" a="1"/>
  <c r="AC919" i="9" s="1"/>
  <c r="AA920" i="9" s="1"/>
  <c r="AH919" i="9"/>
  <c r="AD920" i="9" l="1"/>
  <c r="AG920" i="9"/>
  <c r="AI920" i="9"/>
  <c r="AJ920" i="9" s="1"/>
  <c r="Z920" i="9"/>
  <c r="AH920" i="9" l="1"/>
  <c r="Y920" i="9"/>
  <c r="X921" i="9" s="1"/>
  <c r="AC920" i="9" a="1"/>
  <c r="AC920" i="9" s="1"/>
  <c r="AA921" i="9" s="1"/>
  <c r="AD921" i="9" l="1"/>
  <c r="Z921" i="9"/>
  <c r="AG921" i="9"/>
  <c r="AI921" i="9"/>
  <c r="AJ921" i="9" s="1"/>
  <c r="AC921" i="9" l="1" a="1"/>
  <c r="AC921" i="9" s="1"/>
  <c r="AA922" i="9" s="1"/>
  <c r="AH921" i="9"/>
  <c r="Y921" i="9"/>
  <c r="X922" i="9" s="1"/>
  <c r="Z922" i="9" l="1"/>
  <c r="AG922" i="9"/>
  <c r="AI922" i="9"/>
  <c r="AJ922" i="9" s="1"/>
  <c r="AD922" i="9"/>
  <c r="Y922" i="9" l="1"/>
  <c r="X923" i="9" s="1"/>
  <c r="AC922" i="9" a="1"/>
  <c r="AC922" i="9" s="1"/>
  <c r="AA923" i="9" s="1"/>
  <c r="AH922" i="9"/>
  <c r="AD923" i="9" l="1"/>
  <c r="AG923" i="9"/>
  <c r="Z923" i="9"/>
  <c r="AI923" i="9"/>
  <c r="AJ923" i="9" s="1"/>
  <c r="AH923" i="9" l="1"/>
  <c r="AC923" i="9" a="1"/>
  <c r="AC923" i="9" s="1"/>
  <c r="AA924" i="9" s="1"/>
  <c r="Y923" i="9"/>
  <c r="X924" i="9" s="1"/>
  <c r="Z924" i="9" l="1"/>
  <c r="AG924" i="9"/>
  <c r="AI924" i="9"/>
  <c r="AJ924" i="9" s="1"/>
  <c r="AD924" i="9"/>
  <c r="AC924" i="9" l="1" a="1"/>
  <c r="AC924" i="9" s="1"/>
  <c r="AA925" i="9" s="1"/>
  <c r="AH924" i="9"/>
  <c r="Y924" i="9"/>
  <c r="X925" i="9" s="1"/>
  <c r="AI925" i="9" l="1"/>
  <c r="AJ925" i="9" s="1"/>
  <c r="Z925" i="9"/>
  <c r="AG925" i="9"/>
  <c r="AD925" i="9"/>
  <c r="Y925" i="9" l="1"/>
  <c r="X926" i="9" s="1"/>
  <c r="AH925" i="9"/>
  <c r="AC925" i="9" a="1"/>
  <c r="AC925" i="9" s="1"/>
  <c r="AA926" i="9" s="1"/>
  <c r="AD926" i="9" l="1"/>
  <c r="Z926" i="9"/>
  <c r="AG926" i="9"/>
  <c r="AI926" i="9"/>
  <c r="AJ926" i="9" s="1"/>
  <c r="AH926" i="9" l="1"/>
  <c r="AC926" i="9" a="1"/>
  <c r="AC926" i="9" s="1"/>
  <c r="AA927" i="9" s="1"/>
  <c r="Y926" i="9"/>
  <c r="X927" i="9" s="1"/>
  <c r="Z927" i="9" l="1"/>
  <c r="AG927" i="9"/>
  <c r="AI927" i="9"/>
  <c r="AJ927" i="9" s="1"/>
  <c r="AD927" i="9"/>
  <c r="AH927" i="9" l="1"/>
  <c r="Y927" i="9"/>
  <c r="X928" i="9" s="1"/>
  <c r="AC927" i="9" a="1"/>
  <c r="AC927" i="9" s="1"/>
  <c r="AA928" i="9" s="1"/>
  <c r="AG928" i="9" l="1"/>
  <c r="Z928" i="9"/>
  <c r="AI928" i="9"/>
  <c r="AJ928" i="9" s="1"/>
  <c r="AD928" i="9"/>
  <c r="AH928" i="9" l="1"/>
  <c r="AC928" i="9" a="1"/>
  <c r="AC928" i="9" s="1"/>
  <c r="AA929" i="9" s="1"/>
  <c r="Y928" i="9"/>
  <c r="X929" i="9" s="1"/>
  <c r="AG929" i="9" l="1"/>
  <c r="Z929" i="9"/>
  <c r="AI929" i="9"/>
  <c r="AJ929" i="9" s="1"/>
  <c r="AD929" i="9"/>
  <c r="AC929" i="9" l="1" a="1"/>
  <c r="AC929" i="9" s="1"/>
  <c r="AA930" i="9" s="1"/>
  <c r="Y929" i="9"/>
  <c r="X930" i="9" s="1"/>
  <c r="AH929" i="9"/>
  <c r="AI930" i="9" l="1"/>
  <c r="AJ930" i="9" s="1"/>
  <c r="AG930" i="9"/>
  <c r="Z930" i="9"/>
  <c r="AD930" i="9"/>
  <c r="AH930" i="9" l="1"/>
  <c r="AC930" i="9" a="1"/>
  <c r="AC930" i="9" s="1"/>
  <c r="AA931" i="9" s="1"/>
  <c r="Y930" i="9"/>
  <c r="X931" i="9" s="1"/>
  <c r="AI931" i="9" l="1"/>
  <c r="AJ931" i="9" s="1"/>
  <c r="AG931" i="9"/>
  <c r="Z931" i="9"/>
  <c r="AD931" i="9"/>
  <c r="Y931" i="9" l="1"/>
  <c r="X932" i="9" s="1"/>
  <c r="AC931" i="9" a="1"/>
  <c r="AC931" i="9" s="1"/>
  <c r="AA932" i="9" s="1"/>
  <c r="AH931" i="9"/>
  <c r="AD932" i="9" l="1"/>
  <c r="AI932" i="9"/>
  <c r="AJ932" i="9" s="1"/>
  <c r="Z932" i="9"/>
  <c r="AG932" i="9"/>
  <c r="AC932" i="9" l="1" a="1"/>
  <c r="AC932" i="9" s="1"/>
  <c r="AA933" i="9" s="1"/>
  <c r="Y932" i="9"/>
  <c r="X933" i="9" s="1"/>
  <c r="AH932" i="9"/>
  <c r="Z933" i="9" l="1"/>
  <c r="AI933" i="9"/>
  <c r="AJ933" i="9" s="1"/>
  <c r="AG933" i="9"/>
  <c r="AD933" i="9"/>
  <c r="AH933" i="9" l="1"/>
  <c r="Y933" i="9"/>
  <c r="X934" i="9" s="1"/>
  <c r="AC933" i="9" a="1"/>
  <c r="AC933" i="9" s="1"/>
  <c r="AA934" i="9" s="1"/>
  <c r="AD934" i="9" l="1"/>
  <c r="AI934" i="9"/>
  <c r="AJ934" i="9" s="1"/>
  <c r="Z934" i="9"/>
  <c r="AG934" i="9"/>
  <c r="Y934" i="9" l="1"/>
  <c r="X935" i="9" s="1"/>
  <c r="AC934" i="9" a="1"/>
  <c r="AC934" i="9" s="1"/>
  <c r="AA935" i="9" s="1"/>
  <c r="AH934" i="9"/>
  <c r="AD935" i="9" l="1"/>
  <c r="Z935" i="9"/>
  <c r="AI935" i="9"/>
  <c r="AJ935" i="9" s="1"/>
  <c r="AG935" i="9"/>
  <c r="Y935" i="9" l="1"/>
  <c r="X936" i="9" s="1"/>
  <c r="AH935" i="9"/>
  <c r="AC935" i="9" a="1"/>
  <c r="AC935" i="9" s="1"/>
  <c r="AA936" i="9" s="1"/>
  <c r="AD936" i="9" l="1"/>
  <c r="AG936" i="9"/>
  <c r="Z936" i="9"/>
  <c r="AI936" i="9"/>
  <c r="AJ936" i="9" s="1"/>
  <c r="Y936" i="9" l="1"/>
  <c r="X937" i="9" s="1"/>
  <c r="AC936" i="9" a="1"/>
  <c r="AC936" i="9" s="1"/>
  <c r="AA937" i="9" s="1"/>
  <c r="AH936" i="9"/>
  <c r="AD937" i="9" l="1"/>
  <c r="Z937" i="9"/>
  <c r="AG937" i="9"/>
  <c r="AI937" i="9"/>
  <c r="AJ937" i="9" s="1"/>
  <c r="Y937" i="9" l="1"/>
  <c r="X938" i="9" s="1"/>
  <c r="AC937" i="9" a="1"/>
  <c r="AC937" i="9" s="1"/>
  <c r="AA938" i="9" s="1"/>
  <c r="AH937" i="9"/>
  <c r="AD938" i="9" l="1"/>
  <c r="AG938" i="9"/>
  <c r="AI938" i="9"/>
  <c r="AJ938" i="9" s="1"/>
  <c r="Z938" i="9"/>
  <c r="Y938" i="9" l="1"/>
  <c r="X939" i="9" s="1"/>
  <c r="AH938" i="9"/>
  <c r="AC938" i="9" a="1"/>
  <c r="AC938" i="9" s="1"/>
  <c r="AA939" i="9" s="1"/>
  <c r="AD939" i="9" l="1"/>
  <c r="AG939" i="9"/>
  <c r="Z939" i="9"/>
  <c r="AI939" i="9"/>
  <c r="AJ939" i="9" s="1"/>
  <c r="AC939" i="9" l="1" a="1"/>
  <c r="AC939" i="9" s="1"/>
  <c r="AA940" i="9" s="1"/>
  <c r="Y939" i="9"/>
  <c r="X940" i="9" s="1"/>
  <c r="AH939" i="9"/>
  <c r="Z940" i="9" l="1"/>
  <c r="AG940" i="9"/>
  <c r="AI940" i="9"/>
  <c r="AJ940" i="9" s="1"/>
  <c r="AD940" i="9"/>
  <c r="Y940" i="9" l="1"/>
  <c r="X941" i="9" s="1"/>
  <c r="AC940" i="9" a="1"/>
  <c r="AC940" i="9" s="1"/>
  <c r="AA941" i="9" s="1"/>
  <c r="AH940" i="9"/>
  <c r="AD941" i="9" l="1"/>
  <c r="AG941" i="9"/>
  <c r="Z941" i="9"/>
  <c r="AI941" i="9"/>
  <c r="AJ941" i="9" s="1"/>
  <c r="AH941" i="9" l="1"/>
  <c r="Y941" i="9"/>
  <c r="X942" i="9" s="1"/>
  <c r="AC941" i="9" a="1"/>
  <c r="AC941" i="9" s="1"/>
  <c r="AA942" i="9" s="1"/>
  <c r="AD942" i="9" l="1"/>
  <c r="Z942" i="9"/>
  <c r="AG942" i="9"/>
  <c r="AI942" i="9"/>
  <c r="AJ942" i="9" s="1"/>
  <c r="Y942" i="9" l="1"/>
  <c r="X943" i="9" s="1"/>
  <c r="AH942" i="9"/>
  <c r="AC942" i="9" a="1"/>
  <c r="AC942" i="9" s="1"/>
  <c r="AA943" i="9" s="1"/>
  <c r="AD943" i="9" l="1"/>
  <c r="AG943" i="9"/>
  <c r="Z943" i="9"/>
  <c r="AI943" i="9"/>
  <c r="AJ943" i="9" s="1"/>
  <c r="AH943" i="9" l="1"/>
  <c r="Y943" i="9"/>
  <c r="X944" i="9" s="1"/>
  <c r="AC943" i="9" a="1"/>
  <c r="AC943" i="9" s="1"/>
  <c r="AA944" i="9" s="1"/>
  <c r="AD944" i="9" l="1"/>
  <c r="AG944" i="9"/>
  <c r="Z944" i="9"/>
  <c r="AI944" i="9"/>
  <c r="AJ944" i="9" s="1"/>
  <c r="Y944" i="9" l="1"/>
  <c r="X945" i="9" s="1"/>
  <c r="AH944" i="9"/>
  <c r="AC944" i="9" a="1"/>
  <c r="AC944" i="9" s="1"/>
  <c r="AA945" i="9" s="1"/>
  <c r="AD945" i="9" l="1"/>
  <c r="AI945" i="9"/>
  <c r="AJ945" i="9" s="1"/>
  <c r="AG945" i="9"/>
  <c r="Z945" i="9"/>
  <c r="Y945" i="9" l="1"/>
  <c r="X946" i="9" s="1"/>
  <c r="AH945" i="9"/>
  <c r="AC945" i="9" a="1"/>
  <c r="AC945" i="9" s="1"/>
  <c r="AA946" i="9" s="1"/>
  <c r="AD946" i="9" l="1"/>
  <c r="Z946" i="9"/>
  <c r="AI946" i="9"/>
  <c r="AJ946" i="9" s="1"/>
  <c r="AG946" i="9"/>
  <c r="AH946" i="9" l="1"/>
  <c r="AC946" i="9" a="1"/>
  <c r="AC946" i="9" s="1"/>
  <c r="AA947" i="9" s="1"/>
  <c r="Y946" i="9"/>
  <c r="X947" i="9" s="1"/>
  <c r="AG947" i="9" l="1"/>
  <c r="Z947" i="9"/>
  <c r="AI947" i="9"/>
  <c r="AJ947" i="9" s="1"/>
  <c r="AD947" i="9"/>
  <c r="AC947" i="9" l="1" a="1"/>
  <c r="AC947" i="9" s="1"/>
  <c r="AA948" i="9" s="1"/>
  <c r="Y947" i="9"/>
  <c r="X948" i="9" s="1"/>
  <c r="AH947" i="9"/>
  <c r="Z948" i="9" l="1"/>
  <c r="AG948" i="9"/>
  <c r="AI948" i="9"/>
  <c r="AJ948" i="9" s="1"/>
  <c r="AD948" i="9"/>
  <c r="AC948" i="9" l="1" a="1"/>
  <c r="AC948" i="9" s="1"/>
  <c r="AA949" i="9" s="1"/>
  <c r="Y948" i="9"/>
  <c r="X949" i="9" s="1"/>
  <c r="AH948" i="9"/>
  <c r="AI949" i="9" l="1"/>
  <c r="AJ949" i="9" s="1"/>
  <c r="AG949" i="9"/>
  <c r="Z949" i="9"/>
  <c r="AD949" i="9"/>
  <c r="Y949" i="9" l="1"/>
  <c r="X950" i="9" s="1"/>
  <c r="AC949" i="9" a="1"/>
  <c r="AC949" i="9" s="1"/>
  <c r="AA950" i="9" s="1"/>
  <c r="AH949" i="9"/>
  <c r="AD950" i="9" l="1"/>
  <c r="Z950" i="9"/>
  <c r="AI950" i="9"/>
  <c r="AJ950" i="9" s="1"/>
  <c r="AG950" i="9"/>
  <c r="AC950" i="9" l="1" a="1"/>
  <c r="AC950" i="9" s="1"/>
  <c r="AA951" i="9" s="1"/>
  <c r="Y950" i="9"/>
  <c r="X951" i="9" s="1"/>
  <c r="AH950" i="9"/>
  <c r="Z951" i="9" l="1"/>
  <c r="AI951" i="9"/>
  <c r="AJ951" i="9" s="1"/>
  <c r="AG951" i="9"/>
  <c r="AD951" i="9"/>
  <c r="AH951" i="9" l="1"/>
  <c r="Y951" i="9"/>
  <c r="X952" i="9" s="1"/>
  <c r="AC951" i="9" a="1"/>
  <c r="AC951" i="9" s="1"/>
  <c r="AA952" i="9" s="1"/>
  <c r="AD952" i="9" l="1"/>
  <c r="AG952" i="9"/>
  <c r="Z952" i="9"/>
  <c r="AI952" i="9"/>
  <c r="AJ952" i="9" s="1"/>
  <c r="AC952" i="9" l="1" a="1"/>
  <c r="AC952" i="9" s="1"/>
  <c r="AA953" i="9" s="1"/>
  <c r="Y952" i="9"/>
  <c r="X953" i="9" s="1"/>
  <c r="AH952" i="9"/>
  <c r="Z953" i="9" l="1"/>
  <c r="AI953" i="9"/>
  <c r="AJ953" i="9" s="1"/>
  <c r="AG953" i="9"/>
  <c r="AD953" i="9"/>
  <c r="Y953" i="9" l="1"/>
  <c r="X954" i="9" s="1"/>
  <c r="AH953" i="9"/>
  <c r="AC953" i="9" a="1"/>
  <c r="AC953" i="9" s="1"/>
  <c r="AA954" i="9" s="1"/>
  <c r="AD954" i="9" l="1"/>
  <c r="AG954" i="9"/>
  <c r="AI954" i="9"/>
  <c r="AJ954" i="9" s="1"/>
  <c r="Z954" i="9"/>
  <c r="Y954" i="9" l="1"/>
  <c r="X955" i="9" s="1"/>
  <c r="AC954" i="9" a="1"/>
  <c r="AC954" i="9" s="1"/>
  <c r="AA955" i="9" s="1"/>
  <c r="AH954" i="9"/>
  <c r="AD955" i="9" l="1"/>
  <c r="Z955" i="9"/>
  <c r="AG955" i="9"/>
  <c r="AI955" i="9"/>
  <c r="AJ955" i="9" s="1"/>
  <c r="AC955" i="9" l="1" a="1"/>
  <c r="AC955" i="9" s="1"/>
  <c r="AA956" i="9" s="1"/>
  <c r="Y955" i="9"/>
  <c r="X956" i="9" s="1"/>
  <c r="AH955" i="9"/>
  <c r="AI956" i="9" l="1"/>
  <c r="AJ956" i="9" s="1"/>
  <c r="Z956" i="9"/>
  <c r="AG956" i="9"/>
  <c r="AD956" i="9"/>
  <c r="Y956" i="9" l="1"/>
  <c r="X957" i="9" s="1"/>
  <c r="AC956" i="9" a="1"/>
  <c r="AC956" i="9" s="1"/>
  <c r="AA957" i="9" s="1"/>
  <c r="AH956" i="9"/>
  <c r="AD957" i="9" l="1"/>
  <c r="AG957" i="9"/>
  <c r="Z957" i="9"/>
  <c r="AI957" i="9"/>
  <c r="AJ957" i="9" s="1"/>
  <c r="AH957" i="9" l="1"/>
  <c r="Y957" i="9"/>
  <c r="X958" i="9" s="1"/>
  <c r="AC957" i="9" a="1"/>
  <c r="AC957" i="9" s="1"/>
  <c r="AA958" i="9" s="1"/>
  <c r="AD958" i="9" l="1"/>
  <c r="AI958" i="9"/>
  <c r="AJ958" i="9" s="1"/>
  <c r="AG958" i="9"/>
  <c r="Z958" i="9"/>
  <c r="AH958" i="9" l="1"/>
  <c r="Y958" i="9"/>
  <c r="X959" i="9" s="1"/>
  <c r="AC958" i="9" a="1"/>
  <c r="AC958" i="9" s="1"/>
  <c r="AA959" i="9" s="1"/>
  <c r="AD959" i="9" l="1"/>
  <c r="AG959" i="9"/>
  <c r="Z959" i="9"/>
  <c r="AI959" i="9"/>
  <c r="AJ959" i="9" s="1"/>
  <c r="Y959" i="9" l="1"/>
  <c r="X960" i="9" s="1"/>
  <c r="AH959" i="9"/>
  <c r="AC959" i="9" a="1"/>
  <c r="AC959" i="9" s="1"/>
  <c r="AA960" i="9" s="1"/>
  <c r="AD960" i="9" l="1"/>
  <c r="AI960" i="9"/>
  <c r="AJ960" i="9" s="1"/>
  <c r="Z960" i="9"/>
  <c r="AG960" i="9"/>
  <c r="AH960" i="9" l="1"/>
  <c r="Y960" i="9"/>
  <c r="X961" i="9" s="1"/>
  <c r="AC960" i="9" a="1"/>
  <c r="AC960" i="9" s="1"/>
  <c r="AA961" i="9" s="1"/>
  <c r="AD961" i="9" l="1"/>
  <c r="Z961" i="9"/>
  <c r="AI961" i="9"/>
  <c r="AJ961" i="9" s="1"/>
  <c r="AG961" i="9"/>
  <c r="AH961" i="9" l="1"/>
  <c r="Y961" i="9"/>
  <c r="X962" i="9" s="1"/>
  <c r="AC961" i="9" a="1"/>
  <c r="AC961" i="9" s="1"/>
  <c r="AA962" i="9" s="1"/>
  <c r="AD962" i="9" l="1"/>
  <c r="AI962" i="9"/>
  <c r="AJ962" i="9" s="1"/>
  <c r="AG962" i="9"/>
  <c r="Z962" i="9"/>
  <c r="AC962" i="9" l="1" a="1"/>
  <c r="AC962" i="9" s="1"/>
  <c r="AA963" i="9" s="1"/>
  <c r="Y962" i="9"/>
  <c r="X963" i="9" s="1"/>
  <c r="AH962" i="9"/>
  <c r="Z963" i="9" l="1"/>
  <c r="AG963" i="9"/>
  <c r="AI963" i="9"/>
  <c r="AJ963" i="9" s="1"/>
  <c r="AD963" i="9"/>
  <c r="AC963" i="9" l="1" a="1"/>
  <c r="AC963" i="9" s="1"/>
  <c r="AA964" i="9" s="1"/>
  <c r="AH963" i="9"/>
  <c r="Y963" i="9"/>
  <c r="X964" i="9" s="1"/>
  <c r="Z964" i="9" l="1"/>
  <c r="AG964" i="9"/>
  <c r="AI964" i="9"/>
  <c r="AJ964" i="9" s="1"/>
  <c r="AD964" i="9"/>
  <c r="AH964" i="9" l="1"/>
  <c r="AC964" i="9" a="1"/>
  <c r="AC964" i="9" s="1"/>
  <c r="AA965" i="9" s="1"/>
  <c r="Y964" i="9"/>
  <c r="X965" i="9" s="1"/>
  <c r="AG965" i="9" l="1"/>
  <c r="Z965" i="9"/>
  <c r="AI965" i="9"/>
  <c r="AJ965" i="9" s="1"/>
  <c r="AD965" i="9"/>
  <c r="AH965" i="9" l="1"/>
  <c r="Y965" i="9"/>
  <c r="X966" i="9" s="1"/>
  <c r="AC965" i="9" a="1"/>
  <c r="AC965" i="9" s="1"/>
  <c r="AA966" i="9" s="1"/>
  <c r="AD966" i="9" l="1"/>
  <c r="Z966" i="9"/>
  <c r="AI966" i="9"/>
  <c r="AJ966" i="9" s="1"/>
  <c r="AG966" i="9"/>
  <c r="Y966" i="9" l="1"/>
  <c r="X967" i="9" s="1"/>
  <c r="AH966" i="9"/>
  <c r="AC966" i="9" a="1"/>
  <c r="AC966" i="9" s="1"/>
  <c r="AA967" i="9" s="1"/>
  <c r="AD967" i="9" l="1"/>
  <c r="Z967" i="9"/>
  <c r="AI967" i="9"/>
  <c r="AJ967" i="9" s="1"/>
  <c r="AG967" i="9"/>
  <c r="AC967" i="9" l="1" a="1"/>
  <c r="AC967" i="9" s="1"/>
  <c r="AA968" i="9" s="1"/>
  <c r="Y967" i="9"/>
  <c r="X968" i="9" s="1"/>
  <c r="AH967" i="9"/>
  <c r="AG968" i="9" l="1"/>
  <c r="Z968" i="9"/>
  <c r="AI968" i="9"/>
  <c r="AJ968" i="9" s="1"/>
  <c r="AD968" i="9"/>
  <c r="Y968" i="9" l="1"/>
  <c r="X969" i="9" s="1"/>
  <c r="AH968" i="9"/>
  <c r="AC968" i="9" a="1"/>
  <c r="AC968" i="9" s="1"/>
  <c r="AA969" i="9" s="1"/>
  <c r="AD969" i="9" l="1"/>
  <c r="Z969" i="9"/>
  <c r="AI969" i="9"/>
  <c r="AJ969" i="9" s="1"/>
  <c r="AG969" i="9"/>
  <c r="Y969" i="9" l="1"/>
  <c r="X970" i="9" s="1"/>
  <c r="AC969" i="9" a="1"/>
  <c r="AC969" i="9" s="1"/>
  <c r="AA970" i="9" s="1"/>
  <c r="AH969" i="9"/>
  <c r="AD970" i="9" l="1"/>
  <c r="Z970" i="9"/>
  <c r="AG970" i="9"/>
  <c r="AI970" i="9"/>
  <c r="AJ970" i="9" s="1"/>
  <c r="AH970" i="9" l="1"/>
  <c r="Y970" i="9"/>
  <c r="X971" i="9" s="1"/>
  <c r="AC970" i="9" a="1"/>
  <c r="AC970" i="9" s="1"/>
  <c r="AA971" i="9" s="1"/>
  <c r="AD971" i="9" l="1"/>
  <c r="AI971" i="9"/>
  <c r="AJ971" i="9" s="1"/>
  <c r="Z971" i="9"/>
  <c r="AG971" i="9"/>
  <c r="Y971" i="9" l="1"/>
  <c r="X972" i="9" s="1"/>
  <c r="AC971" i="9" a="1"/>
  <c r="AC971" i="9" s="1"/>
  <c r="AA972" i="9" s="1"/>
  <c r="AH971" i="9"/>
  <c r="AD972" i="9" l="1"/>
  <c r="AI972" i="9"/>
  <c r="AJ972" i="9" s="1"/>
  <c r="Z972" i="9"/>
  <c r="AG972" i="9"/>
  <c r="AC972" i="9" l="1" a="1"/>
  <c r="AC972" i="9" s="1"/>
  <c r="AA973" i="9" s="1"/>
  <c r="Y972" i="9"/>
  <c r="X973" i="9" s="1"/>
  <c r="AH972" i="9"/>
  <c r="Z973" i="9" l="1"/>
  <c r="AG973" i="9"/>
  <c r="AI973" i="9"/>
  <c r="AJ973" i="9" s="1"/>
  <c r="AD973" i="9"/>
  <c r="AH973" i="9" l="1"/>
  <c r="Y973" i="9"/>
  <c r="X974" i="9" s="1"/>
  <c r="AC973" i="9" a="1"/>
  <c r="AC973" i="9" s="1"/>
  <c r="AA974" i="9" s="1"/>
  <c r="AD974" i="9" l="1"/>
  <c r="AG974" i="9"/>
  <c r="AI974" i="9"/>
  <c r="AJ974" i="9" s="1"/>
  <c r="Z974" i="9"/>
  <c r="AC974" i="9" l="1" a="1"/>
  <c r="AC974" i="9" s="1"/>
  <c r="AA975" i="9" s="1"/>
  <c r="Y974" i="9"/>
  <c r="X975" i="9" s="1"/>
  <c r="AH974" i="9"/>
  <c r="AI975" i="9" l="1"/>
  <c r="AJ975" i="9" s="1"/>
  <c r="Z975" i="9"/>
  <c r="AG975" i="9"/>
  <c r="AD975" i="9"/>
  <c r="AH975" i="9" l="1"/>
  <c r="Y975" i="9"/>
  <c r="X976" i="9" s="1"/>
  <c r="AC975" i="9" a="1"/>
  <c r="AC975" i="9" s="1"/>
  <c r="AA976" i="9" s="1"/>
  <c r="AD976" i="9" l="1"/>
  <c r="AI976" i="9"/>
  <c r="AJ976" i="9" s="1"/>
  <c r="AG976" i="9"/>
  <c r="Z976" i="9"/>
  <c r="Y976" i="9" l="1"/>
  <c r="X977" i="9" s="1"/>
  <c r="AC976" i="9" a="1"/>
  <c r="AC976" i="9" s="1"/>
  <c r="AA977" i="9" s="1"/>
  <c r="AH976" i="9"/>
  <c r="AD977" i="9" l="1"/>
  <c r="AI977" i="9"/>
  <c r="AJ977" i="9" s="1"/>
  <c r="Z977" i="9"/>
  <c r="AG977" i="9"/>
  <c r="AH977" i="9" l="1"/>
  <c r="AC977" i="9" a="1"/>
  <c r="AC977" i="9" s="1"/>
  <c r="AA978" i="9" s="1"/>
  <c r="Y977" i="9"/>
  <c r="X978" i="9" s="1"/>
  <c r="AI978" i="9" l="1"/>
  <c r="AJ978" i="9" s="1"/>
  <c r="AG978" i="9"/>
  <c r="Z978" i="9"/>
  <c r="AD978" i="9"/>
  <c r="Y978" i="9" l="1"/>
  <c r="X979" i="9" s="1"/>
  <c r="AH978" i="9"/>
  <c r="AC978" i="9" a="1"/>
  <c r="AC978" i="9" s="1"/>
  <c r="AA979" i="9" s="1"/>
  <c r="AD979" i="9" l="1"/>
  <c r="AI979" i="9"/>
  <c r="AJ979" i="9" s="1"/>
  <c r="Z979" i="9"/>
  <c r="AG979" i="9"/>
  <c r="AH979" i="9" l="1"/>
  <c r="Y979" i="9"/>
  <c r="X980" i="9" s="1"/>
  <c r="AC979" i="9" a="1"/>
  <c r="AC979" i="9" s="1"/>
  <c r="AA980" i="9" s="1"/>
  <c r="AD980" i="9" l="1"/>
  <c r="Z980" i="9"/>
  <c r="AG980" i="9"/>
  <c r="AI980" i="9"/>
  <c r="AJ980" i="9" s="1"/>
  <c r="Y980" i="9" l="1"/>
  <c r="X981" i="9" s="1"/>
  <c r="AH980" i="9"/>
  <c r="AC980" i="9" a="1"/>
  <c r="AC980" i="9" s="1"/>
  <c r="AA981" i="9" s="1"/>
  <c r="AD981" i="9" l="1"/>
  <c r="AG981" i="9"/>
  <c r="Z981" i="9"/>
  <c r="AI981" i="9"/>
  <c r="AJ981" i="9" s="1"/>
  <c r="AH981" i="9" l="1"/>
  <c r="Y981" i="9"/>
  <c r="X982" i="9" s="1"/>
  <c r="AC981" i="9" a="1"/>
  <c r="AC981" i="9" s="1"/>
  <c r="AA982" i="9" s="1"/>
  <c r="AD982" i="9" l="1"/>
  <c r="AI982" i="9"/>
  <c r="AJ982" i="9" s="1"/>
  <c r="AG982" i="9"/>
  <c r="Z982" i="9"/>
  <c r="AC982" i="9" l="1" a="1"/>
  <c r="AC982" i="9" s="1"/>
  <c r="AA983" i="9" s="1"/>
  <c r="Y982" i="9"/>
  <c r="X983" i="9" s="1"/>
  <c r="AH982" i="9"/>
  <c r="Z983" i="9" l="1"/>
  <c r="AG983" i="9"/>
  <c r="AI983" i="9"/>
  <c r="AJ983" i="9" s="1"/>
  <c r="AD983" i="9"/>
  <c r="AC983" i="9" l="1" a="1"/>
  <c r="AC983" i="9" s="1"/>
  <c r="AA984" i="9" s="1"/>
  <c r="Y983" i="9"/>
  <c r="X984" i="9" s="1"/>
  <c r="AH983" i="9"/>
  <c r="AI984" i="9" l="1"/>
  <c r="AJ984" i="9" s="1"/>
  <c r="Z984" i="9"/>
  <c r="AG984" i="9"/>
  <c r="AD984" i="9"/>
  <c r="AC984" i="9" l="1" a="1"/>
  <c r="AC984" i="9" s="1"/>
  <c r="AA985" i="9" s="1"/>
  <c r="AH984" i="9"/>
  <c r="Y984" i="9"/>
  <c r="X985" i="9" s="1"/>
  <c r="AG985" i="9" l="1"/>
  <c r="Z985" i="9"/>
  <c r="AI985" i="9"/>
  <c r="AJ985" i="9" s="1"/>
  <c r="AD985" i="9"/>
  <c r="AC985" i="9" l="1" a="1"/>
  <c r="AC985" i="9" s="1"/>
  <c r="AA986" i="9" s="1"/>
  <c r="Y985" i="9"/>
  <c r="X986" i="9" s="1"/>
  <c r="AH985" i="9"/>
  <c r="AI986" i="9" l="1"/>
  <c r="AJ986" i="9" s="1"/>
  <c r="AG986" i="9"/>
  <c r="Z986" i="9"/>
  <c r="AD986" i="9"/>
  <c r="Y986" i="9" l="1"/>
  <c r="X987" i="9" s="1"/>
  <c r="AH986" i="9"/>
  <c r="AC986" i="9" a="1"/>
  <c r="AC986" i="9" s="1"/>
  <c r="AA987" i="9" s="1"/>
  <c r="AD987" i="9" l="1"/>
  <c r="Z987" i="9"/>
  <c r="AG987" i="9"/>
  <c r="AI987" i="9"/>
  <c r="AJ987" i="9" s="1"/>
  <c r="AC987" i="9" l="1" a="1"/>
  <c r="AC987" i="9" s="1"/>
  <c r="AA988" i="9" s="1"/>
  <c r="Y987" i="9"/>
  <c r="X988" i="9" s="1"/>
  <c r="AH987" i="9"/>
  <c r="AG988" i="9" l="1"/>
  <c r="AI988" i="9"/>
  <c r="AJ988" i="9" s="1"/>
  <c r="Z988" i="9"/>
  <c r="AD988" i="9"/>
  <c r="AH988" i="9" l="1"/>
  <c r="Y988" i="9"/>
  <c r="X989" i="9" s="1"/>
  <c r="AC988" i="9" a="1"/>
  <c r="AC988" i="9" s="1"/>
  <c r="AA989" i="9" s="1"/>
  <c r="AD989" i="9" l="1"/>
  <c r="AI989" i="9"/>
  <c r="AJ989" i="9" s="1"/>
  <c r="AG989" i="9"/>
  <c r="Z989" i="9"/>
  <c r="Y989" i="9" l="1"/>
  <c r="X990" i="9" s="1"/>
  <c r="AH989" i="9"/>
  <c r="AC989" i="9" a="1"/>
  <c r="AC989" i="9" s="1"/>
  <c r="AA990" i="9" s="1"/>
  <c r="AD990" i="9" l="1"/>
  <c r="AI990" i="9"/>
  <c r="AJ990" i="9" s="1"/>
  <c r="AG990" i="9"/>
  <c r="Z990" i="9"/>
  <c r="Y990" i="9" l="1"/>
  <c r="X991" i="9" s="1"/>
  <c r="AH990" i="9"/>
  <c r="AC990" i="9" a="1"/>
  <c r="AC990" i="9" s="1"/>
  <c r="AA991" i="9" s="1"/>
  <c r="AD991" i="9" l="1"/>
  <c r="Z991" i="9"/>
  <c r="AG991" i="9"/>
  <c r="AI991" i="9"/>
  <c r="AJ991" i="9" s="1"/>
  <c r="AC991" i="9" l="1" a="1"/>
  <c r="AC991" i="9" s="1"/>
  <c r="AA992" i="9" s="1"/>
  <c r="Y991" i="9"/>
  <c r="X992" i="9" s="1"/>
  <c r="AH991" i="9"/>
  <c r="Z992" i="9" l="1"/>
  <c r="AG992" i="9"/>
  <c r="AI992" i="9"/>
  <c r="AJ992" i="9" s="1"/>
  <c r="AD992" i="9"/>
  <c r="AH992" i="9" l="1"/>
  <c r="AC992" i="9" a="1"/>
  <c r="AC992" i="9" s="1"/>
  <c r="AA993" i="9" s="1"/>
  <c r="Y992" i="9"/>
  <c r="X993" i="9" s="1"/>
  <c r="AG993" i="9" l="1"/>
  <c r="Z993" i="9"/>
  <c r="AI993" i="9"/>
  <c r="AJ993" i="9" s="1"/>
  <c r="AD993" i="9"/>
  <c r="AC993" i="9" l="1" a="1"/>
  <c r="AC993" i="9" s="1"/>
  <c r="AA994" i="9" s="1"/>
  <c r="AH993" i="9"/>
  <c r="Y993" i="9"/>
  <c r="X994" i="9" s="1"/>
  <c r="AG994" i="9" l="1"/>
  <c r="Z994" i="9"/>
  <c r="AI994" i="9"/>
  <c r="AJ994" i="9" s="1"/>
  <c r="AD994" i="9"/>
  <c r="AH994" i="9" l="1"/>
  <c r="Y994" i="9"/>
  <c r="X995" i="9" s="1"/>
  <c r="AC994" i="9" a="1"/>
  <c r="AC994" i="9" s="1"/>
  <c r="AA995" i="9" s="1"/>
  <c r="AD995" i="9" l="1"/>
  <c r="AG995" i="9"/>
  <c r="AI995" i="9"/>
  <c r="AJ995" i="9" s="1"/>
  <c r="Z995" i="9"/>
  <c r="AC995" i="9" l="1" a="1"/>
  <c r="AC995" i="9" s="1"/>
  <c r="AA996" i="9" s="1"/>
  <c r="AH995" i="9"/>
  <c r="Y995" i="9"/>
  <c r="X996" i="9" s="1"/>
  <c r="Z996" i="9" l="1"/>
  <c r="AG996" i="9"/>
  <c r="AI996" i="9"/>
  <c r="AJ996" i="9" s="1"/>
  <c r="AD996" i="9"/>
  <c r="Y996" i="9" l="1"/>
  <c r="X997" i="9" s="1"/>
  <c r="AC996" i="9" a="1"/>
  <c r="AC996" i="9" s="1"/>
  <c r="AA997" i="9" s="1"/>
  <c r="AH996" i="9"/>
  <c r="AD997" i="9" l="1"/>
  <c r="AI997" i="9"/>
  <c r="AJ997" i="9" s="1"/>
  <c r="Z997" i="9"/>
  <c r="AG997" i="9"/>
  <c r="AH997" i="9" l="1"/>
  <c r="AC997" i="9" a="1"/>
  <c r="AC997" i="9" s="1"/>
  <c r="AA998" i="9" s="1"/>
  <c r="Y997" i="9"/>
  <c r="X998" i="9" s="1"/>
  <c r="AI998" i="9" l="1"/>
  <c r="AJ998" i="9" s="1"/>
  <c r="Z998" i="9"/>
  <c r="AG998" i="9"/>
  <c r="AD998" i="9"/>
  <c r="Y998" i="9" l="1"/>
  <c r="X999" i="9" s="1"/>
  <c r="AH998" i="9"/>
  <c r="AC998" i="9" a="1"/>
  <c r="AC998" i="9" s="1"/>
  <c r="AA999" i="9" s="1"/>
  <c r="AD999" i="9" l="1"/>
  <c r="AG999" i="9"/>
  <c r="AI999" i="9"/>
  <c r="AJ999" i="9" s="1"/>
  <c r="Z999" i="9"/>
  <c r="Y999" i="9" l="1"/>
  <c r="X1000" i="9" s="1"/>
  <c r="AC999" i="9" a="1"/>
  <c r="AC999" i="9" s="1"/>
  <c r="AA1000" i="9" s="1"/>
  <c r="AH999" i="9"/>
  <c r="AD1000" i="9" l="1"/>
  <c r="Z1000" i="9"/>
  <c r="AI1000" i="9"/>
  <c r="AJ1000" i="9" s="1"/>
  <c r="AG1000" i="9"/>
  <c r="AH1000" i="9" l="1"/>
  <c r="Y1000" i="9"/>
  <c r="X1001" i="9" s="1"/>
  <c r="AC1000" i="9" a="1"/>
  <c r="AC1000" i="9" s="1"/>
  <c r="AA1001" i="9" s="1"/>
  <c r="AD1001" i="9" l="1"/>
  <c r="AG1001" i="9"/>
  <c r="Z1001" i="9"/>
  <c r="AI1001" i="9"/>
  <c r="AJ1001" i="9" s="1"/>
  <c r="AC1001" i="9" l="1" a="1"/>
  <c r="AC1001" i="9" s="1"/>
  <c r="AA1002" i="9" s="1"/>
  <c r="AH1001" i="9"/>
  <c r="Y1001" i="9"/>
  <c r="X1002" i="9" s="1"/>
  <c r="AI1002" i="9" l="1"/>
  <c r="AJ1002" i="9" s="1"/>
  <c r="AG1002" i="9"/>
  <c r="Z1002" i="9"/>
  <c r="AD1002" i="9"/>
  <c r="AH1002" i="9" l="1"/>
  <c r="Y1002" i="9"/>
  <c r="X1003" i="9" s="1"/>
  <c r="AC1002" i="9" a="1"/>
  <c r="AC1002" i="9" s="1"/>
  <c r="AA1003" i="9" s="1"/>
  <c r="AD1003" i="9" l="1"/>
  <c r="AI1003" i="9"/>
  <c r="AJ1003" i="9" s="1"/>
  <c r="Z1003" i="9"/>
  <c r="AG1003" i="9"/>
  <c r="Y1003" i="9" l="1"/>
  <c r="X1004" i="9" s="1"/>
  <c r="AH1003" i="9"/>
  <c r="AC1003" i="9" a="1"/>
  <c r="AC1003" i="9" s="1"/>
  <c r="AA1004" i="9" s="1"/>
  <c r="AD1004" i="9" l="1"/>
  <c r="Z1004" i="9"/>
  <c r="AI1004" i="9"/>
  <c r="AJ1004" i="9" s="1"/>
  <c r="AG1004" i="9"/>
  <c r="Y1004" i="9" l="1"/>
  <c r="X1005" i="9" s="1"/>
  <c r="AC1004" i="9" a="1"/>
  <c r="AC1004" i="9" s="1"/>
  <c r="AA1005" i="9" s="1"/>
  <c r="AH1004" i="9"/>
  <c r="AD1005" i="9" l="1"/>
  <c r="Z1005" i="9"/>
  <c r="AI1005" i="9"/>
  <c r="AJ1005" i="9" s="1"/>
  <c r="AG1005" i="9"/>
  <c r="AH1005" i="9" l="1"/>
  <c r="AC1005" i="9" a="1"/>
  <c r="AC1005" i="9" s="1"/>
  <c r="AA1006" i="9" s="1"/>
  <c r="Y1005" i="9"/>
  <c r="X1006" i="9" s="1"/>
  <c r="Z1006" i="9" l="1"/>
  <c r="AI1006" i="9"/>
  <c r="AJ1006" i="9" s="1"/>
  <c r="AG1006" i="9"/>
  <c r="AD1006" i="9"/>
  <c r="Y1006" i="9" l="1"/>
  <c r="X1007" i="9" s="1"/>
  <c r="AH1006" i="9"/>
  <c r="AC1006" i="9" a="1"/>
  <c r="AC1006" i="9" s="1"/>
  <c r="AA1007" i="9" s="1"/>
  <c r="AD1007" i="9" l="1"/>
  <c r="AI1007" i="9"/>
  <c r="AJ1007" i="9" s="1"/>
  <c r="AG1007" i="9"/>
  <c r="Z1007" i="9"/>
  <c r="AC1007" i="9" l="1" a="1"/>
  <c r="AC1007" i="9" s="1"/>
  <c r="AA1008" i="9" s="1"/>
  <c r="AH1007" i="9"/>
  <c r="Y1007" i="9"/>
  <c r="X1008" i="9" s="1"/>
  <c r="AI1008" i="9" l="1"/>
  <c r="AJ1008" i="9" s="1"/>
  <c r="Z1008" i="9"/>
  <c r="AG1008" i="9"/>
  <c r="AD1008" i="9"/>
  <c r="Y1008" i="9" l="1"/>
  <c r="X1009" i="9" s="1"/>
  <c r="AC1008" i="9" a="1"/>
  <c r="AC1008" i="9" s="1"/>
  <c r="AA1009" i="9" s="1"/>
  <c r="AH1008" i="9"/>
  <c r="AD1009" i="9" l="1"/>
  <c r="AI1009" i="9"/>
  <c r="AJ1009" i="9" s="1"/>
  <c r="Z1009" i="9"/>
  <c r="AG1009" i="9"/>
  <c r="Y1009" i="9" l="1"/>
  <c r="X1010" i="9" s="1"/>
  <c r="AC1009" i="9" a="1"/>
  <c r="AC1009" i="9" s="1"/>
  <c r="AA1010" i="9" s="1"/>
  <c r="AH1009" i="9"/>
  <c r="AD1010" i="9" l="1"/>
  <c r="AG1010" i="9"/>
  <c r="Z1010" i="9"/>
  <c r="AI1010" i="9"/>
  <c r="AJ1010" i="9" s="1"/>
  <c r="Y1010" i="9" l="1"/>
  <c r="X1011" i="9" s="1"/>
  <c r="AH1010" i="9"/>
  <c r="AC1010" i="9" a="1"/>
  <c r="AC1010" i="9" s="1"/>
  <c r="AA1011" i="9" s="1"/>
  <c r="AD1011" i="9" l="1"/>
  <c r="Z1011" i="9"/>
  <c r="AI1011" i="9"/>
  <c r="AJ1011" i="9" s="1"/>
  <c r="AG1011" i="9"/>
  <c r="AH1011" i="9" l="1"/>
  <c r="Y1011" i="9"/>
  <c r="X1012" i="9" s="1"/>
  <c r="AC1011" i="9" a="1"/>
  <c r="AC1011" i="9" s="1"/>
  <c r="AA1012" i="9" s="1"/>
  <c r="AD1012" i="9" l="1"/>
  <c r="AG1012" i="9"/>
  <c r="AI1012" i="9"/>
  <c r="AJ1012" i="9" s="1"/>
  <c r="Z1012" i="9"/>
  <c r="AH1012" i="9" l="1"/>
  <c r="AC1012" i="9" a="1"/>
  <c r="AC1012" i="9" s="1"/>
  <c r="AA1013" i="9" s="1"/>
  <c r="Y1012" i="9"/>
  <c r="X1013" i="9" s="1"/>
  <c r="AG1013" i="9" l="1"/>
  <c r="Z1013" i="9"/>
  <c r="AI1013" i="9"/>
  <c r="AJ1013" i="9" s="1"/>
  <c r="AD1013" i="9"/>
  <c r="Y1013" i="9" l="1"/>
  <c r="X1014" i="9" s="1"/>
  <c r="AH1013" i="9"/>
  <c r="AC1013" i="9" a="1"/>
  <c r="AC1013" i="9" s="1"/>
  <c r="AA1014" i="9" s="1"/>
  <c r="AD1014" i="9" l="1"/>
  <c r="AI1014" i="9"/>
  <c r="AJ1014" i="9" s="1"/>
  <c r="Z1014" i="9"/>
  <c r="AG1014" i="9"/>
  <c r="Y1014" i="9" l="1"/>
  <c r="X1015" i="9" s="1"/>
  <c r="AC1014" i="9" a="1"/>
  <c r="AC1014" i="9" s="1"/>
  <c r="AA1015" i="9" s="1"/>
  <c r="AH1014" i="9"/>
  <c r="AD1015" i="9" l="1"/>
  <c r="AI1015" i="9"/>
  <c r="AJ1015" i="9" s="1"/>
  <c r="Z1015" i="9"/>
  <c r="AG1015" i="9"/>
  <c r="AH1015" i="9" l="1"/>
  <c r="Y1015" i="9"/>
  <c r="X1016" i="9" s="1"/>
  <c r="AC1015" i="9" a="1"/>
  <c r="AC1015" i="9" s="1"/>
  <c r="AA1016" i="9" s="1"/>
  <c r="AD1016" i="9" l="1"/>
  <c r="AG1016" i="9"/>
  <c r="Z1016" i="9"/>
  <c r="AI1016" i="9"/>
  <c r="AJ1016" i="9" s="1"/>
  <c r="AC1016" i="9" l="1" a="1"/>
  <c r="AC1016" i="9" s="1"/>
  <c r="AA1017" i="9" s="1"/>
  <c r="Y1016" i="9"/>
  <c r="X1017" i="9" s="1"/>
  <c r="AH1016" i="9"/>
  <c r="AG1017" i="9" l="1"/>
  <c r="Z1017" i="9"/>
  <c r="AI1017" i="9"/>
  <c r="AJ1017" i="9" s="1"/>
  <c r="AD1017" i="9"/>
  <c r="Y1017" i="9" l="1"/>
  <c r="X1018" i="9" s="1"/>
  <c r="AH1017" i="9"/>
  <c r="AC1017" i="9" a="1"/>
  <c r="AC1017" i="9" s="1"/>
  <c r="AA1018" i="9" s="1"/>
  <c r="AD1018" i="9" l="1"/>
  <c r="Z1018" i="9"/>
  <c r="AI1018" i="9"/>
  <c r="AJ1018" i="9" s="1"/>
  <c r="AG1018" i="9"/>
  <c r="AC1018" i="9" l="1" a="1"/>
  <c r="AC1018" i="9" s="1"/>
  <c r="AA1019" i="9" s="1"/>
  <c r="Y1018" i="9"/>
  <c r="X1019" i="9" s="1"/>
  <c r="AH1018" i="9"/>
  <c r="Z1019" i="9" l="1"/>
  <c r="AG1019" i="9"/>
  <c r="AI1019" i="9"/>
  <c r="AJ1019" i="9" s="1"/>
  <c r="AD1019" i="9"/>
  <c r="Y1019" i="9" l="1"/>
  <c r="X1020" i="9" s="1"/>
  <c r="AH1019" i="9"/>
  <c r="AC1019" i="9" a="1"/>
  <c r="AC1019" i="9" s="1"/>
  <c r="AA1020" i="9" s="1"/>
  <c r="AD1020" i="9" l="1"/>
  <c r="AI1020" i="9"/>
  <c r="AJ1020" i="9" s="1"/>
  <c r="AG1020" i="9"/>
  <c r="Z1020" i="9"/>
  <c r="Y1020" i="9" l="1"/>
  <c r="X1021" i="9" s="1"/>
  <c r="AH1020" i="9"/>
  <c r="AC1020" i="9" a="1"/>
  <c r="AC1020" i="9" s="1"/>
  <c r="AA1021" i="9" s="1"/>
  <c r="AD1021" i="9" l="1"/>
  <c r="AG1021" i="9"/>
  <c r="Z1021" i="9"/>
  <c r="AI1021" i="9"/>
  <c r="AJ1021" i="9" s="1"/>
  <c r="Y1021" i="9" l="1"/>
  <c r="X1022" i="9" s="1"/>
  <c r="AH1021" i="9"/>
  <c r="AC1021" i="9" a="1"/>
  <c r="AC1021" i="9" s="1"/>
  <c r="AA1022" i="9" s="1"/>
  <c r="AD1022" i="9" l="1"/>
  <c r="Z1022" i="9"/>
  <c r="AG1022" i="9"/>
  <c r="AI1022" i="9"/>
  <c r="AJ1022" i="9" s="1"/>
  <c r="AH1022" i="9" l="1"/>
  <c r="Y1022" i="9"/>
  <c r="X1023" i="9" s="1"/>
  <c r="AC1022" i="9" a="1"/>
  <c r="AC1022" i="9" s="1"/>
  <c r="AA1023" i="9" s="1"/>
  <c r="AD1023" i="9" l="1"/>
  <c r="AI1023" i="9"/>
  <c r="AJ1023" i="9" s="1"/>
  <c r="AG1023" i="9"/>
  <c r="Z1023" i="9"/>
  <c r="AC1023" i="9" l="1" a="1"/>
  <c r="AC1023" i="9" s="1"/>
  <c r="AA1024" i="9" s="1"/>
  <c r="Y1023" i="9"/>
  <c r="X1024" i="9" s="1"/>
  <c r="AH1023" i="9"/>
  <c r="Z1024" i="9" l="1"/>
  <c r="AG1024" i="9"/>
  <c r="AI1024" i="9"/>
  <c r="AJ1024" i="9" s="1"/>
  <c r="AD1024" i="9"/>
  <c r="Y1024" i="9" l="1"/>
  <c r="X1025" i="9" s="1"/>
  <c r="AH1024" i="9"/>
  <c r="AC1024" i="9" a="1"/>
  <c r="AC1024" i="9" s="1"/>
  <c r="AA1025" i="9" s="1"/>
  <c r="AD1025" i="9" l="1"/>
  <c r="Z1025" i="9"/>
  <c r="AG1025" i="9"/>
  <c r="AI1025" i="9"/>
  <c r="AJ1025" i="9" s="1"/>
  <c r="AC1025" i="9" l="1" a="1"/>
  <c r="AC1025" i="9" s="1"/>
  <c r="AA1026" i="9" s="1"/>
  <c r="AH1025" i="9"/>
  <c r="Y1025" i="9"/>
  <c r="X1026" i="9" s="1"/>
  <c r="AG1026" i="9" l="1"/>
  <c r="Z1026" i="9"/>
  <c r="AI1026" i="9"/>
  <c r="AJ1026" i="9" s="1"/>
  <c r="AD1026" i="9"/>
  <c r="Y1026" i="9" l="1"/>
  <c r="X1027" i="9" s="1"/>
  <c r="AC1026" i="9" a="1"/>
  <c r="AC1026" i="9" s="1"/>
  <c r="AA1027" i="9" s="1"/>
  <c r="AH1026" i="9"/>
  <c r="AD1027" i="9" l="1"/>
  <c r="AG1027" i="9"/>
  <c r="Z1027" i="9"/>
  <c r="AI1027" i="9"/>
  <c r="AJ1027" i="9" s="1"/>
  <c r="AH1027" i="9" l="1"/>
  <c r="Y1027" i="9"/>
  <c r="X1028" i="9" s="1"/>
  <c r="AC1027" i="9" a="1"/>
  <c r="AC1027" i="9" s="1"/>
  <c r="AA1028" i="9" s="1"/>
  <c r="AD1028" i="9" l="1"/>
  <c r="AI1028" i="9"/>
  <c r="AJ1028" i="9" s="1"/>
  <c r="Z1028" i="9"/>
  <c r="AG1028" i="9"/>
  <c r="AH1028" i="9" l="1"/>
  <c r="Y1028" i="9"/>
  <c r="X1029" i="9" s="1"/>
  <c r="AC1028" i="9" a="1"/>
  <c r="AC1028" i="9" s="1"/>
  <c r="AA1029" i="9" s="1"/>
  <c r="AD1029" i="9" l="1"/>
  <c r="Z1029" i="9"/>
  <c r="AI1029" i="9"/>
  <c r="AJ1029" i="9" s="1"/>
  <c r="AG1029" i="9"/>
  <c r="AC1029" i="9" l="1" a="1"/>
  <c r="AC1029" i="9" s="1"/>
  <c r="AA1030" i="9" s="1"/>
  <c r="AH1029" i="9"/>
  <c r="Y1029" i="9"/>
  <c r="X1030" i="9" s="1"/>
  <c r="AG1030" i="9" l="1"/>
  <c r="AI1030" i="9"/>
  <c r="AJ1030" i="9" s="1"/>
  <c r="Z1030" i="9"/>
  <c r="AD1030" i="9"/>
  <c r="Y1030" i="9" l="1"/>
  <c r="X1031" i="9" s="1"/>
  <c r="AH1030" i="9"/>
  <c r="AC1030" i="9" a="1"/>
  <c r="AC1030" i="9" s="1"/>
  <c r="AA1031" i="9" s="1"/>
  <c r="AD1031" i="9" l="1"/>
  <c r="Z1031" i="9"/>
  <c r="AG1031" i="9"/>
  <c r="AI1031" i="9"/>
  <c r="AJ1031" i="9" s="1"/>
  <c r="Y1031" i="9" l="1"/>
  <c r="X1032" i="9" s="1"/>
  <c r="AH1031" i="9"/>
  <c r="AC1031" i="9" a="1"/>
  <c r="AC1031" i="9" s="1"/>
  <c r="AA1032" i="9" s="1"/>
  <c r="AD1032" i="9" l="1"/>
  <c r="AI1032" i="9"/>
  <c r="AJ1032" i="9" s="1"/>
  <c r="Z1032" i="9"/>
  <c r="AG1032" i="9"/>
  <c r="AH1032" i="9" l="1"/>
  <c r="Y1032" i="9"/>
  <c r="X1033" i="9" s="1"/>
  <c r="AC1032" i="9" a="1"/>
  <c r="AC1032" i="9" s="1"/>
  <c r="AA1033" i="9" s="1"/>
  <c r="AD1033" i="9" l="1"/>
  <c r="Z1033" i="9"/>
  <c r="AG1033" i="9"/>
  <c r="AI1033" i="9"/>
  <c r="AJ1033" i="9" s="1"/>
  <c r="Y1033" i="9" l="1"/>
  <c r="X1034" i="9" s="1"/>
  <c r="AH1033" i="9"/>
  <c r="AC1033" i="9" a="1"/>
  <c r="AC1033" i="9" s="1"/>
  <c r="AA1034" i="9" s="1"/>
  <c r="AD1034" i="9" l="1"/>
  <c r="AG1034" i="9"/>
  <c r="AI1034" i="9"/>
  <c r="AJ1034" i="9" s="1"/>
  <c r="Z1034" i="9"/>
  <c r="AC1034" i="9" l="1" a="1"/>
  <c r="AC1034" i="9" s="1"/>
  <c r="AA1035" i="9" s="1"/>
  <c r="Y1034" i="9"/>
  <c r="X1035" i="9" s="1"/>
  <c r="AH1034" i="9"/>
  <c r="Z1035" i="9" l="1"/>
  <c r="AI1035" i="9"/>
  <c r="AJ1035" i="9" s="1"/>
  <c r="AG1035" i="9"/>
  <c r="AD1035" i="9"/>
  <c r="Y1035" i="9" l="1"/>
  <c r="X1036" i="9" s="1"/>
  <c r="AC1035" i="9" a="1"/>
  <c r="AC1035" i="9" s="1"/>
  <c r="AA1036" i="9" s="1"/>
  <c r="AH1035" i="9"/>
  <c r="AD1036" i="9" l="1"/>
  <c r="AG1036" i="9"/>
  <c r="AI1036" i="9"/>
  <c r="AJ1036" i="9" s="1"/>
  <c r="Z1036" i="9"/>
  <c r="AC1036" i="9" l="1" a="1"/>
  <c r="AC1036" i="9" s="1"/>
  <c r="AA1037" i="9" s="1"/>
  <c r="AH1036" i="9"/>
  <c r="Y1036" i="9"/>
  <c r="X1037" i="9" s="1"/>
  <c r="AG1037" i="9" l="1"/>
  <c r="Z1037" i="9"/>
  <c r="AI1037" i="9"/>
  <c r="AJ1037" i="9" s="1"/>
  <c r="AD1037" i="9"/>
  <c r="AC1037" i="9" l="1" a="1"/>
  <c r="AC1037" i="9" s="1"/>
  <c r="AA1038" i="9" s="1"/>
  <c r="AH1037" i="9"/>
  <c r="Y1037" i="9"/>
  <c r="X1038" i="9" s="1"/>
  <c r="AG1038" i="9" l="1"/>
  <c r="Z1038" i="9"/>
  <c r="AI1038" i="9"/>
  <c r="AJ1038" i="9" s="1"/>
  <c r="AD1038" i="9"/>
  <c r="AC1038" i="9" l="1" a="1"/>
  <c r="AC1038" i="9" s="1"/>
  <c r="AA1039" i="9" s="1"/>
  <c r="Y1038" i="9"/>
  <c r="X1039" i="9" s="1"/>
  <c r="AH1038" i="9"/>
  <c r="AI1039" i="9" l="1"/>
  <c r="AJ1039" i="9" s="1"/>
  <c r="Z1039" i="9"/>
  <c r="AG1039" i="9"/>
  <c r="AD1039" i="9"/>
  <c r="Y1039" i="9" l="1"/>
  <c r="X1040" i="9" s="1"/>
  <c r="AC1039" i="9" a="1"/>
  <c r="AC1039" i="9" s="1"/>
  <c r="AA1040" i="9" s="1"/>
  <c r="AH1039" i="9"/>
  <c r="AD1040" i="9" l="1"/>
  <c r="Z1040" i="9"/>
  <c r="AI1040" i="9"/>
  <c r="AJ1040" i="9" s="1"/>
  <c r="AG1040" i="9"/>
  <c r="Y1040" i="9" l="1"/>
  <c r="X1041" i="9" s="1"/>
  <c r="AC1040" i="9" a="1"/>
  <c r="AC1040" i="9" s="1"/>
  <c r="AA1041" i="9" s="1"/>
  <c r="AH1040" i="9"/>
  <c r="AD1041" i="9" l="1"/>
  <c r="Z1041" i="9"/>
  <c r="AG1041" i="9"/>
  <c r="AI1041" i="9"/>
  <c r="AJ1041" i="9" s="1"/>
  <c r="Y1041" i="9" l="1"/>
  <c r="X1042" i="9" s="1"/>
  <c r="AC1041" i="9" a="1"/>
  <c r="AC1041" i="9" s="1"/>
  <c r="AA1042" i="9" s="1"/>
  <c r="AH1041" i="9"/>
  <c r="AD1042" i="9" l="1"/>
  <c r="Z1042" i="9"/>
  <c r="AI1042" i="9"/>
  <c r="AJ1042" i="9" s="1"/>
  <c r="AG1042" i="9"/>
  <c r="Y1042" i="9" l="1"/>
  <c r="X1043" i="9" s="1"/>
  <c r="AC1042" i="9" a="1"/>
  <c r="AC1042" i="9" s="1"/>
  <c r="AA1043" i="9" s="1"/>
  <c r="AH1042" i="9"/>
  <c r="AD1043" i="9" l="1"/>
  <c r="AI1043" i="9"/>
  <c r="AJ1043" i="9" s="1"/>
  <c r="AG1043" i="9"/>
  <c r="Z1043" i="9"/>
  <c r="AC1043" i="9" l="1" a="1"/>
  <c r="AC1043" i="9" s="1"/>
  <c r="AA1044" i="9" s="1"/>
  <c r="AH1043" i="9"/>
  <c r="Y1043" i="9"/>
  <c r="X1044" i="9" s="1"/>
  <c r="Z1044" i="9" l="1"/>
  <c r="AG1044" i="9"/>
  <c r="AI1044" i="9"/>
  <c r="AJ1044" i="9" s="1"/>
  <c r="AD1044" i="9"/>
  <c r="AC1044" i="9" l="1" a="1"/>
  <c r="AC1044" i="9" s="1"/>
  <c r="AA1045" i="9" s="1"/>
  <c r="AH1044" i="9"/>
  <c r="Y1044" i="9"/>
  <c r="X1045" i="9" s="1"/>
  <c r="AI1045" i="9" l="1"/>
  <c r="AJ1045" i="9" s="1"/>
  <c r="AG1045" i="9"/>
  <c r="Z1045" i="9"/>
  <c r="AD1045" i="9"/>
  <c r="AH1045" i="9" l="1"/>
  <c r="AC1045" i="9" a="1"/>
  <c r="AC1045" i="9" s="1"/>
  <c r="AA1046" i="9" s="1"/>
  <c r="Y1045" i="9"/>
  <c r="X1046" i="9" s="1"/>
  <c r="AI1046" i="9" l="1"/>
  <c r="AJ1046" i="9" s="1"/>
  <c r="AG1046" i="9"/>
  <c r="Z1046" i="9"/>
  <c r="AD1046" i="9"/>
  <c r="AC1046" i="9" l="1" a="1"/>
  <c r="AC1046" i="9" s="1"/>
  <c r="AA1047" i="9" s="1"/>
  <c r="Y1046" i="9"/>
  <c r="X1047" i="9" s="1"/>
  <c r="AH1046" i="9"/>
  <c r="AI1047" i="9" l="1"/>
  <c r="AJ1047" i="9" s="1"/>
  <c r="Z1047" i="9"/>
  <c r="AG1047" i="9"/>
  <c r="AD1047" i="9"/>
  <c r="AC1047" i="9" l="1" a="1"/>
  <c r="AC1047" i="9" s="1"/>
  <c r="AA1048" i="9" s="1"/>
  <c r="Y1047" i="9"/>
  <c r="X1048" i="9" s="1"/>
  <c r="AH1047" i="9"/>
  <c r="Z1048" i="9" l="1"/>
  <c r="AI1048" i="9"/>
  <c r="AJ1048" i="9" s="1"/>
  <c r="AG1048" i="9"/>
  <c r="AD1048" i="9"/>
  <c r="AH1048" i="9" l="1"/>
  <c r="AC1048" i="9" a="1"/>
  <c r="AC1048" i="9" s="1"/>
  <c r="AA1049" i="9" s="1"/>
  <c r="Y1048" i="9"/>
  <c r="X1049" i="9" s="1"/>
  <c r="AG1049" i="9" l="1"/>
  <c r="Z1049" i="9"/>
  <c r="AI1049" i="9"/>
  <c r="AJ1049" i="9" s="1"/>
  <c r="AD1049" i="9"/>
  <c r="AC1049" i="9" l="1" a="1"/>
  <c r="AC1049" i="9" s="1"/>
  <c r="AA1050" i="9" s="1"/>
  <c r="Y1049" i="9"/>
  <c r="X1050" i="9" s="1"/>
  <c r="AH1049" i="9"/>
  <c r="AG1050" i="9" l="1"/>
  <c r="Z1050" i="9"/>
  <c r="AI1050" i="9"/>
  <c r="AJ1050" i="9" s="1"/>
  <c r="AD1050" i="9"/>
  <c r="AC1050" i="9" l="1" a="1"/>
  <c r="AC1050" i="9" s="1"/>
  <c r="AA1051" i="9" s="1"/>
  <c r="AH1050" i="9"/>
  <c r="Y1050" i="9"/>
  <c r="X1051" i="9" s="1"/>
  <c r="AG1051" i="9" l="1"/>
  <c r="Z1051" i="9"/>
  <c r="AI1051" i="9"/>
  <c r="AJ1051" i="9" s="1"/>
  <c r="AD1051" i="9"/>
  <c r="AH1051" i="9" l="1"/>
  <c r="AC1051" i="9" a="1"/>
  <c r="AC1051" i="9" s="1"/>
  <c r="AA1052" i="9" s="1"/>
  <c r="Y1051" i="9"/>
  <c r="X1052" i="9" s="1"/>
  <c r="AG1052" i="9" l="1"/>
  <c r="Z1052" i="9"/>
  <c r="AI1052" i="9"/>
  <c r="AJ1052" i="9" s="1"/>
  <c r="AD1052" i="9"/>
  <c r="Y1052" i="9" l="1"/>
  <c r="X1053" i="9" s="1"/>
  <c r="AC1052" i="9" a="1"/>
  <c r="AC1052" i="9" s="1"/>
  <c r="AA1053" i="9" s="1"/>
  <c r="AH1052" i="9"/>
  <c r="AD1053" i="9" l="1"/>
  <c r="Z1053" i="9"/>
  <c r="AG1053" i="9"/>
  <c r="AI1053" i="9"/>
  <c r="AJ1053" i="9" s="1"/>
  <c r="AH1053" i="9" l="1"/>
  <c r="AC1053" i="9" a="1"/>
  <c r="AC1053" i="9" s="1"/>
  <c r="AA1054" i="9" s="1"/>
  <c r="Y1053" i="9"/>
  <c r="X1054" i="9" s="1"/>
  <c r="Z1054" i="9" l="1"/>
  <c r="AG1054" i="9"/>
  <c r="AI1054" i="9"/>
  <c r="AJ1054" i="9" s="1"/>
  <c r="AD1054" i="9"/>
  <c r="AC1054" i="9" l="1" a="1"/>
  <c r="AC1054" i="9" s="1"/>
  <c r="AA1055" i="9" s="1"/>
  <c r="AH1054" i="9"/>
  <c r="Y1054" i="9"/>
  <c r="X1055" i="9" s="1"/>
  <c r="AG1055" i="9" l="1"/>
  <c r="AI1055" i="9"/>
  <c r="AJ1055" i="9" s="1"/>
  <c r="Z1055" i="9"/>
  <c r="AD1055" i="9"/>
  <c r="AH1055" i="9" l="1"/>
  <c r="Y1055" i="9"/>
  <c r="X1056" i="9" s="1"/>
  <c r="AC1055" i="9" a="1"/>
  <c r="AC1055" i="9" s="1"/>
  <c r="AA1056" i="9" s="1"/>
  <c r="AD1056" i="9" l="1"/>
  <c r="Z1056" i="9"/>
  <c r="AG1056" i="9"/>
  <c r="AI1056" i="9"/>
  <c r="AJ1056" i="9" s="1"/>
  <c r="AC1056" i="9" l="1" a="1"/>
  <c r="AC1056" i="9" s="1"/>
  <c r="AA1057" i="9" s="1"/>
  <c r="Y1056" i="9"/>
  <c r="X1057" i="9" s="1"/>
  <c r="AH1056" i="9"/>
  <c r="AG1057" i="9" l="1"/>
  <c r="Z1057" i="9"/>
  <c r="AI1057" i="9"/>
  <c r="AJ1057" i="9" s="1"/>
  <c r="AD1057" i="9"/>
  <c r="AH1057" i="9" l="1"/>
  <c r="AC1057" i="9" a="1"/>
  <c r="AC1057" i="9" s="1"/>
  <c r="AA1058" i="9" s="1"/>
  <c r="Y1057" i="9"/>
  <c r="X1058" i="9" s="1"/>
  <c r="AI1058" i="9" l="1"/>
  <c r="AJ1058" i="9" s="1"/>
  <c r="AG1058" i="9"/>
  <c r="Z1058" i="9"/>
  <c r="AD1058" i="9"/>
  <c r="AH1058" i="9" l="1"/>
  <c r="Y1058" i="9"/>
  <c r="X1059" i="9" s="1"/>
  <c r="AC1058" i="9" a="1"/>
  <c r="AC1058" i="9" s="1"/>
  <c r="AA1059" i="9" s="1"/>
  <c r="AD1059" i="9" l="1"/>
  <c r="AG1059" i="9"/>
  <c r="Z1059" i="9"/>
  <c r="AI1059" i="9"/>
  <c r="AJ1059" i="9" s="1"/>
  <c r="Y1059" i="9" l="1"/>
  <c r="X1060" i="9" s="1"/>
  <c r="AC1059" i="9" a="1"/>
  <c r="AC1059" i="9" s="1"/>
  <c r="AA1060" i="9" s="1"/>
  <c r="AH1059" i="9"/>
  <c r="AD1060" i="9" l="1"/>
  <c r="Z1060" i="9"/>
  <c r="AG1060" i="9"/>
  <c r="AI1060" i="9"/>
  <c r="AJ1060" i="9" s="1"/>
  <c r="Y1060" i="9" l="1"/>
  <c r="X1061" i="9" s="1"/>
  <c r="AC1060" i="9" a="1"/>
  <c r="AC1060" i="9" s="1"/>
  <c r="AA1061" i="9" s="1"/>
  <c r="AH1060" i="9"/>
  <c r="AD1061" i="9" l="1"/>
  <c r="AI1061" i="9"/>
  <c r="AJ1061" i="9" s="1"/>
  <c r="Z1061" i="9"/>
  <c r="AG1061" i="9"/>
  <c r="Y1061" i="9" l="1"/>
  <c r="X1062" i="9" s="1"/>
  <c r="AC1061" i="9" a="1"/>
  <c r="AC1061" i="9" s="1"/>
  <c r="AA1062" i="9" s="1"/>
  <c r="AH1061" i="9"/>
  <c r="AD1062" i="9" l="1"/>
  <c r="AG1062" i="9"/>
  <c r="AI1062" i="9"/>
  <c r="AJ1062" i="9" s="1"/>
  <c r="Z1062" i="9"/>
  <c r="AC1062" i="9" l="1" a="1"/>
  <c r="AC1062" i="9" s="1"/>
  <c r="AA1063" i="9" s="1"/>
  <c r="Y1062" i="9"/>
  <c r="X1063" i="9" s="1"/>
  <c r="AH1062" i="9"/>
  <c r="Z1063" i="9" l="1"/>
  <c r="AI1063" i="9"/>
  <c r="AJ1063" i="9" s="1"/>
  <c r="AG1063" i="9"/>
  <c r="AD1063" i="9"/>
  <c r="Y1063" i="9" l="1"/>
  <c r="X1064" i="9" s="1"/>
  <c r="AH1063" i="9"/>
  <c r="AC1063" i="9" a="1"/>
  <c r="AC1063" i="9" s="1"/>
  <c r="AA1064" i="9" s="1"/>
  <c r="AD1064" i="9" l="1"/>
  <c r="AG1064" i="9"/>
  <c r="Z1064" i="9"/>
  <c r="AI1064" i="9"/>
  <c r="AJ1064" i="9" s="1"/>
  <c r="AC1064" i="9" l="1" a="1"/>
  <c r="AC1064" i="9" s="1"/>
  <c r="AA1065" i="9" s="1"/>
  <c r="AH1064" i="9"/>
  <c r="Y1064" i="9"/>
  <c r="X1065" i="9" s="1"/>
  <c r="AG1065" i="9" l="1"/>
  <c r="AI1065" i="9"/>
  <c r="AJ1065" i="9" s="1"/>
  <c r="Z1065" i="9"/>
  <c r="AD1065" i="9"/>
  <c r="AH1065" i="9" l="1"/>
  <c r="AC1065" i="9" a="1"/>
  <c r="AC1065" i="9" s="1"/>
  <c r="AA1066" i="9" s="1"/>
  <c r="Y1065" i="9"/>
  <c r="X1066" i="9" s="1"/>
  <c r="AI1066" i="9" l="1"/>
  <c r="AJ1066" i="9" s="1"/>
  <c r="AG1066" i="9"/>
  <c r="Z1066" i="9"/>
  <c r="AD1066" i="9"/>
  <c r="AC1066" i="9" l="1" a="1"/>
  <c r="AC1066" i="9" s="1"/>
  <c r="AA1067" i="9" s="1"/>
  <c r="Y1066" i="9"/>
  <c r="X1067" i="9" s="1"/>
  <c r="AH1066" i="9"/>
  <c r="AI1067" i="9" l="1"/>
  <c r="AJ1067" i="9" s="1"/>
  <c r="Z1067" i="9"/>
  <c r="AG1067" i="9"/>
  <c r="AD1067" i="9"/>
  <c r="AH1067" i="9" l="1"/>
  <c r="Y1067" i="9"/>
  <c r="X1068" i="9" s="1"/>
  <c r="AC1067" i="9" a="1"/>
  <c r="AC1067" i="9" s="1"/>
  <c r="AA1068" i="9" s="1"/>
  <c r="AD1068" i="9" l="1"/>
  <c r="AG1068" i="9"/>
  <c r="Z1068" i="9"/>
  <c r="AI1068" i="9"/>
  <c r="AJ1068" i="9" s="1"/>
  <c r="Y1068" i="9" l="1"/>
  <c r="X1069" i="9" s="1"/>
  <c r="AH1068" i="9"/>
  <c r="AC1068" i="9" a="1"/>
  <c r="AC1068" i="9" s="1"/>
  <c r="AA1069" i="9" s="1"/>
  <c r="AD1069" i="9" l="1"/>
  <c r="AG1069" i="9"/>
  <c r="AI1069" i="9"/>
  <c r="AJ1069" i="9" s="1"/>
  <c r="Z1069" i="9"/>
  <c r="AH1069" i="9" l="1"/>
  <c r="AC1069" i="9" a="1"/>
  <c r="AC1069" i="9" s="1"/>
  <c r="AA1070" i="9" s="1"/>
  <c r="Y1069" i="9"/>
  <c r="X1070" i="9" s="1"/>
  <c r="AG1070" i="9" l="1"/>
  <c r="AI1070" i="9"/>
  <c r="AJ1070" i="9" s="1"/>
  <c r="Z1070" i="9"/>
  <c r="AD1070" i="9"/>
  <c r="Y1070" i="9" l="1"/>
  <c r="X1071" i="9" s="1"/>
  <c r="AH1070" i="9"/>
  <c r="AC1070" i="9" a="1"/>
  <c r="AC1070" i="9" s="1"/>
  <c r="AA1071" i="9" s="1"/>
  <c r="AD1071" i="9" l="1"/>
  <c r="AI1071" i="9"/>
  <c r="AJ1071" i="9" s="1"/>
  <c r="Z1071" i="9"/>
  <c r="AG1071" i="9"/>
  <c r="Y1071" i="9" l="1"/>
  <c r="X1072" i="9" s="1"/>
  <c r="AC1071" i="9" a="1"/>
  <c r="AC1071" i="9" s="1"/>
  <c r="AA1072" i="9" s="1"/>
  <c r="AH1071" i="9"/>
  <c r="AD1072" i="9" l="1"/>
  <c r="AI1072" i="9"/>
  <c r="AJ1072" i="9" s="1"/>
  <c r="AG1072" i="9"/>
  <c r="Z1072" i="9"/>
  <c r="AH1072" i="9" l="1"/>
  <c r="Y1072" i="9"/>
  <c r="X1073" i="9" s="1"/>
  <c r="AC1072" i="9" a="1"/>
  <c r="AC1072" i="9" s="1"/>
  <c r="AA1073" i="9" s="1"/>
  <c r="AD1073" i="9" l="1"/>
  <c r="Z1073" i="9"/>
  <c r="AI1073" i="9"/>
  <c r="AJ1073" i="9" s="1"/>
  <c r="AG1073" i="9"/>
  <c r="AH1073" i="9" l="1"/>
  <c r="Y1073" i="9"/>
  <c r="X1074" i="9" s="1"/>
  <c r="AC1073" i="9" a="1"/>
  <c r="AC1073" i="9" s="1"/>
  <c r="AA1074" i="9" s="1"/>
  <c r="AD1074" i="9" l="1"/>
  <c r="AI1074" i="9"/>
  <c r="AJ1074" i="9" s="1"/>
  <c r="AG1074" i="9"/>
  <c r="Z1074" i="9"/>
  <c r="Y1074" i="9" l="1"/>
  <c r="X1075" i="9" s="1"/>
  <c r="AC1074" i="9" a="1"/>
  <c r="AC1074" i="9" s="1"/>
  <c r="AA1075" i="9" s="1"/>
  <c r="AH1074" i="9"/>
  <c r="AD1075" i="9" l="1"/>
  <c r="AI1075" i="9"/>
  <c r="AJ1075" i="9" s="1"/>
  <c r="Z1075" i="9"/>
  <c r="AG1075" i="9"/>
  <c r="AC1075" i="9" l="1" a="1"/>
  <c r="AC1075" i="9" s="1"/>
  <c r="AA1076" i="9" s="1"/>
  <c r="Y1075" i="9"/>
  <c r="X1076" i="9" s="1"/>
  <c r="AH1075" i="9"/>
  <c r="AI1076" i="9" l="1"/>
  <c r="AJ1076" i="9" s="1"/>
  <c r="AG1076" i="9"/>
  <c r="Z1076" i="9"/>
  <c r="AD1076" i="9"/>
  <c r="AH1076" i="9" l="1"/>
  <c r="Y1076" i="9"/>
  <c r="X1077" i="9" s="1"/>
  <c r="AC1076" i="9" a="1"/>
  <c r="AC1076" i="9" s="1"/>
  <c r="AA1077" i="9" s="1"/>
  <c r="AD1077" i="9" l="1"/>
  <c r="AG1077" i="9"/>
  <c r="Z1077" i="9"/>
  <c r="AI1077" i="9"/>
  <c r="AJ1077" i="9" s="1"/>
  <c r="Y1077" i="9" l="1"/>
  <c r="X1078" i="9" s="1"/>
  <c r="AC1077" i="9" a="1"/>
  <c r="AC1077" i="9" s="1"/>
  <c r="AA1078" i="9" s="1"/>
  <c r="AH1077" i="9"/>
  <c r="AD1078" i="9" l="1"/>
  <c r="Z1078" i="9"/>
  <c r="AI1078" i="9"/>
  <c r="AJ1078" i="9" s="1"/>
  <c r="AG1078" i="9"/>
  <c r="AH1078" i="9" l="1"/>
  <c r="AC1078" i="9" a="1"/>
  <c r="AC1078" i="9" s="1"/>
  <c r="AA1079" i="9" s="1"/>
  <c r="Y1078" i="9"/>
  <c r="X1079" i="9" s="1"/>
  <c r="Z1079" i="9" l="1"/>
  <c r="AG1079" i="9"/>
  <c r="AI1079" i="9"/>
  <c r="AJ1079" i="9" s="1"/>
  <c r="AD1079" i="9"/>
  <c r="AH1079" i="9" l="1"/>
  <c r="Y1079" i="9"/>
  <c r="X1080" i="9" s="1"/>
  <c r="AC1079" i="9" a="1"/>
  <c r="AC1079" i="9" s="1"/>
  <c r="AA1080" i="9" s="1"/>
  <c r="AD1080" i="9" l="1"/>
  <c r="Z1080" i="9"/>
  <c r="AG1080" i="9"/>
  <c r="AI1080" i="9"/>
  <c r="AJ1080" i="9" s="1"/>
  <c r="AC1080" i="9" l="1" a="1"/>
  <c r="AC1080" i="9" s="1"/>
  <c r="AA1081" i="9" s="1"/>
  <c r="Y1080" i="9"/>
  <c r="X1081" i="9" s="1"/>
  <c r="AH1080" i="9"/>
  <c r="AG1081" i="9" l="1"/>
  <c r="AI1081" i="9"/>
  <c r="AJ1081" i="9" s="1"/>
  <c r="Z1081" i="9"/>
  <c r="AD1081" i="9"/>
  <c r="Y1081" i="9" l="1"/>
  <c r="X1082" i="9" s="1"/>
  <c r="AH1081" i="9"/>
  <c r="AC1081" i="9" a="1"/>
  <c r="AC1081" i="9" s="1"/>
  <c r="AA1082" i="9" s="1"/>
  <c r="AD1082" i="9" l="1"/>
  <c r="AG1082" i="9"/>
  <c r="AI1082" i="9"/>
  <c r="AJ1082" i="9" s="1"/>
  <c r="Z1082" i="9"/>
  <c r="Y1082" i="9" l="1"/>
  <c r="X1083" i="9" s="1"/>
  <c r="AC1082" i="9" a="1"/>
  <c r="AC1082" i="9" s="1"/>
  <c r="AA1083" i="9" s="1"/>
  <c r="AH1082" i="9"/>
  <c r="AD1083" i="9" l="1"/>
  <c r="AG1083" i="9"/>
  <c r="AI1083" i="9"/>
  <c r="AJ1083" i="9" s="1"/>
  <c r="Z1083" i="9"/>
  <c r="Y1083" i="9" l="1"/>
  <c r="X1084" i="9" s="1"/>
  <c r="AC1083" i="9" a="1"/>
  <c r="AC1083" i="9" s="1"/>
  <c r="AA1084" i="9" s="1"/>
  <c r="AH1083" i="9"/>
  <c r="AD1084" i="9" l="1"/>
  <c r="AI1084" i="9"/>
  <c r="AJ1084" i="9" s="1"/>
  <c r="Z1084" i="9"/>
  <c r="AG1084" i="9"/>
  <c r="AH1084" i="9" l="1"/>
  <c r="AC1084" i="9" a="1"/>
  <c r="AC1084" i="9" s="1"/>
  <c r="AA1085" i="9" s="1"/>
  <c r="Y1084" i="9"/>
  <c r="X1085" i="9" s="1"/>
  <c r="Z1085" i="9" l="1"/>
  <c r="AG1085" i="9"/>
  <c r="AI1085" i="9"/>
  <c r="AJ1085" i="9" s="1"/>
  <c r="AD1085" i="9"/>
  <c r="AH1085" i="9" l="1"/>
  <c r="AC1085" i="9" a="1"/>
  <c r="AC1085" i="9" s="1"/>
  <c r="AA1086" i="9" s="1"/>
  <c r="Y1085" i="9"/>
  <c r="X1086" i="9" s="1"/>
  <c r="Z1086" i="9" l="1"/>
  <c r="AG1086" i="9"/>
  <c r="AI1086" i="9"/>
  <c r="AJ1086" i="9" s="1"/>
  <c r="AD1086" i="9"/>
  <c r="AC1086" i="9" l="1" a="1"/>
  <c r="AC1086" i="9" s="1"/>
  <c r="AA1087" i="9" s="1"/>
  <c r="AH1086" i="9"/>
  <c r="Y1086" i="9"/>
  <c r="X1087" i="9" s="1"/>
  <c r="AG1087" i="9" l="1"/>
  <c r="Z1087" i="9"/>
  <c r="AI1087" i="9"/>
  <c r="AJ1087" i="9" s="1"/>
  <c r="AD1087" i="9"/>
  <c r="AH1087" i="9" l="1"/>
  <c r="AC1087" i="9" a="1"/>
  <c r="AC1087" i="9" s="1"/>
  <c r="AA1088" i="9" s="1"/>
  <c r="Y1087" i="9"/>
  <c r="X1088" i="9" s="1"/>
  <c r="AG1088" i="9" l="1"/>
  <c r="AI1088" i="9"/>
  <c r="AJ1088" i="9" s="1"/>
  <c r="Z1088" i="9"/>
  <c r="AD1088" i="9"/>
  <c r="Y1088" i="9" l="1"/>
  <c r="X1089" i="9" s="1"/>
  <c r="AC1088" i="9" a="1"/>
  <c r="AC1088" i="9" s="1"/>
  <c r="AA1089" i="9" s="1"/>
  <c r="AH1088" i="9"/>
  <c r="AD1089" i="9" l="1"/>
  <c r="Z1089" i="9"/>
  <c r="AI1089" i="9"/>
  <c r="AJ1089" i="9" s="1"/>
  <c r="AG1089" i="9"/>
  <c r="Y1089" i="9" l="1"/>
  <c r="X1090" i="9" s="1"/>
  <c r="AC1089" i="9" a="1"/>
  <c r="AC1089" i="9" s="1"/>
  <c r="AA1090" i="9" s="1"/>
  <c r="AH1089" i="9"/>
  <c r="AD1090" i="9" l="1"/>
  <c r="AG1090" i="9"/>
  <c r="Z1090" i="9"/>
  <c r="AI1090" i="9"/>
  <c r="AJ1090" i="9" s="1"/>
  <c r="Y1090" i="9" l="1"/>
  <c r="X1091" i="9" s="1"/>
  <c r="AH1090" i="9"/>
  <c r="AC1090" i="9" a="1"/>
  <c r="AC1090" i="9" s="1"/>
  <c r="AA1091" i="9" s="1"/>
  <c r="AD1091" i="9" l="1"/>
  <c r="AI1091" i="9"/>
  <c r="AJ1091" i="9" s="1"/>
  <c r="AG1091" i="9"/>
  <c r="Z1091" i="9"/>
  <c r="Y1091" i="9" l="1"/>
  <c r="X1092" i="9" s="1"/>
  <c r="AC1091" i="9" a="1"/>
  <c r="AC1091" i="9" s="1"/>
  <c r="AA1092" i="9" s="1"/>
  <c r="AH1091" i="9"/>
  <c r="AD1092" i="9" l="1"/>
  <c r="Z1092" i="9"/>
  <c r="AI1092" i="9"/>
  <c r="AJ1092" i="9" s="1"/>
  <c r="AG1092" i="9"/>
  <c r="AH1092" i="9" l="1"/>
  <c r="AC1092" i="9" a="1"/>
  <c r="AC1092" i="9" s="1"/>
  <c r="AA1093" i="9" s="1"/>
  <c r="Y1092" i="9"/>
  <c r="X1093" i="9" s="1"/>
  <c r="Z1093" i="9" l="1"/>
  <c r="AG1093" i="9"/>
  <c r="AI1093" i="9"/>
  <c r="AJ1093" i="9" s="1"/>
  <c r="AD1093" i="9"/>
  <c r="AH1093" i="9" l="1"/>
  <c r="AC1093" i="9" a="1"/>
  <c r="AC1093" i="9" s="1"/>
  <c r="AA1094" i="9" s="1"/>
  <c r="Y1093" i="9"/>
  <c r="X1094" i="9" s="1"/>
  <c r="Z1094" i="9" l="1"/>
  <c r="AG1094" i="9"/>
  <c r="AI1094" i="9"/>
  <c r="AJ1094" i="9" s="1"/>
  <c r="AD1094" i="9"/>
  <c r="Y1094" i="9" l="1"/>
  <c r="X1095" i="9" s="1"/>
  <c r="AC1094" i="9" a="1"/>
  <c r="AC1094" i="9" s="1"/>
  <c r="AA1095" i="9" s="1"/>
  <c r="AH1094" i="9"/>
  <c r="AD1095" i="9" l="1"/>
  <c r="Z1095" i="9"/>
  <c r="AG1095" i="9"/>
  <c r="AI1095" i="9"/>
  <c r="AJ1095" i="9" s="1"/>
  <c r="AC1095" i="9" l="1" a="1"/>
  <c r="AC1095" i="9" s="1"/>
  <c r="AA1096" i="9" s="1"/>
  <c r="AH1095" i="9"/>
  <c r="Y1095" i="9"/>
  <c r="X1096" i="9" s="1"/>
  <c r="AI1096" i="9" l="1"/>
  <c r="AJ1096" i="9" s="1"/>
  <c r="Z1096" i="9"/>
  <c r="AG1096" i="9"/>
  <c r="AD1096" i="9"/>
  <c r="AC1096" i="9" l="1" a="1"/>
  <c r="AC1096" i="9" s="1"/>
  <c r="AA1097" i="9" s="1"/>
  <c r="Y1096" i="9"/>
  <c r="X1097" i="9" s="1"/>
  <c r="AH1096" i="9"/>
  <c r="AG1097" i="9" l="1"/>
  <c r="AI1097" i="9"/>
  <c r="AJ1097" i="9" s="1"/>
  <c r="Z1097" i="9"/>
  <c r="AD1097" i="9"/>
  <c r="Y1097" i="9" l="1"/>
  <c r="X1098" i="9" s="1"/>
  <c r="AH1097" i="9"/>
  <c r="AC1097" i="9" a="1"/>
  <c r="AC1097" i="9" s="1"/>
  <c r="AA1098" i="9" s="1"/>
  <c r="AD1098" i="9" l="1"/>
  <c r="AI1098" i="9"/>
  <c r="AJ1098" i="9" s="1"/>
  <c r="Z1098" i="9"/>
  <c r="AG1098" i="9"/>
  <c r="Y1098" i="9" l="1"/>
  <c r="X1099" i="9" s="1"/>
  <c r="AH1098" i="9"/>
  <c r="AC1098" i="9" a="1"/>
  <c r="AC1098" i="9" s="1"/>
  <c r="AA1099" i="9" s="1"/>
  <c r="AD1099" i="9" l="1"/>
  <c r="Z1099" i="9"/>
  <c r="AG1099" i="9"/>
  <c r="AI1099" i="9"/>
  <c r="AJ1099" i="9" s="1"/>
  <c r="AC1099" i="9" l="1" a="1"/>
  <c r="AC1099" i="9" s="1"/>
  <c r="AA1100" i="9" s="1"/>
  <c r="AH1099" i="9"/>
  <c r="Y1099" i="9"/>
  <c r="X1100" i="9" s="1"/>
  <c r="AG1100" i="9" l="1"/>
  <c r="Z1100" i="9"/>
  <c r="AI1100" i="9"/>
  <c r="AJ1100" i="9" s="1"/>
  <c r="AD1100" i="9"/>
  <c r="AC1100" i="9" l="1" a="1"/>
  <c r="AC1100" i="9" s="1"/>
  <c r="AA1101" i="9" s="1"/>
  <c r="AH1100" i="9"/>
  <c r="Y1100" i="9"/>
  <c r="X1101" i="9" s="1"/>
  <c r="AI1101" i="9" l="1"/>
  <c r="AJ1101" i="9" s="1"/>
  <c r="Z1101" i="9"/>
  <c r="AG1101" i="9"/>
  <c r="AD1101" i="9"/>
  <c r="Y1101" i="9" l="1"/>
  <c r="X1102" i="9" s="1"/>
  <c r="AC1101" i="9" a="1"/>
  <c r="AC1101" i="9" s="1"/>
  <c r="AA1102" i="9" s="1"/>
  <c r="AH1101" i="9"/>
  <c r="AD1102" i="9" l="1"/>
  <c r="AG1102" i="9"/>
  <c r="AI1102" i="9"/>
  <c r="AJ1102" i="9" s="1"/>
  <c r="Z1102" i="9"/>
  <c r="Y1102" i="9" l="1"/>
  <c r="X1103" i="9" s="1"/>
  <c r="AH1102" i="9"/>
  <c r="AC1102" i="9" a="1"/>
  <c r="AC1102" i="9" s="1"/>
  <c r="AA1103" i="9" s="1"/>
  <c r="AD1103" i="9" l="1"/>
  <c r="AI1103" i="9"/>
  <c r="AJ1103" i="9" s="1"/>
  <c r="AG1103" i="9"/>
  <c r="Z1103" i="9"/>
  <c r="AH1103" i="9" l="1"/>
  <c r="Y1103" i="9"/>
  <c r="X1104" i="9" s="1"/>
  <c r="AC1103" i="9" a="1"/>
  <c r="AC1103" i="9" s="1"/>
  <c r="AA1104" i="9" s="1"/>
  <c r="AD1104" i="9" l="1"/>
  <c r="Z1104" i="9"/>
  <c r="AG1104" i="9"/>
  <c r="AI1104" i="9"/>
  <c r="AJ1104" i="9" s="1"/>
  <c r="AH1104" i="9" l="1"/>
  <c r="Y1104" i="9"/>
  <c r="X1105" i="9" s="1"/>
  <c r="AC1104" i="9" a="1"/>
  <c r="AC1104" i="9" s="1"/>
  <c r="AA1105" i="9" s="1"/>
  <c r="AD1105" i="9" l="1"/>
  <c r="AG1105" i="9"/>
  <c r="Z1105" i="9"/>
  <c r="AI1105" i="9"/>
  <c r="AJ1105" i="9" s="1"/>
  <c r="AC1105" i="9" l="1" a="1"/>
  <c r="AC1105" i="9" s="1"/>
  <c r="AA1106" i="9" s="1"/>
  <c r="Y1105" i="9"/>
  <c r="X1106" i="9" s="1"/>
  <c r="AH1105" i="9"/>
  <c r="AG1106" i="9" l="1"/>
  <c r="Z1106" i="9"/>
  <c r="AI1106" i="9"/>
  <c r="AJ1106" i="9" s="1"/>
  <c r="AD1106" i="9"/>
  <c r="Y1106" i="9" l="1"/>
  <c r="X1107" i="9" s="1"/>
  <c r="AH1106" i="9"/>
  <c r="AC1106" i="9" a="1"/>
  <c r="AC1106" i="9" s="1"/>
  <c r="AA1107" i="9" s="1"/>
  <c r="AD1107" i="9" l="1"/>
  <c r="AI1107" i="9"/>
  <c r="AJ1107" i="9" s="1"/>
  <c r="Z1107" i="9"/>
  <c r="AG1107" i="9"/>
  <c r="Y1107" i="9" l="1"/>
  <c r="X1108" i="9" s="1"/>
  <c r="AC1107" i="9" a="1"/>
  <c r="AC1107" i="9" s="1"/>
  <c r="AA1108" i="9" s="1"/>
  <c r="AH1107" i="9"/>
  <c r="AD1108" i="9" l="1"/>
  <c r="AG1108" i="9"/>
  <c r="Z1108" i="9"/>
  <c r="AI1108" i="9"/>
  <c r="AJ1108" i="9" s="1"/>
  <c r="AC1108" i="9" l="1" a="1"/>
  <c r="AC1108" i="9" s="1"/>
  <c r="AA1109" i="9" s="1"/>
  <c r="Y1108" i="9"/>
  <c r="X1109" i="9" s="1"/>
  <c r="AH1108" i="9"/>
  <c r="AI1109" i="9" l="1"/>
  <c r="AJ1109" i="9" s="1"/>
  <c r="Z1109" i="9"/>
  <c r="AG1109" i="9"/>
  <c r="AD1109" i="9"/>
  <c r="Y1109" i="9" l="1"/>
  <c r="X1110" i="9" s="1"/>
  <c r="AH1109" i="9"/>
  <c r="AC1109" i="9" a="1"/>
  <c r="AC1109" i="9" s="1"/>
  <c r="AA1110" i="9" s="1"/>
  <c r="AD1110" i="9" l="1"/>
  <c r="AG1110" i="9"/>
  <c r="Z1110" i="9"/>
  <c r="AI1110" i="9"/>
  <c r="AJ1110" i="9" s="1"/>
  <c r="Y1110" i="9" l="1"/>
  <c r="X1111" i="9" s="1"/>
  <c r="AC1110" i="9" a="1"/>
  <c r="AC1110" i="9" s="1"/>
  <c r="AA1111" i="9" s="1"/>
  <c r="AH1110" i="9"/>
  <c r="AD1111" i="9" l="1"/>
  <c r="AG1111" i="9"/>
  <c r="Z1111" i="9"/>
  <c r="AI1111" i="9"/>
  <c r="AJ1111" i="9" s="1"/>
  <c r="AH1111" i="9" l="1"/>
  <c r="Y1111" i="9"/>
  <c r="X1112" i="9" s="1"/>
  <c r="AC1111" i="9" a="1"/>
  <c r="AC1111" i="9" s="1"/>
  <c r="AA1112" i="9" s="1"/>
  <c r="AD1112" i="9" l="1"/>
  <c r="AG1112" i="9"/>
  <c r="Z1112" i="9"/>
  <c r="AI1112" i="9"/>
  <c r="AJ1112" i="9" s="1"/>
  <c r="AH1112" i="9" l="1"/>
  <c r="Y1112" i="9"/>
  <c r="X1113" i="9" s="1"/>
  <c r="AC1112" i="9" a="1"/>
  <c r="AC1112" i="9" s="1"/>
  <c r="AA1113" i="9" s="1"/>
  <c r="AD1113" i="9" l="1"/>
  <c r="Z1113" i="9"/>
  <c r="AI1113" i="9"/>
  <c r="AJ1113" i="9" s="1"/>
  <c r="AG1113" i="9"/>
  <c r="Y1113" i="9" l="1"/>
  <c r="X1114" i="9" s="1"/>
  <c r="AC1113" i="9" a="1"/>
  <c r="AC1113" i="9" s="1"/>
  <c r="AA1114" i="9" s="1"/>
  <c r="AH1113" i="9"/>
  <c r="AD1114" i="9" l="1"/>
  <c r="Z1114" i="9"/>
  <c r="AI1114" i="9"/>
  <c r="AJ1114" i="9" s="1"/>
  <c r="AG1114" i="9"/>
  <c r="AH1114" i="9" l="1"/>
  <c r="AC1114" i="9" a="1"/>
  <c r="AC1114" i="9" s="1"/>
  <c r="AA1115" i="9" s="1"/>
  <c r="Y1114" i="9"/>
  <c r="X1115" i="9" s="1"/>
  <c r="AI1115" i="9" l="1"/>
  <c r="AJ1115" i="9" s="1"/>
  <c r="AG1115" i="9"/>
  <c r="Z1115" i="9"/>
  <c r="AD1115" i="9"/>
  <c r="Y1115" i="9" l="1"/>
  <c r="X1116" i="9" s="1"/>
  <c r="AH1115" i="9"/>
  <c r="AC1115" i="9" a="1"/>
  <c r="AC1115" i="9" s="1"/>
  <c r="AA1116" i="9" s="1"/>
  <c r="AD1116" i="9" l="1"/>
  <c r="AG1116" i="9"/>
  <c r="Z1116" i="9"/>
  <c r="AI1116" i="9"/>
  <c r="AJ1116" i="9" s="1"/>
  <c r="AC1116" i="9" l="1" a="1"/>
  <c r="AC1116" i="9" s="1"/>
  <c r="AA1117" i="9" s="1"/>
  <c r="AH1116" i="9"/>
  <c r="Y1116" i="9"/>
  <c r="X1117" i="9" s="1"/>
  <c r="Z1117" i="9" l="1"/>
  <c r="AI1117" i="9"/>
  <c r="AJ1117" i="9" s="1"/>
  <c r="AG1117" i="9"/>
  <c r="AD1117" i="9"/>
  <c r="Y1117" i="9" l="1"/>
  <c r="X1118" i="9" s="1"/>
  <c r="AH1117" i="9"/>
  <c r="AC1117" i="9" a="1"/>
  <c r="AC1117" i="9" s="1"/>
  <c r="AA1118" i="9" s="1"/>
  <c r="AD1118" i="9" l="1"/>
  <c r="Z1118" i="9"/>
  <c r="AI1118" i="9"/>
  <c r="AJ1118" i="9" s="1"/>
  <c r="AG1118" i="9"/>
  <c r="Y1118" i="9" l="1"/>
  <c r="X1119" i="9" s="1"/>
  <c r="AC1118" i="9" a="1"/>
  <c r="AC1118" i="9" s="1"/>
  <c r="AA1119" i="9" s="1"/>
  <c r="AH1118" i="9"/>
  <c r="AD1119" i="9" l="1"/>
  <c r="Z1119" i="9"/>
  <c r="AG1119" i="9"/>
  <c r="AI1119" i="9"/>
  <c r="AJ1119" i="9" s="1"/>
  <c r="Y1119" i="9" l="1"/>
  <c r="X1120" i="9" s="1"/>
  <c r="AH1119" i="9"/>
  <c r="AC1119" i="9" a="1"/>
  <c r="AC1119" i="9" s="1"/>
  <c r="AA1120" i="9" s="1"/>
  <c r="AD1120" i="9" l="1"/>
  <c r="AG1120" i="9"/>
  <c r="Z1120" i="9"/>
  <c r="AI1120" i="9"/>
  <c r="AJ1120" i="9" s="1"/>
  <c r="Y1120" i="9" l="1"/>
  <c r="X1121" i="9" s="1"/>
  <c r="AC1120" i="9" a="1"/>
  <c r="AC1120" i="9" s="1"/>
  <c r="AA1121" i="9" s="1"/>
  <c r="AH1120" i="9"/>
  <c r="AD1121" i="9" l="1"/>
  <c r="AG1121" i="9"/>
  <c r="Z1121" i="9"/>
  <c r="AI1121" i="9"/>
  <c r="AJ1121" i="9" s="1"/>
  <c r="AH1121" i="9" l="1"/>
  <c r="Y1121" i="9"/>
  <c r="X1122" i="9" s="1"/>
  <c r="AC1121" i="9" a="1"/>
  <c r="AC1121" i="9" s="1"/>
  <c r="AA1122" i="9" s="1"/>
  <c r="AD1122" i="9" l="1"/>
  <c r="AI1122" i="9"/>
  <c r="AJ1122" i="9" s="1"/>
  <c r="Z1122" i="9"/>
  <c r="AG1122" i="9"/>
  <c r="Y1122" i="9" l="1"/>
  <c r="X1123" i="9" s="1"/>
  <c r="AH1122" i="9"/>
  <c r="AC1122" i="9" a="1"/>
  <c r="AC1122" i="9" s="1"/>
  <c r="AA1123" i="9" s="1"/>
  <c r="AD1123" i="9" l="1"/>
  <c r="Z1123" i="9"/>
  <c r="AI1123" i="9"/>
  <c r="AJ1123" i="9" s="1"/>
  <c r="AG1123" i="9"/>
  <c r="AC1123" i="9" l="1" a="1"/>
  <c r="AC1123" i="9" s="1"/>
  <c r="AA1124" i="9" s="1"/>
  <c r="Y1123" i="9"/>
  <c r="X1124" i="9" s="1"/>
  <c r="AH1123" i="9"/>
  <c r="AI1124" i="9" l="1"/>
  <c r="AJ1124" i="9" s="1"/>
  <c r="Z1124" i="9"/>
  <c r="AG1124" i="9"/>
  <c r="AD1124" i="9"/>
  <c r="AH1124" i="9" l="1"/>
  <c r="AC1124" i="9" a="1"/>
  <c r="AC1124" i="9" s="1"/>
  <c r="AA1125" i="9" s="1"/>
  <c r="Y1124" i="9"/>
  <c r="X1125" i="9" s="1"/>
  <c r="Z1125" i="9" l="1"/>
  <c r="AG1125" i="9"/>
  <c r="AI1125" i="9"/>
  <c r="AJ1125" i="9" s="1"/>
  <c r="AD1125" i="9"/>
  <c r="Y1125" i="9" l="1"/>
  <c r="X1126" i="9" s="1"/>
  <c r="AC1125" i="9" a="1"/>
  <c r="AC1125" i="9" s="1"/>
  <c r="AA1126" i="9" s="1"/>
  <c r="AH1125" i="9"/>
  <c r="AD1126" i="9" l="1"/>
  <c r="Z1126" i="9"/>
  <c r="AI1126" i="9"/>
  <c r="AJ1126" i="9" s="1"/>
  <c r="AG1126" i="9"/>
  <c r="AH1126" i="9" l="1"/>
  <c r="Y1126" i="9"/>
  <c r="X1127" i="9" s="1"/>
  <c r="AC1126" i="9" a="1"/>
  <c r="AC1126" i="9" s="1"/>
  <c r="AA1127" i="9" s="1"/>
  <c r="AD1127" i="9" l="1"/>
  <c r="AI1127" i="9"/>
  <c r="AJ1127" i="9" s="1"/>
  <c r="Z1127" i="9"/>
  <c r="AG1127" i="9"/>
  <c r="AH1127" i="9" l="1"/>
  <c r="AC1127" i="9" a="1"/>
  <c r="AC1127" i="9" s="1"/>
  <c r="AA1128" i="9" s="1"/>
  <c r="Y1127" i="9"/>
  <c r="X1128" i="9" s="1"/>
  <c r="AI1128" i="9" l="1"/>
  <c r="AJ1128" i="9" s="1"/>
  <c r="AG1128" i="9"/>
  <c r="Z1128" i="9"/>
  <c r="AD1128" i="9"/>
  <c r="Y1128" i="9" l="1"/>
  <c r="X1129" i="9" s="1"/>
  <c r="AH1128" i="9"/>
  <c r="AC1128" i="9" a="1"/>
  <c r="AC1128" i="9" s="1"/>
  <c r="AA1129" i="9" s="1"/>
  <c r="AD1129" i="9" l="1"/>
  <c r="AI1129" i="9"/>
  <c r="AJ1129" i="9" s="1"/>
  <c r="Z1129" i="9"/>
  <c r="AG1129" i="9"/>
  <c r="AH1129" i="9" l="1"/>
  <c r="Y1129" i="9"/>
  <c r="X1130" i="9" s="1"/>
  <c r="AC1129" i="9" a="1"/>
  <c r="AC1129" i="9" s="1"/>
  <c r="AA1130" i="9" s="1"/>
  <c r="AD1130" i="9" l="1"/>
  <c r="AI1130" i="9"/>
  <c r="AJ1130" i="9" s="1"/>
  <c r="AG1130" i="9"/>
  <c r="Z1130" i="9"/>
  <c r="AH1130" i="9" l="1"/>
  <c r="AC1130" i="9" a="1"/>
  <c r="AC1130" i="9" s="1"/>
  <c r="AA1131" i="9" s="1"/>
  <c r="Y1130" i="9"/>
  <c r="X1131" i="9" s="1"/>
  <c r="AG1131" i="9" l="1"/>
  <c r="Z1131" i="9"/>
  <c r="AI1131" i="9"/>
  <c r="AJ1131" i="9" s="1"/>
  <c r="AD1131" i="9"/>
  <c r="AH1131" i="9" l="1"/>
  <c r="Y1131" i="9"/>
  <c r="X1132" i="9" s="1"/>
  <c r="AC1131" i="9" a="1"/>
  <c r="AC1131" i="9" s="1"/>
  <c r="AA1132" i="9" s="1"/>
  <c r="AD1132" i="9" l="1"/>
  <c r="AG1132" i="9"/>
  <c r="Z1132" i="9"/>
  <c r="AI1132" i="9"/>
  <c r="AJ1132" i="9" s="1"/>
  <c r="AC1132" i="9" l="1" a="1"/>
  <c r="AC1132" i="9" s="1"/>
  <c r="AA1133" i="9" s="1"/>
  <c r="AH1132" i="9"/>
  <c r="Y1132" i="9"/>
  <c r="X1133" i="9" s="1"/>
  <c r="Z1133" i="9" l="1"/>
  <c r="AI1133" i="9"/>
  <c r="AJ1133" i="9" s="1"/>
  <c r="AG1133" i="9"/>
  <c r="AD1133" i="9"/>
  <c r="AC1133" i="9" l="1" a="1"/>
  <c r="AC1133" i="9" s="1"/>
  <c r="AA1134" i="9" s="1"/>
  <c r="AH1133" i="9"/>
  <c r="Y1133" i="9"/>
  <c r="X1134" i="9" s="1"/>
  <c r="AG1134" i="9" l="1"/>
  <c r="Z1134" i="9"/>
  <c r="AI1134" i="9"/>
  <c r="AJ1134" i="9" s="1"/>
  <c r="AD1134" i="9"/>
  <c r="AC1134" i="9" l="1" a="1"/>
  <c r="AC1134" i="9" s="1"/>
  <c r="AA1135" i="9" s="1"/>
  <c r="Y1134" i="9"/>
  <c r="X1135" i="9" s="1"/>
  <c r="AH1134" i="9"/>
  <c r="AI1135" i="9" l="1"/>
  <c r="AJ1135" i="9" s="1"/>
  <c r="AG1135" i="9"/>
  <c r="Z1135" i="9"/>
  <c r="AD1135" i="9"/>
  <c r="AC1135" i="9" l="1" a="1"/>
  <c r="AC1135" i="9" s="1"/>
  <c r="AA1136" i="9" s="1"/>
  <c r="AH1135" i="9"/>
  <c r="Y1135" i="9"/>
  <c r="X1136" i="9" s="1"/>
  <c r="AI1136" i="9" l="1"/>
  <c r="AJ1136" i="9" s="1"/>
  <c r="AG1136" i="9"/>
  <c r="Z1136" i="9"/>
  <c r="AD1136" i="9"/>
  <c r="Y1136" i="9" l="1"/>
  <c r="X1137" i="9" s="1"/>
  <c r="AC1136" i="9" a="1"/>
  <c r="AC1136" i="9" s="1"/>
  <c r="AA1137" i="9" s="1"/>
  <c r="AH1136" i="9"/>
  <c r="AD1137" i="9" l="1"/>
  <c r="Z1137" i="9"/>
  <c r="AG1137" i="9"/>
  <c r="AI1137" i="9"/>
  <c r="AJ1137" i="9" s="1"/>
  <c r="AC1137" i="9" l="1" a="1"/>
  <c r="AC1137" i="9" s="1"/>
  <c r="AA1138" i="9" s="1"/>
  <c r="Y1137" i="9"/>
  <c r="X1138" i="9" s="1"/>
  <c r="AH1137" i="9"/>
  <c r="AG1138" i="9" l="1"/>
  <c r="AI1138" i="9"/>
  <c r="AJ1138" i="9" s="1"/>
  <c r="Z1138" i="9"/>
  <c r="AD1138" i="9"/>
  <c r="Y1138" i="9" l="1"/>
  <c r="X1139" i="9" s="1"/>
  <c r="AC1138" i="9" a="1"/>
  <c r="AC1138" i="9" s="1"/>
  <c r="AA1139" i="9" s="1"/>
  <c r="AH1138" i="9"/>
  <c r="AD1139" i="9" l="1"/>
  <c r="Z1139" i="9"/>
  <c r="AI1139" i="9"/>
  <c r="AJ1139" i="9" s="1"/>
  <c r="AG1139" i="9"/>
  <c r="AC1139" i="9" l="1" a="1"/>
  <c r="AC1139" i="9" s="1"/>
  <c r="AA1140" i="9" s="1"/>
  <c r="AH1139" i="9"/>
  <c r="Y1139" i="9"/>
  <c r="X1140" i="9" s="1"/>
  <c r="Z1140" i="9" l="1"/>
  <c r="AI1140" i="9"/>
  <c r="AJ1140" i="9" s="1"/>
  <c r="AG1140" i="9"/>
  <c r="AD1140" i="9"/>
  <c r="AC1140" i="9" l="1" a="1"/>
  <c r="AC1140" i="9" s="1"/>
  <c r="AA1141" i="9" s="1"/>
  <c r="Y1140" i="9"/>
  <c r="X1141" i="9" s="1"/>
  <c r="AH1140" i="9"/>
  <c r="AG1141" i="9" l="1"/>
  <c r="Z1141" i="9"/>
  <c r="AI1141" i="9"/>
  <c r="AJ1141" i="9" s="1"/>
  <c r="AD1141" i="9"/>
  <c r="AH1141" i="9" l="1"/>
  <c r="Y1141" i="9"/>
  <c r="X1142" i="9" s="1"/>
  <c r="AC1141" i="9" a="1"/>
  <c r="AC1141" i="9" s="1"/>
  <c r="AA1142" i="9" s="1"/>
  <c r="AD1142" i="9" l="1"/>
  <c r="AG1142" i="9"/>
  <c r="Z1142" i="9"/>
  <c r="AI1142" i="9"/>
  <c r="AJ1142" i="9" s="1"/>
  <c r="AC1142" i="9" l="1" a="1"/>
  <c r="AC1142" i="9" s="1"/>
  <c r="AA1143" i="9" s="1"/>
  <c r="Y1142" i="9"/>
  <c r="X1143" i="9" s="1"/>
  <c r="AH1142" i="9"/>
  <c r="AG1143" i="9" l="1"/>
  <c r="Z1143" i="9"/>
  <c r="AI1143" i="9"/>
  <c r="AJ1143" i="9" s="1"/>
  <c r="AD1143" i="9"/>
  <c r="Y1143" i="9" l="1"/>
  <c r="X1144" i="9" s="1"/>
  <c r="AH1143" i="9"/>
  <c r="AC1143" i="9" a="1"/>
  <c r="AC1143" i="9" s="1"/>
  <c r="AA1144" i="9" s="1"/>
  <c r="AD1144" i="9" l="1"/>
  <c r="Z1144" i="9"/>
  <c r="AI1144" i="9"/>
  <c r="AJ1144" i="9" s="1"/>
  <c r="AG1144" i="9"/>
  <c r="Y1144" i="9" l="1"/>
  <c r="X1145" i="9" s="1"/>
  <c r="AH1144" i="9"/>
  <c r="AC1144" i="9" a="1"/>
  <c r="AC1144" i="9" s="1"/>
  <c r="AA1145" i="9" s="1"/>
  <c r="AD1145" i="9" l="1"/>
  <c r="Z1145" i="9"/>
  <c r="AI1145" i="9"/>
  <c r="AJ1145" i="9" s="1"/>
  <c r="AG1145" i="9"/>
  <c r="AH1145" i="9" l="1"/>
  <c r="Y1145" i="9"/>
  <c r="X1146" i="9" s="1"/>
  <c r="AC1145" i="9" a="1"/>
  <c r="AC1145" i="9" s="1"/>
  <c r="AA1146" i="9" s="1"/>
  <c r="AD1146" i="9" l="1"/>
  <c r="Z1146" i="9"/>
  <c r="AI1146" i="9"/>
  <c r="AJ1146" i="9" s="1"/>
  <c r="AG1146" i="9"/>
  <c r="AH1146" i="9" l="1"/>
  <c r="AC1146" i="9" a="1"/>
  <c r="AC1146" i="9" s="1"/>
  <c r="AA1147" i="9" s="1"/>
  <c r="Y1146" i="9"/>
  <c r="X1147" i="9" s="1"/>
  <c r="Z1147" i="9" l="1"/>
  <c r="AG1147" i="9"/>
  <c r="AI1147" i="9"/>
  <c r="AJ1147" i="9" s="1"/>
  <c r="AD1147" i="9"/>
  <c r="AC1147" i="9" l="1" a="1"/>
  <c r="AC1147" i="9" s="1"/>
  <c r="AA1148" i="9" s="1"/>
  <c r="AH1147" i="9"/>
  <c r="Y1147" i="9"/>
  <c r="X1148" i="9" s="1"/>
  <c r="Z1148" i="9" l="1"/>
  <c r="AI1148" i="9"/>
  <c r="AJ1148" i="9" s="1"/>
  <c r="AG1148" i="9"/>
  <c r="AD1148" i="9"/>
  <c r="Y1148" i="9" l="1"/>
  <c r="X1149" i="9" s="1"/>
  <c r="AC1148" i="9" a="1"/>
  <c r="AC1148" i="9" s="1"/>
  <c r="AA1149" i="9" s="1"/>
  <c r="AH1148" i="9"/>
  <c r="AD1149" i="9" l="1"/>
  <c r="AI1149" i="9"/>
  <c r="AJ1149" i="9" s="1"/>
  <c r="AG1149" i="9"/>
  <c r="Z1149" i="9"/>
  <c r="Y1149" i="9" l="1"/>
  <c r="X1150" i="9" s="1"/>
  <c r="AH1149" i="9"/>
  <c r="AC1149" i="9" a="1"/>
  <c r="AC1149" i="9" s="1"/>
  <c r="AA1150" i="9" s="1"/>
  <c r="AD1150" i="9" l="1"/>
  <c r="Z1150" i="9"/>
  <c r="AG1150" i="9"/>
  <c r="AI1150" i="9"/>
  <c r="AJ1150" i="9" s="1"/>
  <c r="AC1150" i="9" l="1" a="1"/>
  <c r="AC1150" i="9" s="1"/>
  <c r="AA1151" i="9" s="1"/>
  <c r="Y1150" i="9"/>
  <c r="X1151" i="9" s="1"/>
  <c r="AH1150" i="9"/>
  <c r="Z1151" i="9" l="1"/>
  <c r="AG1151" i="9"/>
  <c r="AI1151" i="9"/>
  <c r="AJ1151" i="9" s="1"/>
  <c r="AD1151" i="9"/>
  <c r="AH1151" i="9" l="1"/>
  <c r="AC1151" i="9" a="1"/>
  <c r="AC1151" i="9" s="1"/>
  <c r="AA1152" i="9" s="1"/>
  <c r="Y1151" i="9"/>
  <c r="X1152" i="9" s="1"/>
  <c r="Z1152" i="9" l="1"/>
  <c r="AG1152" i="9"/>
  <c r="AI1152" i="9"/>
  <c r="AJ1152" i="9" s="1"/>
  <c r="AD1152" i="9"/>
  <c r="AC1152" i="9" l="1" a="1"/>
  <c r="AC1152" i="9" s="1"/>
  <c r="AA1153" i="9" s="1"/>
  <c r="Y1152" i="9"/>
  <c r="X1153" i="9" s="1"/>
  <c r="AH1152" i="9"/>
  <c r="AG1153" i="9" l="1"/>
  <c r="AI1153" i="9"/>
  <c r="AJ1153" i="9" s="1"/>
  <c r="Z1153" i="9"/>
  <c r="AD1153" i="9"/>
  <c r="Y1153" i="9" l="1"/>
  <c r="X1154" i="9" s="1"/>
  <c r="AH1153" i="9"/>
  <c r="AC1153" i="9" a="1"/>
  <c r="AC1153" i="9" s="1"/>
  <c r="AA1154" i="9" s="1"/>
  <c r="AD1154" i="9" l="1"/>
  <c r="Z1154" i="9"/>
  <c r="AG1154" i="9"/>
  <c r="AI1154" i="9"/>
  <c r="AJ1154" i="9" s="1"/>
  <c r="AC1154" i="9" l="1" a="1"/>
  <c r="AC1154" i="9" s="1"/>
  <c r="AA1155" i="9" s="1"/>
  <c r="AH1154" i="9"/>
  <c r="Y1154" i="9"/>
  <c r="X1155" i="9" s="1"/>
  <c r="AI1155" i="9" l="1"/>
  <c r="AJ1155" i="9" s="1"/>
  <c r="AG1155" i="9"/>
  <c r="Z1155" i="9"/>
  <c r="AD1155" i="9"/>
  <c r="AC1155" i="9" l="1" a="1"/>
  <c r="AC1155" i="9" s="1"/>
  <c r="AA1156" i="9" s="1"/>
  <c r="Y1155" i="9"/>
  <c r="X1156" i="9" s="1"/>
  <c r="AH1155" i="9"/>
  <c r="AG1156" i="9" l="1"/>
  <c r="AI1156" i="9"/>
  <c r="AJ1156" i="9" s="1"/>
  <c r="Z1156" i="9"/>
  <c r="AD1156" i="9"/>
  <c r="Y1156" i="9" l="1"/>
  <c r="X1157" i="9" s="1"/>
  <c r="AC1156" i="9" a="1"/>
  <c r="AC1156" i="9" s="1"/>
  <c r="AA1157" i="9" s="1"/>
  <c r="AH1156" i="9"/>
  <c r="AD1157" i="9" l="1"/>
  <c r="AG1157" i="9"/>
  <c r="AI1157" i="9"/>
  <c r="AJ1157" i="9" s="1"/>
  <c r="Z1157" i="9"/>
  <c r="AH1157" i="9" l="1"/>
  <c r="AC1157" i="9" a="1"/>
  <c r="AC1157" i="9" s="1"/>
  <c r="AA1158" i="9" s="1"/>
  <c r="Y1157" i="9"/>
  <c r="X1158" i="9" s="1"/>
  <c r="AI1158" i="9" l="1"/>
  <c r="AJ1158" i="9" s="1"/>
  <c r="AG1158" i="9"/>
  <c r="Z1158" i="9"/>
  <c r="AD1158" i="9"/>
  <c r="Y1158" i="9" l="1"/>
  <c r="X1159" i="9" s="1"/>
  <c r="AC1158" i="9" a="1"/>
  <c r="AC1158" i="9" s="1"/>
  <c r="AA1159" i="9" s="1"/>
  <c r="AH1158" i="9"/>
  <c r="AD1159" i="9" l="1"/>
  <c r="AG1159" i="9"/>
  <c r="Z1159" i="9"/>
  <c r="AI1159" i="9"/>
  <c r="AJ1159" i="9" s="1"/>
  <c r="Y1159" i="9" l="1"/>
  <c r="X1160" i="9" s="1"/>
  <c r="AH1159" i="9"/>
  <c r="AC1159" i="9" a="1"/>
  <c r="AC1159" i="9" s="1"/>
  <c r="AA1160" i="9" s="1"/>
  <c r="AD1160" i="9" l="1"/>
  <c r="AI1160" i="9"/>
  <c r="AJ1160" i="9" s="1"/>
  <c r="Z1160" i="9"/>
  <c r="AG1160" i="9"/>
  <c r="Y1160" i="9" l="1"/>
  <c r="X1161" i="9" s="1"/>
  <c r="AC1160" i="9" a="1"/>
  <c r="AC1160" i="9" s="1"/>
  <c r="AA1161" i="9" s="1"/>
  <c r="AH1160" i="9"/>
  <c r="AD1161" i="9" l="1"/>
  <c r="Z1161" i="9"/>
  <c r="AI1161" i="9"/>
  <c r="AJ1161" i="9" s="1"/>
  <c r="AG1161" i="9"/>
  <c r="Y1161" i="9" l="1"/>
  <c r="X1162" i="9" s="1"/>
  <c r="AH1161" i="9"/>
  <c r="AC1161" i="9" a="1"/>
  <c r="AC1161" i="9" s="1"/>
  <c r="AA1162" i="9" s="1"/>
  <c r="AD1162" i="9" l="1"/>
  <c r="AG1162" i="9"/>
  <c r="Z1162" i="9"/>
  <c r="AI1162" i="9"/>
  <c r="AJ1162" i="9" s="1"/>
  <c r="Y1162" i="9" l="1"/>
  <c r="X1163" i="9" s="1"/>
  <c r="AC1162" i="9" a="1"/>
  <c r="AC1162" i="9" s="1"/>
  <c r="AA1163" i="9" s="1"/>
  <c r="AH1162" i="9"/>
  <c r="AD1163" i="9" l="1"/>
  <c r="AI1163" i="9"/>
  <c r="AJ1163" i="9" s="1"/>
  <c r="Z1163" i="9"/>
  <c r="AG1163" i="9"/>
  <c r="Y1163" i="9" l="1"/>
  <c r="X1164" i="9" s="1"/>
  <c r="AH1163" i="9"/>
  <c r="AC1163" i="9" a="1"/>
  <c r="AC1163" i="9" s="1"/>
  <c r="AA1164" i="9" s="1"/>
  <c r="AD1164" i="9" l="1"/>
  <c r="Z1164" i="9"/>
  <c r="AG1164" i="9"/>
  <c r="AI1164" i="9"/>
  <c r="AJ1164" i="9" s="1"/>
  <c r="AC1164" i="9" l="1" a="1"/>
  <c r="AC1164" i="9" s="1"/>
  <c r="AA1165" i="9" s="1"/>
  <c r="AH1164" i="9"/>
  <c r="Y1164" i="9"/>
  <c r="X1165" i="9" s="1"/>
  <c r="AG1165" i="9" l="1"/>
  <c r="AI1165" i="9"/>
  <c r="AJ1165" i="9" s="1"/>
  <c r="Z1165" i="9"/>
  <c r="AD1165" i="9"/>
  <c r="AH1165" i="9" l="1"/>
  <c r="AC1165" i="9" a="1"/>
  <c r="AC1165" i="9" s="1"/>
  <c r="AA1166" i="9" s="1"/>
  <c r="Y1165" i="9"/>
  <c r="X1166" i="9" s="1"/>
  <c r="AI1166" i="9" l="1"/>
  <c r="AJ1166" i="9" s="1"/>
  <c r="AG1166" i="9"/>
  <c r="Z1166" i="9"/>
  <c r="AD1166" i="9"/>
  <c r="Y1166" i="9" l="1"/>
  <c r="X1167" i="9" s="1"/>
  <c r="AH1166" i="9"/>
  <c r="AC1166" i="9" a="1"/>
  <c r="AC1166" i="9" s="1"/>
  <c r="AA1167" i="9" s="1"/>
  <c r="AD1167" i="9" l="1"/>
  <c r="AG1167" i="9"/>
  <c r="AI1167" i="9"/>
  <c r="AJ1167" i="9" s="1"/>
  <c r="Z1167" i="9"/>
  <c r="AC1167" i="9" l="1" a="1"/>
  <c r="AC1167" i="9" s="1"/>
  <c r="AA1168" i="9" s="1"/>
  <c r="AH1167" i="9"/>
  <c r="Y1167" i="9"/>
  <c r="X1168" i="9" s="1"/>
  <c r="Z1168" i="9" l="1"/>
  <c r="AI1168" i="9"/>
  <c r="AJ1168" i="9" s="1"/>
  <c r="AG1168" i="9"/>
  <c r="AD1168" i="9"/>
  <c r="AH1168" i="9" l="1"/>
  <c r="Y1168" i="9"/>
  <c r="X1169" i="9" s="1"/>
  <c r="AC1168" i="9" a="1"/>
  <c r="AC1168" i="9" s="1"/>
  <c r="AA1169" i="9" s="1"/>
  <c r="AD1169" i="9" l="1"/>
  <c r="Z1169" i="9"/>
  <c r="AG1169" i="9"/>
  <c r="AI1169" i="9"/>
  <c r="AJ1169" i="9" s="1"/>
  <c r="AH1169" i="9" l="1"/>
  <c r="Y1169" i="9"/>
  <c r="X1170" i="9" s="1"/>
  <c r="AC1169" i="9" a="1"/>
  <c r="AC1169" i="9" s="1"/>
  <c r="AA1170" i="9" s="1"/>
  <c r="AD1170" i="9" l="1"/>
  <c r="AG1170" i="9"/>
  <c r="AI1170" i="9"/>
  <c r="AJ1170" i="9" s="1"/>
  <c r="Z1170" i="9"/>
  <c r="AC1170" i="9" l="1" a="1"/>
  <c r="AC1170" i="9" s="1"/>
  <c r="AA1171" i="9" s="1"/>
  <c r="Y1170" i="9"/>
  <c r="X1171" i="9" s="1"/>
  <c r="AH1170" i="9"/>
  <c r="Z1171" i="9" l="1"/>
  <c r="AI1171" i="9"/>
  <c r="AJ1171" i="9" s="1"/>
  <c r="AG1171" i="9"/>
  <c r="AD1171" i="9"/>
  <c r="AH1171" i="9" l="1"/>
  <c r="AC1171" i="9" a="1"/>
  <c r="AC1171" i="9" s="1"/>
  <c r="AA1172" i="9" s="1"/>
  <c r="Y1171" i="9"/>
  <c r="X1172" i="9" s="1"/>
  <c r="AG1172" i="9" l="1"/>
  <c r="Z1172" i="9"/>
  <c r="AI1172" i="9"/>
  <c r="AJ1172" i="9" s="1"/>
  <c r="AD1172" i="9"/>
  <c r="Y1172" i="9" l="1"/>
  <c r="X1173" i="9" s="1"/>
  <c r="AC1172" i="9" a="1"/>
  <c r="AC1172" i="9" s="1"/>
  <c r="AA1173" i="9" s="1"/>
  <c r="AH1172" i="9"/>
  <c r="AD1173" i="9" l="1"/>
  <c r="AG1173" i="9"/>
  <c r="Z1173" i="9"/>
  <c r="AI1173" i="9"/>
  <c r="AJ1173" i="9" s="1"/>
  <c r="AH1173" i="9" l="1"/>
  <c r="AC1173" i="9" a="1"/>
  <c r="AC1173" i="9" s="1"/>
  <c r="AA1174" i="9" s="1"/>
  <c r="Y1173" i="9"/>
  <c r="X1174" i="9" s="1"/>
  <c r="AI1174" i="9" l="1"/>
  <c r="AJ1174" i="9" s="1"/>
  <c r="Z1174" i="9"/>
  <c r="AG1174" i="9"/>
  <c r="AD1174" i="9"/>
  <c r="Y1174" i="9" l="1"/>
  <c r="X1175" i="9" s="1"/>
  <c r="AH1174" i="9"/>
  <c r="AC1174" i="9" a="1"/>
  <c r="AC1174" i="9" s="1"/>
  <c r="AA1175" i="9" s="1"/>
  <c r="AD1175" i="9" l="1"/>
  <c r="Z1175" i="9"/>
  <c r="AG1175" i="9"/>
  <c r="AI1175" i="9"/>
  <c r="AJ1175" i="9" s="1"/>
  <c r="Y1175" i="9" l="1"/>
  <c r="X1176" i="9" s="1"/>
  <c r="AH1175" i="9"/>
  <c r="AC1175" i="9" a="1"/>
  <c r="AC1175" i="9" s="1"/>
  <c r="AA1176" i="9" s="1"/>
  <c r="AD1176" i="9" l="1"/>
  <c r="AI1176" i="9"/>
  <c r="AJ1176" i="9" s="1"/>
  <c r="AG1176" i="9"/>
  <c r="Z1176" i="9"/>
  <c r="AC1176" i="9" l="1" a="1"/>
  <c r="AC1176" i="9" s="1"/>
  <c r="AA1177" i="9" s="1"/>
  <c r="Y1176" i="9"/>
  <c r="X1177" i="9" s="1"/>
  <c r="AH1176" i="9"/>
  <c r="AI1177" i="9" l="1"/>
  <c r="AJ1177" i="9" s="1"/>
  <c r="Z1177" i="9"/>
  <c r="AG1177" i="9"/>
  <c r="AD1177" i="9"/>
  <c r="AC1177" i="9" l="1" a="1"/>
  <c r="AC1177" i="9" s="1"/>
  <c r="AA1178" i="9" s="1"/>
  <c r="Y1177" i="9"/>
  <c r="X1178" i="9" s="1"/>
  <c r="AH1177" i="9"/>
  <c r="AG1178" i="9" l="1"/>
  <c r="Z1178" i="9"/>
  <c r="AI1178" i="9"/>
  <c r="AJ1178" i="9" s="1"/>
  <c r="AD1178" i="9"/>
  <c r="AC1178" i="9" l="1" a="1"/>
  <c r="AC1178" i="9" s="1"/>
  <c r="AA1179" i="9" s="1"/>
  <c r="AH1178" i="9"/>
  <c r="Y1178" i="9"/>
  <c r="X1179" i="9" s="1"/>
  <c r="AI1179" i="9" l="1"/>
  <c r="AJ1179" i="9" s="1"/>
  <c r="Z1179" i="9"/>
  <c r="AG1179" i="9"/>
  <c r="AD1179" i="9"/>
  <c r="AH1179" i="9" l="1"/>
  <c r="AC1179" i="9" a="1"/>
  <c r="AC1179" i="9" s="1"/>
  <c r="AA1180" i="9" s="1"/>
  <c r="Y1179" i="9"/>
  <c r="X1180" i="9" s="1"/>
  <c r="Z1180" i="9" l="1"/>
  <c r="AG1180" i="9"/>
  <c r="AI1180" i="9"/>
  <c r="AJ1180" i="9" s="1"/>
  <c r="AD1180" i="9"/>
  <c r="Y1180" i="9" l="1"/>
  <c r="X1181" i="9" s="1"/>
  <c r="AH1180" i="9"/>
  <c r="AC1180" i="9" a="1"/>
  <c r="AC1180" i="9" s="1"/>
  <c r="AA1181" i="9" s="1"/>
  <c r="AD1181" i="9" l="1"/>
  <c r="AI1181" i="9"/>
  <c r="AJ1181" i="9" s="1"/>
  <c r="Z1181" i="9"/>
  <c r="AG1181" i="9"/>
  <c r="AH1181" i="9" l="1"/>
  <c r="AC1181" i="9" a="1"/>
  <c r="AC1181" i="9" s="1"/>
  <c r="AA1182" i="9" s="1"/>
  <c r="Y1181" i="9"/>
  <c r="X1182" i="9" s="1"/>
  <c r="Z1182" i="9" l="1"/>
  <c r="AG1182" i="9"/>
  <c r="AI1182" i="9"/>
  <c r="AJ1182" i="9" s="1"/>
  <c r="AD1182" i="9"/>
  <c r="Y1182" i="9" l="1"/>
  <c r="X1183" i="9" s="1"/>
  <c r="AH1182" i="9"/>
  <c r="AC1182" i="9" a="1"/>
  <c r="AC1182" i="9" s="1"/>
  <c r="AA1183" i="9" s="1"/>
  <c r="AD1183" i="9" l="1"/>
  <c r="AG1183" i="9"/>
  <c r="AI1183" i="9"/>
  <c r="AJ1183" i="9" s="1"/>
  <c r="Z1183" i="9"/>
  <c r="AC1183" i="9" l="1" a="1"/>
  <c r="AC1183" i="9" s="1"/>
  <c r="AA1184" i="9" s="1"/>
  <c r="AH1183" i="9"/>
  <c r="Y1183" i="9"/>
  <c r="X1184" i="9" s="1"/>
  <c r="Z1184" i="9" l="1"/>
  <c r="AG1184" i="9"/>
  <c r="AI1184" i="9"/>
  <c r="AJ1184" i="9" s="1"/>
  <c r="AD1184" i="9"/>
  <c r="AH1184" i="9" l="1"/>
  <c r="Y1184" i="9"/>
  <c r="X1185" i="9" s="1"/>
  <c r="AC1184" i="9" a="1"/>
  <c r="AC1184" i="9" s="1"/>
  <c r="AA1185" i="9" s="1"/>
  <c r="AD1185" i="9" l="1"/>
  <c r="AI1185" i="9"/>
  <c r="AJ1185" i="9" s="1"/>
  <c r="AG1185" i="9"/>
  <c r="Z1185" i="9"/>
  <c r="Y1185" i="9" l="1"/>
  <c r="X1186" i="9" s="1"/>
  <c r="AH1185" i="9"/>
  <c r="AC1185" i="9" a="1"/>
  <c r="AC1185" i="9" s="1"/>
  <c r="AA1186" i="9" s="1"/>
  <c r="AD1186" i="9" l="1"/>
  <c r="AG1186" i="9"/>
  <c r="AI1186" i="9"/>
  <c r="AJ1186" i="9" s="1"/>
  <c r="Z1186" i="9"/>
  <c r="Y1186" i="9" l="1"/>
  <c r="X1187" i="9" s="1"/>
  <c r="AH1186" i="9"/>
  <c r="AC1186" i="9" a="1"/>
  <c r="AC1186" i="9" s="1"/>
  <c r="AA1187" i="9" s="1"/>
  <c r="AD1187" i="9" l="1"/>
  <c r="AI1187" i="9"/>
  <c r="AJ1187" i="9" s="1"/>
  <c r="Z1187" i="9"/>
  <c r="AG1187" i="9"/>
  <c r="AC1187" i="9" l="1" a="1"/>
  <c r="AC1187" i="9" s="1"/>
  <c r="AA1188" i="9" s="1"/>
  <c r="Y1187" i="9"/>
  <c r="X1188" i="9" s="1"/>
  <c r="AH1187" i="9"/>
  <c r="AG1188" i="9" l="1"/>
  <c r="Z1188" i="9"/>
  <c r="AI1188" i="9"/>
  <c r="AJ1188" i="9" s="1"/>
  <c r="AD1188" i="9"/>
  <c r="AC1188" i="9" l="1" a="1"/>
  <c r="AC1188" i="9" s="1"/>
  <c r="AA1189" i="9" s="1"/>
  <c r="Y1188" i="9"/>
  <c r="X1189" i="9" s="1"/>
  <c r="AH1188" i="9"/>
  <c r="AI1189" i="9" l="1"/>
  <c r="AJ1189" i="9" s="1"/>
  <c r="AG1189" i="9"/>
  <c r="Z1189" i="9"/>
  <c r="AD1189" i="9"/>
  <c r="AH1189" i="9" l="1"/>
  <c r="Y1189" i="9"/>
  <c r="X1190" i="9" s="1"/>
  <c r="AC1189" i="9" a="1"/>
  <c r="AC1189" i="9" s="1"/>
  <c r="AA1190" i="9" s="1"/>
  <c r="AD1190" i="9" l="1"/>
  <c r="AI1190" i="9"/>
  <c r="AJ1190" i="9" s="1"/>
  <c r="Z1190" i="9"/>
  <c r="AG1190" i="9"/>
  <c r="AC1190" i="9" l="1" a="1"/>
  <c r="AC1190" i="9" s="1"/>
  <c r="AA1191" i="9" s="1"/>
  <c r="Y1190" i="9"/>
  <c r="X1191" i="9" s="1"/>
  <c r="AH1190" i="9"/>
  <c r="AI1191" i="9" l="1"/>
  <c r="AJ1191" i="9" s="1"/>
  <c r="AG1191" i="9"/>
  <c r="Z1191" i="9"/>
  <c r="AD1191" i="9"/>
  <c r="AC1191" i="9" l="1" a="1"/>
  <c r="AC1191" i="9" s="1"/>
  <c r="AA1192" i="9" s="1"/>
  <c r="AH1191" i="9"/>
  <c r="Y1191" i="9"/>
  <c r="X1192" i="9" s="1"/>
  <c r="AG1192" i="9" l="1"/>
  <c r="Z1192" i="9"/>
  <c r="AI1192" i="9"/>
  <c r="AJ1192" i="9" s="1"/>
  <c r="AD1192" i="9"/>
  <c r="AC1192" i="9" l="1" a="1"/>
  <c r="AC1192" i="9" s="1"/>
  <c r="AA1193" i="9" s="1"/>
  <c r="Y1192" i="9"/>
  <c r="X1193" i="9" s="1"/>
  <c r="AH1192" i="9"/>
  <c r="AG1193" i="9" l="1"/>
  <c r="Z1193" i="9"/>
  <c r="AI1193" i="9"/>
  <c r="AJ1193" i="9" s="1"/>
  <c r="AD1193" i="9"/>
  <c r="Y1193" i="9" l="1"/>
  <c r="X1194" i="9" s="1"/>
  <c r="AC1193" i="9" a="1"/>
  <c r="AC1193" i="9" s="1"/>
  <c r="AA1194" i="9" s="1"/>
  <c r="AH1193" i="9"/>
  <c r="AD1194" i="9" l="1"/>
  <c r="AG1194" i="9"/>
  <c r="Z1194" i="9"/>
  <c r="AI1194" i="9"/>
  <c r="AJ1194" i="9" s="1"/>
  <c r="Y1194" i="9" l="1"/>
  <c r="X1195" i="9" s="1"/>
  <c r="AH1194" i="9"/>
  <c r="AC1194" i="9" a="1"/>
  <c r="AC1194" i="9" s="1"/>
  <c r="AA1195" i="9" s="1"/>
  <c r="AD1195" i="9" l="1"/>
  <c r="Z1195" i="9"/>
  <c r="AG1195" i="9"/>
  <c r="AI1195" i="9"/>
  <c r="AJ1195" i="9" s="1"/>
  <c r="Y1195" i="9" l="1"/>
  <c r="X1196" i="9" s="1"/>
  <c r="AC1195" i="9" a="1"/>
  <c r="AC1195" i="9" s="1"/>
  <c r="AA1196" i="9" s="1"/>
  <c r="AH1195" i="9"/>
  <c r="AD1196" i="9" l="1"/>
  <c r="AI1196" i="9"/>
  <c r="AJ1196" i="9" s="1"/>
  <c r="AG1196" i="9"/>
  <c r="Z1196" i="9"/>
  <c r="Y1196" i="9" l="1"/>
  <c r="X1197" i="9" s="1"/>
  <c r="AC1196" i="9" a="1"/>
  <c r="AC1196" i="9" s="1"/>
  <c r="AA1197" i="9" s="1"/>
  <c r="AH1196" i="9"/>
  <c r="AD1197" i="9" l="1"/>
  <c r="AG1197" i="9"/>
  <c r="AI1197" i="9"/>
  <c r="AJ1197" i="9" s="1"/>
  <c r="Z1197" i="9"/>
  <c r="Y1197" i="9" l="1"/>
  <c r="X1198" i="9" s="1"/>
  <c r="AH1197" i="9"/>
  <c r="AC1197" i="9" a="1"/>
  <c r="AC1197" i="9" s="1"/>
  <c r="AA1198" i="9" s="1"/>
  <c r="AD1198" i="9" l="1"/>
  <c r="AI1198" i="9"/>
  <c r="AJ1198" i="9" s="1"/>
  <c r="Z1198" i="9"/>
  <c r="AG1198" i="9"/>
  <c r="AH1198" i="9" l="1"/>
  <c r="Y1198" i="9"/>
  <c r="X1199" i="9" s="1"/>
  <c r="AC1198" i="9" a="1"/>
  <c r="AC1198" i="9" s="1"/>
  <c r="AA1199" i="9" s="1"/>
  <c r="AD1199" i="9" l="1"/>
  <c r="AI1199" i="9"/>
  <c r="AJ1199" i="9" s="1"/>
  <c r="AG1199" i="9"/>
  <c r="Z1199" i="9"/>
  <c r="AH1199" i="9" l="1"/>
  <c r="AC1199" i="9" a="1"/>
  <c r="AC1199" i="9" s="1"/>
  <c r="AA1200" i="9" s="1"/>
  <c r="Y1199" i="9"/>
  <c r="X1200" i="9" s="1"/>
  <c r="AG1200" i="9" l="1"/>
  <c r="AI1200" i="9"/>
  <c r="AJ1200" i="9" s="1"/>
  <c r="Z1200" i="9"/>
  <c r="AD1200" i="9"/>
  <c r="AC1200" i="9" l="1" a="1"/>
  <c r="AC1200" i="9" s="1"/>
  <c r="AA1201" i="9" s="1"/>
  <c r="Y1200" i="9"/>
  <c r="X1201" i="9" s="1"/>
  <c r="AH1200" i="9"/>
  <c r="Z1201" i="9" l="1"/>
  <c r="AG1201" i="9"/>
  <c r="AI1201" i="9"/>
  <c r="AJ1201" i="9" s="1"/>
  <c r="AD1201" i="9"/>
  <c r="AC1201" i="9" l="1" a="1"/>
  <c r="AC1201" i="9" s="1"/>
  <c r="AA1202" i="9" s="1"/>
  <c r="Y1201" i="9"/>
  <c r="X1202" i="9" s="1"/>
  <c r="AH1201" i="9"/>
  <c r="Z1202" i="9" l="1"/>
  <c r="AI1202" i="9"/>
  <c r="AJ1202" i="9" s="1"/>
  <c r="AG1202" i="9"/>
  <c r="AD1202" i="9"/>
  <c r="AC1202" i="9" l="1" a="1"/>
  <c r="AC1202" i="9" s="1"/>
  <c r="AA1203" i="9" s="1"/>
  <c r="Y1202" i="9"/>
  <c r="X1203" i="9" s="1"/>
  <c r="AH1202" i="9"/>
  <c r="AI1203" i="9" l="1"/>
  <c r="AJ1203" i="9" s="1"/>
  <c r="Z1203" i="9"/>
  <c r="AG1203" i="9"/>
  <c r="AD1203" i="9"/>
  <c r="AC1203" i="9" l="1" a="1"/>
  <c r="AC1203" i="9" s="1"/>
  <c r="AA1204" i="9" s="1"/>
  <c r="AH1203" i="9"/>
  <c r="Y1203" i="9"/>
  <c r="X1204" i="9" s="1"/>
  <c r="Z1204" i="9" l="1"/>
  <c r="AG1204" i="9"/>
  <c r="AI1204" i="9"/>
  <c r="AJ1204" i="9" s="1"/>
  <c r="AD1204" i="9"/>
  <c r="Y1204" i="9" l="1"/>
  <c r="X1205" i="9" s="1"/>
  <c r="AH1204" i="9"/>
  <c r="AC1204" i="9" a="1"/>
  <c r="AC1204" i="9" s="1"/>
  <c r="AA1205" i="9" s="1"/>
  <c r="AD1205" i="9" l="1"/>
  <c r="AI1205" i="9"/>
  <c r="AJ1205" i="9" s="1"/>
  <c r="AG1205" i="9"/>
  <c r="Z1205" i="9"/>
  <c r="Y1205" i="9" l="1"/>
  <c r="X1206" i="9" s="1"/>
  <c r="AC1205" i="9" a="1"/>
  <c r="AC1205" i="9" s="1"/>
  <c r="AA1206" i="9" s="1"/>
  <c r="AH1205" i="9"/>
  <c r="AD1206" i="9" l="1"/>
  <c r="AG1206" i="9"/>
  <c r="AI1206" i="9"/>
  <c r="AJ1206" i="9" s="1"/>
  <c r="Z1206" i="9"/>
  <c r="AH1206" i="9" l="1"/>
  <c r="AC1206" i="9" a="1"/>
  <c r="AC1206" i="9" s="1"/>
  <c r="AA1207" i="9" s="1"/>
  <c r="Y1206" i="9"/>
  <c r="X1207" i="9" s="1"/>
  <c r="AI1207" i="9" l="1"/>
  <c r="AJ1207" i="9" s="1"/>
  <c r="AG1207" i="9"/>
  <c r="Z1207" i="9"/>
  <c r="AD1207" i="9"/>
  <c r="AC1207" i="9" l="1" a="1"/>
  <c r="AC1207" i="9" s="1"/>
  <c r="AA1208" i="9" s="1"/>
  <c r="Y1207" i="9"/>
  <c r="X1208" i="9" s="1"/>
  <c r="AH1207" i="9"/>
  <c r="AG1208" i="9" l="1"/>
  <c r="Z1208" i="9"/>
  <c r="AI1208" i="9"/>
  <c r="AJ1208" i="9" s="1"/>
  <c r="AD1208" i="9"/>
  <c r="Y1208" i="9" l="1"/>
  <c r="X1209" i="9" s="1"/>
  <c r="AC1208" i="9" a="1"/>
  <c r="AC1208" i="9" s="1"/>
  <c r="AA1209" i="9" s="1"/>
  <c r="AH1208" i="9"/>
  <c r="AD1209" i="9" l="1"/>
  <c r="Z1209" i="9"/>
  <c r="AG1209" i="9"/>
  <c r="AI1209" i="9"/>
  <c r="AJ1209" i="9" s="1"/>
  <c r="AC1209" i="9" l="1" a="1"/>
  <c r="AC1209" i="9" s="1"/>
  <c r="AA1210" i="9" s="1"/>
  <c r="AH1209" i="9"/>
  <c r="Y1209" i="9"/>
  <c r="X1210" i="9" s="1"/>
  <c r="AG1210" i="9" l="1"/>
  <c r="Z1210" i="9"/>
  <c r="AI1210" i="9"/>
  <c r="AJ1210" i="9" s="1"/>
  <c r="AD1210" i="9"/>
  <c r="Y1210" i="9" l="1"/>
  <c r="X1211" i="9" s="1"/>
  <c r="AH1210" i="9"/>
  <c r="AC1210" i="9" a="1"/>
  <c r="AC1210" i="9" s="1"/>
  <c r="AA1211" i="9" s="1"/>
  <c r="AD1211" i="9" l="1"/>
  <c r="AG1211" i="9"/>
  <c r="Z1211" i="9"/>
  <c r="AI1211" i="9"/>
  <c r="AJ1211" i="9" s="1"/>
  <c r="AH1211" i="9" l="1"/>
  <c r="AC1211" i="9" a="1"/>
  <c r="AC1211" i="9" s="1"/>
  <c r="AA1212" i="9" s="1"/>
  <c r="Y1211" i="9"/>
  <c r="X1212" i="9" s="1"/>
  <c r="AG1212" i="9" l="1"/>
  <c r="Z1212" i="9"/>
  <c r="AI1212" i="9"/>
  <c r="AJ1212" i="9" s="1"/>
  <c r="AD1212" i="9"/>
  <c r="Y1212" i="9" l="1"/>
  <c r="X1213" i="9" s="1"/>
  <c r="AC1212" i="9" a="1"/>
  <c r="AC1212" i="9" s="1"/>
  <c r="AA1213" i="9" s="1"/>
  <c r="AH1212" i="9"/>
  <c r="AD1213" i="9" l="1"/>
  <c r="AI1213" i="9"/>
  <c r="AJ1213" i="9" s="1"/>
  <c r="Z1213" i="9"/>
  <c r="AG1213" i="9"/>
  <c r="Y1213" i="9" l="1"/>
  <c r="X1214" i="9" s="1"/>
  <c r="AH1213" i="9"/>
  <c r="AC1213" i="9" a="1"/>
  <c r="AC1213" i="9" s="1"/>
  <c r="AA1214" i="9" s="1"/>
  <c r="AD1214" i="9" l="1"/>
  <c r="AG1214" i="9"/>
  <c r="Z1214" i="9"/>
  <c r="AI1214" i="9"/>
  <c r="AJ1214" i="9" s="1"/>
  <c r="AH1214" i="9" l="1"/>
  <c r="AC1214" i="9" a="1"/>
  <c r="AC1214" i="9" s="1"/>
  <c r="AA1215" i="9" s="1"/>
  <c r="Y1214" i="9"/>
  <c r="X1215" i="9" s="1"/>
  <c r="AG1215" i="9" l="1"/>
  <c r="Z1215" i="9"/>
  <c r="AI1215" i="9"/>
  <c r="AJ1215" i="9" s="1"/>
  <c r="AD1215" i="9"/>
  <c r="AH1215" i="9" l="1"/>
  <c r="Y1215" i="9"/>
  <c r="X1216" i="9" s="1"/>
  <c r="AC1215" i="9" a="1"/>
  <c r="AC1215" i="9" s="1"/>
  <c r="AA1216" i="9" s="1"/>
  <c r="AD1216" i="9" l="1"/>
  <c r="AI1216" i="9"/>
  <c r="AJ1216" i="9" s="1"/>
  <c r="Z1216" i="9"/>
  <c r="AG1216" i="9"/>
  <c r="AH1216" i="9" l="1"/>
  <c r="Y1216" i="9"/>
  <c r="X1217" i="9" s="1"/>
  <c r="AC1216" i="9" a="1"/>
  <c r="AC1216" i="9" s="1"/>
  <c r="AA1217" i="9" s="1"/>
  <c r="AD1217" i="9" l="1"/>
  <c r="AG1217" i="9"/>
  <c r="Z1217" i="9"/>
  <c r="AI1217" i="9"/>
  <c r="AJ1217" i="9" s="1"/>
  <c r="Y1217" i="9" l="1"/>
  <c r="X1218" i="9" s="1"/>
  <c r="AH1217" i="9"/>
  <c r="AC1217" i="9" a="1"/>
  <c r="AC1217" i="9" s="1"/>
  <c r="AA1218" i="9" s="1"/>
  <c r="AD1218" i="9" l="1"/>
  <c r="AG1218" i="9"/>
  <c r="Z1218" i="9"/>
  <c r="AI1218" i="9"/>
  <c r="AJ1218" i="9" s="1"/>
  <c r="Y1218" i="9" l="1"/>
  <c r="X1219" i="9" s="1"/>
  <c r="AC1218" i="9" a="1"/>
  <c r="AC1218" i="9" s="1"/>
  <c r="AA1219" i="9" s="1"/>
  <c r="AH1218" i="9"/>
  <c r="AD1219" i="9" l="1"/>
  <c r="AG1219" i="9"/>
  <c r="Z1219" i="9"/>
  <c r="AI1219" i="9"/>
  <c r="AJ1219" i="9" s="1"/>
  <c r="Y1219" i="9" l="1"/>
  <c r="X1220" i="9" s="1"/>
  <c r="AH1219" i="9"/>
  <c r="AC1219" i="9" a="1"/>
  <c r="AC1219" i="9" s="1"/>
  <c r="AA1220" i="9" s="1"/>
  <c r="AD1220" i="9" l="1"/>
  <c r="Z1220" i="9"/>
  <c r="AI1220" i="9"/>
  <c r="AJ1220" i="9" s="1"/>
  <c r="AG1220" i="9"/>
  <c r="AH1220" i="9" l="1"/>
  <c r="Y1220" i="9"/>
  <c r="X1221" i="9" s="1"/>
  <c r="AC1220" i="9" a="1"/>
  <c r="AC1220" i="9" s="1"/>
  <c r="AA1221" i="9" s="1"/>
  <c r="AD1221" i="9" l="1"/>
  <c r="AG1221" i="9"/>
  <c r="Z1221" i="9"/>
  <c r="AI1221" i="9"/>
  <c r="AJ1221" i="9" s="1"/>
  <c r="AC1221" i="9" l="1" a="1"/>
  <c r="AC1221" i="9" s="1"/>
  <c r="AA1222" i="9" s="1"/>
  <c r="Y1221" i="9"/>
  <c r="X1222" i="9" s="1"/>
  <c r="AH1221" i="9"/>
  <c r="Z1222" i="9" l="1"/>
  <c r="AI1222" i="9"/>
  <c r="AJ1222" i="9" s="1"/>
  <c r="AG1222" i="9"/>
  <c r="AD1222" i="9"/>
  <c r="Y1222" i="9" l="1"/>
  <c r="X1223" i="9" s="1"/>
  <c r="AC1222" i="9" a="1"/>
  <c r="AC1222" i="9" s="1"/>
  <c r="AA1223" i="9" s="1"/>
  <c r="AH1222" i="9"/>
  <c r="AD1223" i="9" l="1"/>
  <c r="AG1223" i="9"/>
  <c r="Z1223" i="9"/>
  <c r="AI1223" i="9"/>
  <c r="AJ1223" i="9" s="1"/>
  <c r="Y1223" i="9" l="1"/>
  <c r="X1224" i="9" s="1"/>
  <c r="AH1223" i="9"/>
  <c r="AC1223" i="9" a="1"/>
  <c r="AC1223" i="9" s="1"/>
  <c r="AA1224" i="9" s="1"/>
  <c r="AD1224" i="9" l="1"/>
  <c r="Z1224" i="9"/>
  <c r="AG1224" i="9"/>
  <c r="AI1224" i="9"/>
  <c r="AJ1224" i="9" s="1"/>
  <c r="AC1224" i="9" l="1" a="1"/>
  <c r="AC1224" i="9" s="1"/>
  <c r="AA1225" i="9" s="1"/>
  <c r="Y1224" i="9"/>
  <c r="X1225" i="9" s="1"/>
  <c r="AH1224" i="9"/>
  <c r="AG1225" i="9" l="1"/>
  <c r="Z1225" i="9"/>
  <c r="AI1225" i="9"/>
  <c r="AJ1225" i="9" s="1"/>
  <c r="AD1225" i="9"/>
  <c r="AH1225" i="9" l="1"/>
  <c r="AC1225" i="9" a="1"/>
  <c r="AC1225" i="9" s="1"/>
  <c r="AA1226" i="9" s="1"/>
  <c r="Y1225" i="9"/>
  <c r="X1226" i="9" s="1"/>
  <c r="Z1226" i="9" l="1"/>
  <c r="AI1226" i="9"/>
  <c r="AJ1226" i="9" s="1"/>
  <c r="AG1226" i="9"/>
  <c r="AD1226" i="9"/>
  <c r="AH1226" i="9" l="1"/>
  <c r="AC1226" i="9" a="1"/>
  <c r="AC1226" i="9" s="1"/>
  <c r="AA1227" i="9" s="1"/>
  <c r="Y1226" i="9"/>
  <c r="X1227" i="9" s="1"/>
  <c r="Z1227" i="9" l="1"/>
  <c r="AG1227" i="9"/>
  <c r="AI1227" i="9"/>
  <c r="AJ1227" i="9" s="1"/>
  <c r="AD1227" i="9"/>
  <c r="AC1227" i="9" l="1" a="1"/>
  <c r="AC1227" i="9" s="1"/>
  <c r="AA1228" i="9" s="1"/>
  <c r="Y1227" i="9"/>
  <c r="X1228" i="9" s="1"/>
  <c r="AH1227" i="9"/>
  <c r="AI1228" i="9" l="1"/>
  <c r="AJ1228" i="9" s="1"/>
  <c r="Z1228" i="9"/>
  <c r="AG1228" i="9"/>
  <c r="AD1228" i="9"/>
  <c r="Y1228" i="9" l="1"/>
  <c r="X1229" i="9" s="1"/>
  <c r="AH1228" i="9"/>
  <c r="AC1228" i="9" a="1"/>
  <c r="AC1228" i="9" s="1"/>
  <c r="AA1229" i="9" s="1"/>
  <c r="AD1229" i="9" l="1"/>
  <c r="AG1229" i="9"/>
  <c r="Z1229" i="9"/>
  <c r="AI1229" i="9"/>
  <c r="AJ1229" i="9" s="1"/>
  <c r="AH1229" i="9" l="1"/>
  <c r="Y1229" i="9"/>
  <c r="X1230" i="9" s="1"/>
  <c r="AC1229" i="9" a="1"/>
  <c r="AC1229" i="9" s="1"/>
  <c r="AA1230" i="9" s="1"/>
  <c r="AD1230" i="9" l="1"/>
  <c r="AI1230" i="9"/>
  <c r="AJ1230" i="9" s="1"/>
  <c r="Z1230" i="9"/>
  <c r="AG1230" i="9"/>
  <c r="AC1230" i="9" l="1" a="1"/>
  <c r="AC1230" i="9" s="1"/>
  <c r="AA1231" i="9" s="1"/>
  <c r="Y1230" i="9"/>
  <c r="X1231" i="9" s="1"/>
  <c r="AH1230" i="9"/>
  <c r="Z1231" i="9" l="1"/>
  <c r="AI1231" i="9"/>
  <c r="AJ1231" i="9" s="1"/>
  <c r="AG1231" i="9"/>
  <c r="AD1231" i="9"/>
  <c r="AC1231" i="9" l="1" a="1"/>
  <c r="AC1231" i="9" s="1"/>
  <c r="AA1232" i="9" s="1"/>
  <c r="Y1231" i="9"/>
  <c r="X1232" i="9" s="1"/>
  <c r="AH1231" i="9"/>
  <c r="Z1232" i="9" l="1"/>
  <c r="AG1232" i="9"/>
  <c r="AI1232" i="9"/>
  <c r="AJ1232" i="9" s="1"/>
  <c r="AD1232" i="9"/>
  <c r="AH1232" i="9" l="1"/>
  <c r="AC1232" i="9" a="1"/>
  <c r="AC1232" i="9" s="1"/>
  <c r="AA1233" i="9" s="1"/>
  <c r="Y1232" i="9"/>
  <c r="X1233" i="9" s="1"/>
  <c r="AG1233" i="9" l="1"/>
  <c r="AI1233" i="9"/>
  <c r="AJ1233" i="9" s="1"/>
  <c r="Z1233" i="9"/>
  <c r="AD1233" i="9"/>
  <c r="Y1233" i="9" l="1"/>
  <c r="X1234" i="9" s="1"/>
  <c r="AH1233" i="9"/>
  <c r="AC1233" i="9" a="1"/>
  <c r="AC1233" i="9" s="1"/>
  <c r="AA1234" i="9" s="1"/>
  <c r="AD1234" i="9" l="1"/>
  <c r="AG1234" i="9"/>
  <c r="AI1234" i="9"/>
  <c r="AJ1234" i="9" s="1"/>
  <c r="Z1234" i="9"/>
  <c r="Y1234" i="9" l="1"/>
  <c r="X1235" i="9" s="1"/>
  <c r="AC1234" i="9" a="1"/>
  <c r="AC1234" i="9" s="1"/>
  <c r="AA1235" i="9" s="1"/>
  <c r="AH1234" i="9"/>
  <c r="AD1235" i="9" l="1"/>
  <c r="Z1235" i="9"/>
  <c r="AG1235" i="9"/>
  <c r="AI1235" i="9"/>
  <c r="AJ1235" i="9" s="1"/>
  <c r="AC1235" i="9" l="1" a="1"/>
  <c r="AC1235" i="9" s="1"/>
  <c r="AA1236" i="9" s="1"/>
  <c r="AH1235" i="9"/>
  <c r="Y1235" i="9"/>
  <c r="X1236" i="9" s="1"/>
  <c r="AI1236" i="9" l="1"/>
  <c r="AJ1236" i="9" s="1"/>
  <c r="Z1236" i="9"/>
  <c r="AG1236" i="9"/>
  <c r="AD1236" i="9"/>
  <c r="AH1236" i="9" l="1"/>
  <c r="Y1236" i="9"/>
  <c r="X1237" i="9" s="1"/>
  <c r="AC1236" i="9" a="1"/>
  <c r="AC1236" i="9" s="1"/>
  <c r="AA1237" i="9" s="1"/>
  <c r="AD1237" i="9" l="1"/>
  <c r="Z1237" i="9"/>
  <c r="AI1237" i="9"/>
  <c r="AJ1237" i="9" s="1"/>
  <c r="AG1237" i="9"/>
  <c r="AH1237" i="9" l="1"/>
  <c r="AC1237" i="9" a="1"/>
  <c r="AC1237" i="9" s="1"/>
  <c r="AA1238" i="9" s="1"/>
  <c r="Y1237" i="9"/>
  <c r="X1238" i="9" s="1"/>
  <c r="AG1238" i="9" l="1"/>
  <c r="Z1238" i="9"/>
  <c r="AI1238" i="9"/>
  <c r="AJ1238" i="9" s="1"/>
  <c r="AD1238" i="9"/>
  <c r="AC1238" i="9" l="1" a="1"/>
  <c r="AC1238" i="9" s="1"/>
  <c r="AA1239" i="9" s="1"/>
  <c r="Y1238" i="9"/>
  <c r="X1239" i="9" s="1"/>
  <c r="AH1238" i="9"/>
  <c r="Z1239" i="9" l="1"/>
  <c r="AG1239" i="9"/>
  <c r="AI1239" i="9"/>
  <c r="AJ1239" i="9" s="1"/>
  <c r="AD1239" i="9"/>
  <c r="AH1239" i="9" l="1"/>
  <c r="AC1239" i="9" a="1"/>
  <c r="AC1239" i="9" s="1"/>
  <c r="AA1240" i="9" s="1"/>
  <c r="Y1239" i="9"/>
  <c r="X1240" i="9" s="1"/>
  <c r="AG1240" i="9" l="1"/>
  <c r="Z1240" i="9"/>
  <c r="AI1240" i="9"/>
  <c r="AJ1240" i="9" s="1"/>
  <c r="AD1240" i="9"/>
  <c r="AH1240" i="9" l="1"/>
  <c r="Y1240" i="9"/>
  <c r="X1241" i="9" s="1"/>
  <c r="AC1240" i="9" a="1"/>
  <c r="AC1240" i="9" s="1"/>
  <c r="AA1241" i="9" s="1"/>
  <c r="AD1241" i="9" l="1"/>
  <c r="Z1241" i="9"/>
  <c r="AG1241" i="9"/>
  <c r="AI1241" i="9"/>
  <c r="AJ1241" i="9" s="1"/>
  <c r="Y1241" i="9" l="1"/>
  <c r="X1242" i="9" s="1"/>
  <c r="AC1241" i="9" a="1"/>
  <c r="AC1241" i="9" s="1"/>
  <c r="AA1242" i="9" s="1"/>
  <c r="AH1241" i="9"/>
  <c r="AD1242" i="9" l="1"/>
  <c r="AI1242" i="9"/>
  <c r="AJ1242" i="9" s="1"/>
  <c r="Z1242" i="9"/>
  <c r="AG1242" i="9"/>
  <c r="AH1242" i="9" l="1"/>
  <c r="AC1242" i="9" a="1"/>
  <c r="AC1242" i="9" s="1"/>
  <c r="Y1242" i="9"/>
  <c r="X1243" i="9" s="1"/>
  <c r="Z1243" i="9" l="1"/>
  <c r="AA1243" i="9"/>
  <c r="AA18" i="9"/>
  <c r="AD1243" i="9" l="1"/>
  <c r="AH1243" i="9" s="1"/>
  <c r="AA15" i="9"/>
  <c r="AG15" i="9" s="1"/>
  <c r="E6" i="9" s="1"/>
  <c r="AG18" i="9"/>
  <c r="M15" i="9" s="1"/>
  <c r="AI18" i="9"/>
  <c r="AJ18" i="9" s="1"/>
  <c r="AD18" i="9"/>
  <c r="AI1243" i="9"/>
  <c r="AJ1243" i="9" s="1"/>
  <c r="AG1243" i="9"/>
  <c r="AC1243" i="9" l="1" a="1"/>
  <c r="AC1243" i="9" s="1"/>
  <c r="AA1244" i="9" s="1"/>
  <c r="Y1243" i="9"/>
  <c r="X1244" i="9" s="1"/>
  <c r="AC18" i="9" a="1"/>
  <c r="AC18" i="9" s="1"/>
  <c r="Y18" i="9"/>
  <c r="AH18" i="9"/>
  <c r="AD1244" i="9" l="1"/>
  <c r="Z1244" i="9"/>
  <c r="AI1244" i="9"/>
  <c r="AJ1244" i="9" s="1"/>
  <c r="AG1244" i="9"/>
  <c r="Y1244" i="9" l="1"/>
  <c r="X1245" i="9" s="1"/>
  <c r="AC1244" i="9" a="1"/>
  <c r="AC1244" i="9" s="1"/>
  <c r="AA1245" i="9" s="1"/>
  <c r="AH1244" i="9"/>
  <c r="Z1245" i="9" l="1"/>
  <c r="AD1245" i="9"/>
  <c r="AG1245" i="9"/>
  <c r="AI1245" i="9"/>
  <c r="AJ1245" i="9" s="1"/>
  <c r="AH1245" i="9" l="1"/>
  <c r="AC1245" i="9" a="1"/>
  <c r="AC1245" i="9" s="1"/>
  <c r="AA1246" i="9" s="1"/>
  <c r="Y1245" i="9"/>
  <c r="X1246" i="9" s="1"/>
  <c r="AD1246" i="9" l="1"/>
  <c r="AI1246" i="9"/>
  <c r="AJ1246" i="9" s="1"/>
  <c r="AG1246" i="9"/>
  <c r="Z1246" i="9"/>
  <c r="Y1246" i="9" l="1"/>
  <c r="X1247" i="9" s="1"/>
  <c r="AH1246" i="9"/>
  <c r="AC1246" i="9" a="1"/>
  <c r="AC1246" i="9" s="1"/>
  <c r="AA1247" i="9" s="1"/>
  <c r="Z1247" i="9" l="1"/>
  <c r="AI1247" i="9"/>
  <c r="AJ1247" i="9" s="1"/>
  <c r="AD1247" i="9"/>
  <c r="AG1247" i="9"/>
  <c r="AH1247" i="9" l="1"/>
  <c r="Y1247" i="9"/>
  <c r="X1248" i="9" s="1"/>
  <c r="AC1247" i="9" a="1"/>
  <c r="AC1247" i="9" s="1"/>
  <c r="AA1248" i="9" s="1"/>
  <c r="Z1248" i="9" l="1"/>
  <c r="AD1248" i="9"/>
  <c r="AI1248" i="9"/>
  <c r="AJ1248" i="9" s="1"/>
  <c r="AG1248" i="9"/>
  <c r="AH1248" i="9" l="1"/>
  <c r="Y1248" i="9"/>
  <c r="X1249" i="9" s="1"/>
  <c r="AC1248" i="9" a="1"/>
  <c r="AC1248" i="9" s="1"/>
  <c r="AA1249" i="9" s="1"/>
  <c r="Z1249" i="9" l="1"/>
  <c r="AG1249" i="9"/>
  <c r="AI1249" i="9"/>
  <c r="AJ1249" i="9" s="1"/>
  <c r="AD1249" i="9"/>
  <c r="AH1249" i="9" l="1"/>
  <c r="Y1249" i="9"/>
  <c r="X1250" i="9" s="1"/>
  <c r="AC1249" i="9" a="1"/>
  <c r="AC1249" i="9" s="1"/>
  <c r="AA1250" i="9" s="1"/>
  <c r="Z1250" i="9" l="1"/>
  <c r="AD1250" i="9"/>
  <c r="AI1250" i="9"/>
  <c r="AJ1250" i="9" s="1"/>
  <c r="AG1250" i="9"/>
  <c r="AC1250" i="9" l="1" a="1"/>
  <c r="AC1250" i="9" s="1"/>
  <c r="AA1251" i="9" s="1"/>
  <c r="Y1250" i="9"/>
  <c r="X1251" i="9" s="1"/>
  <c r="AH1250" i="9"/>
  <c r="AD1251" i="9" l="1"/>
  <c r="AG1251" i="9"/>
  <c r="Z1251" i="9"/>
  <c r="AI1251" i="9"/>
  <c r="AJ1251" i="9" s="1"/>
  <c r="AH1251" i="9" l="1"/>
  <c r="AC1251" i="9" a="1"/>
  <c r="AC1251" i="9" s="1"/>
  <c r="AA1252" i="9" s="1"/>
  <c r="Y1251" i="9"/>
  <c r="X1252" i="9" s="1"/>
  <c r="AI1252" i="9" l="1"/>
  <c r="AJ1252" i="9" s="1"/>
  <c r="Z1252" i="9"/>
  <c r="AD1252" i="9"/>
  <c r="AG1252" i="9"/>
  <c r="Y1252" i="9" l="1"/>
  <c r="X1253" i="9" s="1"/>
  <c r="AC1252" i="9" a="1"/>
  <c r="AC1252" i="9" s="1"/>
  <c r="AA1253" i="9" s="1"/>
  <c r="AH1252" i="9"/>
  <c r="Z1253" i="9" l="1"/>
  <c r="AI1253" i="9"/>
  <c r="AJ1253" i="9" s="1"/>
  <c r="AG1253" i="9"/>
  <c r="AD1253" i="9"/>
  <c r="AH1253" i="9" l="1"/>
  <c r="AC1253" i="9" a="1"/>
  <c r="AC1253" i="9" s="1"/>
  <c r="AA1254" i="9" s="1"/>
  <c r="Y1253" i="9"/>
  <c r="X1254" i="9" s="1"/>
  <c r="Z1254" i="9" l="1"/>
  <c r="AI1254" i="9"/>
  <c r="AJ1254" i="9" s="1"/>
  <c r="AG1254" i="9"/>
  <c r="AD1254" i="9"/>
  <c r="AH1254" i="9" l="1"/>
  <c r="AC1254" i="9" a="1"/>
  <c r="AC1254" i="9" s="1"/>
  <c r="AA1255" i="9" s="1"/>
  <c r="Y1254" i="9"/>
  <c r="X1255" i="9" s="1"/>
  <c r="AD1255" i="9" l="1"/>
  <c r="AI1255" i="9"/>
  <c r="AJ1255" i="9" s="1"/>
  <c r="AG1255" i="9"/>
  <c r="Z1255" i="9"/>
  <c r="AC1255" i="9" l="1" a="1"/>
  <c r="AC1255" i="9" s="1"/>
  <c r="AA1256" i="9" s="1"/>
  <c r="Y1255" i="9"/>
  <c r="X1256" i="9" s="1"/>
  <c r="AH1255" i="9"/>
  <c r="AD1256" i="9" l="1"/>
  <c r="AG1256" i="9"/>
  <c r="AI1256" i="9"/>
  <c r="AJ1256" i="9" s="1"/>
  <c r="Z1256" i="9"/>
  <c r="AH1256" i="9" l="1"/>
  <c r="AC1256" i="9" a="1"/>
  <c r="AC1256" i="9" s="1"/>
  <c r="AA1257" i="9" s="1"/>
  <c r="Y1256" i="9"/>
  <c r="X1257" i="9" s="1"/>
  <c r="AD1257" i="9" l="1"/>
  <c r="AI1257" i="9"/>
  <c r="AJ1257" i="9" s="1"/>
  <c r="AG1257" i="9"/>
  <c r="Z1257" i="9"/>
  <c r="Y1257" i="9" l="1"/>
  <c r="X1258" i="9" s="1"/>
  <c r="AC1257" i="9" a="1"/>
  <c r="AC1257" i="9" s="1"/>
  <c r="AA1258" i="9" s="1"/>
  <c r="AH1257" i="9"/>
  <c r="Z1258" i="9" l="1"/>
  <c r="AI1258" i="9"/>
  <c r="AJ1258" i="9" s="1"/>
  <c r="AG1258" i="9"/>
  <c r="AD1258" i="9"/>
  <c r="AC1258" i="9" l="1" a="1"/>
  <c r="AC1258" i="9" s="1"/>
  <c r="AA1259" i="9" s="1"/>
  <c r="AH1258" i="9"/>
  <c r="Y1258" i="9"/>
  <c r="X1259" i="9" s="1"/>
  <c r="AD1259" i="9" l="1"/>
  <c r="AI1259" i="9"/>
  <c r="AJ1259" i="9" s="1"/>
  <c r="AG1259" i="9"/>
  <c r="Z1259" i="9"/>
  <c r="AC1259" i="9" l="1" a="1"/>
  <c r="AC1259" i="9" s="1"/>
  <c r="AA1260" i="9" s="1"/>
  <c r="Y1259" i="9"/>
  <c r="X1260" i="9" s="1"/>
  <c r="AH1259" i="9"/>
  <c r="AD1260" i="9" l="1"/>
  <c r="AI1260" i="9"/>
  <c r="AJ1260" i="9" s="1"/>
  <c r="AG1260" i="9"/>
  <c r="Z1260" i="9"/>
  <c r="Y1260" i="9" l="1"/>
  <c r="X1261" i="9" s="1"/>
  <c r="AH1260" i="9"/>
  <c r="AC1260" i="9" a="1"/>
  <c r="AC1260" i="9" s="1"/>
  <c r="AA1261" i="9" s="1"/>
  <c r="Z1261" i="9" l="1"/>
  <c r="AG1261" i="9"/>
  <c r="AD1261" i="9"/>
  <c r="AI1261" i="9"/>
  <c r="AJ1261" i="9" s="1"/>
  <c r="AH1261" i="9" l="1"/>
  <c r="Y1261" i="9"/>
  <c r="X1262" i="9" s="1"/>
  <c r="AC1261" i="9" a="1"/>
  <c r="AC1261" i="9" s="1"/>
  <c r="AA1262" i="9" s="1"/>
  <c r="Z1262" i="9" l="1"/>
  <c r="AD1262" i="9"/>
  <c r="AI1262" i="9"/>
  <c r="AJ1262" i="9" s="1"/>
  <c r="AG1262" i="9"/>
  <c r="Y1262" i="9" l="1"/>
  <c r="X1263" i="9" s="1"/>
  <c r="AC1262" i="9" a="1"/>
  <c r="AC1262" i="9" s="1"/>
  <c r="AA1263" i="9" s="1"/>
  <c r="AH1262" i="9"/>
  <c r="Z1263" i="9" l="1"/>
  <c r="AD1263" i="9"/>
  <c r="AG1263" i="9"/>
  <c r="AI1263" i="9"/>
  <c r="AJ1263" i="9" s="1"/>
  <c r="AC1263" i="9" l="1" a="1"/>
  <c r="AC1263" i="9" s="1"/>
  <c r="AA1264" i="9" s="1"/>
  <c r="AH1263" i="9"/>
  <c r="Y1263" i="9"/>
  <c r="X1264" i="9" s="1"/>
  <c r="AD1264" i="9" l="1"/>
  <c r="AG1264" i="9"/>
  <c r="Z1264" i="9"/>
  <c r="AI1264" i="9"/>
  <c r="AJ1264" i="9" s="1"/>
  <c r="AC1264" i="9" l="1" a="1"/>
  <c r="AC1264" i="9" s="1"/>
  <c r="AA1265" i="9" s="1"/>
  <c r="Y1264" i="9"/>
  <c r="X1265" i="9" s="1"/>
  <c r="AH1264" i="9"/>
  <c r="AG1265" i="9" l="1"/>
  <c r="AD1265" i="9"/>
  <c r="Z1265" i="9"/>
  <c r="AI1265" i="9"/>
  <c r="AJ1265" i="9" s="1"/>
  <c r="AH1265" i="9" l="1"/>
  <c r="Y1265" i="9"/>
  <c r="X1266" i="9" s="1"/>
  <c r="AC1265" i="9" a="1"/>
  <c r="AC1265" i="9" s="1"/>
  <c r="AA1266" i="9" s="1"/>
  <c r="Z1266" i="9" l="1"/>
  <c r="AD1266" i="9"/>
  <c r="AI1266" i="9"/>
  <c r="AJ1266" i="9" s="1"/>
  <c r="AG1266" i="9"/>
  <c r="AC1266" i="9" l="1" a="1"/>
  <c r="AC1266" i="9" s="1"/>
  <c r="AA1267" i="9" s="1"/>
  <c r="Y1266" i="9"/>
  <c r="X1267" i="9" s="1"/>
  <c r="AH1266" i="9"/>
  <c r="AD1267" i="9" l="1"/>
  <c r="AI1267" i="9"/>
  <c r="AJ1267" i="9" s="1"/>
  <c r="Z1267" i="9"/>
  <c r="AG1267" i="9"/>
  <c r="Y1267" i="9" l="1"/>
  <c r="X1268" i="9" s="1"/>
  <c r="AC1267" i="9" a="1"/>
  <c r="AC1267" i="9" s="1"/>
  <c r="AA1268" i="9" s="1"/>
  <c r="AH1267" i="9"/>
  <c r="Z1268" i="9" l="1"/>
  <c r="AI1268" i="9"/>
  <c r="AJ1268" i="9" s="1"/>
  <c r="AD1268" i="9"/>
  <c r="AG1268" i="9"/>
  <c r="Y1268" i="9" l="1"/>
  <c r="X1269" i="9" s="1"/>
  <c r="AH1268" i="9"/>
  <c r="AC1268" i="9" a="1"/>
  <c r="AC1268" i="9" s="1"/>
  <c r="AA1269" i="9" s="1"/>
  <c r="Z1269" i="9" l="1"/>
  <c r="AD1269" i="9"/>
  <c r="AI1269" i="9"/>
  <c r="AJ1269" i="9" s="1"/>
  <c r="AG1269" i="9"/>
  <c r="Y1269" i="9" l="1"/>
  <c r="X1270" i="9" s="1"/>
  <c r="AH1269" i="9"/>
  <c r="AC1269" i="9" a="1"/>
  <c r="AC1269" i="9" s="1"/>
  <c r="AA1270" i="9" s="1"/>
  <c r="Z1270" i="9" l="1"/>
  <c r="AI1270" i="9"/>
  <c r="AJ1270" i="9" s="1"/>
  <c r="AG1270" i="9"/>
  <c r="AD1270" i="9"/>
  <c r="Y1270" i="9" l="1"/>
  <c r="X1271" i="9" s="1"/>
  <c r="AH1270" i="9"/>
  <c r="AC1270" i="9" a="1"/>
  <c r="AC1270" i="9" s="1"/>
  <c r="AA1271" i="9" s="1"/>
  <c r="Z1271" i="9" l="1"/>
  <c r="AI1271" i="9"/>
  <c r="AJ1271" i="9" s="1"/>
  <c r="AD1271" i="9"/>
  <c r="AG1271" i="9"/>
  <c r="Y1271" i="9" l="1"/>
  <c r="X1272" i="9" s="1"/>
  <c r="Z1272" i="9" s="1"/>
  <c r="AC1271" i="9" a="1"/>
  <c r="AC1271" i="9" s="1"/>
  <c r="AA1272" i="9" s="1"/>
  <c r="AH1271" i="9"/>
  <c r="AI1272" i="9" l="1"/>
  <c r="AJ1272" i="9" s="1"/>
  <c r="AG1272" i="9"/>
  <c r="AD1272" i="9"/>
  <c r="Y1272" i="9" s="1"/>
  <c r="X1273" i="9" s="1"/>
  <c r="AH1272" i="9" l="1"/>
  <c r="AC1272" i="9" a="1"/>
  <c r="AC1272" i="9" s="1"/>
  <c r="AA1273" i="9" s="1"/>
  <c r="Z1273" i="9"/>
  <c r="AI1273" i="9" l="1"/>
  <c r="AJ1273" i="9" s="1"/>
  <c r="AG1273" i="9"/>
  <c r="AD1273" i="9"/>
  <c r="Y1273" i="9" s="1"/>
  <c r="X1274" i="9" s="1"/>
  <c r="AC1273" i="9" l="1" a="1"/>
  <c r="AC1273" i="9" s="1"/>
  <c r="AA1274" i="9" s="1"/>
  <c r="AH1273" i="9"/>
  <c r="Z1274" i="9"/>
  <c r="AG1274" i="9" l="1"/>
  <c r="AD1274" i="9"/>
  <c r="AC1274" i="9" s="1" a="1"/>
  <c r="AC1274" i="9" s="1"/>
  <c r="AA1275" i="9" s="1"/>
  <c r="AI1274" i="9"/>
  <c r="AJ1274" i="9" s="1"/>
  <c r="AH1274" i="9" l="1"/>
  <c r="Y1274" i="9"/>
  <c r="X1275" i="9" s="1"/>
  <c r="AD1275" i="9"/>
  <c r="AI1275" i="9" l="1"/>
  <c r="AJ1275" i="9" s="1"/>
  <c r="Z1275" i="9"/>
  <c r="AC1275" i="9" s="1" a="1"/>
  <c r="AC1275" i="9" s="1"/>
  <c r="AA1276" i="9" s="1"/>
  <c r="AG1275" i="9"/>
  <c r="AH1275" i="9" l="1"/>
  <c r="Y1275" i="9"/>
  <c r="X1276" i="9" s="1"/>
  <c r="AD1276" i="9"/>
  <c r="Z1276" i="9" l="1"/>
  <c r="AH1276" i="9" s="1"/>
  <c r="AG1276" i="9"/>
  <c r="AI1276" i="9"/>
  <c r="AJ1276" i="9" s="1"/>
  <c r="Y1276" i="9" l="1"/>
  <c r="X1277" i="9" s="1"/>
  <c r="AC1276" i="9" a="1"/>
  <c r="AC1276" i="9" s="1"/>
  <c r="AA1277" i="9" s="1"/>
  <c r="Z1277" i="9" l="1"/>
  <c r="AG1277" i="9"/>
  <c r="AI1277" i="9"/>
  <c r="AJ1277" i="9" s="1"/>
  <c r="AD1277" i="9"/>
  <c r="AH1277" i="9" l="1"/>
  <c r="Y1277" i="9"/>
  <c r="X1278" i="9" s="1"/>
  <c r="AC1277" i="9" a="1"/>
  <c r="AC1277" i="9" s="1"/>
  <c r="AA1278" i="9" s="1"/>
  <c r="AD1278" i="9" l="1"/>
  <c r="AI1278" i="9"/>
  <c r="AJ1278" i="9" s="1"/>
  <c r="Z1278" i="9"/>
  <c r="AG1278" i="9"/>
  <c r="AC1278" i="9" l="1" a="1"/>
  <c r="AC1278" i="9" s="1"/>
  <c r="AA1279" i="9" s="1"/>
  <c r="AD1279" i="9" s="1"/>
  <c r="AH1278" i="9"/>
  <c r="Y1278" i="9"/>
  <c r="X1279" i="9" s="1"/>
  <c r="AG1279" i="9" l="1"/>
  <c r="Z1279" i="9"/>
  <c r="Y1279" i="9" s="1"/>
  <c r="X1280" i="9" s="1"/>
  <c r="AI1279" i="9"/>
  <c r="AJ1279" i="9" s="1"/>
  <c r="AC1279" i="9" l="1" a="1"/>
  <c r="AC1279" i="9" s="1"/>
  <c r="AA1280" i="9" s="1"/>
  <c r="AG1280" i="9" s="1"/>
  <c r="AH1279" i="9"/>
  <c r="Z1280" i="9"/>
  <c r="AI1280" i="9" l="1"/>
  <c r="AJ1280" i="9" s="1"/>
  <c r="AD1280" i="9"/>
  <c r="AH1280" i="9" s="1"/>
  <c r="AC1280" i="9" l="1" a="1"/>
  <c r="AC1280" i="9" s="1"/>
  <c r="AA1281" i="9" s="1"/>
  <c r="AD1281" i="9" s="1"/>
  <c r="Y1280" i="9"/>
  <c r="X1281" i="9" s="1"/>
  <c r="AG1281" i="9" l="1"/>
  <c r="AI1281" i="9"/>
  <c r="AJ1281" i="9" s="1"/>
  <c r="Z1281" i="9"/>
  <c r="AC1281" i="9" s="1" a="1"/>
  <c r="AC1281" i="9" s="1"/>
  <c r="AA1282" i="9" s="1"/>
  <c r="Y1281" i="9" l="1"/>
  <c r="X1282" i="9" s="1"/>
  <c r="AG1282" i="9" s="1"/>
  <c r="AH1281" i="9"/>
  <c r="AD1282" i="9"/>
  <c r="AI1282" i="9" l="1"/>
  <c r="AJ1282" i="9" s="1"/>
  <c r="Z1282" i="9"/>
  <c r="AH1282" i="9" s="1"/>
  <c r="Y1282" i="9" l="1"/>
  <c r="X1283" i="9" s="1"/>
  <c r="Z1283" i="9" s="1"/>
  <c r="AC1282" i="9" a="1"/>
  <c r="AC1282" i="9" s="1"/>
  <c r="AA1283" i="9" s="1"/>
  <c r="AG1283" i="9" l="1"/>
  <c r="AD1283" i="9"/>
  <c r="Y1283" i="9" s="1"/>
  <c r="X1284" i="9" s="1"/>
  <c r="AI1283" i="9"/>
  <c r="AJ1283" i="9" s="1"/>
  <c r="AH1283" i="9" l="1"/>
  <c r="AC1283" i="9" a="1"/>
  <c r="AC1283" i="9" s="1"/>
  <c r="AA1284" i="9" s="1"/>
  <c r="AD1284" i="9" s="1"/>
  <c r="Z1284" i="9"/>
  <c r="AG1284" i="9" l="1"/>
  <c r="AI1284" i="9"/>
  <c r="AJ1284" i="9" s="1"/>
  <c r="AC1284" i="9" a="1"/>
  <c r="AC1284" i="9" s="1"/>
  <c r="AA1285" i="9" s="1"/>
  <c r="Y1284" i="9"/>
  <c r="X1285" i="9" s="1"/>
  <c r="AH1284" i="9"/>
  <c r="AG1285" i="9" l="1"/>
  <c r="Z1285" i="9"/>
  <c r="AI1285" i="9"/>
  <c r="AJ1285" i="9" s="1"/>
  <c r="AD1285" i="9"/>
  <c r="AH1285" i="9" l="1"/>
  <c r="Y1285" i="9"/>
  <c r="X1286" i="9" s="1"/>
  <c r="AC1285" i="9" a="1"/>
  <c r="AC1285" i="9" s="1"/>
  <c r="AA1286" i="9" s="1"/>
  <c r="AD1286" i="9" l="1"/>
  <c r="Z1286" i="9"/>
  <c r="AG1286" i="9"/>
  <c r="AI1286" i="9"/>
  <c r="AJ1286" i="9" s="1"/>
  <c r="Y1286" i="9" l="1"/>
  <c r="X1287" i="9" s="1"/>
  <c r="AC1286" i="9" a="1"/>
  <c r="AC1286" i="9" s="1"/>
  <c r="AA1287" i="9" s="1"/>
  <c r="AH1286" i="9"/>
  <c r="AD1287" i="9" l="1"/>
  <c r="AI1287" i="9"/>
  <c r="AJ1287" i="9" s="1"/>
  <c r="AG1287" i="9"/>
  <c r="Z1287" i="9"/>
  <c r="AH1287" i="9" l="1"/>
  <c r="Y1287" i="9"/>
  <c r="X1288" i="9" s="1"/>
  <c r="AC1287" i="9" a="1"/>
  <c r="AC1287" i="9" s="1"/>
  <c r="AA1288" i="9" s="1"/>
  <c r="AD1288" i="9" l="1"/>
  <c r="Z1288" i="9"/>
  <c r="AG1288" i="9"/>
  <c r="AI1288" i="9"/>
  <c r="AJ1288" i="9" s="1"/>
  <c r="AC1288" i="9" l="1" a="1"/>
  <c r="AC1288" i="9" s="1"/>
  <c r="AA1289" i="9" s="1"/>
  <c r="AH1288" i="9"/>
  <c r="Y1288" i="9"/>
  <c r="X1289" i="9" s="1"/>
  <c r="Z1289" i="9" l="1"/>
  <c r="AG1289" i="9"/>
  <c r="AI1289" i="9"/>
  <c r="AJ1289" i="9" s="1"/>
  <c r="AD1289" i="9"/>
  <c r="AH1289" i="9" l="1"/>
  <c r="AC1289" i="9" a="1"/>
  <c r="AC1289" i="9" s="1"/>
  <c r="AA1290" i="9" s="1"/>
  <c r="Y1289" i="9"/>
  <c r="X1290" i="9" s="1"/>
  <c r="Z1290" i="9" l="1"/>
  <c r="AI1290" i="9"/>
  <c r="AJ1290" i="9" s="1"/>
  <c r="AG1290" i="9"/>
  <c r="AD1290" i="9"/>
  <c r="AC1290" i="9" l="1" a="1"/>
  <c r="AC1290" i="9" s="1"/>
  <c r="AA1291" i="9" s="1"/>
  <c r="AH1290" i="9"/>
  <c r="Y1290" i="9"/>
  <c r="X1291" i="9" s="1"/>
  <c r="AG1291" i="9" l="1"/>
  <c r="Z1291" i="9"/>
  <c r="AI1291" i="9"/>
  <c r="AJ1291" i="9" s="1"/>
  <c r="AD1291" i="9"/>
  <c r="AC1291" i="9" l="1" a="1"/>
  <c r="AC1291" i="9" s="1"/>
  <c r="AA1292" i="9" s="1"/>
  <c r="Y1291" i="9"/>
  <c r="X1292" i="9" s="1"/>
  <c r="AH1291" i="9"/>
  <c r="Z1292" i="9" l="1"/>
  <c r="AI1292" i="9"/>
  <c r="AJ1292" i="9" s="1"/>
  <c r="AG1292" i="9"/>
  <c r="AD1292" i="9"/>
  <c r="Y1292" i="9" l="1"/>
  <c r="X1293" i="9" s="1"/>
  <c r="AH1292" i="9"/>
  <c r="AC1292" i="9" a="1"/>
  <c r="AC1292" i="9" s="1"/>
  <c r="AA1293" i="9" s="1"/>
  <c r="AD1293" i="9" l="1"/>
  <c r="AG1293" i="9"/>
  <c r="Z1293" i="9"/>
  <c r="AI1293" i="9"/>
  <c r="AJ1293" i="9" s="1"/>
  <c r="AH1293" i="9" l="1"/>
  <c r="Y1293" i="9"/>
  <c r="X1294" i="9" s="1"/>
  <c r="AC1293" i="9" a="1"/>
  <c r="AC1293" i="9" s="1"/>
  <c r="AA1294" i="9" s="1"/>
  <c r="AD1294" i="9" l="1"/>
  <c r="Z1294" i="9"/>
  <c r="AG1294" i="9"/>
  <c r="AI1294" i="9"/>
  <c r="AJ1294" i="9" s="1"/>
  <c r="Y1294" i="9" l="1"/>
  <c r="X1295" i="9" s="1"/>
  <c r="AH1294" i="9"/>
  <c r="AC1294" i="9" a="1"/>
  <c r="AC1294" i="9" s="1"/>
  <c r="AA1295" i="9" s="1"/>
  <c r="AD1295" i="9" l="1"/>
  <c r="Z1295" i="9"/>
  <c r="AG1295" i="9"/>
  <c r="AI1295" i="9"/>
  <c r="AJ1295" i="9" s="1"/>
  <c r="AH1295" i="9" l="1"/>
  <c r="Y1295" i="9"/>
  <c r="X1296" i="9" s="1"/>
  <c r="AC1295" i="9" a="1"/>
  <c r="AC1295" i="9" s="1"/>
  <c r="AA1296" i="9" s="1"/>
  <c r="AD1296" i="9" l="1"/>
  <c r="Z1296" i="9"/>
  <c r="AI1296" i="9"/>
  <c r="AJ1296" i="9" s="1"/>
  <c r="AG1296" i="9"/>
  <c r="Y1296" i="9" l="1"/>
  <c r="X1297" i="9" s="1"/>
  <c r="AH1296" i="9"/>
  <c r="AC1296" i="9" a="1"/>
  <c r="AC1296" i="9" s="1"/>
  <c r="AA1297" i="9" s="1"/>
  <c r="AD1297" i="9" l="1"/>
  <c r="Z1297" i="9"/>
  <c r="AI1297" i="9"/>
  <c r="AJ1297" i="9" s="1"/>
  <c r="AG1297" i="9"/>
  <c r="AC1297" i="9" l="1" a="1"/>
  <c r="AC1297" i="9" s="1"/>
  <c r="AA1298" i="9" s="1"/>
  <c r="AH1297" i="9"/>
  <c r="Y1297" i="9"/>
  <c r="X1298" i="9" s="1"/>
  <c r="Z1298" i="9" l="1"/>
  <c r="AG1298" i="9"/>
  <c r="AI1298" i="9"/>
  <c r="AJ1298" i="9" s="1"/>
  <c r="AD1298" i="9"/>
  <c r="Y1298" i="9" l="1"/>
  <c r="X1299" i="9" s="1"/>
  <c r="AC1298" i="9" a="1"/>
  <c r="AC1298" i="9" s="1"/>
  <c r="AA1299" i="9" s="1"/>
  <c r="AH1298" i="9"/>
  <c r="AD1299" i="9" l="1"/>
  <c r="Z1299" i="9"/>
  <c r="AG1299" i="9"/>
  <c r="AI1299" i="9"/>
  <c r="AJ1299" i="9" s="1"/>
  <c r="AC1299" i="9" l="1" a="1"/>
  <c r="AC1299" i="9" s="1"/>
  <c r="AA1300" i="9" s="1"/>
  <c r="AH1299" i="9"/>
  <c r="Y1299" i="9"/>
  <c r="X1300" i="9" s="1"/>
  <c r="AI1300" i="9" l="1"/>
  <c r="AJ1300" i="9" s="1"/>
  <c r="Z1300" i="9"/>
  <c r="AG1300" i="9"/>
  <c r="AD1300" i="9"/>
  <c r="Y1300" i="9" l="1"/>
  <c r="X1301" i="9" s="1"/>
  <c r="AC1300" i="9" a="1"/>
  <c r="AC1300" i="9" s="1"/>
  <c r="AA1301" i="9" s="1"/>
  <c r="AH1300" i="9"/>
  <c r="AD1301" i="9" l="1"/>
  <c r="Z1301" i="9"/>
  <c r="AI1301" i="9"/>
  <c r="AJ1301" i="9" s="1"/>
  <c r="AG1301" i="9"/>
  <c r="Y1301" i="9" l="1"/>
  <c r="X1302" i="9" s="1"/>
  <c r="AC1301" i="9" a="1"/>
  <c r="AC1301" i="9" s="1"/>
  <c r="AA1302" i="9" s="1"/>
  <c r="AH1301" i="9"/>
  <c r="AD1302" i="9" l="1"/>
  <c r="AG1302" i="9"/>
  <c r="AI1302" i="9"/>
  <c r="AJ1302" i="9" s="1"/>
  <c r="Z1302" i="9"/>
  <c r="AC1302" i="9" l="1" a="1"/>
  <c r="AC1302" i="9" s="1"/>
  <c r="AH1302" i="9"/>
  <c r="Y1302"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 Smith</author>
  </authors>
  <commentList>
    <comment ref="H2" authorId="0" shapeId="0" xr:uid="{621592CD-73D9-4886-98C5-BD34A94F4201}">
      <text>
        <r>
          <rPr>
            <b/>
            <sz val="9"/>
            <color indexed="81"/>
            <rFont val="Tahoma"/>
            <family val="2"/>
          </rPr>
          <t>Jo Smith:</t>
        </r>
        <r>
          <rPr>
            <sz val="9"/>
            <color indexed="81"/>
            <rFont val="Tahoma"/>
            <family val="2"/>
          </rPr>
          <t xml:space="preserve">
Calculated from %C x BD x d</t>
        </r>
      </text>
    </comment>
    <comment ref="I2" authorId="0" shapeId="0" xr:uid="{A6FAAB3C-F9A5-4B03-B9BE-60A08E142095}">
      <text>
        <r>
          <rPr>
            <b/>
            <sz val="9"/>
            <color indexed="81"/>
            <rFont val="Tahoma"/>
            <family val="2"/>
          </rPr>
          <t>Jo Smith:</t>
        </r>
        <r>
          <rPr>
            <sz val="9"/>
            <color indexed="81"/>
            <rFont val="Tahoma"/>
            <family val="2"/>
          </rPr>
          <t xml:space="preserve">
Calculation of equivalent depth.
Mass of soil in reference sample, M1(t/ha) is given by
M1 = BD1 x d1 x 100 
where BD1 = bulk density of reference saple (g / cm3), d1 = depth of reference sample (cm).
Similarly, mass of soil in current sample, M2 (t/ha) is 
M2 = BD2 x d2 x 100.
If we take an equivalent mass, then M1 = M2
So 
BD1 x d1 x 100 = BD2 x d2 x 100.
Rearranging, 
d2 = (BD1 x d1) / BD2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tc={B25336A7-AE56-464D-B82B-89882963AE59}</author>
    <author>tc={DCAB6CF2-306E-4C22-B9B3-87BBD8339274}</author>
    <author>tc={18BB13F5-DAD4-4614-A47F-31078587B04C}</author>
    <author>tc={CFA81FAA-677C-49E9-AD88-F56FC650A7A8}</author>
    <author>tc={01C66C58-7A1B-4C98-BC3A-53805ADF3247}</author>
    <author>tc={AB3F7980-C1F8-4165-890E-F980F8253D9E}</author>
    <author>tc={1AFF448D-A02C-4771-B5A1-37A176EEAFAA}</author>
    <author>Author</author>
    <author>tc={D69DF955-F898-4F37-9A6E-49E28124DFE7}</author>
    <author>Jo Smith</author>
    <author>tc={D004C031-F082-4229-8B88-0DD7AE31276A}</author>
    <author>tc={03A46DC9-90CC-4848-A459-7895FDECE13F}</author>
    <author>tc={DA57ECB9-3894-497B-BC5B-4C81FFCA0CF4}</author>
    <author>tc={973417D3-8A41-42DF-828F-A59B5310489D}</author>
  </authors>
  <commentList>
    <comment ref="L7" authorId="0" shapeId="0" xr:uid="{B25336A7-AE56-464D-B82B-89882963AE59}">
      <text>
        <t>[Threaded comment]
Your version of Excel allows you to read this threaded comment; however, any edits to it will get removed if the file is opened in a newer version of Excel. Learn more: https://go.microsoft.com/fwlink/?linkid=870924
Comment:
    Upper soil moisture thresholds for microbial activity.</t>
      </text>
    </comment>
    <comment ref="M7" authorId="1" shapeId="0" xr:uid="{DCAB6CF2-306E-4C22-B9B3-87BBD8339274}">
      <text>
        <t xml:space="preserve">[Threaded comment]
Your version of Excel allows you to read this threaded comment; however, any edits to it will get removed if the file is opened in a newer version of Excel. Learn more: https://go.microsoft.com/fwlink/?linkid=870924
Comment:
    It is calculated as Bertagni et al (2021).    Bertagni, M.B., Paulot, F., Porporato, A., 2021. Moisture Fluctuations Modulate Abiotic and Biotic Limitations of H2 Soil Uptake. Glob. Biogeochem. Cycles 35. https://doi.org/10.1029/2021GB006987
</t>
      </text>
    </comment>
    <comment ref="N7" authorId="2" shapeId="0" xr:uid="{18BB13F5-DAD4-4614-A47F-31078587B04C}">
      <text>
        <t xml:space="preserve">[Threaded comment]
Your version of Excel allows you to read this threaded comment; however, any edits to it will get removed if the file is opened in a newer version of Excel. Learn more: https://go.microsoft.com/fwlink/?linkid=870924
Comment:
    It is calculated as Bertagni et al (2021).    Bertagni, M.B., Paulot, F., Porporato, A., 2021. Moisture Fluctuations Modulate Abiotic and Biotic Limitations of H2 Soil Uptake. Glob. Biogeochem. Cycles 35. https://doi.org/10.1029/2021GB006987
</t>
      </text>
    </comment>
    <comment ref="J8" authorId="3" shapeId="0" xr:uid="{CFA81FAA-677C-49E9-AD88-F56FC650A7A8}">
      <text>
        <t xml:space="preserve">[Threaded comment]
Your version of Excel allows you to read this threaded comment; however, any edits to it will get removed if the file is opened in a newer version of Excel. Learn more: https://go.microsoft.com/fwlink/?linkid=870924
Comment:
    Lower soil moisture thresholds for microbial activity in peat soils calculated by pedotransfer function presented by Hollis et al. (2008).
Hollis, J.M. 2008. Unpublished internal report prepared by Cranfield University for the Defra PS2225 project.
</t>
      </text>
    </comment>
    <comment ref="K8" authorId="4" shapeId="0" xr:uid="{01C66C58-7A1B-4C98-BC3A-53805ADF3247}">
      <text>
        <t xml:space="preserve">[Threaded comment]
Your version of Excel allows you to read this threaded comment; however, any edits to it will get removed if the file is opened in a newer version of Excel. Learn more: https://go.microsoft.com/fwlink/?linkid=870924
Comment:
    Optimum soil moisture thresholds for microbial activity calculated by pedotransfer function presented by Hollis et al. (2008).
Hollis, J.M. 2008. Unpublished internal report prepared by Cranfield University for the Defra PS2225 project.
</t>
      </text>
    </comment>
    <comment ref="J9" authorId="5" shapeId="0" xr:uid="{AB3F7980-C1F8-4165-890E-F980F8253D9E}">
      <text>
        <t xml:space="preserve">[Threaded comment]
Your version of Excel allows you to read this threaded comment; however, any edits to it will get removed if the file is opened in a newer version of Excel. Learn more: https://go.microsoft.com/fwlink/?linkid=870924
Comment:
    Lower soil moisture thresholds for microbial activity calculated by pedotransfer function presented by Brand et al. (2020).
Brand, A., Lilly, A., Smith, J., 2020. A simple approach to modelling the soil water budget in cool temperate mineral topsoils. Environmental Modelling and Software 127. https://doi.org/10.1016/j.envsoft.2020.104700
</t>
      </text>
    </comment>
    <comment ref="K9" authorId="6" shapeId="0" xr:uid="{1AFF448D-A02C-4771-B5A1-37A176EEAFAA}">
      <text>
        <t xml:space="preserve">[Threaded comment]
Your version of Excel allows you to read this threaded comment; however, any edits to it will get removed if the file is opened in a newer version of Excel. Learn more: https://go.microsoft.com/fwlink/?linkid=870924
Comment:
    Optimum soil moisture thresholds for microbial activity calculated by pedotransfer function presented by Brand et al. (2020).
Brand, A., Lilly, A., Smith, J., 2020. A simple approach to modelling the soil water budget in cool temperate mineral topsoils. Environmental Modelling and Software 127. https://doi.org/10.1016/j.envsoft.2020.104700
</t>
      </text>
    </comment>
    <comment ref="R9" authorId="7" shapeId="0" xr:uid="{700AB900-0D42-4EE7-8C8A-6719B5EBA036}">
      <text>
        <r>
          <rPr>
            <b/>
            <sz val="8"/>
            <color indexed="81"/>
            <rFont val="Tahoma"/>
            <family val="2"/>
          </rPr>
          <t>Author:</t>
        </r>
        <r>
          <rPr>
            <sz val="8"/>
            <color indexed="81"/>
            <rFont val="Tahoma"/>
            <family val="2"/>
          </rPr>
          <t xml:space="preserve">
Fallloon equation for IOM (Falloon et al., 1998)</t>
        </r>
      </text>
    </comment>
    <comment ref="AI9" authorId="8" shapeId="0" xr:uid="{D69DF955-F898-4F37-9A6E-49E28124DFE7}">
      <text>
        <t xml:space="preserve">[Threaded comment]
Your version of Excel allows you to read this threaded comment; however, any edits to it will get removed if the file is opened in a newer version of Excel. Learn more: https://go.microsoft.com/fwlink/?linkid=870924
Comment:
    Conversion factor of the overall decomposability of SOC to soil H₂ uptake </t>
      </text>
    </comment>
    <comment ref="G17" authorId="9" shapeId="0" xr:uid="{70D1F326-4088-43F3-BD58-7C86DDF69B84}">
      <text>
        <r>
          <rPr>
            <b/>
            <sz val="9"/>
            <color indexed="81"/>
            <rFont val="Tahoma"/>
            <family val="2"/>
          </rPr>
          <t>Jo Smith:</t>
        </r>
        <r>
          <rPr>
            <sz val="9"/>
            <color indexed="81"/>
            <rFont val="Tahoma"/>
            <family val="2"/>
          </rPr>
          <t xml:space="preserve">
</t>
        </r>
      </text>
    </comment>
    <comment ref="K17" authorId="10" shapeId="0" xr:uid="{D004C031-F082-4229-8B88-0DD7AE31276A}">
      <text>
        <t xml:space="preserve">[Threaded comment]
Your version of Excel allows you to read this threaded comment; however, any edits to it will get removed if the file is opened in a newer version of Excel. Learn more: https://go.microsoft.com/fwlink/?linkid=870924
Comment:
    It is calculated as Bertagni et al (2021).    Bertagni, M.B., Paulot, F., Porporato, A., 2021. Moisture Fluctuations Modulate Abiotic and Biotic Limitations of H2 Soil Uptake. Glob. Biogeochem. Cycles 35. https://doi.org/10.1029/2021GB006987
</t>
      </text>
    </comment>
    <comment ref="L17" authorId="11" shapeId="0" xr:uid="{03A46DC9-90CC-4848-A459-7895FDECE13F}">
      <text>
        <t xml:space="preserve">[Threaded comment]
Your version of Excel allows you to read this threaded comment; however, any edits to it will get removed if the file is opened in a newer version of Excel. Learn more: https://go.microsoft.com/fwlink/?linkid=870924
Comment:
    Temperature response function as calculated by Ehhalt, D.H., Rohrer, F., 2011. The dependence of soil H&amp;lt;sub&amp;gt;2&amp;lt;/sub&amp;gt; uptake on temperature and moisture: a reanalysis of laboratory data. Tellus B Chem. Phys. Meteorol. 63, 1040. https://doi.org/10.1111/j.1600-0889.2011.00581.x
 </t>
      </text>
    </comment>
    <comment ref="AI17" authorId="12" shapeId="0" xr:uid="{DA57ECB9-3894-497B-BC5B-4C81FFCA0CF4}">
      <text>
        <t xml:space="preserve">[Threaded comment]
Your version of Excel allows you to read this threaded comment; however, any edits to it will get removed if the file is opened in a newer version of Excel. Learn more: https://go.microsoft.com/fwlink/?linkid=870924
Comment:
    Weighted rate constant of active C pools </t>
      </text>
    </comment>
    <comment ref="G92" authorId="13" shapeId="0" xr:uid="{973417D3-8A41-42DF-828F-A59B5310489D}">
      <text>
        <t>[Threaded comment]
Your version of Excel allows you to read this threaded comment; however, any edits to it will get removed if the file is opened in a newer version of Excel. Learn more: https://go.microsoft.com/fwlink/?linkid=870924
Comment:
    Measured soil mositure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0" authorId="0" shapeId="0" xr:uid="{E0F12FA5-DBAE-474E-90D0-795405D6074E}">
      <text>
        <r>
          <rPr>
            <sz val="9"/>
            <color indexed="81"/>
            <rFont val="Tahoma"/>
            <family val="2"/>
          </rPr>
          <t>After Smith et al., 2014</t>
        </r>
      </text>
    </comment>
    <comment ref="D30" authorId="0" shapeId="0" xr:uid="{25CA9C16-C866-44BC-BD3B-E9F02E7143B8}">
      <text>
        <r>
          <rPr>
            <b/>
            <sz val="9"/>
            <color indexed="81"/>
            <rFont val="Tahoma"/>
            <family val="2"/>
          </rPr>
          <t>Author:</t>
        </r>
        <r>
          <rPr>
            <sz val="9"/>
            <color indexed="81"/>
            <rFont val="Tahoma"/>
            <family val="2"/>
          </rPr>
          <t xml:space="preserve">
After Smith et al., 2014</t>
        </r>
      </text>
    </comment>
    <comment ref="E30" authorId="0" shapeId="0" xr:uid="{72FB014A-FABE-4580-B9B0-C500EEAA2945}">
      <text>
        <r>
          <rPr>
            <b/>
            <sz val="9"/>
            <color indexed="81"/>
            <rFont val="Tahoma"/>
            <family val="2"/>
          </rPr>
          <t>Author:</t>
        </r>
        <r>
          <rPr>
            <sz val="9"/>
            <color indexed="81"/>
            <rFont val="Tahoma"/>
            <family val="2"/>
          </rPr>
          <t xml:space="preserve">
After Smith et al., 2014</t>
        </r>
      </text>
    </comment>
    <comment ref="F30" authorId="0" shapeId="0" xr:uid="{3F54F38A-B5E0-48BE-9E71-BC855E285DAB}">
      <text>
        <r>
          <rPr>
            <b/>
            <sz val="9"/>
            <color indexed="81"/>
            <rFont val="Tahoma"/>
            <family val="2"/>
          </rPr>
          <t>Author:</t>
        </r>
        <r>
          <rPr>
            <sz val="9"/>
            <color indexed="81"/>
            <rFont val="Tahoma"/>
            <family val="2"/>
          </rPr>
          <t xml:space="preserve">
After Smith et al., 2014</t>
        </r>
      </text>
    </comment>
    <comment ref="C31" authorId="0" shapeId="0" xr:uid="{B6EEFCF9-F11F-4A95-B4FB-7BBEF9187474}">
      <text>
        <r>
          <rPr>
            <b/>
            <sz val="9"/>
            <color indexed="81"/>
            <rFont val="Tahoma"/>
            <family val="2"/>
          </rPr>
          <t>Author:</t>
        </r>
        <r>
          <rPr>
            <sz val="9"/>
            <color indexed="81"/>
            <rFont val="Tahoma"/>
            <family val="2"/>
          </rPr>
          <t xml:space="preserve">
After Smith et al., 2014</t>
        </r>
      </text>
    </comment>
    <comment ref="D31" authorId="0" shapeId="0" xr:uid="{67B75D50-1044-4B6D-9FEC-1E4503700336}">
      <text>
        <r>
          <rPr>
            <b/>
            <sz val="9"/>
            <color indexed="81"/>
            <rFont val="Tahoma"/>
            <family val="2"/>
          </rPr>
          <t>Author:</t>
        </r>
        <r>
          <rPr>
            <sz val="9"/>
            <color indexed="81"/>
            <rFont val="Tahoma"/>
            <family val="2"/>
          </rPr>
          <t xml:space="preserve">
After Smith et al., 2014</t>
        </r>
      </text>
    </comment>
    <comment ref="E31" authorId="0" shapeId="0" xr:uid="{EA93324F-1E6F-4640-808F-BD3226B3C443}">
      <text>
        <r>
          <rPr>
            <b/>
            <sz val="9"/>
            <color indexed="81"/>
            <rFont val="Tahoma"/>
            <family val="2"/>
          </rPr>
          <t>Author:</t>
        </r>
        <r>
          <rPr>
            <sz val="9"/>
            <color indexed="81"/>
            <rFont val="Tahoma"/>
            <family val="2"/>
          </rPr>
          <t xml:space="preserve">
After Smith et al., 2014</t>
        </r>
      </text>
    </comment>
    <comment ref="F31" authorId="0" shapeId="0" xr:uid="{ED205383-7703-4D67-BECC-3D0F93A57DB8}">
      <text>
        <r>
          <rPr>
            <b/>
            <sz val="9"/>
            <color indexed="81"/>
            <rFont val="Tahoma"/>
            <family val="2"/>
          </rPr>
          <t>Author:</t>
        </r>
        <r>
          <rPr>
            <sz val="9"/>
            <color indexed="81"/>
            <rFont val="Tahoma"/>
            <family val="2"/>
          </rPr>
          <t xml:space="preserve">
After Smith et al., 2014</t>
        </r>
      </text>
    </comment>
    <comment ref="C32" authorId="0" shapeId="0" xr:uid="{3F8CE1CF-6ED6-4103-9939-2E53E3073EAA}">
      <text>
        <r>
          <rPr>
            <b/>
            <sz val="9"/>
            <color indexed="81"/>
            <rFont val="Tahoma"/>
            <family val="2"/>
          </rPr>
          <t xml:space="preserve">Author: </t>
        </r>
        <r>
          <rPr>
            <sz val="9"/>
            <color indexed="81"/>
            <rFont val="Tahoma"/>
            <family val="2"/>
          </rPr>
          <t>After Negash et al., 2017</t>
        </r>
      </text>
    </comment>
    <comment ref="D32" authorId="0" shapeId="0" xr:uid="{25A9ECB2-1163-42FC-89DB-17423DE8A553}">
      <text>
        <r>
          <rPr>
            <b/>
            <sz val="9"/>
            <color indexed="81"/>
            <rFont val="Tahoma"/>
            <family val="2"/>
          </rPr>
          <t>Author:</t>
        </r>
        <r>
          <rPr>
            <sz val="9"/>
            <color indexed="81"/>
            <rFont val="Tahoma"/>
            <family val="2"/>
          </rPr>
          <t xml:space="preserve">
After Negash et al., 2017</t>
        </r>
      </text>
    </comment>
    <comment ref="E32" authorId="0" shapeId="0" xr:uid="{C8D02270-666A-4234-9CD2-A2F45ED86328}">
      <text>
        <r>
          <rPr>
            <b/>
            <sz val="9"/>
            <color indexed="81"/>
            <rFont val="Tahoma"/>
            <family val="2"/>
          </rPr>
          <t>Author:</t>
        </r>
        <r>
          <rPr>
            <sz val="9"/>
            <color indexed="81"/>
            <rFont val="Tahoma"/>
            <family val="2"/>
          </rPr>
          <t xml:space="preserve">
After Negash et al., 2017</t>
        </r>
      </text>
    </comment>
    <comment ref="F32" authorId="0" shapeId="0" xr:uid="{07D4F4E0-4D55-4325-A5DD-5504DED4ED1F}">
      <text>
        <r>
          <rPr>
            <b/>
            <sz val="9"/>
            <color indexed="81"/>
            <rFont val="Tahoma"/>
            <family val="2"/>
          </rPr>
          <t>Author:</t>
        </r>
        <r>
          <rPr>
            <sz val="9"/>
            <color indexed="81"/>
            <rFont val="Tahoma"/>
            <family val="2"/>
          </rPr>
          <t xml:space="preserve">
After Smith et al., 2014</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H4" authorId="0" shapeId="0" xr:uid="{70781733-715D-4D2F-8607-DED4B555245B}">
      <text>
        <r>
          <rPr>
            <sz val="9"/>
            <color indexed="81"/>
            <rFont val="Tahoma"/>
            <family val="2"/>
          </rPr>
          <t>Simple equation from 
http://www.ehow.com/how_6904335_calculate-sun_s-declination.html
After Spencer (1971)
δ = 0.006918 - 0.399912 cos(θ_d) + 0.070257 sin(θ_d) - 0.006758 cos(2θ_d) + 0.000907 sin(2θ_d) - 0.002697 cos(3θ_d) + 0.001480 sin(3θ_d)
where
δ is the declination of the sun (degrees)
θ_d is the date in julian days expressesd as an angle in radians
    θ_d = 2π(d/365)
    where d is the day in the year</t>
        </r>
      </text>
    </comment>
    <comment ref="I4" authorId="0" shapeId="0" xr:uid="{F88CFEF5-811C-4D70-B356-F7A652DB8B1F}">
      <text>
        <r>
          <rPr>
            <b/>
            <sz val="9"/>
            <color indexed="81"/>
            <rFont val="Tahoma"/>
            <family val="2"/>
          </rPr>
          <t xml:space="preserve">Jo Smith: </t>
        </r>
        <r>
          <rPr>
            <sz val="9"/>
            <color indexed="81"/>
            <rFont val="Tahoma"/>
            <family val="2"/>
          </rPr>
          <t>Simple equation for latitudes &lt; 30 degrees only from</t>
        </r>
        <r>
          <rPr>
            <b/>
            <sz val="9"/>
            <color indexed="81"/>
            <rFont val="Tahoma"/>
            <family val="2"/>
          </rPr>
          <t xml:space="preserve"> </t>
        </r>
        <r>
          <rPr>
            <sz val="9"/>
            <color indexed="81"/>
            <rFont val="Tahoma"/>
            <family val="2"/>
          </rPr>
          <t xml:space="preserve">
http://fer3.com/arc/m2.aspx/Length-Day-Latitude-FrankReed-mar-2010-g12103</t>
        </r>
      </text>
    </comment>
    <comment ref="M4" authorId="0" shapeId="0" xr:uid="{7F5350AC-8ACD-46B6-8372-BBA05A4BE295}">
      <text>
        <r>
          <rPr>
            <b/>
            <sz val="9"/>
            <color indexed="81"/>
            <rFont val="Tahoma"/>
            <family val="2"/>
          </rPr>
          <t>Author:</t>
        </r>
        <r>
          <rPr>
            <sz val="9"/>
            <color indexed="81"/>
            <rFont val="Tahoma"/>
            <family val="2"/>
          </rPr>
          <t xml:space="preserve">
Thornthwaite equation: Thornthwaite, C. W. (1948). "An approach toward a rational classification of climate". Geographical Review 38 (1): 55–94. doi:10.2307/210739.
http://www.simulistics.com/cgi-bin/catalogue/modeldescription.php?Id=Thornthwaite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<sst xmlns="http://schemas.openxmlformats.org/spreadsheetml/2006/main" count="239" uniqueCount="174">
  <si>
    <t>RESULTS</t>
  </si>
  <si>
    <r>
      <t>Cumulative change in soil C (t ha</t>
    </r>
    <r>
      <rPr>
        <vertAlign val="superscript"/>
        <sz val="11"/>
        <color theme="0"/>
        <rFont val="Calibri"/>
        <family val="2"/>
        <scheme val="minor"/>
      </rPr>
      <t>-1</t>
    </r>
    <r>
      <rPr>
        <sz val="11"/>
        <color theme="0"/>
        <rFont val="Calibri"/>
        <family val="2"/>
        <scheme val="minor"/>
      </rPr>
      <t>) at start of year…</t>
    </r>
  </si>
  <si>
    <r>
      <t>Steady state soil C (t ha</t>
    </r>
    <r>
      <rPr>
        <vertAlign val="superscript"/>
        <sz val="11"/>
        <color theme="0"/>
        <rFont val="Calibri"/>
        <family val="2"/>
        <scheme val="minor"/>
      </rPr>
      <t>-1</t>
    </r>
    <r>
      <rPr>
        <sz val="11"/>
        <color theme="0"/>
        <rFont val="Calibri"/>
        <family val="2"/>
        <scheme val="minor"/>
      </rPr>
      <t>)</t>
    </r>
  </si>
  <si>
    <t>INPUTS</t>
  </si>
  <si>
    <t>Soil conditions</t>
  </si>
  <si>
    <t>Plant inputs</t>
  </si>
  <si>
    <r>
      <t>Decomp. rate const. (month</t>
    </r>
    <r>
      <rPr>
        <u/>
        <vertAlign val="superscript"/>
        <sz val="11"/>
        <color theme="0"/>
        <rFont val="Calibri"/>
        <family val="2"/>
        <scheme val="minor"/>
      </rPr>
      <t>-1</t>
    </r>
    <r>
      <rPr>
        <u/>
        <sz val="11"/>
        <color theme="0"/>
        <rFont val="Calibri"/>
        <family val="2"/>
        <scheme val="minor"/>
      </rPr>
      <t>)</t>
    </r>
  </si>
  <si>
    <t>Perm.wilting point (mm)</t>
  </si>
  <si>
    <t>Field cap. (mm)</t>
  </si>
  <si>
    <t>Avail.water def. at -1bar (mm)</t>
  </si>
  <si>
    <t>Rate mod. at PWP</t>
  </si>
  <si>
    <t>Soil pH</t>
  </si>
  <si>
    <r>
      <t>Soil salin. (dS m</t>
    </r>
    <r>
      <rPr>
        <vertAlign val="superscript"/>
        <sz val="11"/>
        <color theme="0"/>
        <rFont val="Calibri"/>
        <family val="2"/>
        <scheme val="minor"/>
      </rPr>
      <t>-1</t>
    </r>
    <r>
      <rPr>
        <sz val="11"/>
        <color theme="0"/>
        <rFont val="Calibri"/>
        <family val="2"/>
        <scheme val="minor"/>
      </rPr>
      <t>)</t>
    </r>
  </si>
  <si>
    <r>
      <t>Total soil C  (t ha</t>
    </r>
    <r>
      <rPr>
        <vertAlign val="superscript"/>
        <sz val="11"/>
        <color theme="0"/>
        <rFont val="Calibri"/>
        <family val="2"/>
        <scheme val="minor"/>
      </rPr>
      <t>-1</t>
    </r>
    <r>
      <rPr>
        <sz val="11"/>
        <color theme="0"/>
        <rFont val="Calibri"/>
        <family val="2"/>
        <scheme val="minor"/>
      </rPr>
      <t>)</t>
    </r>
  </si>
  <si>
    <r>
      <t>Def. IOM  (t ha</t>
    </r>
    <r>
      <rPr>
        <vertAlign val="superscript"/>
        <sz val="11"/>
        <color theme="0"/>
        <rFont val="Calibri"/>
        <family val="2"/>
        <scheme val="minor"/>
      </rPr>
      <t>-1</t>
    </r>
    <r>
      <rPr>
        <sz val="11"/>
        <color theme="0"/>
        <rFont val="Calibri"/>
        <family val="2"/>
        <scheme val="minor"/>
      </rPr>
      <t>)</t>
    </r>
  </si>
  <si>
    <t>Soil depth (cm)</t>
  </si>
  <si>
    <r>
      <t>Def. input (t ha</t>
    </r>
    <r>
      <rPr>
        <vertAlign val="superscript"/>
        <sz val="11"/>
        <color theme="0"/>
        <rFont val="Calibri"/>
        <family val="2"/>
        <scheme val="minor"/>
      </rPr>
      <t>-1</t>
    </r>
    <r>
      <rPr>
        <sz val="11"/>
        <color theme="0"/>
        <rFont val="Calibri"/>
        <family val="2"/>
        <scheme val="minor"/>
      </rPr>
      <t xml:space="preserve"> y</t>
    </r>
    <r>
      <rPr>
        <vertAlign val="superscript"/>
        <sz val="11"/>
        <color theme="0"/>
        <rFont val="Calibri"/>
        <family val="2"/>
        <scheme val="minor"/>
      </rPr>
      <t>-1</t>
    </r>
    <r>
      <rPr>
        <sz val="11"/>
        <color theme="0"/>
        <rFont val="Calibri"/>
        <family val="2"/>
        <scheme val="minor"/>
      </rPr>
      <t>)</t>
    </r>
  </si>
  <si>
    <t>DPM</t>
  </si>
  <si>
    <t>RPM</t>
  </si>
  <si>
    <t>BIO</t>
  </si>
  <si>
    <t>HUM</t>
  </si>
  <si>
    <r>
      <t>CO</t>
    </r>
    <r>
      <rPr>
        <vertAlign val="subscript"/>
        <sz val="11"/>
        <color theme="0"/>
        <rFont val="Calibri"/>
        <family val="2"/>
        <scheme val="minor"/>
      </rPr>
      <t>2</t>
    </r>
  </si>
  <si>
    <t>Input Data for steady state run</t>
  </si>
  <si>
    <t>SOILS</t>
  </si>
  <si>
    <t>% clay content</t>
  </si>
  <si>
    <t>% silt content</t>
  </si>
  <si>
    <t>% sand content</t>
  </si>
  <si>
    <t>% carbon content</t>
  </si>
  <si>
    <t>Soil bulk density (g/ cm³)</t>
  </si>
  <si>
    <t>Name</t>
  </si>
  <si>
    <r>
      <t xml:space="preserve">   </t>
    </r>
    <r>
      <rPr>
        <i/>
        <sz val="11"/>
        <color rgb="FFFFFF00"/>
        <rFont val="Calibri"/>
        <family val="2"/>
        <scheme val="minor"/>
      </rPr>
      <t xml:space="preserve">         Yellow font </t>
    </r>
    <r>
      <rPr>
        <i/>
        <sz val="11"/>
        <color theme="0"/>
        <rFont val="Calibri"/>
        <family val="2"/>
        <scheme val="minor"/>
      </rPr>
      <t>highlights key values</t>
    </r>
  </si>
  <si>
    <r>
      <t>Note:</t>
    </r>
    <r>
      <rPr>
        <i/>
        <sz val="11"/>
        <rFont val="Calibri"/>
        <family val="2"/>
        <scheme val="minor"/>
      </rPr>
      <t xml:space="preserve"> Black font</t>
    </r>
    <r>
      <rPr>
        <i/>
        <sz val="11"/>
        <color theme="0"/>
        <rFont val="Calibri"/>
        <family val="2"/>
        <scheme val="minor"/>
      </rPr>
      <t xml:space="preserve"> indicates different formula from previous timestep</t>
    </r>
  </si>
  <si>
    <t xml:space="preserve">DPM: RPM ratio in SS </t>
  </si>
  <si>
    <t>Land use type</t>
  </si>
  <si>
    <t>None</t>
  </si>
  <si>
    <t>Shrubland</t>
  </si>
  <si>
    <r>
      <t>DPM:RPM ratio</t>
    </r>
    <r>
      <rPr>
        <vertAlign val="superscript"/>
        <sz val="11"/>
        <color theme="0"/>
        <rFont val="Calibri"/>
        <family val="2"/>
        <scheme val="minor"/>
      </rPr>
      <t>a</t>
    </r>
  </si>
  <si>
    <t>Harvest index</t>
  </si>
  <si>
    <t>Proportion of NPP that is returned to the soil</t>
  </si>
  <si>
    <t>Sowing month (arable crops)</t>
  </si>
  <si>
    <t>Harvest month (arable crops)</t>
  </si>
  <si>
    <t>Month</t>
  </si>
  <si>
    <t>b</t>
  </si>
  <si>
    <t>c</t>
  </si>
  <si>
    <r>
      <t xml:space="preserve">Note:  </t>
    </r>
    <r>
      <rPr>
        <vertAlign val="superscript"/>
        <sz val="11"/>
        <color theme="0"/>
        <rFont val="Calibri"/>
        <family val="2"/>
        <scheme val="minor"/>
      </rPr>
      <t>a</t>
    </r>
    <r>
      <rPr>
        <sz val="11"/>
        <color theme="0"/>
        <rFont val="Calibri"/>
        <family val="2"/>
        <scheme val="minor"/>
      </rPr>
      <t xml:space="preserve"> Source: Coleman and Jenkinson, 1996</t>
    </r>
  </si>
  <si>
    <r>
      <rPr>
        <vertAlign val="superscript"/>
        <sz val="11"/>
        <color theme="0"/>
        <rFont val="Calibri"/>
        <family val="2"/>
        <scheme val="minor"/>
      </rPr>
      <t>b</t>
    </r>
    <r>
      <rPr>
        <sz val="11"/>
        <color theme="0"/>
        <rFont val="Calibri"/>
        <family val="2"/>
        <scheme val="minor"/>
      </rPr>
      <t xml:space="preserve"> Pereniel crop - assumed to be equally partitioned throughout the year</t>
    </r>
  </si>
  <si>
    <r>
      <rPr>
        <vertAlign val="superscript"/>
        <sz val="11"/>
        <color theme="0"/>
        <rFont val="Calibri"/>
        <family val="2"/>
        <scheme val="minor"/>
      </rPr>
      <t>c</t>
    </r>
    <r>
      <rPr>
        <sz val="11"/>
        <color theme="0"/>
        <rFont val="Calibri"/>
        <family val="2"/>
        <scheme val="minor"/>
      </rPr>
      <t xml:space="preserve"> Sowing and harvest dates from Halaba District Agricultural Office (pers.comm); exponential pattern of input after Bradbury et al., 1993.</t>
    </r>
  </si>
  <si>
    <r>
      <t>Rate constant for return of C to soil = 0.15 x 4 (month</t>
    </r>
    <r>
      <rPr>
        <vertAlign val="superscript"/>
        <sz val="8"/>
        <color theme="0"/>
        <rFont val="Calibri"/>
        <family val="2"/>
        <scheme val="minor"/>
      </rPr>
      <t>-1</t>
    </r>
    <r>
      <rPr>
        <sz val="8"/>
        <color theme="0"/>
        <rFont val="Calibri"/>
        <family val="2"/>
        <scheme val="minor"/>
      </rPr>
      <t>)  =</t>
    </r>
  </si>
  <si>
    <t>Rate modifier</t>
  </si>
  <si>
    <t>Year</t>
  </si>
  <si>
    <t>Ave. air temp. (°C)</t>
  </si>
  <si>
    <t>Soil water (mm)</t>
  </si>
  <si>
    <r>
      <t>Plant input (t ha</t>
    </r>
    <r>
      <rPr>
        <vertAlign val="superscript"/>
        <sz val="11"/>
        <color theme="0"/>
        <rFont val="Calibri"/>
        <family val="2"/>
        <scheme val="minor"/>
      </rPr>
      <t>-1</t>
    </r>
    <r>
      <rPr>
        <sz val="11"/>
        <color theme="0"/>
        <rFont val="Calibri"/>
        <family val="2"/>
        <scheme val="minor"/>
      </rPr>
      <t>)</t>
    </r>
  </si>
  <si>
    <r>
      <t>Soil input   (t ha</t>
    </r>
    <r>
      <rPr>
        <vertAlign val="superscript"/>
        <sz val="11"/>
        <color theme="0"/>
        <rFont val="Calibri"/>
        <family val="2"/>
        <scheme val="minor"/>
      </rPr>
      <t>-1</t>
    </r>
    <r>
      <rPr>
        <sz val="11"/>
        <color theme="0"/>
        <rFont val="Calibri"/>
        <family val="2"/>
        <scheme val="minor"/>
      </rPr>
      <t>)</t>
    </r>
  </si>
  <si>
    <t>CALCULATIONS</t>
  </si>
  <si>
    <t>INITIALISATION</t>
  </si>
  <si>
    <t>DPM carbon</t>
  </si>
  <si>
    <t>RPM carbon</t>
  </si>
  <si>
    <t>BIO carbon</t>
  </si>
  <si>
    <t>HUM carbon</t>
  </si>
  <si>
    <t>IOM carbon</t>
  </si>
  <si>
    <t>TOTAL SOC</t>
  </si>
  <si>
    <t>This iteration</t>
  </si>
  <si>
    <r>
      <t>Total rainfall for steady state run (mm month</t>
    </r>
    <r>
      <rPr>
        <b/>
        <vertAlign val="superscript"/>
        <sz val="11"/>
        <color theme="0"/>
        <rFont val="Calibri"/>
        <family val="2"/>
        <scheme val="minor"/>
      </rPr>
      <t>-1</t>
    </r>
    <r>
      <rPr>
        <b/>
        <sz val="11"/>
        <color theme="0"/>
        <rFont val="Calibri"/>
        <family val="2"/>
        <scheme val="minor"/>
      </rPr>
      <t>)</t>
    </r>
  </si>
  <si>
    <t>Farm</t>
  </si>
  <si>
    <t>Average air temperature for steady state run (°C)</t>
  </si>
  <si>
    <r>
      <t>Total rainfall for forward run (mm month</t>
    </r>
    <r>
      <rPr>
        <b/>
        <vertAlign val="superscript"/>
        <sz val="11"/>
        <color theme="0"/>
        <rFont val="Calibri"/>
        <family val="2"/>
        <scheme val="minor"/>
      </rPr>
      <t>-1</t>
    </r>
    <r>
      <rPr>
        <b/>
        <sz val="11"/>
        <color theme="0"/>
        <rFont val="Calibri"/>
        <family val="2"/>
        <scheme val="minor"/>
      </rPr>
      <t>)</t>
    </r>
  </si>
  <si>
    <t>Average air temperature for forward run (°C)</t>
  </si>
  <si>
    <t>Latitude</t>
  </si>
  <si>
    <t>Degrees</t>
  </si>
  <si>
    <t>Minutes</t>
  </si>
  <si>
    <r>
      <t>Average monthly air temperature (</t>
    </r>
    <r>
      <rPr>
        <sz val="11"/>
        <color theme="0"/>
        <rFont val="Symbol"/>
        <family val="1"/>
        <charset val="2"/>
      </rPr>
      <t>°</t>
    </r>
    <r>
      <rPr>
        <sz val="11"/>
        <color theme="0"/>
        <rFont val="Calibri"/>
        <family val="2"/>
      </rPr>
      <t xml:space="preserve">C) </t>
    </r>
  </si>
  <si>
    <t xml:space="preserve">Monthly rainfall (mm) </t>
  </si>
  <si>
    <t>Days in month</t>
  </si>
  <si>
    <t>Sum of days to end of month</t>
  </si>
  <si>
    <t>Declination of the sun (degrees)</t>
  </si>
  <si>
    <t>Daylenth (hours)</t>
  </si>
  <si>
    <t>Heat index each month</t>
  </si>
  <si>
    <t>Annual heat index</t>
  </si>
  <si>
    <t>a</t>
  </si>
  <si>
    <t>Potential evapotranspiration (mm / month)</t>
  </si>
  <si>
    <t>Month of sowing</t>
  </si>
  <si>
    <t>Month of harvest</t>
  </si>
  <si>
    <t>Land use</t>
  </si>
  <si>
    <r>
      <t>Yield     (t ha</t>
    </r>
    <r>
      <rPr>
        <b/>
        <vertAlign val="superscript"/>
        <sz val="11"/>
        <color theme="0"/>
        <rFont val="Calibri"/>
        <family val="2"/>
        <scheme val="minor"/>
      </rPr>
      <t>-1</t>
    </r>
    <r>
      <rPr>
        <b/>
        <sz val="11"/>
        <color theme="0"/>
        <rFont val="Calibri"/>
        <family val="2"/>
        <scheme val="minor"/>
      </rPr>
      <t>)</t>
    </r>
  </si>
  <si>
    <t>Year in rotation</t>
  </si>
  <si>
    <t>Grass / clover</t>
  </si>
  <si>
    <t>Spring barley</t>
  </si>
  <si>
    <t>Spring barley undersown with clover</t>
  </si>
  <si>
    <t>Prop. plant input of carbon during the season</t>
  </si>
  <si>
    <t>Land use types</t>
  </si>
  <si>
    <t>Spring oats</t>
  </si>
  <si>
    <t>Spring oats undersown with clover</t>
  </si>
  <si>
    <t>Potatoes</t>
  </si>
  <si>
    <t>Swedes</t>
  </si>
  <si>
    <t>Spring wheat undersown with clover</t>
  </si>
  <si>
    <t>Spring beans undersown with clover</t>
  </si>
  <si>
    <r>
      <t>Stock        (t ha</t>
    </r>
    <r>
      <rPr>
        <vertAlign val="superscript"/>
        <sz val="11"/>
        <color theme="0"/>
        <rFont val="Calibri"/>
        <family val="2"/>
        <scheme val="minor"/>
      </rPr>
      <t>-1</t>
    </r>
    <r>
      <rPr>
        <sz val="11"/>
        <color theme="0"/>
        <rFont val="Calibri"/>
        <family val="2"/>
        <scheme val="minor"/>
      </rPr>
      <t>)</t>
    </r>
  </si>
  <si>
    <r>
      <t>Input         (t ha</t>
    </r>
    <r>
      <rPr>
        <vertAlign val="superscript"/>
        <sz val="11"/>
        <color theme="0"/>
        <rFont val="Calibri"/>
        <family val="2"/>
        <scheme val="minor"/>
      </rPr>
      <t>-1</t>
    </r>
    <r>
      <rPr>
        <sz val="11"/>
        <color theme="0"/>
        <rFont val="Calibri"/>
        <family val="2"/>
        <scheme val="minor"/>
      </rPr>
      <t>)</t>
    </r>
  </si>
  <si>
    <r>
      <t>Loss           (t ha</t>
    </r>
    <r>
      <rPr>
        <vertAlign val="superscript"/>
        <sz val="11"/>
        <color theme="0"/>
        <rFont val="Calibri"/>
        <family val="2"/>
        <scheme val="minor"/>
      </rPr>
      <t>-1</t>
    </r>
    <r>
      <rPr>
        <sz val="11"/>
        <color theme="0"/>
        <rFont val="Calibri"/>
        <family val="2"/>
        <scheme val="minor"/>
      </rPr>
      <t>)</t>
    </r>
  </si>
  <si>
    <r>
      <t>Soil input           (t ha</t>
    </r>
    <r>
      <rPr>
        <vertAlign val="superscript"/>
        <sz val="11"/>
        <color theme="0"/>
        <rFont val="Calibri"/>
        <family val="2"/>
        <scheme val="minor"/>
      </rPr>
      <t>-1</t>
    </r>
    <r>
      <rPr>
        <sz val="11"/>
        <color theme="0"/>
        <rFont val="Calibri"/>
        <family val="2"/>
        <scheme val="minor"/>
      </rPr>
      <t>)</t>
    </r>
  </si>
  <si>
    <r>
      <t>Stock         (t ha</t>
    </r>
    <r>
      <rPr>
        <vertAlign val="superscript"/>
        <sz val="11"/>
        <color theme="0"/>
        <rFont val="Calibri"/>
        <family val="2"/>
        <scheme val="minor"/>
      </rPr>
      <t>-1</t>
    </r>
    <r>
      <rPr>
        <sz val="11"/>
        <color theme="0"/>
        <rFont val="Calibri"/>
        <family val="2"/>
        <scheme val="minor"/>
      </rPr>
      <t>)</t>
    </r>
  </si>
  <si>
    <r>
      <t>Loss          (t ha</t>
    </r>
    <r>
      <rPr>
        <vertAlign val="superscript"/>
        <sz val="11"/>
        <color theme="0"/>
        <rFont val="Calibri"/>
        <family val="2"/>
        <scheme val="minor"/>
      </rPr>
      <t>-1</t>
    </r>
    <r>
      <rPr>
        <sz val="11"/>
        <color theme="0"/>
        <rFont val="Calibri"/>
        <family val="2"/>
        <scheme val="minor"/>
      </rPr>
      <t>)</t>
    </r>
  </si>
  <si>
    <r>
      <t>Input        (t ha</t>
    </r>
    <r>
      <rPr>
        <vertAlign val="superscript"/>
        <sz val="11"/>
        <color theme="0"/>
        <rFont val="Calibri"/>
        <family val="2"/>
        <scheme val="minor"/>
      </rPr>
      <t>-1</t>
    </r>
    <r>
      <rPr>
        <sz val="11"/>
        <color theme="0"/>
        <rFont val="Calibri"/>
        <family val="2"/>
        <scheme val="minor"/>
      </rPr>
      <t>)</t>
    </r>
  </si>
  <si>
    <r>
      <t>C Stock      (t ha</t>
    </r>
    <r>
      <rPr>
        <vertAlign val="superscript"/>
        <sz val="11"/>
        <color theme="0"/>
        <rFont val="Calibri"/>
        <family val="2"/>
        <scheme val="minor"/>
      </rPr>
      <t>-1</t>
    </r>
    <r>
      <rPr>
        <sz val="11"/>
        <color theme="0"/>
        <rFont val="Calibri"/>
        <family val="2"/>
        <scheme val="minor"/>
      </rPr>
      <t>)</t>
    </r>
  </si>
  <si>
    <r>
      <t>Loss as CO</t>
    </r>
    <r>
      <rPr>
        <vertAlign val="subscript"/>
        <sz val="11"/>
        <color theme="0"/>
        <rFont val="Calibri"/>
        <family val="2"/>
        <scheme val="minor"/>
      </rPr>
      <t>2</t>
    </r>
    <r>
      <rPr>
        <sz val="11"/>
        <color theme="0"/>
        <rFont val="Calibri"/>
        <family val="2"/>
        <scheme val="minor"/>
      </rPr>
      <t xml:space="preserve"> - C           (t ha</t>
    </r>
    <r>
      <rPr>
        <vertAlign val="superscript"/>
        <sz val="11"/>
        <color theme="0"/>
        <rFont val="Calibri"/>
        <family val="2"/>
        <scheme val="minor"/>
      </rPr>
      <t>-1</t>
    </r>
    <r>
      <rPr>
        <sz val="11"/>
        <color theme="0"/>
        <rFont val="Calibri"/>
        <family val="2"/>
        <scheme val="minor"/>
      </rPr>
      <t>)</t>
    </r>
  </si>
  <si>
    <t>Organic waste parameters</t>
  </si>
  <si>
    <t>Organic waste type</t>
  </si>
  <si>
    <t>Compost</t>
  </si>
  <si>
    <t>Bioslurry</t>
  </si>
  <si>
    <t>Biochar</t>
  </si>
  <si>
    <t>Average DPM:HUM ratio</t>
  </si>
  <si>
    <t>Percent IOM</t>
  </si>
  <si>
    <t>Percent C</t>
  </si>
  <si>
    <t>Organic fertiliser</t>
  </si>
  <si>
    <t>Month of application</t>
  </si>
  <si>
    <r>
      <t>Amount (t ha</t>
    </r>
    <r>
      <rPr>
        <b/>
        <vertAlign val="superscript"/>
        <sz val="11"/>
        <color theme="0"/>
        <rFont val="Calibri"/>
        <family val="2"/>
        <scheme val="minor"/>
      </rPr>
      <t>-1</t>
    </r>
    <r>
      <rPr>
        <b/>
        <sz val="11"/>
        <color theme="0"/>
        <rFont val="Calibri"/>
        <family val="2"/>
        <scheme val="minor"/>
      </rPr>
      <t>)</t>
    </r>
  </si>
  <si>
    <t>Manure</t>
  </si>
  <si>
    <t>STEADY STATE ROTATION</t>
  </si>
  <si>
    <r>
      <t>Org.waste inputs           (t ha</t>
    </r>
    <r>
      <rPr>
        <vertAlign val="superscript"/>
        <sz val="11"/>
        <color theme="0"/>
        <rFont val="Calibri"/>
        <family val="2"/>
        <scheme val="minor"/>
      </rPr>
      <t>-1</t>
    </r>
    <r>
      <rPr>
        <sz val="11"/>
        <color theme="0"/>
        <rFont val="Calibri"/>
        <family val="2"/>
        <scheme val="minor"/>
      </rPr>
      <t>)</t>
    </r>
  </si>
  <si>
    <t>Default conditions</t>
  </si>
  <si>
    <t>Cycle</t>
  </si>
  <si>
    <t>FORWARD RUN ROTATION</t>
  </si>
  <si>
    <t>Plant input  DPM:RPM ratio</t>
  </si>
  <si>
    <t>Org.waste %IOM</t>
  </si>
  <si>
    <t>Org.waste DPM:HUM ratio</t>
  </si>
  <si>
    <r>
      <t>(g cm</t>
    </r>
    <r>
      <rPr>
        <b/>
        <vertAlign val="superscript"/>
        <sz val="11"/>
        <color theme="0"/>
        <rFont val="Calibri"/>
        <family val="2"/>
        <scheme val="minor"/>
      </rPr>
      <t>-3</t>
    </r>
    <r>
      <rPr>
        <b/>
        <sz val="11"/>
        <color theme="0"/>
        <rFont val="Calibri"/>
        <family val="2"/>
        <scheme val="minor"/>
      </rPr>
      <t>)</t>
    </r>
  </si>
  <si>
    <t>(%)</t>
  </si>
  <si>
    <r>
      <t>(t ha</t>
    </r>
    <r>
      <rPr>
        <b/>
        <vertAlign val="superscript"/>
        <sz val="11"/>
        <color theme="0"/>
        <rFont val="Calibri"/>
        <family val="2"/>
        <scheme val="minor"/>
      </rPr>
      <t>-1</t>
    </r>
    <r>
      <rPr>
        <b/>
        <sz val="11"/>
        <color theme="0"/>
        <rFont val="Calibri"/>
        <family val="2"/>
        <scheme val="minor"/>
      </rPr>
      <t>)</t>
    </r>
  </si>
  <si>
    <t>Carbon content</t>
  </si>
  <si>
    <t>(cm)</t>
  </si>
  <si>
    <r>
      <t>Measured carbon      (t ha</t>
    </r>
    <r>
      <rPr>
        <vertAlign val="superscript"/>
        <sz val="11"/>
        <color theme="0"/>
        <rFont val="Calibri"/>
        <family val="2"/>
        <scheme val="minor"/>
      </rPr>
      <t>-1</t>
    </r>
    <r>
      <rPr>
        <sz val="11"/>
        <color theme="0"/>
        <rFont val="Calibri"/>
        <family val="2"/>
        <scheme val="minor"/>
      </rPr>
      <t>)</t>
    </r>
  </si>
  <si>
    <t>Next iteration</t>
  </si>
  <si>
    <t>CraibMn1961-2020.csv</t>
  </si>
  <si>
    <t>Soil thickness (cm)</t>
  </si>
  <si>
    <t>First application</t>
  </si>
  <si>
    <t>Second application</t>
  </si>
  <si>
    <t>Dry matter content (%)</t>
  </si>
  <si>
    <t xml:space="preserve"> </t>
  </si>
  <si>
    <t>Total</t>
  </si>
  <si>
    <t>Weighted rate constant</t>
  </si>
  <si>
    <t>Days</t>
  </si>
  <si>
    <t>% Total soil pores</t>
  </si>
  <si>
    <t>Soil salinity</t>
  </si>
  <si>
    <r>
      <t>Estimated Bulk Density (g/cm</t>
    </r>
    <r>
      <rPr>
        <vertAlign val="superscript"/>
        <sz val="11"/>
        <rFont val="Calibri"/>
        <family val="2"/>
        <scheme val="minor"/>
      </rPr>
      <t>3</t>
    </r>
    <r>
      <rPr>
        <sz val="11"/>
        <rFont val="Calibri"/>
        <family val="2"/>
        <scheme val="minor"/>
      </rPr>
      <t>)</t>
    </r>
  </si>
  <si>
    <t>Air pressure (hpa)</t>
  </si>
  <si>
    <t>Date</t>
  </si>
  <si>
    <t>Forest</t>
  </si>
  <si>
    <t>Peatland</t>
  </si>
  <si>
    <t>soil temperature</t>
  </si>
  <si>
    <t>% Estimated total soil pores</t>
  </si>
  <si>
    <t>M</t>
  </si>
  <si>
    <t>S up</t>
  </si>
  <si>
    <t>β2</t>
  </si>
  <si>
    <t>SWD_BELOW_FC</t>
  </si>
  <si>
    <t>soil texture</t>
  </si>
  <si>
    <t>Sandy Loam</t>
  </si>
  <si>
    <t>HORUS</t>
  </si>
  <si>
    <t>S ws</t>
  </si>
  <si>
    <r>
      <t>HORUS (cm s</t>
    </r>
    <r>
      <rPr>
        <vertAlign val="superscript"/>
        <sz val="11"/>
        <color theme="0"/>
        <rFont val="Calibri"/>
        <family val="2"/>
        <scheme val="minor"/>
      </rPr>
      <t>-1</t>
    </r>
    <r>
      <rPr>
        <sz val="11"/>
        <color theme="0"/>
        <rFont val="Calibri"/>
        <family val="2"/>
        <scheme val="minor"/>
      </rPr>
      <t>)</t>
    </r>
  </si>
  <si>
    <t>ECOSSE rate modifier</t>
  </si>
  <si>
    <t xml:space="preserve">INITIALISE PLANT INPUTS AND SOIL C POOLS TO THE MEASURED SOIL CARBON AT STEADY STATE.                                                               USE WEIGHTED RATE CONSTANT AS AN MEASURE OF THE MICROBIAL ACTIVITY </t>
  </si>
  <si>
    <t xml:space="preserve">S opt </t>
  </si>
  <si>
    <t>Soil moisture (mm)</t>
  </si>
  <si>
    <t>Measured H2</t>
  </si>
  <si>
    <t>Plot 1</t>
  </si>
  <si>
    <t>Bertagni soil moisture function</t>
  </si>
  <si>
    <t>F (s)- unnormalized</t>
  </si>
  <si>
    <t>Water SAT (mm)</t>
  </si>
  <si>
    <t>β1</t>
  </si>
  <si>
    <t xml:space="preserve">Peat </t>
  </si>
  <si>
    <t>Mineral</t>
  </si>
  <si>
    <t>Soil type</t>
  </si>
  <si>
    <t>Ehhalt temperature function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</si>
</sst>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0"/>
    <numFmt numFmtId="166" formatCode="0.000"/>
    <numFmt numFmtId="167" formatCode="0.00000"/>
  </numFmts>
  <fonts count="34" x14ac:knownFonts="1">
    <font>
      <sz val="11"/>
      <color theme="1"/>
      <name val="Calibri"/>
      <family val="2"/>
      <scheme val="minor"/>
    </font>
    <font>
      <b/>
      <sz val="11"/>
      <color theme="0"/>
      <name val="Calibri"/>
      <family val="2"/>
      <scheme val="minor"/>
    </font>
    <font>
      <sz val="11"/>
      <color rgb="FFFF0000"/>
      <name val="Calibri"/>
      <family val="2"/>
      <scheme val="minor"/>
    </font>
    <font>
      <sz val="11"/>
      <color theme="0"/>
      <name val="Calibri"/>
      <family val="2"/>
      <scheme val="minor"/>
    </font>
    <font>
      <sz val="11"/>
      <color rgb="FF663300"/>
      <name val="Calibri"/>
      <family val="2"/>
      <scheme val="minor"/>
    </font>
    <font>
      <u/>
      <sz val="11"/>
      <color theme="0"/>
      <name val="Calibri"/>
      <family val="2"/>
      <scheme val="minor"/>
    </font>
    <font>
      <vertAlign val="superscript"/>
      <sz val="11"/>
      <color theme="0"/>
      <name val="Calibri"/>
      <family val="2"/>
      <scheme val="minor"/>
    </font>
    <font>
      <i/>
      <sz val="11"/>
      <color theme="0"/>
      <name val="Calibri"/>
      <family val="2"/>
      <scheme val="minor"/>
    </font>
    <font>
      <sz val="11"/>
      <color rgb="FFFFFF00"/>
      <name val="Calibri"/>
      <family val="2"/>
      <scheme val="minor"/>
    </font>
    <font>
      <u/>
      <vertAlign val="superscript"/>
      <sz val="11"/>
      <color theme="0"/>
      <name val="Calibri"/>
      <family val="2"/>
      <scheme val="minor"/>
    </font>
    <font>
      <vertAlign val="subscript"/>
      <sz val="11"/>
      <color theme="0"/>
      <name val="Calibri"/>
      <family val="2"/>
      <scheme val="minor"/>
    </font>
    <font>
      <b/>
      <sz val="8"/>
      <color indexed="81"/>
      <name val="Tahoma"/>
      <family val="2"/>
    </font>
    <font>
      <sz val="8"/>
      <color indexed="81"/>
      <name val="Tahoma"/>
      <family val="2"/>
    </font>
    <font>
      <sz val="9"/>
      <color indexed="81"/>
      <name val="Tahoma"/>
      <family val="2"/>
    </font>
    <font>
      <sz val="11"/>
      <name val="Calibri"/>
      <family val="2"/>
      <scheme val="minor"/>
    </font>
    <font>
      <b/>
      <u/>
      <sz val="11"/>
      <color theme="0"/>
      <name val="Calibri"/>
      <family val="2"/>
      <scheme val="minor"/>
    </font>
    <font>
      <i/>
      <sz val="11"/>
      <name val="Calibri"/>
      <family val="2"/>
      <scheme val="minor"/>
    </font>
    <font>
      <i/>
      <sz val="11"/>
      <color rgb="FFFFFF00"/>
      <name val="Calibri"/>
      <family val="2"/>
      <scheme val="minor"/>
    </font>
    <font>
      <b/>
      <sz val="9"/>
      <color indexed="81"/>
      <name val="Tahoma"/>
      <family val="2"/>
    </font>
    <font>
      <sz val="8"/>
      <color theme="0"/>
      <name val="Calibri"/>
      <family val="2"/>
      <scheme val="minor"/>
    </font>
    <font>
      <vertAlign val="superscript"/>
      <sz val="8"/>
      <color theme="0"/>
      <name val="Calibri"/>
      <family val="2"/>
      <scheme val="minor"/>
    </font>
    <font>
      <sz val="8"/>
      <color rgb="FFFFFF00"/>
      <name val="Calibri"/>
      <family val="2"/>
      <scheme val="minor"/>
    </font>
    <font>
      <b/>
      <vertAlign val="superscript"/>
      <sz val="11"/>
      <color theme="0"/>
      <name val="Calibri"/>
      <family val="2"/>
      <scheme val="minor"/>
    </font>
    <font>
      <sz val="11"/>
      <color theme="0"/>
      <name val="Symbol"/>
      <family val="1"/>
      <charset val="2"/>
    </font>
    <font>
      <sz val="11"/>
      <color theme="0"/>
      <name val="Calibri"/>
      <family val="2"/>
    </font>
    <font>
      <b/>
      <u/>
      <sz val="14"/>
      <color theme="0"/>
      <name val="Calibri"/>
      <family val="2"/>
      <scheme val="minor"/>
    </font>
    <font>
      <sz val="12"/>
      <color theme="0"/>
      <name val="Calibri"/>
      <family val="2"/>
      <scheme val="minor"/>
    </font>
    <font>
      <sz val="10"/>
      <color theme="0"/>
      <name val="Arial"/>
      <family val="2"/>
    </font>
    <font>
      <sz val="10"/>
      <color theme="0"/>
      <name val="Calibri"/>
      <family val="2"/>
      <scheme val="minor"/>
    </font>
    <font>
      <b/>
      <sz val="11"/>
      <color rgb="FFFFFF00"/>
      <name val="Calibri"/>
      <family val="2"/>
      <scheme val="minor"/>
    </font>
    <font>
      <sz val="10"/>
      <name val="Arial"/>
      <family val="2"/>
    </font>
    <font>
      <sz val="11"/>
      <color theme="1"/>
      <name val="Arial"/>
      <family val="2"/>
    </font>
    <font>
      <sz val="20"/>
      <color theme="0"/>
      <name val="Calibri"/>
      <family val="2"/>
      <scheme val="minor"/>
    </font>
    <font>
      <vertAlign val="superscript"/>
      <sz val="11"/>
      <name val="Calibri"/>
      <family val="2"/>
      <scheme val="minor"/>
    </font>
  </fonts>
  <fills count="15">
    <fill>
      <patternFill patternType="none"/>
    </fill>
    <fill>
      <patternFill patternType="gray125"/>
    </fill>
    <fill>
      <patternFill patternType="solid">
        <fgColor rgb="FF996633"/>
        <bgColor indexed="64"/>
      </patternFill>
    </fill>
    <fill>
      <patternFill patternType="solid">
        <fgColor rgb="FFC38649"/>
        <bgColor indexed="64"/>
      </patternFill>
    </fill>
    <fill>
      <patternFill patternType="solid">
        <fgColor rgb="FF663300"/>
        <bgColor indexed="64"/>
      </patternFill>
    </fill>
    <fill>
      <patternFill patternType="solid">
        <fgColor rgb="FF31869B"/>
        <bgColor indexed="64"/>
      </patternFill>
    </fill>
    <fill>
      <patternFill patternType="solid">
        <fgColor theme="8" tint="-0.499984740745262"/>
        <bgColor indexed="64"/>
      </patternFill>
    </fill>
    <fill>
      <patternFill patternType="solid">
        <fgColor theme="0"/>
        <bgColor indexed="64"/>
      </patternFill>
    </fill>
    <fill>
      <patternFill patternType="solid">
        <fgColor theme="8" tint="0.39997558519241921"/>
        <bgColor indexed="64"/>
      </patternFill>
    </fill>
    <fill>
      <patternFill patternType="solid">
        <fgColor rgb="FF366092"/>
        <bgColor indexed="64"/>
      </patternFill>
    </fill>
    <fill>
      <patternFill patternType="solid">
        <fgColor rgb="FF203764"/>
        <bgColor indexed="64"/>
      </patternFill>
    </fill>
    <fill>
      <patternFill patternType="solid">
        <fgColor rgb="FFB0753A"/>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7" tint="-0.249977111117893"/>
        <bgColor indexed="64"/>
      </patternFill>
    </fill>
  </fills>
  <borders count="104">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
      <left/>
      <right style="medium">
        <color indexed="64"/>
      </right>
      <top/>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thin">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auto="1"/>
      </left>
      <right style="thin">
        <color auto="1"/>
      </right>
      <top style="thin">
        <color indexed="64"/>
      </top>
      <bottom/>
      <diagonal/>
    </border>
    <border>
      <left style="thin">
        <color auto="1"/>
      </left>
      <right style="medium">
        <color indexed="64"/>
      </right>
      <top style="thin">
        <color indexed="64"/>
      </top>
      <bottom/>
      <diagonal/>
    </border>
    <border>
      <left style="thin">
        <color indexed="64"/>
      </left>
      <right style="thin">
        <color indexed="64"/>
      </right>
      <top/>
      <bottom style="thin">
        <color indexed="64"/>
      </bottom>
      <diagonal/>
    </border>
    <border>
      <left style="medium">
        <color indexed="64"/>
      </left>
      <right/>
      <top style="thin">
        <color auto="1"/>
      </top>
      <bottom style="thin">
        <color auto="1"/>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medium">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ck">
        <color indexed="64"/>
      </left>
      <right style="medium">
        <color indexed="64"/>
      </right>
      <top style="thick">
        <color indexed="64"/>
      </top>
      <bottom/>
      <diagonal/>
    </border>
    <border>
      <left style="medium">
        <color indexed="64"/>
      </left>
      <right/>
      <top style="thick">
        <color indexed="64"/>
      </top>
      <bottom style="thin">
        <color indexed="64"/>
      </bottom>
      <diagonal/>
    </border>
    <border>
      <left style="medium">
        <color indexed="64"/>
      </left>
      <right style="medium">
        <color indexed="64"/>
      </right>
      <top style="thick">
        <color indexed="64"/>
      </top>
      <bottom style="thin">
        <color indexed="64"/>
      </bottom>
      <diagonal/>
    </border>
    <border>
      <left style="medium">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medium">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medium">
        <color indexed="64"/>
      </right>
      <top/>
      <bottom/>
      <diagonal/>
    </border>
    <border>
      <left style="thin">
        <color indexed="64"/>
      </left>
      <right style="thick">
        <color indexed="64"/>
      </right>
      <top style="thin">
        <color indexed="64"/>
      </top>
      <bottom style="thin">
        <color indexed="64"/>
      </bottom>
      <diagonal/>
    </border>
    <border>
      <left style="thick">
        <color indexed="64"/>
      </left>
      <right style="medium">
        <color indexed="64"/>
      </right>
      <top/>
      <bottom style="thick">
        <color indexed="64"/>
      </bottom>
      <diagonal/>
    </border>
    <border>
      <left style="medium">
        <color indexed="64"/>
      </left>
      <right/>
      <top style="thin">
        <color indexed="64"/>
      </top>
      <bottom style="thick">
        <color indexed="64"/>
      </bottom>
      <diagonal/>
    </border>
    <border>
      <left style="medium">
        <color indexed="64"/>
      </left>
      <right style="medium">
        <color indexed="64"/>
      </right>
      <top style="thin">
        <color indexed="64"/>
      </top>
      <bottom style="thick">
        <color indexed="64"/>
      </bottom>
      <diagonal/>
    </border>
    <border>
      <left style="medium">
        <color indexed="64"/>
      </left>
      <right style="thin">
        <color indexed="64"/>
      </right>
      <top style="thin">
        <color indexed="64"/>
      </top>
      <bottom style="thick">
        <color indexed="64"/>
      </bottom>
      <diagonal/>
    </border>
    <border>
      <left style="thin">
        <color auto="1"/>
      </left>
      <right style="thin">
        <color auto="1"/>
      </right>
      <top style="thin">
        <color indexed="64"/>
      </top>
      <bottom style="thick">
        <color indexed="64"/>
      </bottom>
      <diagonal/>
    </border>
    <border>
      <left style="thin">
        <color indexed="64"/>
      </left>
      <right style="medium">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medium">
        <color indexed="64"/>
      </right>
      <top style="thick">
        <color indexed="64"/>
      </top>
      <bottom style="thick">
        <color indexed="64"/>
      </bottom>
      <diagonal/>
    </border>
    <border>
      <left style="medium">
        <color indexed="64"/>
      </left>
      <right/>
      <top style="thick">
        <color indexed="64"/>
      </top>
      <bottom style="thick">
        <color indexed="64"/>
      </bottom>
      <diagonal/>
    </border>
    <border>
      <left style="medium">
        <color indexed="64"/>
      </left>
      <right style="medium">
        <color indexed="64"/>
      </right>
      <top style="thick">
        <color indexed="64"/>
      </top>
      <bottom style="thick">
        <color indexed="64"/>
      </bottom>
      <diagonal/>
    </border>
    <border>
      <left style="medium">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medium">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medium">
        <color indexed="64"/>
      </left>
      <right style="thin">
        <color indexed="64"/>
      </right>
      <top style="thick">
        <color indexed="64"/>
      </top>
      <bottom/>
      <diagonal/>
    </border>
    <border>
      <left style="thin">
        <color indexed="64"/>
      </left>
      <right/>
      <top style="thick">
        <color indexed="64"/>
      </top>
      <bottom/>
      <diagonal/>
    </border>
    <border>
      <left style="medium">
        <color indexed="64"/>
      </left>
      <right/>
      <top style="thick">
        <color indexed="64"/>
      </top>
      <bottom/>
      <diagonal/>
    </border>
    <border>
      <left style="medium">
        <color indexed="64"/>
      </left>
      <right style="medium">
        <color indexed="64"/>
      </right>
      <top style="thick">
        <color indexed="64"/>
      </top>
      <bottom/>
      <diagonal/>
    </border>
    <border>
      <left style="thin">
        <color indexed="64"/>
      </left>
      <right style="thin">
        <color indexed="64"/>
      </right>
      <top style="thick">
        <color indexed="64"/>
      </top>
      <bottom/>
      <diagonal/>
    </border>
    <border>
      <left style="thin">
        <color indexed="64"/>
      </left>
      <right style="medium">
        <color indexed="64"/>
      </right>
      <top style="thick">
        <color indexed="64"/>
      </top>
      <bottom/>
      <diagonal/>
    </border>
    <border>
      <left style="medium">
        <color indexed="64"/>
      </left>
      <right/>
      <top/>
      <bottom style="thick">
        <color indexed="64"/>
      </bottom>
      <diagonal/>
    </border>
    <border>
      <left style="medium">
        <color indexed="64"/>
      </left>
      <right style="medium">
        <color indexed="64"/>
      </right>
      <top/>
      <bottom style="thick">
        <color indexed="64"/>
      </bottom>
      <diagonal/>
    </border>
    <border>
      <left style="medium">
        <color indexed="64"/>
      </left>
      <right style="thin">
        <color indexed="64"/>
      </right>
      <top/>
      <bottom style="thick">
        <color indexed="64"/>
      </bottom>
      <diagonal/>
    </border>
    <border>
      <left style="thin">
        <color indexed="64"/>
      </left>
      <right style="thin">
        <color indexed="64"/>
      </right>
      <top/>
      <bottom style="thick">
        <color indexed="64"/>
      </bottom>
      <diagonal/>
    </border>
    <border>
      <left style="thin">
        <color indexed="64"/>
      </left>
      <right style="medium">
        <color indexed="64"/>
      </right>
      <top/>
      <bottom style="thick">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ck">
        <color indexed="64"/>
      </right>
      <top style="thin">
        <color indexed="64"/>
      </top>
      <bottom/>
      <diagonal/>
    </border>
    <border>
      <left style="thick">
        <color auto="1"/>
      </left>
      <right style="thin">
        <color auto="1"/>
      </right>
      <top style="thin">
        <color indexed="64"/>
      </top>
      <bottom style="thick">
        <color indexed="64"/>
      </bottom>
      <diagonal/>
    </border>
    <border>
      <left style="thin">
        <color indexed="64"/>
      </left>
      <right style="thick">
        <color auto="1"/>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thin">
        <color indexed="64"/>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style="medium">
        <color auto="1"/>
      </right>
      <top style="thin">
        <color indexed="64"/>
      </top>
      <bottom style="thin">
        <color indexed="64"/>
      </bottom>
      <diagonal/>
    </border>
    <border>
      <left style="thin">
        <color indexed="64"/>
      </left>
      <right style="medium">
        <color indexed="64"/>
      </right>
      <top style="medium">
        <color indexed="64"/>
      </top>
      <bottom style="thin">
        <color indexed="64"/>
      </bottom>
      <diagonal/>
    </border>
  </borders>
  <cellStyleXfs count="4">
    <xf numFmtId="0" fontId="0" fillId="0" borderId="0"/>
    <xf numFmtId="0" fontId="30" fillId="0" borderId="0"/>
    <xf numFmtId="0" fontId="31" fillId="0" borderId="0"/>
    <xf numFmtId="0" fontId="3" fillId="4" borderId="0">
      <alignment horizontal="center" vertical="center"/>
    </xf>
  </cellStyleXfs>
  <cellXfs count="449">
    <xf numFmtId="0" fontId="0" fillId="0" borderId="0" xfId="0"/>
    <xf numFmtId="0" fontId="0" fillId="2" borderId="0" xfId="0" applyFill="1"/>
    <xf numFmtId="0" fontId="3" fillId="3" borderId="1" xfId="0" applyFont="1" applyFill="1" applyBorder="1" applyAlignment="1">
      <alignment horizontal="center"/>
    </xf>
    <xf numFmtId="0" fontId="3" fillId="3" borderId="2" xfId="0" applyFont="1" applyFill="1" applyBorder="1" applyAlignment="1">
      <alignment vertical="center" wrapText="1"/>
    </xf>
    <xf numFmtId="0" fontId="3" fillId="3" borderId="2" xfId="0" applyFont="1" applyFill="1" applyBorder="1" applyAlignment="1">
      <alignment horizontal="center" vertical="center" wrapText="1"/>
    </xf>
    <xf numFmtId="0" fontId="3" fillId="3" borderId="2" xfId="0" applyFont="1" applyFill="1" applyBorder="1"/>
    <xf numFmtId="0" fontId="3" fillId="3" borderId="3" xfId="0" applyFont="1" applyFill="1" applyBorder="1" applyAlignment="1">
      <alignment horizontal="center" vertical="top"/>
    </xf>
    <xf numFmtId="0" fontId="3" fillId="4" borderId="4" xfId="0" applyFont="1" applyFill="1" applyBorder="1" applyAlignment="1">
      <alignment vertical="top"/>
    </xf>
    <xf numFmtId="0" fontId="3" fillId="4" borderId="5" xfId="0" applyFont="1" applyFill="1" applyBorder="1" applyAlignment="1">
      <alignment horizontal="center" vertical="top" wrapText="1"/>
    </xf>
    <xf numFmtId="0" fontId="4" fillId="4" borderId="5" xfId="0" applyFont="1" applyFill="1" applyBorder="1" applyAlignment="1">
      <alignment vertical="top" wrapText="1"/>
    </xf>
    <xf numFmtId="0" fontId="3" fillId="3" borderId="3" xfId="0" applyFont="1" applyFill="1" applyBorder="1" applyAlignment="1">
      <alignment horizontal="center"/>
    </xf>
    <xf numFmtId="0" fontId="5" fillId="4" borderId="6" xfId="0" applyFont="1" applyFill="1" applyBorder="1"/>
    <xf numFmtId="0" fontId="3" fillId="4" borderId="7" xfId="0" applyFont="1" applyFill="1" applyBorder="1"/>
    <xf numFmtId="0" fontId="3" fillId="4" borderId="8" xfId="0" applyFont="1" applyFill="1" applyBorder="1"/>
    <xf numFmtId="0" fontId="3" fillId="4" borderId="7" xfId="0" applyFont="1" applyFill="1" applyBorder="1" applyAlignment="1">
      <alignment wrapText="1"/>
    </xf>
    <xf numFmtId="0" fontId="3" fillId="4" borderId="8" xfId="0" applyFont="1" applyFill="1" applyBorder="1" applyAlignment="1">
      <alignment wrapText="1"/>
    </xf>
    <xf numFmtId="0" fontId="3" fillId="4" borderId="7" xfId="0" applyFont="1" applyFill="1" applyBorder="1" applyAlignment="1">
      <alignment vertical="center" wrapText="1"/>
    </xf>
    <xf numFmtId="0" fontId="3" fillId="4" borderId="11" xfId="0" applyFont="1" applyFill="1" applyBorder="1" applyAlignment="1">
      <alignment horizontal="center" vertical="center" wrapText="1"/>
    </xf>
    <xf numFmtId="0" fontId="3" fillId="4" borderId="0" xfId="0" applyFont="1" applyFill="1" applyAlignment="1">
      <alignment horizontal="center" vertical="center" wrapText="1"/>
    </xf>
    <xf numFmtId="0" fontId="3" fillId="4" borderId="0" xfId="0" applyFont="1" applyFill="1"/>
    <xf numFmtId="0" fontId="3" fillId="4" borderId="0" xfId="0" applyFont="1" applyFill="1" applyAlignment="1">
      <alignment vertical="center" wrapText="1"/>
    </xf>
    <xf numFmtId="1" fontId="3" fillId="3" borderId="13" xfId="0" applyNumberFormat="1" applyFont="1" applyFill="1" applyBorder="1"/>
    <xf numFmtId="2" fontId="8" fillId="3" borderId="15" xfId="0" applyNumberFormat="1" applyFont="1" applyFill="1" applyBorder="1" applyAlignment="1">
      <alignment horizontal="center"/>
    </xf>
    <xf numFmtId="2" fontId="3" fillId="3" borderId="16" xfId="0" applyNumberFormat="1" applyFont="1" applyFill="1" applyBorder="1" applyAlignment="1">
      <alignment horizontal="center"/>
    </xf>
    <xf numFmtId="9" fontId="3" fillId="4" borderId="16" xfId="0" applyNumberFormat="1" applyFont="1" applyFill="1" applyBorder="1"/>
    <xf numFmtId="9" fontId="7" fillId="4" borderId="16" xfId="0" applyNumberFormat="1" applyFont="1" applyFill="1" applyBorder="1"/>
    <xf numFmtId="0" fontId="3" fillId="4" borderId="16" xfId="0" applyFont="1" applyFill="1" applyBorder="1"/>
    <xf numFmtId="0" fontId="3" fillId="4" borderId="16" xfId="0" applyFont="1" applyFill="1" applyBorder="1" applyAlignment="1">
      <alignment vertical="center" wrapText="1"/>
    </xf>
    <xf numFmtId="0" fontId="3" fillId="4" borderId="0" xfId="0" applyFont="1" applyFill="1" applyAlignment="1">
      <alignment wrapText="1"/>
    </xf>
    <xf numFmtId="0" fontId="7" fillId="4" borderId="0" xfId="0" applyFont="1" applyFill="1"/>
    <xf numFmtId="0" fontId="5" fillId="4" borderId="3" xfId="0" applyFont="1" applyFill="1" applyBorder="1" applyAlignment="1">
      <alignment vertical="center"/>
    </xf>
    <xf numFmtId="0" fontId="3" fillId="4" borderId="0" xfId="0" applyFont="1" applyFill="1" applyAlignment="1">
      <alignment vertical="center"/>
    </xf>
    <xf numFmtId="0" fontId="3" fillId="4" borderId="11" xfId="0" applyFont="1" applyFill="1" applyBorder="1" applyAlignment="1">
      <alignment horizontal="center" vertical="center"/>
    </xf>
    <xf numFmtId="0" fontId="3" fillId="4" borderId="0" xfId="0" applyFont="1" applyFill="1" applyAlignment="1">
      <alignment horizontal="center" vertical="center"/>
    </xf>
    <xf numFmtId="0" fontId="3" fillId="4" borderId="8" xfId="0" applyFont="1" applyFill="1" applyBorder="1" applyAlignment="1">
      <alignment horizontal="center" vertical="center"/>
    </xf>
    <xf numFmtId="0" fontId="3" fillId="4" borderId="7" xfId="0" applyFont="1" applyFill="1" applyBorder="1" applyAlignment="1">
      <alignment horizontal="center" vertical="center"/>
    </xf>
    <xf numFmtId="0" fontId="3" fillId="4" borderId="7" xfId="0" applyFont="1" applyFill="1" applyBorder="1" applyAlignment="1">
      <alignment horizontal="center" vertical="center" wrapText="1"/>
    </xf>
    <xf numFmtId="0" fontId="3" fillId="4" borderId="3" xfId="0" applyFont="1" applyFill="1" applyBorder="1" applyAlignment="1">
      <alignment vertical="center"/>
    </xf>
    <xf numFmtId="0" fontId="5" fillId="4" borderId="0" xfId="0" applyFont="1" applyFill="1" applyAlignment="1">
      <alignment vertical="center"/>
    </xf>
    <xf numFmtId="0" fontId="5" fillId="4" borderId="11" xfId="0" applyFont="1" applyFill="1" applyBorder="1" applyAlignment="1">
      <alignment horizontal="left" vertical="center"/>
    </xf>
    <xf numFmtId="0" fontId="5" fillId="4" borderId="11" xfId="0" applyFont="1" applyFill="1" applyBorder="1" applyAlignment="1">
      <alignment vertical="center"/>
    </xf>
    <xf numFmtId="0" fontId="3" fillId="4" borderId="10" xfId="0" applyFont="1" applyFill="1" applyBorder="1" applyAlignment="1">
      <alignment vertical="center" wrapText="1"/>
    </xf>
    <xf numFmtId="2" fontId="3" fillId="4" borderId="0" xfId="0" applyNumberFormat="1" applyFont="1" applyFill="1" applyAlignment="1">
      <alignment horizontal="center" vertical="center" wrapText="1"/>
    </xf>
    <xf numFmtId="2" fontId="3" fillId="4" borderId="11" xfId="0" applyNumberFormat="1" applyFont="1" applyFill="1" applyBorder="1" applyAlignment="1">
      <alignment horizontal="center" vertical="center" wrapText="1"/>
    </xf>
    <xf numFmtId="0" fontId="3" fillId="3" borderId="3" xfId="0" applyFont="1" applyFill="1" applyBorder="1"/>
    <xf numFmtId="2" fontId="3" fillId="3" borderId="0" xfId="0" applyNumberFormat="1" applyFont="1" applyFill="1" applyAlignment="1">
      <alignment horizontal="center"/>
    </xf>
    <xf numFmtId="1" fontId="3" fillId="3" borderId="0" xfId="0" applyNumberFormat="1" applyFont="1" applyFill="1" applyAlignment="1">
      <alignment horizontal="center"/>
    </xf>
    <xf numFmtId="0" fontId="0" fillId="5" borderId="0" xfId="0" applyFill="1"/>
    <xf numFmtId="0" fontId="1" fillId="6" borderId="4" xfId="0" applyFont="1" applyFill="1" applyBorder="1" applyAlignment="1">
      <alignment horizontal="left" vertical="center"/>
    </xf>
    <xf numFmtId="0" fontId="1" fillId="6" borderId="5" xfId="0" applyFont="1" applyFill="1" applyBorder="1" applyAlignment="1">
      <alignment horizontal="left" vertical="center"/>
    </xf>
    <xf numFmtId="0" fontId="1" fillId="6" borderId="22" xfId="0" applyFont="1" applyFill="1" applyBorder="1" applyAlignment="1">
      <alignment horizontal="left"/>
    </xf>
    <xf numFmtId="0" fontId="14" fillId="8" borderId="3" xfId="0" applyFont="1" applyFill="1" applyBorder="1" applyAlignment="1">
      <alignment horizontal="left"/>
    </xf>
    <xf numFmtId="0" fontId="14" fillId="8" borderId="3" xfId="0" applyFont="1" applyFill="1" applyBorder="1" applyAlignment="1">
      <alignment horizontal="left" vertical="center"/>
    </xf>
    <xf numFmtId="0" fontId="1" fillId="6" borderId="27" xfId="0" applyFont="1" applyFill="1" applyBorder="1" applyAlignment="1">
      <alignment horizontal="left"/>
    </xf>
    <xf numFmtId="0" fontId="14" fillId="8" borderId="0" xfId="0" applyFont="1" applyFill="1" applyAlignment="1">
      <alignment horizontal="left"/>
    </xf>
    <xf numFmtId="0" fontId="14" fillId="8" borderId="0" xfId="0" applyFont="1" applyFill="1" applyAlignment="1">
      <alignment horizontal="left" vertical="center"/>
    </xf>
    <xf numFmtId="0" fontId="14" fillId="8" borderId="25" xfId="0" applyFont="1" applyFill="1" applyBorder="1" applyAlignment="1">
      <alignment horizontal="left"/>
    </xf>
    <xf numFmtId="0" fontId="14" fillId="8" borderId="28" xfId="0" applyFont="1" applyFill="1" applyBorder="1" applyAlignment="1">
      <alignment horizontal="left"/>
    </xf>
    <xf numFmtId="0" fontId="1" fillId="6" borderId="23" xfId="0" applyFont="1" applyFill="1" applyBorder="1" applyAlignment="1">
      <alignment horizontal="right" vertical="center"/>
    </xf>
    <xf numFmtId="0" fontId="1" fillId="10" borderId="23" xfId="0" applyFont="1" applyFill="1" applyBorder="1" applyAlignment="1">
      <alignment horizontal="left"/>
    </xf>
    <xf numFmtId="0" fontId="3" fillId="10" borderId="20" xfId="0" applyFont="1" applyFill="1" applyBorder="1" applyAlignment="1">
      <alignment horizontal="center"/>
    </xf>
    <xf numFmtId="0" fontId="14" fillId="8" borderId="0" xfId="0" applyFont="1" applyFill="1" applyAlignment="1">
      <alignment horizontal="right"/>
    </xf>
    <xf numFmtId="0" fontId="14" fillId="8" borderId="0" xfId="0" applyFont="1" applyFill="1" applyAlignment="1">
      <alignment horizontal="right" vertical="center"/>
    </xf>
    <xf numFmtId="0" fontId="14" fillId="8" borderId="28" xfId="0" applyFont="1" applyFill="1" applyBorder="1" applyAlignment="1">
      <alignment horizontal="right"/>
    </xf>
    <xf numFmtId="0" fontId="0" fillId="7" borderId="30" xfId="0" applyFill="1" applyBorder="1" applyAlignment="1">
      <alignment horizontal="center" wrapText="1"/>
    </xf>
    <xf numFmtId="1" fontId="3" fillId="3" borderId="16" xfId="0" applyNumberFormat="1" applyFont="1" applyFill="1" applyBorder="1" applyAlignment="1">
      <alignment horizontal="center"/>
    </xf>
    <xf numFmtId="0" fontId="3" fillId="4" borderId="27" xfId="0" applyFont="1" applyFill="1" applyBorder="1" applyAlignment="1">
      <alignment horizontal="right" wrapText="1"/>
    </xf>
    <xf numFmtId="0" fontId="3" fillId="4" borderId="13" xfId="0" applyFont="1" applyFill="1" applyBorder="1" applyAlignment="1">
      <alignment horizontal="right" wrapText="1"/>
    </xf>
    <xf numFmtId="0" fontId="3" fillId="4" borderId="16" xfId="0" applyFont="1" applyFill="1" applyBorder="1" applyAlignment="1">
      <alignment horizontal="center" vertical="center" wrapText="1"/>
    </xf>
    <xf numFmtId="2" fontId="3" fillId="4" borderId="5" xfId="0" applyNumberFormat="1" applyFont="1" applyFill="1" applyBorder="1" applyAlignment="1">
      <alignment horizontal="center" vertical="center" wrapText="1"/>
    </xf>
    <xf numFmtId="0" fontId="3" fillId="3" borderId="36" xfId="0" applyFont="1" applyFill="1" applyBorder="1" applyAlignment="1">
      <alignment horizontal="right"/>
    </xf>
    <xf numFmtId="0" fontId="3" fillId="3" borderId="7" xfId="0" applyFont="1" applyFill="1" applyBorder="1" applyAlignment="1">
      <alignment horizontal="center"/>
    </xf>
    <xf numFmtId="2" fontId="3" fillId="3" borderId="7" xfId="0" applyNumberFormat="1" applyFont="1" applyFill="1" applyBorder="1" applyAlignment="1">
      <alignment horizontal="center"/>
    </xf>
    <xf numFmtId="2" fontId="3" fillId="3" borderId="8" xfId="0" applyNumberFormat="1" applyFont="1" applyFill="1" applyBorder="1" applyAlignment="1">
      <alignment horizontal="center"/>
    </xf>
    <xf numFmtId="2" fontId="3" fillId="3" borderId="9" xfId="0" applyNumberFormat="1" applyFont="1" applyFill="1" applyBorder="1" applyAlignment="1">
      <alignment horizontal="center"/>
    </xf>
    <xf numFmtId="0" fontId="3" fillId="3" borderId="37" xfId="0" applyFont="1" applyFill="1" applyBorder="1" applyAlignment="1">
      <alignment horizontal="right"/>
    </xf>
    <xf numFmtId="2" fontId="3" fillId="3" borderId="11" xfId="0" applyNumberFormat="1" applyFont="1" applyFill="1" applyBorder="1" applyAlignment="1">
      <alignment horizontal="center"/>
    </xf>
    <xf numFmtId="2" fontId="3" fillId="3" borderId="10" xfId="0" applyNumberFormat="1" applyFont="1" applyFill="1" applyBorder="1" applyAlignment="1">
      <alignment horizontal="center"/>
    </xf>
    <xf numFmtId="2" fontId="3" fillId="3" borderId="12" xfId="0" applyNumberFormat="1" applyFont="1" applyFill="1" applyBorder="1" applyAlignment="1">
      <alignment horizontal="center"/>
    </xf>
    <xf numFmtId="0" fontId="3" fillId="3" borderId="38" xfId="0" applyFont="1" applyFill="1" applyBorder="1" applyAlignment="1">
      <alignment horizontal="right"/>
    </xf>
    <xf numFmtId="166" fontId="3" fillId="3" borderId="16" xfId="0" applyNumberFormat="1" applyFont="1" applyFill="1" applyBorder="1" applyAlignment="1">
      <alignment horizontal="center"/>
    </xf>
    <xf numFmtId="166" fontId="3" fillId="3" borderId="17" xfId="0" applyNumberFormat="1" applyFont="1" applyFill="1" applyBorder="1" applyAlignment="1">
      <alignment horizontal="center"/>
    </xf>
    <xf numFmtId="0" fontId="3" fillId="3" borderId="11" xfId="0" applyFont="1" applyFill="1" applyBorder="1" applyAlignment="1">
      <alignment horizontal="center"/>
    </xf>
    <xf numFmtId="1" fontId="8" fillId="3" borderId="12" xfId="0" applyNumberFormat="1" applyFont="1" applyFill="1" applyBorder="1" applyAlignment="1">
      <alignment horizontal="center"/>
    </xf>
    <xf numFmtId="0" fontId="6" fillId="3" borderId="11" xfId="0" applyFont="1" applyFill="1" applyBorder="1" applyAlignment="1">
      <alignment horizontal="center"/>
    </xf>
    <xf numFmtId="0" fontId="10" fillId="3" borderId="12" xfId="0" applyFont="1" applyFill="1" applyBorder="1" applyAlignment="1">
      <alignment horizontal="center"/>
    </xf>
    <xf numFmtId="2" fontId="3" fillId="3" borderId="15" xfId="0" applyNumberFormat="1" applyFont="1" applyFill="1" applyBorder="1" applyAlignment="1">
      <alignment horizontal="center"/>
    </xf>
    <xf numFmtId="2" fontId="3" fillId="3" borderId="17" xfId="0" applyNumberFormat="1" applyFont="1" applyFill="1" applyBorder="1" applyAlignment="1">
      <alignment horizontal="center"/>
    </xf>
    <xf numFmtId="0" fontId="3" fillId="3" borderId="6" xfId="0" applyFont="1" applyFill="1" applyBorder="1" applyAlignment="1">
      <alignment horizontal="left"/>
    </xf>
    <xf numFmtId="0" fontId="3" fillId="3" borderId="7" xfId="0" applyFont="1" applyFill="1" applyBorder="1"/>
    <xf numFmtId="0" fontId="3" fillId="3" borderId="3" xfId="0" applyFont="1" applyFill="1" applyBorder="1" applyAlignment="1">
      <alignment horizontal="left" indent="4"/>
    </xf>
    <xf numFmtId="0" fontId="3" fillId="3" borderId="0" xfId="0" applyFont="1" applyFill="1" applyAlignment="1">
      <alignment horizontal="center"/>
    </xf>
    <xf numFmtId="2" fontId="19" fillId="3" borderId="28" xfId="0" applyNumberFormat="1" applyFont="1" applyFill="1" applyBorder="1" applyAlignment="1">
      <alignment horizontal="center"/>
    </xf>
    <xf numFmtId="2" fontId="19" fillId="3" borderId="39" xfId="0" applyNumberFormat="1" applyFont="1" applyFill="1" applyBorder="1" applyAlignment="1">
      <alignment horizontal="center"/>
    </xf>
    <xf numFmtId="0" fontId="3" fillId="4" borderId="3" xfId="0" applyFont="1" applyFill="1" applyBorder="1" applyAlignment="1">
      <alignment vertical="center" wrapText="1"/>
    </xf>
    <xf numFmtId="0" fontId="3" fillId="3" borderId="6" xfId="0" applyFont="1" applyFill="1" applyBorder="1" applyAlignment="1">
      <alignment horizontal="center"/>
    </xf>
    <xf numFmtId="1" fontId="3" fillId="3" borderId="7" xfId="0" applyNumberFormat="1" applyFont="1" applyFill="1" applyBorder="1" applyAlignment="1">
      <alignment horizontal="center"/>
    </xf>
    <xf numFmtId="2" fontId="0" fillId="3" borderId="0" xfId="0" applyNumberFormat="1" applyFill="1" applyAlignment="1">
      <alignment horizontal="center"/>
    </xf>
    <xf numFmtId="1" fontId="3" fillId="4" borderId="7" xfId="0" applyNumberFormat="1" applyFont="1" applyFill="1" applyBorder="1" applyAlignment="1">
      <alignment horizontal="left" vertical="center"/>
    </xf>
    <xf numFmtId="1" fontId="3" fillId="4" borderId="7" xfId="0" applyNumberFormat="1" applyFont="1" applyFill="1" applyBorder="1" applyAlignment="1">
      <alignment horizontal="center" vertical="center"/>
    </xf>
    <xf numFmtId="2" fontId="3" fillId="4" borderId="7" xfId="0" applyNumberFormat="1" applyFont="1" applyFill="1" applyBorder="1" applyAlignment="1">
      <alignment horizontal="center"/>
    </xf>
    <xf numFmtId="9" fontId="3" fillId="4" borderId="7" xfId="0" applyNumberFormat="1" applyFont="1" applyFill="1" applyBorder="1" applyAlignment="1">
      <alignment horizontal="center" vertical="center"/>
    </xf>
    <xf numFmtId="2" fontId="3" fillId="4" borderId="7" xfId="0" applyNumberFormat="1" applyFont="1" applyFill="1" applyBorder="1" applyAlignment="1">
      <alignment horizontal="center" vertical="center"/>
    </xf>
    <xf numFmtId="165" fontId="3" fillId="4" borderId="7" xfId="0" applyNumberFormat="1" applyFont="1" applyFill="1" applyBorder="1" applyAlignment="1">
      <alignment horizontal="center" vertical="center"/>
    </xf>
    <xf numFmtId="166" fontId="3" fillId="4" borderId="7" xfId="0" applyNumberFormat="1" applyFont="1" applyFill="1" applyBorder="1" applyAlignment="1">
      <alignment horizontal="center" vertical="center" wrapText="1"/>
    </xf>
    <xf numFmtId="0" fontId="3" fillId="3" borderId="3" xfId="0" applyFont="1" applyFill="1" applyBorder="1" applyAlignment="1">
      <alignment horizontal="left"/>
    </xf>
    <xf numFmtId="0" fontId="3" fillId="4" borderId="3" xfId="0" applyFont="1" applyFill="1" applyBorder="1" applyAlignment="1">
      <alignment horizontal="left" vertical="center"/>
    </xf>
    <xf numFmtId="0" fontId="3" fillId="4" borderId="0" xfId="0" applyFont="1" applyFill="1" applyAlignment="1">
      <alignment horizontal="left" vertical="center"/>
    </xf>
    <xf numFmtId="0" fontId="5" fillId="4" borderId="0" xfId="0" applyFont="1" applyFill="1" applyAlignment="1">
      <alignment horizontal="right" vertical="center"/>
    </xf>
    <xf numFmtId="0" fontId="3" fillId="4" borderId="3" xfId="0" applyFont="1" applyFill="1" applyBorder="1" applyAlignment="1">
      <alignment horizontal="left" vertical="center" wrapText="1"/>
    </xf>
    <xf numFmtId="2" fontId="3" fillId="4" borderId="11" xfId="0" applyNumberFormat="1" applyFont="1" applyFill="1" applyBorder="1" applyAlignment="1">
      <alignment horizontal="right" vertical="center" wrapText="1"/>
    </xf>
    <xf numFmtId="2" fontId="3" fillId="4" borderId="0" xfId="0" applyNumberFormat="1" applyFont="1" applyFill="1" applyAlignment="1">
      <alignment horizontal="right" vertical="center" wrapText="1"/>
    </xf>
    <xf numFmtId="2" fontId="3" fillId="4" borderId="10" xfId="0" applyNumberFormat="1" applyFont="1" applyFill="1" applyBorder="1" applyAlignment="1">
      <alignment horizontal="center" vertical="center" wrapText="1"/>
    </xf>
    <xf numFmtId="0" fontId="8" fillId="3" borderId="3" xfId="0" applyFont="1" applyFill="1" applyBorder="1" applyAlignment="1">
      <alignment horizontal="center"/>
    </xf>
    <xf numFmtId="0" fontId="1" fillId="6" borderId="4" xfId="0" applyFont="1" applyFill="1" applyBorder="1" applyAlignment="1">
      <alignment horizontal="center" vertical="center"/>
    </xf>
    <xf numFmtId="0" fontId="1" fillId="6" borderId="2" xfId="0" applyFont="1" applyFill="1" applyBorder="1" applyAlignment="1">
      <alignment horizontal="left" vertical="center"/>
    </xf>
    <xf numFmtId="0" fontId="1" fillId="6" borderId="40" xfId="0" applyFont="1" applyFill="1" applyBorder="1" applyAlignment="1">
      <alignment horizontal="center" vertical="center"/>
    </xf>
    <xf numFmtId="0" fontId="3" fillId="6" borderId="41" xfId="0" applyFont="1" applyFill="1" applyBorder="1" applyAlignment="1">
      <alignment horizontal="center" vertical="center" wrapText="1"/>
    </xf>
    <xf numFmtId="0" fontId="1" fillId="6" borderId="6" xfId="0" applyFont="1" applyFill="1" applyBorder="1" applyAlignment="1">
      <alignment horizontal="right"/>
    </xf>
    <xf numFmtId="0" fontId="1" fillId="6" borderId="7" xfId="0" applyFont="1" applyFill="1" applyBorder="1" applyAlignment="1">
      <alignment horizontal="left"/>
    </xf>
    <xf numFmtId="0" fontId="3" fillId="6" borderId="42" xfId="0" applyFont="1" applyFill="1" applyBorder="1" applyAlignment="1">
      <alignment horizontal="center"/>
    </xf>
    <xf numFmtId="0" fontId="14" fillId="8" borderId="3" xfId="0" applyFont="1" applyFill="1" applyBorder="1" applyAlignment="1">
      <alignment horizontal="right"/>
    </xf>
    <xf numFmtId="0" fontId="2" fillId="8" borderId="10" xfId="0" applyFont="1" applyFill="1" applyBorder="1" applyAlignment="1">
      <alignment horizontal="right"/>
    </xf>
    <xf numFmtId="1" fontId="14" fillId="8" borderId="3" xfId="0" applyNumberFormat="1" applyFont="1" applyFill="1" applyBorder="1" applyAlignment="1">
      <alignment horizontal="right"/>
    </xf>
    <xf numFmtId="1" fontId="14" fillId="8" borderId="3" xfId="0" applyNumberFormat="1" applyFont="1" applyFill="1" applyBorder="1" applyAlignment="1">
      <alignment horizontal="right" vertical="center"/>
    </xf>
    <xf numFmtId="0" fontId="14" fillId="8" borderId="25" xfId="0" applyFont="1" applyFill="1" applyBorder="1" applyAlignment="1">
      <alignment horizontal="right"/>
    </xf>
    <xf numFmtId="0" fontId="2" fillId="8" borderId="29" xfId="0" applyFont="1" applyFill="1" applyBorder="1" applyAlignment="1">
      <alignment horizontal="right"/>
    </xf>
    <xf numFmtId="0" fontId="0" fillId="5" borderId="33" xfId="0" applyFill="1" applyBorder="1"/>
    <xf numFmtId="0" fontId="3" fillId="6" borderId="18" xfId="0" applyFont="1" applyFill="1" applyBorder="1" applyAlignment="1">
      <alignment horizontal="center" vertical="center" wrapText="1"/>
    </xf>
    <xf numFmtId="0" fontId="3" fillId="6" borderId="43" xfId="0" applyFont="1" applyFill="1" applyBorder="1" applyAlignment="1">
      <alignment horizontal="center"/>
    </xf>
    <xf numFmtId="0" fontId="1" fillId="10" borderId="2" xfId="0" applyFont="1" applyFill="1" applyBorder="1" applyAlignment="1">
      <alignment horizontal="left" vertical="center"/>
    </xf>
    <xf numFmtId="0" fontId="3" fillId="10" borderId="21" xfId="0" applyFont="1" applyFill="1" applyBorder="1" applyAlignment="1">
      <alignment horizontal="left"/>
    </xf>
    <xf numFmtId="0" fontId="3" fillId="2" borderId="0" xfId="0" applyFont="1" applyFill="1" applyAlignment="1">
      <alignment wrapText="1"/>
    </xf>
    <xf numFmtId="0" fontId="3" fillId="2" borderId="0" xfId="0" applyFont="1" applyFill="1" applyAlignment="1">
      <alignment horizontal="center" wrapText="1"/>
    </xf>
    <xf numFmtId="0" fontId="3" fillId="2" borderId="0" xfId="0" applyFont="1" applyFill="1" applyAlignment="1">
      <alignment horizontal="center" vertical="center" wrapText="1"/>
    </xf>
    <xf numFmtId="1" fontId="3" fillId="2" borderId="0" xfId="0" applyNumberFormat="1" applyFont="1" applyFill="1" applyAlignment="1">
      <alignment horizontal="center" wrapText="1"/>
    </xf>
    <xf numFmtId="0" fontId="3" fillId="2" borderId="0" xfId="0" applyFont="1" applyFill="1"/>
    <xf numFmtId="0" fontId="1" fillId="4" borderId="8" xfId="0" applyFont="1" applyFill="1" applyBorder="1" applyAlignment="1">
      <alignment horizontal="left"/>
    </xf>
    <xf numFmtId="0" fontId="1" fillId="4" borderId="7" xfId="0" applyFont="1" applyFill="1" applyBorder="1" applyAlignment="1">
      <alignment horizontal="left"/>
    </xf>
    <xf numFmtId="0" fontId="3" fillId="4" borderId="7" xfId="0" applyFont="1" applyFill="1" applyBorder="1" applyAlignment="1">
      <alignment horizontal="center"/>
    </xf>
    <xf numFmtId="164" fontId="3" fillId="4" borderId="7" xfId="0" applyNumberFormat="1" applyFont="1" applyFill="1" applyBorder="1" applyAlignment="1">
      <alignment horizontal="center"/>
    </xf>
    <xf numFmtId="1" fontId="3" fillId="4" borderId="7" xfId="0" applyNumberFormat="1" applyFont="1" applyFill="1" applyBorder="1" applyAlignment="1">
      <alignment horizontal="center"/>
    </xf>
    <xf numFmtId="1" fontId="3" fillId="4" borderId="8" xfId="0" applyNumberFormat="1" applyFont="1" applyFill="1" applyBorder="1" applyAlignment="1">
      <alignment horizontal="right"/>
    </xf>
    <xf numFmtId="0" fontId="3" fillId="4" borderId="11" xfId="0" applyFont="1" applyFill="1" applyBorder="1" applyAlignment="1">
      <alignment horizontal="center"/>
    </xf>
    <xf numFmtId="0" fontId="3" fillId="4" borderId="0" xfId="0" applyFont="1" applyFill="1" applyAlignment="1">
      <alignment horizontal="center" wrapText="1"/>
    </xf>
    <xf numFmtId="1" fontId="3" fillId="4" borderId="0" xfId="0" applyNumberFormat="1" applyFont="1" applyFill="1" applyAlignment="1">
      <alignment horizontal="center" wrapText="1"/>
    </xf>
    <xf numFmtId="0" fontId="23" fillId="4" borderId="0" xfId="0" applyFont="1" applyFill="1" applyAlignment="1">
      <alignment horizontal="center"/>
    </xf>
    <xf numFmtId="0" fontId="3" fillId="4" borderId="24" xfId="0" applyFont="1" applyFill="1" applyBorder="1" applyAlignment="1">
      <alignment horizontal="center" wrapText="1"/>
    </xf>
    <xf numFmtId="0" fontId="3" fillId="3" borderId="8" xfId="0" applyFont="1" applyFill="1" applyBorder="1" applyAlignment="1">
      <alignment horizontal="center"/>
    </xf>
    <xf numFmtId="164" fontId="3" fillId="3" borderId="7" xfId="0" applyNumberFormat="1" applyFont="1" applyFill="1" applyBorder="1" applyAlignment="1">
      <alignment horizontal="center"/>
    </xf>
    <xf numFmtId="1" fontId="3" fillId="3" borderId="42" xfId="0" applyNumberFormat="1" applyFont="1" applyFill="1" applyBorder="1" applyAlignment="1">
      <alignment horizontal="center"/>
    </xf>
    <xf numFmtId="164" fontId="3" fillId="3" borderId="0" xfId="0" applyNumberFormat="1" applyFont="1" applyFill="1" applyAlignment="1">
      <alignment horizontal="center"/>
    </xf>
    <xf numFmtId="1" fontId="3" fillId="3" borderId="24" xfId="0" applyNumberFormat="1" applyFont="1" applyFill="1" applyBorder="1" applyAlignment="1">
      <alignment horizontal="center"/>
    </xf>
    <xf numFmtId="0" fontId="3" fillId="11" borderId="8" xfId="0" applyFont="1" applyFill="1" applyBorder="1" applyAlignment="1">
      <alignment horizontal="center"/>
    </xf>
    <xf numFmtId="164" fontId="3" fillId="11" borderId="7" xfId="0" applyNumberFormat="1" applyFont="1" applyFill="1" applyBorder="1" applyAlignment="1">
      <alignment horizontal="center"/>
    </xf>
    <xf numFmtId="1" fontId="3" fillId="11" borderId="7" xfId="0" applyNumberFormat="1" applyFont="1" applyFill="1" applyBorder="1" applyAlignment="1">
      <alignment horizontal="center"/>
    </xf>
    <xf numFmtId="0" fontId="3" fillId="11" borderId="7" xfId="0" applyFont="1" applyFill="1" applyBorder="1" applyAlignment="1">
      <alignment horizontal="center"/>
    </xf>
    <xf numFmtId="2" fontId="3" fillId="11" borderId="7" xfId="0" applyNumberFormat="1" applyFont="1" applyFill="1" applyBorder="1" applyAlignment="1">
      <alignment horizontal="center"/>
    </xf>
    <xf numFmtId="1" fontId="3" fillId="11" borderId="42" xfId="0" applyNumberFormat="1" applyFont="1" applyFill="1" applyBorder="1" applyAlignment="1">
      <alignment horizontal="center"/>
    </xf>
    <xf numFmtId="0" fontId="3" fillId="11" borderId="11" xfId="0" applyFont="1" applyFill="1" applyBorder="1" applyAlignment="1">
      <alignment horizontal="center"/>
    </xf>
    <xf numFmtId="164" fontId="3" fillId="11" borderId="0" xfId="0" applyNumberFormat="1" applyFont="1" applyFill="1" applyAlignment="1">
      <alignment horizontal="center"/>
    </xf>
    <xf numFmtId="1" fontId="3" fillId="11" borderId="0" xfId="0" applyNumberFormat="1" applyFont="1" applyFill="1" applyAlignment="1">
      <alignment horizontal="center"/>
    </xf>
    <xf numFmtId="0" fontId="3" fillId="11" borderId="0" xfId="0" applyFont="1" applyFill="1" applyAlignment="1">
      <alignment horizontal="center"/>
    </xf>
    <xf numFmtId="2" fontId="3" fillId="11" borderId="0" xfId="0" applyNumberFormat="1" applyFont="1" applyFill="1" applyAlignment="1">
      <alignment horizontal="center"/>
    </xf>
    <xf numFmtId="1" fontId="3" fillId="11" borderId="24" xfId="0" applyNumberFormat="1" applyFont="1" applyFill="1" applyBorder="1" applyAlignment="1">
      <alignment horizontal="center"/>
    </xf>
    <xf numFmtId="0" fontId="3" fillId="3" borderId="15" xfId="0" applyFont="1" applyFill="1" applyBorder="1" applyAlignment="1">
      <alignment horizontal="center"/>
    </xf>
    <xf numFmtId="164" fontId="3" fillId="3" borderId="16" xfId="0" applyNumberFormat="1" applyFont="1" applyFill="1" applyBorder="1" applyAlignment="1">
      <alignment horizontal="center"/>
    </xf>
    <xf numFmtId="0" fontId="3" fillId="3" borderId="16" xfId="0" applyFont="1" applyFill="1" applyBorder="1" applyAlignment="1">
      <alignment horizontal="center"/>
    </xf>
    <xf numFmtId="1" fontId="3" fillId="3" borderId="44" xfId="0" applyNumberFormat="1" applyFont="1" applyFill="1" applyBorder="1" applyAlignment="1">
      <alignment horizontal="center"/>
    </xf>
    <xf numFmtId="1" fontId="3" fillId="2" borderId="0" xfId="0" applyNumberFormat="1" applyFont="1" applyFill="1"/>
    <xf numFmtId="0" fontId="0" fillId="7" borderId="26" xfId="0" applyFill="1" applyBorder="1"/>
    <xf numFmtId="0" fontId="3" fillId="4" borderId="35" xfId="0" applyFont="1" applyFill="1" applyBorder="1" applyAlignment="1">
      <alignment horizontal="center" vertical="center" wrapText="1"/>
    </xf>
    <xf numFmtId="0" fontId="0" fillId="5" borderId="0" xfId="0" applyFill="1" applyAlignment="1">
      <alignment vertical="center"/>
    </xf>
    <xf numFmtId="0" fontId="0" fillId="7" borderId="40" xfId="0" applyFill="1" applyBorder="1" applyAlignment="1">
      <alignment horizontal="center" vertical="center" wrapText="1"/>
    </xf>
    <xf numFmtId="0" fontId="0" fillId="7" borderId="31" xfId="0" applyFill="1" applyBorder="1" applyAlignment="1">
      <alignment horizontal="center" vertical="center" wrapText="1"/>
    </xf>
    <xf numFmtId="0" fontId="0" fillId="7" borderId="46" xfId="0" applyFill="1" applyBorder="1" applyAlignment="1">
      <alignment horizontal="center" vertical="center" wrapText="1"/>
    </xf>
    <xf numFmtId="0" fontId="25" fillId="2" borderId="0" xfId="0" applyFont="1" applyFill="1" applyAlignment="1">
      <alignment horizontal="left"/>
    </xf>
    <xf numFmtId="1" fontId="26" fillId="2" borderId="0" xfId="0" applyNumberFormat="1" applyFont="1" applyFill="1" applyAlignment="1">
      <alignment horizontal="center"/>
    </xf>
    <xf numFmtId="0" fontId="0" fillId="7" borderId="47" xfId="0" applyFill="1" applyBorder="1" applyAlignment="1">
      <alignment horizontal="center" vertical="center" wrapText="1"/>
    </xf>
    <xf numFmtId="0" fontId="0" fillId="7" borderId="48" xfId="0" applyFill="1" applyBorder="1" applyAlignment="1">
      <alignment horizontal="center" vertical="center" wrapText="1"/>
    </xf>
    <xf numFmtId="0" fontId="14" fillId="7" borderId="49" xfId="0" applyFont="1" applyFill="1" applyBorder="1" applyAlignment="1">
      <alignment horizontal="center" vertical="center" wrapText="1"/>
    </xf>
    <xf numFmtId="0" fontId="14" fillId="8" borderId="45" xfId="0" applyFont="1" applyFill="1" applyBorder="1" applyAlignment="1">
      <alignment horizontal="center" vertical="center"/>
    </xf>
    <xf numFmtId="0" fontId="3" fillId="4" borderId="47" xfId="0" applyFont="1" applyFill="1" applyBorder="1" applyAlignment="1">
      <alignment horizontal="right" vertical="center" wrapText="1"/>
    </xf>
    <xf numFmtId="165" fontId="26" fillId="4" borderId="5" xfId="0" applyNumberFormat="1" applyFont="1" applyFill="1" applyBorder="1" applyAlignment="1">
      <alignment horizontal="center" vertical="center" wrapText="1"/>
    </xf>
    <xf numFmtId="165" fontId="26" fillId="4" borderId="20" xfId="0" applyNumberFormat="1" applyFont="1" applyFill="1" applyBorder="1" applyAlignment="1">
      <alignment horizontal="center" vertical="center" wrapText="1"/>
    </xf>
    <xf numFmtId="9" fontId="3" fillId="3" borderId="0" xfId="0" applyNumberFormat="1" applyFont="1" applyFill="1" applyAlignment="1" applyProtection="1">
      <alignment horizontal="center" vertical="center"/>
      <protection locked="0"/>
    </xf>
    <xf numFmtId="9" fontId="3" fillId="3" borderId="12" xfId="0" applyNumberFormat="1" applyFont="1" applyFill="1" applyBorder="1" applyAlignment="1" applyProtection="1">
      <alignment horizontal="center" vertical="center"/>
      <protection locked="0"/>
    </xf>
    <xf numFmtId="2" fontId="3" fillId="4" borderId="20" xfId="0" applyNumberFormat="1" applyFont="1" applyFill="1" applyBorder="1" applyAlignment="1">
      <alignment horizontal="center" vertical="center" wrapText="1"/>
    </xf>
    <xf numFmtId="1" fontId="8" fillId="3" borderId="0" xfId="0" applyNumberFormat="1" applyFont="1" applyFill="1" applyAlignment="1">
      <alignment horizontal="center"/>
    </xf>
    <xf numFmtId="0" fontId="10" fillId="3" borderId="0" xfId="0" applyFont="1" applyFill="1" applyAlignment="1">
      <alignment horizontal="center"/>
    </xf>
    <xf numFmtId="0" fontId="3" fillId="3" borderId="0" xfId="0" applyFont="1" applyFill="1"/>
    <xf numFmtId="0" fontId="3" fillId="3" borderId="25" xfId="0" applyFont="1" applyFill="1" applyBorder="1" applyAlignment="1">
      <alignment horizontal="left" indent="4"/>
    </xf>
    <xf numFmtId="0" fontId="3" fillId="3" borderId="28" xfId="0" applyFont="1" applyFill="1" applyBorder="1" applyAlignment="1">
      <alignment horizontal="center"/>
    </xf>
    <xf numFmtId="2" fontId="3" fillId="3" borderId="28" xfId="0" applyNumberFormat="1" applyFont="1" applyFill="1" applyBorder="1" applyAlignment="1">
      <alignment horizontal="center"/>
    </xf>
    <xf numFmtId="2" fontId="19" fillId="3" borderId="28" xfId="0" applyNumberFormat="1" applyFont="1" applyFill="1" applyBorder="1" applyAlignment="1">
      <alignment horizontal="left"/>
    </xf>
    <xf numFmtId="0" fontId="3" fillId="3" borderId="37" xfId="0" applyFont="1" applyFill="1" applyBorder="1" applyAlignment="1">
      <alignment horizontal="right" vertical="center" wrapText="1"/>
    </xf>
    <xf numFmtId="2" fontId="3" fillId="3" borderId="0" xfId="0" applyNumberFormat="1" applyFont="1" applyFill="1" applyAlignment="1">
      <alignment horizontal="center" vertical="center"/>
    </xf>
    <xf numFmtId="2" fontId="3" fillId="3" borderId="12" xfId="0" applyNumberFormat="1" applyFont="1" applyFill="1" applyBorder="1" applyAlignment="1">
      <alignment horizontal="center" vertical="center"/>
    </xf>
    <xf numFmtId="2" fontId="3" fillId="3" borderId="11" xfId="0" applyNumberFormat="1" applyFont="1" applyFill="1" applyBorder="1" applyAlignment="1" applyProtection="1">
      <alignment horizontal="center" vertical="center"/>
      <protection locked="0"/>
    </xf>
    <xf numFmtId="9" fontId="3" fillId="3" borderId="11" xfId="0" applyNumberFormat="1" applyFont="1" applyFill="1" applyBorder="1" applyAlignment="1" applyProtection="1">
      <alignment horizontal="center" vertical="center"/>
      <protection locked="0"/>
    </xf>
    <xf numFmtId="0" fontId="3" fillId="3" borderId="42" xfId="0" applyFont="1" applyFill="1" applyBorder="1" applyAlignment="1">
      <alignment horizontal="center"/>
    </xf>
    <xf numFmtId="164" fontId="14" fillId="11" borderId="7" xfId="0" applyNumberFormat="1" applyFont="1" applyFill="1" applyBorder="1" applyAlignment="1">
      <alignment horizontal="center"/>
    </xf>
    <xf numFmtId="1" fontId="14" fillId="11" borderId="7" xfId="0" applyNumberFormat="1" applyFont="1" applyFill="1" applyBorder="1" applyAlignment="1">
      <alignment horizontal="center"/>
    </xf>
    <xf numFmtId="0" fontId="3" fillId="11" borderId="0" xfId="0" applyFont="1" applyFill="1"/>
    <xf numFmtId="1" fontId="14" fillId="3" borderId="0" xfId="0" applyNumberFormat="1" applyFont="1" applyFill="1" applyAlignment="1">
      <alignment horizontal="center"/>
    </xf>
    <xf numFmtId="0" fontId="3" fillId="4" borderId="10" xfId="0" applyFont="1" applyFill="1" applyBorder="1" applyAlignment="1">
      <alignment horizontal="center" vertical="center" wrapText="1"/>
    </xf>
    <xf numFmtId="2" fontId="27" fillId="3" borderId="0" xfId="0" applyNumberFormat="1" applyFont="1" applyFill="1" applyAlignment="1">
      <alignment horizontal="center"/>
    </xf>
    <xf numFmtId="1" fontId="14" fillId="3" borderId="7" xfId="0" applyNumberFormat="1" applyFont="1" applyFill="1" applyBorder="1" applyAlignment="1">
      <alignment horizontal="center"/>
    </xf>
    <xf numFmtId="0" fontId="3" fillId="2" borderId="45" xfId="0" applyFont="1" applyFill="1" applyBorder="1" applyAlignment="1">
      <alignment horizontal="center" wrapText="1"/>
    </xf>
    <xf numFmtId="2" fontId="3" fillId="2" borderId="32" xfId="0" applyNumberFormat="1" applyFont="1" applyFill="1" applyBorder="1" applyAlignment="1">
      <alignment horizontal="center" wrapText="1"/>
    </xf>
    <xf numFmtId="2" fontId="3" fillId="2" borderId="53" xfId="0" applyNumberFormat="1" applyFont="1" applyFill="1" applyBorder="1" applyAlignment="1">
      <alignment horizontal="center" wrapText="1"/>
    </xf>
    <xf numFmtId="0" fontId="3" fillId="2" borderId="53" xfId="0" applyFont="1" applyFill="1" applyBorder="1" applyAlignment="1">
      <alignment horizontal="center" wrapText="1"/>
    </xf>
    <xf numFmtId="0" fontId="14" fillId="8" borderId="57" xfId="0" applyFont="1" applyFill="1" applyBorder="1" applyAlignment="1">
      <alignment horizontal="center" vertical="center"/>
    </xf>
    <xf numFmtId="0" fontId="14" fillId="7" borderId="58" xfId="0" applyFont="1" applyFill="1" applyBorder="1" applyAlignment="1">
      <alignment horizontal="center" vertical="center" wrapText="1"/>
    </xf>
    <xf numFmtId="0" fontId="0" fillId="7" borderId="59" xfId="0" applyFill="1" applyBorder="1" applyAlignment="1">
      <alignment horizontal="center" vertical="center" wrapText="1"/>
    </xf>
    <xf numFmtId="0" fontId="0" fillId="7" borderId="60" xfId="0" applyFill="1" applyBorder="1" applyAlignment="1">
      <alignment horizontal="center" vertical="center" wrapText="1"/>
    </xf>
    <xf numFmtId="0" fontId="0" fillId="7" borderId="61" xfId="0" applyFill="1" applyBorder="1" applyAlignment="1">
      <alignment horizontal="center" vertical="center" wrapText="1"/>
    </xf>
    <xf numFmtId="0" fontId="0" fillId="7" borderId="62" xfId="0" applyFill="1" applyBorder="1" applyAlignment="1">
      <alignment horizontal="center" vertical="center" wrapText="1"/>
    </xf>
    <xf numFmtId="0" fontId="0" fillId="7" borderId="64" xfId="0" applyFill="1" applyBorder="1" applyAlignment="1">
      <alignment horizontal="center" vertical="center" wrapText="1"/>
    </xf>
    <xf numFmtId="0" fontId="14" fillId="8" borderId="66" xfId="0" applyFont="1" applyFill="1" applyBorder="1" applyAlignment="1">
      <alignment horizontal="center" vertical="center"/>
    </xf>
    <xf numFmtId="0" fontId="14" fillId="7" borderId="67" xfId="0" applyFont="1" applyFill="1" applyBorder="1" applyAlignment="1">
      <alignment horizontal="center" vertical="center" wrapText="1"/>
    </xf>
    <xf numFmtId="0" fontId="0" fillId="7" borderId="68" xfId="0" applyFill="1" applyBorder="1" applyAlignment="1">
      <alignment horizontal="center" vertical="center" wrapText="1"/>
    </xf>
    <xf numFmtId="0" fontId="0" fillId="7" borderId="69" xfId="0" applyFill="1" applyBorder="1" applyAlignment="1">
      <alignment horizontal="center" vertical="center" wrapText="1"/>
    </xf>
    <xf numFmtId="0" fontId="0" fillId="7" borderId="70" xfId="0" applyFill="1" applyBorder="1" applyAlignment="1">
      <alignment horizontal="center" vertical="center" wrapText="1"/>
    </xf>
    <xf numFmtId="0" fontId="0" fillId="7" borderId="71" xfId="0" applyFill="1" applyBorder="1" applyAlignment="1">
      <alignment horizontal="center" vertical="center" wrapText="1"/>
    </xf>
    <xf numFmtId="49" fontId="3" fillId="6" borderId="72" xfId="0" applyNumberFormat="1" applyFont="1" applyFill="1" applyBorder="1" applyAlignment="1">
      <alignment vertical="center" textRotation="90"/>
    </xf>
    <xf numFmtId="0" fontId="1" fillId="6" borderId="73" xfId="0" applyFont="1" applyFill="1" applyBorder="1" applyAlignment="1">
      <alignment horizontal="right"/>
    </xf>
    <xf numFmtId="0" fontId="1" fillId="6" borderId="74" xfId="0" applyFont="1" applyFill="1" applyBorder="1" applyAlignment="1">
      <alignment horizontal="center" vertical="center"/>
    </xf>
    <xf numFmtId="0" fontId="1" fillId="6" borderId="75" xfId="0" applyFont="1" applyFill="1" applyBorder="1" applyAlignment="1">
      <alignment horizontal="center" vertical="center" wrapText="1"/>
    </xf>
    <xf numFmtId="0" fontId="1" fillId="6" borderId="76" xfId="0" applyFont="1" applyFill="1" applyBorder="1" applyAlignment="1">
      <alignment horizontal="center" vertical="center" wrapText="1"/>
    </xf>
    <xf numFmtId="0" fontId="1" fillId="6" borderId="77" xfId="0" applyFont="1" applyFill="1" applyBorder="1" applyAlignment="1">
      <alignment horizontal="center" vertical="center" wrapText="1"/>
    </xf>
    <xf numFmtId="0" fontId="1" fillId="6" borderId="78" xfId="0" applyFont="1" applyFill="1" applyBorder="1" applyAlignment="1">
      <alignment horizontal="center" vertical="center" wrapText="1"/>
    </xf>
    <xf numFmtId="0" fontId="28" fillId="6" borderId="42" xfId="0" applyFont="1" applyFill="1" applyBorder="1" applyAlignment="1">
      <alignment horizontal="left"/>
    </xf>
    <xf numFmtId="2" fontId="3" fillId="4" borderId="16" xfId="0" applyNumberFormat="1" applyFont="1" applyFill="1" applyBorder="1" applyAlignment="1">
      <alignment horizontal="center"/>
    </xf>
    <xf numFmtId="2" fontId="3" fillId="4" borderId="14" xfId="0" applyNumberFormat="1" applyFont="1" applyFill="1" applyBorder="1" applyAlignment="1">
      <alignment horizontal="center"/>
    </xf>
    <xf numFmtId="0" fontId="1" fillId="6" borderId="79" xfId="0" applyFont="1" applyFill="1" applyBorder="1" applyAlignment="1">
      <alignment horizontal="center" vertical="center" wrapText="1"/>
    </xf>
    <xf numFmtId="0" fontId="1" fillId="6" borderId="80" xfId="0" applyFont="1" applyFill="1" applyBorder="1" applyAlignment="1">
      <alignment horizontal="center" vertical="center" wrapText="1"/>
    </xf>
    <xf numFmtId="2" fontId="14" fillId="3" borderId="8" xfId="0" applyNumberFormat="1" applyFont="1" applyFill="1" applyBorder="1" applyAlignment="1">
      <alignment horizontal="center"/>
    </xf>
    <xf numFmtId="2" fontId="14" fillId="3" borderId="7" xfId="0" applyNumberFormat="1" applyFont="1" applyFill="1" applyBorder="1" applyAlignment="1">
      <alignment horizontal="center"/>
    </xf>
    <xf numFmtId="0" fontId="0" fillId="4" borderId="7" xfId="0" applyFill="1" applyBorder="1"/>
    <xf numFmtId="0" fontId="0" fillId="4" borderId="0" xfId="0" applyFill="1"/>
    <xf numFmtId="0" fontId="0" fillId="4" borderId="16" xfId="0" applyFill="1" applyBorder="1"/>
    <xf numFmtId="9" fontId="3" fillId="3" borderId="21" xfId="0" applyNumberFormat="1" applyFont="1" applyFill="1" applyBorder="1" applyAlignment="1">
      <alignment horizontal="center"/>
    </xf>
    <xf numFmtId="9" fontId="3" fillId="3" borderId="10" xfId="0" applyNumberFormat="1" applyFont="1" applyFill="1" applyBorder="1" applyAlignment="1">
      <alignment horizontal="center"/>
    </xf>
    <xf numFmtId="9" fontId="3" fillId="2" borderId="53" xfId="0" applyNumberFormat="1" applyFont="1" applyFill="1" applyBorder="1" applyAlignment="1">
      <alignment horizontal="center" wrapText="1"/>
    </xf>
    <xf numFmtId="0" fontId="14" fillId="8" borderId="58" xfId="0" applyFont="1" applyFill="1" applyBorder="1" applyAlignment="1">
      <alignment horizontal="center" vertical="center" wrapText="1"/>
    </xf>
    <xf numFmtId="0" fontId="14" fillId="8" borderId="49" xfId="0" applyFont="1" applyFill="1" applyBorder="1" applyAlignment="1">
      <alignment horizontal="center" vertical="center" wrapText="1"/>
    </xf>
    <xf numFmtId="0" fontId="14" fillId="8" borderId="50" xfId="0" applyFont="1" applyFill="1" applyBorder="1" applyAlignment="1">
      <alignment horizontal="center" vertical="center" wrapText="1"/>
    </xf>
    <xf numFmtId="49" fontId="3" fillId="6" borderId="56" xfId="0" applyNumberFormat="1" applyFont="1" applyFill="1" applyBorder="1" applyAlignment="1">
      <alignment vertical="center" textRotation="90"/>
    </xf>
    <xf numFmtId="0" fontId="1" fillId="6" borderId="81" xfId="0" applyFont="1" applyFill="1" applyBorder="1" applyAlignment="1">
      <alignment horizontal="right"/>
    </xf>
    <xf numFmtId="0" fontId="14" fillId="8" borderId="52" xfId="0" applyFont="1" applyFill="1" applyBorder="1" applyAlignment="1">
      <alignment horizontal="center" vertical="center" wrapText="1"/>
    </xf>
    <xf numFmtId="49" fontId="3" fillId="6" borderId="65" xfId="0" applyNumberFormat="1" applyFont="1" applyFill="1" applyBorder="1" applyAlignment="1">
      <alignment vertical="center" textRotation="90"/>
    </xf>
    <xf numFmtId="0" fontId="1" fillId="6" borderId="85" xfId="0" applyFont="1" applyFill="1" applyBorder="1" applyAlignment="1">
      <alignment horizontal="right"/>
    </xf>
    <xf numFmtId="0" fontId="1" fillId="6" borderId="86" xfId="0" applyFont="1" applyFill="1" applyBorder="1" applyAlignment="1">
      <alignment horizontal="center" vertical="center"/>
    </xf>
    <xf numFmtId="0" fontId="1" fillId="6" borderId="87" xfId="0" applyFont="1" applyFill="1" applyBorder="1" applyAlignment="1">
      <alignment horizontal="center" vertical="center" wrapText="1"/>
    </xf>
    <xf numFmtId="0" fontId="1" fillId="6" borderId="88" xfId="0" applyFont="1" applyFill="1" applyBorder="1" applyAlignment="1">
      <alignment horizontal="center" vertical="center" wrapText="1"/>
    </xf>
    <xf numFmtId="0" fontId="1" fillId="6" borderId="89" xfId="0" applyFont="1" applyFill="1" applyBorder="1" applyAlignment="1">
      <alignment horizontal="center" vertical="center" wrapText="1"/>
    </xf>
    <xf numFmtId="0" fontId="1" fillId="6" borderId="82" xfId="0" applyFont="1" applyFill="1" applyBorder="1" applyAlignment="1">
      <alignment horizontal="center"/>
    </xf>
    <xf numFmtId="0" fontId="1" fillId="6" borderId="79" xfId="0" applyFont="1" applyFill="1" applyBorder="1" applyAlignment="1">
      <alignment horizontal="center" wrapText="1"/>
    </xf>
    <xf numFmtId="0" fontId="1" fillId="6" borderId="83" xfId="0" applyFont="1" applyFill="1" applyBorder="1" applyAlignment="1">
      <alignment horizontal="center" wrapText="1"/>
    </xf>
    <xf numFmtId="164" fontId="0" fillId="8" borderId="46" xfId="0" applyNumberFormat="1" applyFill="1" applyBorder="1" applyAlignment="1">
      <alignment horizontal="center" vertical="center" wrapText="1"/>
    </xf>
    <xf numFmtId="2" fontId="3" fillId="3" borderId="16" xfId="0" applyNumberFormat="1" applyFont="1" applyFill="1" applyBorder="1" applyAlignment="1">
      <alignment horizontal="left"/>
    </xf>
    <xf numFmtId="2" fontId="3" fillId="4" borderId="15" xfId="0" applyNumberFormat="1" applyFont="1" applyFill="1" applyBorder="1" applyAlignment="1">
      <alignment horizontal="center"/>
    </xf>
    <xf numFmtId="0" fontId="3" fillId="2" borderId="31" xfId="0" applyFont="1" applyFill="1" applyBorder="1" applyAlignment="1">
      <alignment horizontal="center" wrapText="1"/>
    </xf>
    <xf numFmtId="0" fontId="3" fillId="4" borderId="24" xfId="0" applyFont="1" applyFill="1" applyBorder="1" applyAlignment="1">
      <alignment horizontal="center" vertical="center" wrapText="1"/>
    </xf>
    <xf numFmtId="0" fontId="1" fillId="6" borderId="84" xfId="0" applyFont="1" applyFill="1" applyBorder="1" applyAlignment="1">
      <alignment horizontal="center"/>
    </xf>
    <xf numFmtId="0" fontId="1" fillId="6" borderId="89" xfId="0" applyFont="1" applyFill="1" applyBorder="1" applyAlignment="1">
      <alignment horizontal="right"/>
    </xf>
    <xf numFmtId="0" fontId="14" fillId="7" borderId="13" xfId="0" applyFont="1" applyFill="1" applyBorder="1" applyAlignment="1">
      <alignment horizontal="center" vertical="center"/>
    </xf>
    <xf numFmtId="0" fontId="14" fillId="7" borderId="55" xfId="0" applyFont="1" applyFill="1" applyBorder="1" applyAlignment="1">
      <alignment horizontal="center" vertical="center"/>
    </xf>
    <xf numFmtId="0" fontId="14" fillId="7" borderId="45" xfId="0" applyFont="1" applyFill="1" applyBorder="1" applyAlignment="1">
      <alignment horizontal="center" vertical="center"/>
    </xf>
    <xf numFmtId="0" fontId="14" fillId="7" borderId="46" xfId="0" applyFont="1" applyFill="1" applyBorder="1" applyAlignment="1">
      <alignment horizontal="center" vertical="center"/>
    </xf>
    <xf numFmtId="0" fontId="14" fillId="7" borderId="66" xfId="0" applyFont="1" applyFill="1" applyBorder="1" applyAlignment="1">
      <alignment horizontal="center" vertical="center"/>
    </xf>
    <xf numFmtId="0" fontId="14" fillId="7" borderId="70" xfId="0" applyFont="1" applyFill="1" applyBorder="1" applyAlignment="1">
      <alignment horizontal="center" vertical="center"/>
    </xf>
    <xf numFmtId="0" fontId="14" fillId="7" borderId="57" xfId="0" applyFont="1" applyFill="1" applyBorder="1" applyAlignment="1">
      <alignment horizontal="center" vertical="center"/>
    </xf>
    <xf numFmtId="0" fontId="14" fillId="7" borderId="61" xfId="0" applyFont="1" applyFill="1" applyBorder="1" applyAlignment="1">
      <alignment horizontal="center" vertical="center"/>
    </xf>
    <xf numFmtId="164" fontId="0" fillId="8" borderId="44" xfId="0" applyNumberFormat="1" applyFill="1" applyBorder="1" applyAlignment="1">
      <alignment horizontal="center" vertical="center" wrapText="1"/>
    </xf>
    <xf numFmtId="164" fontId="0" fillId="8" borderId="31" xfId="0" applyNumberFormat="1" applyFill="1" applyBorder="1" applyAlignment="1">
      <alignment horizontal="center" vertical="center" wrapText="1"/>
    </xf>
    <xf numFmtId="2" fontId="3" fillId="3" borderId="42" xfId="0" applyNumberFormat="1" applyFont="1" applyFill="1" applyBorder="1" applyAlignment="1">
      <alignment horizontal="center"/>
    </xf>
    <xf numFmtId="2" fontId="3" fillId="3" borderId="24" xfId="0" applyNumberFormat="1" applyFont="1" applyFill="1" applyBorder="1" applyAlignment="1">
      <alignment horizontal="center"/>
    </xf>
    <xf numFmtId="0" fontId="3" fillId="4" borderId="0" xfId="0" applyFont="1" applyFill="1" applyAlignment="1">
      <alignment horizontal="right" vertical="center"/>
    </xf>
    <xf numFmtId="1" fontId="3" fillId="3" borderId="53" xfId="0" applyNumberFormat="1" applyFont="1" applyFill="1" applyBorder="1" applyAlignment="1">
      <alignment horizontal="left" vertical="center"/>
    </xf>
    <xf numFmtId="1" fontId="3" fillId="3" borderId="53" xfId="0" applyNumberFormat="1" applyFont="1" applyFill="1" applyBorder="1" applyAlignment="1">
      <alignment horizontal="center" vertical="center"/>
    </xf>
    <xf numFmtId="164" fontId="3" fillId="3" borderId="53" xfId="0" applyNumberFormat="1" applyFont="1" applyFill="1" applyBorder="1" applyAlignment="1">
      <alignment horizontal="center" vertical="center"/>
    </xf>
    <xf numFmtId="0" fontId="3" fillId="3" borderId="53" xfId="0" applyFont="1" applyFill="1" applyBorder="1" applyAlignment="1">
      <alignment horizontal="center" vertical="center"/>
    </xf>
    <xf numFmtId="2" fontId="3" fillId="3" borderId="53" xfId="0" applyNumberFormat="1" applyFont="1" applyFill="1" applyBorder="1" applyAlignment="1">
      <alignment horizontal="center"/>
    </xf>
    <xf numFmtId="1" fontId="3" fillId="3" borderId="53" xfId="0" applyNumberFormat="1" applyFont="1" applyFill="1" applyBorder="1" applyAlignment="1">
      <alignment horizontal="center"/>
    </xf>
    <xf numFmtId="2" fontId="3" fillId="3" borderId="32" xfId="0" applyNumberFormat="1" applyFont="1" applyFill="1" applyBorder="1" applyAlignment="1">
      <alignment horizontal="center" vertical="center"/>
    </xf>
    <xf numFmtId="2" fontId="3" fillId="3" borderId="53" xfId="0" applyNumberFormat="1" applyFont="1" applyFill="1" applyBorder="1" applyAlignment="1">
      <alignment horizontal="center" vertical="center"/>
    </xf>
    <xf numFmtId="165" fontId="3" fillId="3" borderId="32" xfId="0" applyNumberFormat="1" applyFont="1" applyFill="1" applyBorder="1" applyAlignment="1">
      <alignment horizontal="center" vertical="center"/>
    </xf>
    <xf numFmtId="166" fontId="3" fillId="3" borderId="53" xfId="0" applyNumberFormat="1" applyFont="1" applyFill="1" applyBorder="1" applyAlignment="1">
      <alignment horizontal="center" vertical="center" wrapText="1"/>
    </xf>
    <xf numFmtId="166" fontId="3" fillId="3" borderId="53" xfId="0" applyNumberFormat="1" applyFont="1" applyFill="1" applyBorder="1" applyAlignment="1">
      <alignment horizontal="center" vertical="center"/>
    </xf>
    <xf numFmtId="165" fontId="3" fillId="3" borderId="54" xfId="0" applyNumberFormat="1" applyFont="1" applyFill="1" applyBorder="1" applyAlignment="1">
      <alignment horizontal="center" vertical="center"/>
    </xf>
    <xf numFmtId="2" fontId="3" fillId="3" borderId="54" xfId="0" applyNumberFormat="1" applyFont="1" applyFill="1" applyBorder="1" applyAlignment="1">
      <alignment horizontal="center" vertical="center"/>
    </xf>
    <xf numFmtId="0" fontId="3" fillId="3" borderId="45" xfId="0" applyFont="1" applyFill="1" applyBorder="1"/>
    <xf numFmtId="0" fontId="8" fillId="4" borderId="3" xfId="0" applyFont="1" applyFill="1" applyBorder="1" applyAlignment="1">
      <alignment vertical="center" wrapText="1"/>
    </xf>
    <xf numFmtId="167" fontId="21" fillId="4" borderId="0" xfId="0" applyNumberFormat="1" applyFont="1" applyFill="1" applyAlignment="1">
      <alignment vertical="center" wrapText="1"/>
    </xf>
    <xf numFmtId="2" fontId="8" fillId="4" borderId="0" xfId="0" applyNumberFormat="1" applyFont="1" applyFill="1" applyAlignment="1">
      <alignment vertical="center"/>
    </xf>
    <xf numFmtId="0" fontId="8" fillId="4" borderId="0" xfId="0" applyFont="1" applyFill="1" applyAlignment="1">
      <alignment vertical="center"/>
    </xf>
    <xf numFmtId="2" fontId="8" fillId="4" borderId="11" xfId="0" applyNumberFormat="1" applyFont="1" applyFill="1" applyBorder="1" applyAlignment="1">
      <alignment vertical="center"/>
    </xf>
    <xf numFmtId="0" fontId="8" fillId="4" borderId="0" xfId="0" applyFont="1" applyFill="1" applyAlignment="1">
      <alignment horizontal="right" vertical="center"/>
    </xf>
    <xf numFmtId="2" fontId="8" fillId="4" borderId="10" xfId="0" applyNumberFormat="1" applyFont="1" applyFill="1" applyBorder="1" applyAlignment="1">
      <alignment vertical="center"/>
    </xf>
    <xf numFmtId="167" fontId="8" fillId="4" borderId="0" xfId="0" applyNumberFormat="1" applyFont="1" applyFill="1" applyAlignment="1">
      <alignment vertical="center"/>
    </xf>
    <xf numFmtId="0" fontId="8" fillId="4" borderId="11" xfId="0" applyFont="1" applyFill="1" applyBorder="1" applyAlignment="1">
      <alignment vertical="center"/>
    </xf>
    <xf numFmtId="0" fontId="1" fillId="6" borderId="7" xfId="0" applyFont="1" applyFill="1" applyBorder="1" applyAlignment="1">
      <alignment horizontal="center"/>
    </xf>
    <xf numFmtId="0" fontId="0" fillId="5" borderId="0" xfId="0" applyFill="1" applyAlignment="1">
      <alignment horizontal="center"/>
    </xf>
    <xf numFmtId="0" fontId="2" fillId="8" borderId="10" xfId="0" applyFont="1" applyFill="1" applyBorder="1" applyAlignment="1">
      <alignment horizontal="center"/>
    </xf>
    <xf numFmtId="0" fontId="2" fillId="8" borderId="29" xfId="0" applyFont="1" applyFill="1" applyBorder="1" applyAlignment="1">
      <alignment horizontal="center"/>
    </xf>
    <xf numFmtId="0" fontId="0" fillId="5" borderId="33" xfId="0" applyFill="1" applyBorder="1" applyAlignment="1">
      <alignment horizontal="center"/>
    </xf>
    <xf numFmtId="0" fontId="3" fillId="10" borderId="21" xfId="0" applyFont="1" applyFill="1" applyBorder="1" applyAlignment="1">
      <alignment horizontal="center"/>
    </xf>
    <xf numFmtId="0" fontId="14" fillId="3" borderId="1" xfId="0" applyFont="1" applyFill="1" applyBorder="1" applyAlignment="1">
      <alignment horizontal="center"/>
    </xf>
    <xf numFmtId="0" fontId="14" fillId="3" borderId="2" xfId="0" applyFont="1" applyFill="1" applyBorder="1" applyAlignment="1">
      <alignment horizontal="center"/>
    </xf>
    <xf numFmtId="2" fontId="14" fillId="3" borderId="90" xfId="0" applyNumberFormat="1" applyFont="1" applyFill="1" applyBorder="1" applyAlignment="1">
      <alignment horizontal="center"/>
    </xf>
    <xf numFmtId="2" fontId="14" fillId="3" borderId="91" xfId="0" applyNumberFormat="1" applyFont="1" applyFill="1" applyBorder="1" applyAlignment="1">
      <alignment horizontal="center"/>
    </xf>
    <xf numFmtId="1" fontId="14" fillId="3" borderId="2" xfId="0" applyNumberFormat="1" applyFont="1" applyFill="1" applyBorder="1" applyAlignment="1">
      <alignment horizontal="center"/>
    </xf>
    <xf numFmtId="2" fontId="14" fillId="3" borderId="2" xfId="0" applyNumberFormat="1" applyFont="1" applyFill="1" applyBorder="1" applyAlignment="1">
      <alignment horizontal="center"/>
    </xf>
    <xf numFmtId="9" fontId="14" fillId="3" borderId="92" xfId="0" applyNumberFormat="1" applyFont="1" applyFill="1" applyBorder="1" applyAlignment="1">
      <alignment horizontal="center"/>
    </xf>
    <xf numFmtId="0" fontId="0" fillId="7" borderId="36" xfId="0" applyFill="1" applyBorder="1" applyAlignment="1">
      <alignment horizontal="center" vertical="center" wrapText="1"/>
    </xf>
    <xf numFmtId="0" fontId="0" fillId="7" borderId="42" xfId="0" applyFill="1" applyBorder="1" applyAlignment="1">
      <alignment horizontal="center" vertical="center" wrapText="1"/>
    </xf>
    <xf numFmtId="0" fontId="0" fillId="7" borderId="94" xfId="0" applyFill="1" applyBorder="1" applyAlignment="1">
      <alignment horizontal="center" vertical="center" wrapText="1"/>
    </xf>
    <xf numFmtId="0" fontId="0" fillId="7" borderId="95" xfId="0" applyFill="1" applyBorder="1" applyAlignment="1">
      <alignment horizontal="center" vertical="center" wrapText="1"/>
    </xf>
    <xf numFmtId="0" fontId="0" fillId="7" borderId="96" xfId="0" applyFill="1" applyBorder="1" applyAlignment="1">
      <alignment horizontal="center" vertical="center" wrapText="1"/>
    </xf>
    <xf numFmtId="0" fontId="0" fillId="7" borderId="93" xfId="0" applyFill="1" applyBorder="1" applyAlignment="1">
      <alignment horizontal="center" vertical="center" wrapText="1"/>
    </xf>
    <xf numFmtId="0" fontId="0" fillId="7" borderId="97" xfId="0" applyFill="1" applyBorder="1" applyAlignment="1">
      <alignment horizontal="center" vertical="center" wrapText="1"/>
    </xf>
    <xf numFmtId="2" fontId="3" fillId="3" borderId="2" xfId="0" applyNumberFormat="1" applyFont="1" applyFill="1" applyBorder="1" applyAlignment="1">
      <alignment horizontal="center"/>
    </xf>
    <xf numFmtId="2" fontId="3" fillId="3" borderId="91" xfId="0" applyNumberFormat="1" applyFont="1" applyFill="1" applyBorder="1" applyAlignment="1">
      <alignment horizontal="center"/>
    </xf>
    <xf numFmtId="0" fontId="14" fillId="8" borderId="98" xfId="0" applyFont="1" applyFill="1" applyBorder="1" applyAlignment="1">
      <alignment horizontal="center" vertical="center" wrapText="1"/>
    </xf>
    <xf numFmtId="164" fontId="0" fillId="8" borderId="42" xfId="0" applyNumberFormat="1" applyFill="1" applyBorder="1" applyAlignment="1">
      <alignment horizontal="center" vertical="center" wrapText="1"/>
    </xf>
    <xf numFmtId="164" fontId="0" fillId="8" borderId="24" xfId="0" applyNumberFormat="1" applyFill="1" applyBorder="1" applyAlignment="1">
      <alignment horizontal="center" vertical="center" wrapText="1"/>
    </xf>
    <xf numFmtId="164" fontId="0" fillId="8" borderId="43" xfId="0" applyNumberFormat="1" applyFill="1" applyBorder="1" applyAlignment="1">
      <alignment horizontal="center" vertical="center" wrapText="1"/>
    </xf>
    <xf numFmtId="164" fontId="0" fillId="8" borderId="60" xfId="0" applyNumberFormat="1" applyFill="1" applyBorder="1" applyAlignment="1">
      <alignment horizontal="center" vertical="center" wrapText="1"/>
    </xf>
    <xf numFmtId="164" fontId="0" fillId="8" borderId="61" xfId="0" applyNumberFormat="1" applyFill="1" applyBorder="1" applyAlignment="1">
      <alignment horizontal="center" vertical="center" wrapText="1"/>
    </xf>
    <xf numFmtId="0" fontId="0" fillId="6" borderId="99" xfId="0" applyFill="1" applyBorder="1"/>
    <xf numFmtId="0" fontId="0" fillId="6" borderId="100" xfId="0" applyFill="1" applyBorder="1"/>
    <xf numFmtId="0" fontId="3" fillId="6" borderId="100" xfId="0" applyFont="1" applyFill="1" applyBorder="1"/>
    <xf numFmtId="0" fontId="0" fillId="6" borderId="101" xfId="0" applyFill="1" applyBorder="1"/>
    <xf numFmtId="0" fontId="3" fillId="6" borderId="99" xfId="0" applyFont="1" applyFill="1" applyBorder="1"/>
    <xf numFmtId="0" fontId="3" fillId="6" borderId="101" xfId="0" applyFont="1" applyFill="1" applyBorder="1"/>
    <xf numFmtId="0" fontId="0" fillId="3" borderId="28" xfId="0" applyFill="1" applyBorder="1"/>
    <xf numFmtId="0" fontId="0" fillId="3" borderId="39" xfId="0" applyFill="1" applyBorder="1"/>
    <xf numFmtId="0" fontId="3" fillId="3" borderId="25" xfId="0" applyFont="1" applyFill="1" applyBorder="1" applyAlignment="1">
      <alignment horizontal="right"/>
    </xf>
    <xf numFmtId="9" fontId="3" fillId="3" borderId="51" xfId="0" applyNumberFormat="1" applyFont="1" applyFill="1" applyBorder="1" applyAlignment="1">
      <alignment horizontal="center"/>
    </xf>
    <xf numFmtId="9" fontId="3" fillId="3" borderId="28" xfId="0" applyNumberFormat="1" applyFont="1" applyFill="1" applyBorder="1" applyAlignment="1">
      <alignment horizontal="center"/>
    </xf>
    <xf numFmtId="0" fontId="3" fillId="3" borderId="13" xfId="0" applyFont="1" applyFill="1" applyBorder="1" applyAlignment="1">
      <alignment horizontal="center"/>
    </xf>
    <xf numFmtId="2" fontId="3" fillId="3" borderId="44" xfId="0" applyNumberFormat="1" applyFont="1" applyFill="1" applyBorder="1" applyAlignment="1">
      <alignment horizontal="center"/>
    </xf>
    <xf numFmtId="9" fontId="3" fillId="3" borderId="14" xfId="0" applyNumberFormat="1" applyFont="1" applyFill="1" applyBorder="1" applyAlignment="1">
      <alignment horizontal="center"/>
    </xf>
    <xf numFmtId="10" fontId="14" fillId="7" borderId="55" xfId="0" applyNumberFormat="1" applyFont="1" applyFill="1" applyBorder="1" applyAlignment="1">
      <alignment horizontal="center" vertical="center"/>
    </xf>
    <xf numFmtId="0" fontId="3" fillId="3" borderId="48" xfId="0" applyFont="1" applyFill="1" applyBorder="1" applyAlignment="1">
      <alignment horizontal="right"/>
    </xf>
    <xf numFmtId="0" fontId="3" fillId="4" borderId="1" xfId="0" applyFont="1" applyFill="1" applyBorder="1" applyAlignment="1">
      <alignment horizontal="left"/>
    </xf>
    <xf numFmtId="0" fontId="3" fillId="4" borderId="2" xfId="0" applyFont="1" applyFill="1" applyBorder="1" applyAlignment="1">
      <alignment horizontal="center"/>
    </xf>
    <xf numFmtId="0" fontId="3" fillId="4" borderId="90" xfId="0" applyFont="1" applyFill="1" applyBorder="1" applyAlignment="1">
      <alignment horizontal="center"/>
    </xf>
    <xf numFmtId="0" fontId="5" fillId="4" borderId="91" xfId="0" applyFont="1" applyFill="1" applyBorder="1" applyAlignment="1">
      <alignment horizontal="left" vertical="center"/>
    </xf>
    <xf numFmtId="0" fontId="5" fillId="4" borderId="2" xfId="0" applyFont="1" applyFill="1" applyBorder="1" applyAlignment="1">
      <alignment horizontal="left" vertical="center"/>
    </xf>
    <xf numFmtId="2" fontId="3" fillId="4" borderId="2" xfId="0" applyNumberFormat="1" applyFont="1" applyFill="1" applyBorder="1" applyAlignment="1">
      <alignment horizontal="center" vertical="center"/>
    </xf>
    <xf numFmtId="9" fontId="3" fillId="4" borderId="2" xfId="0" applyNumberFormat="1" applyFont="1" applyFill="1" applyBorder="1" applyAlignment="1">
      <alignment horizontal="center"/>
    </xf>
    <xf numFmtId="0" fontId="32" fillId="2" borderId="0" xfId="0" applyFont="1" applyFill="1" applyAlignment="1">
      <alignment horizontal="left" wrapText="1"/>
    </xf>
    <xf numFmtId="2" fontId="3" fillId="2" borderId="15" xfId="0" applyNumberFormat="1" applyFont="1" applyFill="1" applyBorder="1" applyAlignment="1">
      <alignment horizontal="center" wrapText="1"/>
    </xf>
    <xf numFmtId="0" fontId="3" fillId="4" borderId="15" xfId="0" applyFont="1" applyFill="1" applyBorder="1" applyAlignment="1">
      <alignment horizontal="center" vertical="center" wrapText="1"/>
    </xf>
    <xf numFmtId="0" fontId="3" fillId="4" borderId="14" xfId="0" applyFont="1" applyFill="1" applyBorder="1" applyAlignment="1">
      <alignment horizontal="center" vertical="center" wrapText="1"/>
    </xf>
    <xf numFmtId="165" fontId="3" fillId="3" borderId="0" xfId="0" applyNumberFormat="1" applyFont="1" applyFill="1" applyAlignment="1">
      <alignment horizontal="center"/>
    </xf>
    <xf numFmtId="2" fontId="14" fillId="3" borderId="0" xfId="0" applyNumberFormat="1" applyFont="1" applyFill="1" applyAlignment="1">
      <alignment horizontal="center"/>
    </xf>
    <xf numFmtId="165" fontId="3" fillId="2" borderId="53" xfId="0" applyNumberFormat="1" applyFont="1" applyFill="1" applyBorder="1" applyAlignment="1">
      <alignment horizontal="center" wrapText="1"/>
    </xf>
    <xf numFmtId="2" fontId="14" fillId="3" borderId="11" xfId="0" applyNumberFormat="1" applyFont="1" applyFill="1" applyBorder="1" applyAlignment="1">
      <alignment horizontal="center"/>
    </xf>
    <xf numFmtId="9" fontId="14" fillId="3" borderId="10" xfId="0" applyNumberFormat="1" applyFont="1" applyFill="1" applyBorder="1" applyAlignment="1">
      <alignment horizontal="center"/>
    </xf>
    <xf numFmtId="0" fontId="3" fillId="4" borderId="21" xfId="0" applyFont="1" applyFill="1" applyBorder="1" applyAlignment="1">
      <alignment horizontal="center" vertical="center"/>
    </xf>
    <xf numFmtId="2" fontId="3" fillId="4" borderId="21" xfId="0" applyNumberFormat="1" applyFont="1" applyFill="1" applyBorder="1" applyAlignment="1">
      <alignment horizontal="center"/>
    </xf>
    <xf numFmtId="9" fontId="3" fillId="4" borderId="21" xfId="0" applyNumberFormat="1" applyFont="1" applyFill="1" applyBorder="1" applyAlignment="1">
      <alignment vertical="center"/>
    </xf>
    <xf numFmtId="2" fontId="3" fillId="4" borderId="21" xfId="0" applyNumberFormat="1" applyFont="1" applyFill="1" applyBorder="1" applyAlignment="1">
      <alignment horizontal="center" vertical="center"/>
    </xf>
    <xf numFmtId="166" fontId="3" fillId="4" borderId="21" xfId="0" applyNumberFormat="1" applyFont="1" applyFill="1" applyBorder="1" applyAlignment="1">
      <alignment horizontal="center" vertical="center"/>
    </xf>
    <xf numFmtId="2" fontId="0" fillId="0" borderId="0" xfId="0" applyNumberFormat="1"/>
    <xf numFmtId="165" fontId="0" fillId="2" borderId="0" xfId="0" applyNumberFormat="1" applyFill="1"/>
    <xf numFmtId="0" fontId="14" fillId="7" borderId="12" xfId="0" applyFont="1" applyFill="1" applyBorder="1" applyAlignment="1">
      <alignment horizontal="center"/>
    </xf>
    <xf numFmtId="1" fontId="3" fillId="2" borderId="53" xfId="0" applyNumberFormat="1" applyFont="1" applyFill="1" applyBorder="1" applyAlignment="1">
      <alignment horizontal="center" wrapText="1"/>
    </xf>
    <xf numFmtId="1" fontId="3" fillId="12" borderId="0" xfId="0" applyNumberFormat="1" applyFont="1" applyFill="1" applyAlignment="1">
      <alignment horizontal="center"/>
    </xf>
    <xf numFmtId="2" fontId="3" fillId="3" borderId="21" xfId="0" applyNumberFormat="1" applyFont="1" applyFill="1" applyBorder="1" applyAlignment="1">
      <alignment horizontal="center"/>
    </xf>
    <xf numFmtId="1" fontId="3" fillId="13" borderId="16" xfId="0" applyNumberFormat="1" applyFont="1" applyFill="1" applyBorder="1" applyAlignment="1">
      <alignment horizontal="center"/>
    </xf>
    <xf numFmtId="1" fontId="3" fillId="13" borderId="0" xfId="0" applyNumberFormat="1" applyFont="1" applyFill="1" applyAlignment="1">
      <alignment horizontal="center"/>
    </xf>
    <xf numFmtId="165" fontId="32" fillId="2" borderId="0" xfId="0" applyNumberFormat="1" applyFont="1" applyFill="1" applyAlignment="1">
      <alignment horizontal="left" wrapText="1"/>
    </xf>
    <xf numFmtId="2" fontId="3" fillId="2" borderId="14" xfId="0" applyNumberFormat="1" applyFont="1" applyFill="1" applyBorder="1" applyAlignment="1">
      <alignment horizontal="center" wrapText="1"/>
    </xf>
    <xf numFmtId="2" fontId="3" fillId="3" borderId="14" xfId="0" applyNumberFormat="1" applyFont="1" applyFill="1" applyBorder="1" applyAlignment="1">
      <alignment horizontal="center"/>
    </xf>
    <xf numFmtId="2" fontId="3" fillId="3" borderId="92" xfId="0" applyNumberFormat="1" applyFont="1" applyFill="1" applyBorder="1" applyAlignment="1">
      <alignment horizontal="center"/>
    </xf>
    <xf numFmtId="2" fontId="3" fillId="2" borderId="54" xfId="0" applyNumberFormat="1" applyFont="1" applyFill="1" applyBorder="1" applyAlignment="1">
      <alignment horizontal="center" wrapText="1"/>
    </xf>
    <xf numFmtId="165" fontId="5" fillId="4" borderId="19" xfId="0" applyNumberFormat="1" applyFont="1" applyFill="1" applyBorder="1" applyAlignment="1">
      <alignment horizontal="left" vertical="center"/>
    </xf>
    <xf numFmtId="165" fontId="3" fillId="4" borderId="17" xfId="0" applyNumberFormat="1" applyFont="1" applyFill="1" applyBorder="1" applyAlignment="1">
      <alignment horizontal="center" vertical="center" wrapText="1"/>
    </xf>
    <xf numFmtId="165" fontId="3" fillId="2" borderId="102" xfId="0" applyNumberFormat="1" applyFont="1" applyFill="1" applyBorder="1" applyAlignment="1">
      <alignment horizontal="center" wrapText="1"/>
    </xf>
    <xf numFmtId="165" fontId="3" fillId="3" borderId="12" xfId="0" applyNumberFormat="1" applyFont="1" applyFill="1" applyBorder="1" applyAlignment="1">
      <alignment horizontal="center"/>
    </xf>
    <xf numFmtId="2" fontId="3" fillId="4" borderId="8" xfId="0" applyNumberFormat="1" applyFont="1" applyFill="1" applyBorder="1" applyAlignment="1">
      <alignment horizontal="center" vertical="center"/>
    </xf>
    <xf numFmtId="9" fontId="3" fillId="4" borderId="21" xfId="0" applyNumberFormat="1" applyFont="1" applyFill="1" applyBorder="1" applyAlignment="1">
      <alignment horizontal="center" vertical="center"/>
    </xf>
    <xf numFmtId="0" fontId="8" fillId="4" borderId="51" xfId="0" applyFont="1" applyFill="1" applyBorder="1" applyAlignment="1">
      <alignment vertical="center"/>
    </xf>
    <xf numFmtId="2" fontId="8" fillId="4" borderId="28" xfId="0" applyNumberFormat="1" applyFont="1" applyFill="1" applyBorder="1" applyAlignment="1">
      <alignment vertical="center"/>
    </xf>
    <xf numFmtId="0" fontId="8" fillId="4" borderId="29" xfId="0" applyFont="1" applyFill="1" applyBorder="1" applyAlignment="1">
      <alignment vertical="center"/>
    </xf>
    <xf numFmtId="0" fontId="3" fillId="4" borderId="10" xfId="0" applyFont="1" applyFill="1" applyBorder="1"/>
    <xf numFmtId="2" fontId="8" fillId="4" borderId="51" xfId="0" applyNumberFormat="1" applyFont="1" applyFill="1" applyBorder="1" applyAlignment="1">
      <alignment vertical="center"/>
    </xf>
    <xf numFmtId="0" fontId="3" fillId="4" borderId="28" xfId="0" applyFont="1" applyFill="1" applyBorder="1"/>
    <xf numFmtId="0" fontId="3" fillId="4" borderId="29" xfId="0" applyFont="1" applyFill="1" applyBorder="1"/>
    <xf numFmtId="0" fontId="3" fillId="4" borderId="14" xfId="0" applyFont="1" applyFill="1" applyBorder="1" applyAlignment="1">
      <alignment horizontal="center" vertical="center"/>
    </xf>
    <xf numFmtId="165" fontId="3" fillId="3" borderId="16" xfId="0" applyNumberFormat="1" applyFont="1" applyFill="1" applyBorder="1" applyAlignment="1">
      <alignment horizontal="center"/>
    </xf>
    <xf numFmtId="165" fontId="3" fillId="3" borderId="17" xfId="0" applyNumberFormat="1" applyFont="1" applyFill="1" applyBorder="1" applyAlignment="1">
      <alignment horizontal="center"/>
    </xf>
    <xf numFmtId="0" fontId="29" fillId="4" borderId="27" xfId="0" applyFont="1" applyFill="1" applyBorder="1" applyAlignment="1">
      <alignment horizontal="right" vertical="center"/>
    </xf>
    <xf numFmtId="0" fontId="29" fillId="4" borderId="33" xfId="0" applyFont="1" applyFill="1" applyBorder="1" applyAlignment="1">
      <alignment horizontal="right" vertical="center"/>
    </xf>
    <xf numFmtId="0" fontId="29" fillId="4" borderId="34" xfId="0" applyFont="1" applyFill="1" applyBorder="1" applyAlignment="1">
      <alignment horizontal="left" vertical="center"/>
    </xf>
    <xf numFmtId="0" fontId="5" fillId="4" borderId="92" xfId="0" applyFont="1" applyFill="1" applyBorder="1" applyAlignment="1">
      <alignment horizontal="left" vertical="center"/>
    </xf>
    <xf numFmtId="0" fontId="0" fillId="13" borderId="31" xfId="0" applyFill="1" applyBorder="1" applyAlignment="1">
      <alignment horizontal="center" vertical="center"/>
    </xf>
    <xf numFmtId="17" fontId="0" fillId="0" borderId="31" xfId="0" applyNumberFormat="1" applyBorder="1" applyAlignment="1">
      <alignment horizontal="center"/>
    </xf>
    <xf numFmtId="2" fontId="0" fillId="0" borderId="31" xfId="0" applyNumberFormat="1" applyBorder="1" applyAlignment="1">
      <alignment horizontal="center"/>
    </xf>
    <xf numFmtId="165" fontId="0" fillId="0" borderId="31" xfId="0" applyNumberFormat="1" applyBorder="1" applyAlignment="1">
      <alignment horizontal="center"/>
    </xf>
    <xf numFmtId="0" fontId="0" fillId="0" borderId="31" xfId="0" applyBorder="1" applyAlignment="1">
      <alignment horizontal="center"/>
    </xf>
    <xf numFmtId="2" fontId="14" fillId="7" borderId="12" xfId="0" applyNumberFormat="1" applyFont="1" applyFill="1" applyBorder="1" applyAlignment="1">
      <alignment horizontal="center"/>
    </xf>
    <xf numFmtId="0" fontId="14" fillId="8" borderId="10" xfId="0" applyFont="1" applyFill="1" applyBorder="1" applyAlignment="1">
      <alignment horizontal="right" vertical="center"/>
    </xf>
    <xf numFmtId="0" fontId="14" fillId="7" borderId="39" xfId="0" applyFont="1" applyFill="1" applyBorder="1" applyAlignment="1">
      <alignment horizontal="center"/>
    </xf>
    <xf numFmtId="0" fontId="14" fillId="8" borderId="10" xfId="0" applyFont="1" applyFill="1" applyBorder="1" applyAlignment="1">
      <alignment horizontal="right"/>
    </xf>
    <xf numFmtId="0" fontId="14" fillId="8" borderId="29" xfId="0" applyFont="1" applyFill="1" applyBorder="1" applyAlignment="1">
      <alignment horizontal="right"/>
    </xf>
    <xf numFmtId="0" fontId="3" fillId="9" borderId="4" xfId="0" applyFont="1" applyFill="1" applyBorder="1" applyAlignment="1">
      <alignment horizontal="left"/>
    </xf>
    <xf numFmtId="0" fontId="3" fillId="9" borderId="5" xfId="0" applyFont="1" applyFill="1" applyBorder="1" applyAlignment="1">
      <alignment horizontal="left"/>
    </xf>
    <xf numFmtId="0" fontId="15" fillId="9" borderId="5" xfId="0" applyFont="1" applyFill="1" applyBorder="1" applyAlignment="1">
      <alignment horizontal="right"/>
    </xf>
    <xf numFmtId="0" fontId="3" fillId="9" borderId="103" xfId="0" applyFont="1" applyFill="1" applyBorder="1" applyAlignment="1">
      <alignment horizontal="center"/>
    </xf>
    <xf numFmtId="0" fontId="0" fillId="2" borderId="3" xfId="0" applyFill="1" applyBorder="1"/>
    <xf numFmtId="0" fontId="32" fillId="2" borderId="3" xfId="0" applyFont="1" applyFill="1" applyBorder="1" applyAlignment="1">
      <alignment horizontal="left" wrapText="1"/>
    </xf>
    <xf numFmtId="0" fontId="5" fillId="4" borderId="10" xfId="0" applyFont="1" applyFill="1" applyBorder="1" applyAlignment="1">
      <alignment horizontal="left" vertical="center"/>
    </xf>
    <xf numFmtId="0" fontId="8" fillId="4" borderId="29" xfId="0" applyFont="1" applyFill="1" applyBorder="1" applyAlignment="1">
      <alignment horizontal="right" vertical="center"/>
    </xf>
    <xf numFmtId="2" fontId="3" fillId="4" borderId="0" xfId="0" applyNumberFormat="1" applyFont="1" applyFill="1" applyAlignment="1">
      <alignment horizontal="center"/>
    </xf>
    <xf numFmtId="2" fontId="3" fillId="4" borderId="11" xfId="0" applyNumberFormat="1" applyFont="1" applyFill="1" applyBorder="1" applyAlignment="1">
      <alignment horizontal="left"/>
    </xf>
    <xf numFmtId="2" fontId="3" fillId="4" borderId="0" xfId="0" applyNumberFormat="1" applyFont="1" applyFill="1" applyAlignment="1">
      <alignment horizontal="left"/>
    </xf>
    <xf numFmtId="1" fontId="3" fillId="3" borderId="16" xfId="0" applyNumberFormat="1" applyFont="1" applyFill="1" applyBorder="1" applyAlignment="1">
      <alignment horizontal="center" vertical="center"/>
    </xf>
    <xf numFmtId="164" fontId="3" fillId="3" borderId="16" xfId="0" applyNumberFormat="1" applyFont="1" applyFill="1" applyBorder="1" applyAlignment="1">
      <alignment horizontal="center" vertical="center"/>
    </xf>
    <xf numFmtId="2" fontId="3" fillId="14" borderId="31" xfId="0" applyNumberFormat="1" applyFont="1" applyFill="1" applyBorder="1" applyAlignment="1">
      <alignment horizontal="center" vertical="center" wrapText="1"/>
    </xf>
    <xf numFmtId="0" fontId="3" fillId="14" borderId="31" xfId="0" applyFont="1" applyFill="1" applyBorder="1" applyAlignment="1">
      <alignment horizontal="center" vertical="center"/>
    </xf>
    <xf numFmtId="166" fontId="3" fillId="14" borderId="31" xfId="0" applyNumberFormat="1" applyFont="1" applyFill="1" applyBorder="1" applyAlignment="1">
      <alignment horizontal="center" vertical="center"/>
    </xf>
    <xf numFmtId="49" fontId="3" fillId="6" borderId="56" xfId="0" applyNumberFormat="1" applyFont="1" applyFill="1" applyBorder="1" applyAlignment="1">
      <alignment horizontal="center" vertical="center" textRotation="90"/>
    </xf>
    <xf numFmtId="49" fontId="3" fillId="6" borderId="63" xfId="0" applyNumberFormat="1" applyFont="1" applyFill="1" applyBorder="1" applyAlignment="1">
      <alignment horizontal="center" vertical="center" textRotation="90"/>
    </xf>
    <xf numFmtId="49" fontId="3" fillId="6" borderId="65" xfId="0" applyNumberFormat="1" applyFont="1" applyFill="1" applyBorder="1" applyAlignment="1">
      <alignment horizontal="center" vertical="center" textRotation="90"/>
    </xf>
    <xf numFmtId="0" fontId="3" fillId="4" borderId="8" xfId="0" applyFont="1" applyFill="1" applyBorder="1" applyAlignment="1">
      <alignment horizontal="center"/>
    </xf>
    <xf numFmtId="0" fontId="3" fillId="4" borderId="11" xfId="0" applyFont="1" applyFill="1" applyBorder="1" applyAlignment="1">
      <alignment horizontal="center"/>
    </xf>
    <xf numFmtId="0" fontId="5" fillId="4" borderId="11" xfId="0" applyFont="1" applyFill="1" applyBorder="1" applyAlignment="1">
      <alignment horizontal="center" vertical="center"/>
    </xf>
    <xf numFmtId="0" fontId="5" fillId="4" borderId="10" xfId="0" applyFont="1" applyFill="1" applyBorder="1" applyAlignment="1">
      <alignment horizontal="center" vertical="center"/>
    </xf>
    <xf numFmtId="0" fontId="3" fillId="4" borderId="3" xfId="0" applyFont="1" applyFill="1" applyBorder="1" applyAlignment="1">
      <alignment horizontal="center" vertical="center" wrapText="1"/>
    </xf>
    <xf numFmtId="0" fontId="3" fillId="4" borderId="0" xfId="0" applyFont="1" applyFill="1" applyAlignment="1">
      <alignment horizontal="center" vertical="center" wrapText="1"/>
    </xf>
    <xf numFmtId="1" fontId="3" fillId="4" borderId="3" xfId="0" applyNumberFormat="1" applyFont="1" applyFill="1" applyBorder="1" applyAlignment="1">
      <alignment horizontal="center" vertical="center" wrapText="1"/>
    </xf>
    <xf numFmtId="1" fontId="3" fillId="4" borderId="0" xfId="0" applyNumberFormat="1" applyFont="1" applyFill="1" applyAlignment="1">
      <alignment horizontal="center" vertical="center" wrapText="1"/>
    </xf>
    <xf numFmtId="0" fontId="32" fillId="2" borderId="28" xfId="0" applyFont="1" applyFill="1" applyBorder="1" applyAlignment="1">
      <alignment horizontal="center" wrapText="1"/>
    </xf>
    <xf numFmtId="0" fontId="5" fillId="4" borderId="0" xfId="0" applyFont="1" applyFill="1" applyAlignment="1">
      <alignment horizontal="center" vertical="center"/>
    </xf>
    <xf numFmtId="0" fontId="5" fillId="4" borderId="8" xfId="0" applyFont="1" applyFill="1" applyBorder="1" applyAlignment="1">
      <alignment horizontal="center" vertical="center"/>
    </xf>
    <xf numFmtId="0" fontId="5" fillId="4" borderId="7" xfId="0" applyFont="1" applyFill="1" applyBorder="1" applyAlignment="1">
      <alignment horizontal="center" vertical="center"/>
    </xf>
    <xf numFmtId="0" fontId="5" fillId="4" borderId="21" xfId="0" applyFont="1" applyFill="1" applyBorder="1" applyAlignment="1">
      <alignment horizontal="center" vertical="center"/>
    </xf>
    <xf numFmtId="0" fontId="5" fillId="4" borderId="91" xfId="0" applyFont="1" applyFill="1" applyBorder="1" applyAlignment="1">
      <alignment horizontal="center" vertical="center"/>
    </xf>
    <xf numFmtId="0" fontId="5" fillId="4" borderId="92" xfId="0" applyFont="1" applyFill="1" applyBorder="1" applyAlignment="1">
      <alignment horizontal="center" vertical="center"/>
    </xf>
    <xf numFmtId="0" fontId="5" fillId="4" borderId="2" xfId="0" applyFont="1" applyFill="1" applyBorder="1" applyAlignment="1">
      <alignment horizontal="center" vertical="center"/>
    </xf>
    <xf numFmtId="0" fontId="3" fillId="4" borderId="27" xfId="0" applyFont="1" applyFill="1" applyBorder="1" applyAlignment="1">
      <alignment horizontal="left" wrapText="1"/>
    </xf>
    <xf numFmtId="0" fontId="3" fillId="4" borderId="33" xfId="0" applyFont="1" applyFill="1" applyBorder="1" applyAlignment="1">
      <alignment horizontal="left" wrapText="1"/>
    </xf>
    <xf numFmtId="0" fontId="3" fillId="4" borderId="34" xfId="0" applyFont="1" applyFill="1" applyBorder="1" applyAlignment="1">
      <alignment horizontal="left" wrapText="1"/>
    </xf>
  </cellXfs>
  <cellStyles count="4">
    <cellStyle name="Normal" xfId="0" builtinId="0"/>
    <cellStyle name="Normal 2" xfId="1" xr:uid="{BCEB5F8E-E21C-4FFA-83E0-1B0FD4C3AA58}"/>
    <cellStyle name="Normal 3" xfId="2" xr:uid="{0D9E3FC9-40E2-4602-9972-9E555A076344}"/>
    <cellStyle name="Style 1" xfId="3" xr:uid="{6BF8DB80-6AC3-4DE7-B319-8B374C17F6C8}"/>
  </cellStyles>
  <dxfs count="6">
    <dxf>
      <fill>
        <patternFill>
          <bgColor rgb="FF808000"/>
        </patternFill>
      </fill>
    </dxf>
    <dxf>
      <fill>
        <patternFill>
          <bgColor rgb="FF808000"/>
        </patternFill>
      </fill>
    </dxf>
    <dxf>
      <fill>
        <patternFill>
          <bgColor rgb="FF808000"/>
        </patternFill>
      </fill>
    </dxf>
    <dxf>
      <fill>
        <patternFill>
          <bgColor rgb="FF808000"/>
        </patternFill>
      </fill>
    </dxf>
    <dxf>
      <fill>
        <patternFill>
          <bgColor rgb="FF808000"/>
        </patternFill>
      </fill>
    </dxf>
    <dxf>
      <font>
        <color rgb="FFFFFF00"/>
      </font>
      <fill>
        <patternFill>
          <bgColor rgb="FF666633"/>
        </patternFill>
      </fill>
    </dxf>
  </dxfs>
  <tableStyles count="0" defaultTableStyle="TableStyleMedium2" defaultPivotStyle="PivotStyleLight16"/>
  <colors>
    <mruColors>
      <color rgb="FFC38649"/>
      <color rgb="FF663300"/>
      <color rgb="FF996633"/>
      <color rgb="FFB0753A"/>
      <color rgb="FFCCCC00"/>
      <color rgb="FF666633"/>
      <color rgb="FF203764"/>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17/10/relationships/person" Target="persons/perso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0.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0804268675455115"/>
          <c:y val="6.4250692621755617E-2"/>
          <c:w val="0.74810922787193979"/>
          <c:h val="0.58162641877123222"/>
        </c:manualLayout>
      </c:layout>
      <c:lineChart>
        <c:grouping val="standard"/>
        <c:varyColors val="0"/>
        <c:ser>
          <c:idx val="0"/>
          <c:order val="0"/>
          <c:tx>
            <c:strRef>
              <c:f>'Inputs - Weather'!$F$4</c:f>
              <c:strCache>
                <c:ptCount val="1"/>
                <c:pt idx="0">
                  <c:v>2006</c:v>
                </c:pt>
              </c:strCache>
            </c:strRef>
          </c:tx>
          <c:spPr>
            <a:ln w="88900">
              <a:solidFill>
                <a:srgbClr val="FF0000"/>
              </a:solidFill>
            </a:ln>
          </c:spPr>
          <c:marker>
            <c:symbol val="none"/>
          </c:marker>
          <c:val>
            <c:numRef>
              <c:f>'Inputs - Weather'!$F$6:$F$17</c:f>
              <c:numCache>
                <c:formatCode>General</c:formatCode>
                <c:ptCount val="12"/>
                <c:pt idx="0">
                  <c:v>126.56</c:v>
                </c:pt>
                <c:pt idx="1">
                  <c:v>47.46</c:v>
                </c:pt>
                <c:pt idx="2">
                  <c:v>21.09</c:v>
                </c:pt>
                <c:pt idx="3">
                  <c:v>79.099999999999994</c:v>
                </c:pt>
                <c:pt idx="4">
                  <c:v>163.47999999999999</c:v>
                </c:pt>
                <c:pt idx="5">
                  <c:v>189.84</c:v>
                </c:pt>
                <c:pt idx="6">
                  <c:v>73.83</c:v>
                </c:pt>
                <c:pt idx="7">
                  <c:v>100.2</c:v>
                </c:pt>
                <c:pt idx="8">
                  <c:v>68.55</c:v>
                </c:pt>
                <c:pt idx="9">
                  <c:v>163.47999999999999</c:v>
                </c:pt>
                <c:pt idx="10">
                  <c:v>116.02</c:v>
                </c:pt>
                <c:pt idx="11">
                  <c:v>52.73</c:v>
                </c:pt>
              </c:numCache>
            </c:numRef>
          </c:val>
          <c:smooth val="0"/>
          <c:extLst>
            <c:ext xmlns:c16="http://schemas.microsoft.com/office/drawing/2014/chart" uri="{C3380CC4-5D6E-409C-BE32-E72D297353CC}">
              <c16:uniqueId val="{00000000-D23F-4C6F-A300-250229C5000A}"/>
            </c:ext>
          </c:extLst>
        </c:ser>
        <c:ser>
          <c:idx val="1"/>
          <c:order val="1"/>
          <c:tx>
            <c:strRef>
              <c:f>'Inputs - Weather'!$G$4</c:f>
              <c:strCache>
                <c:ptCount val="1"/>
                <c:pt idx="0">
                  <c:v>2007</c:v>
                </c:pt>
              </c:strCache>
            </c:strRef>
          </c:tx>
          <c:spPr>
            <a:ln w="76200">
              <a:solidFill>
                <a:schemeClr val="accent2"/>
              </a:solidFill>
            </a:ln>
          </c:spPr>
          <c:marker>
            <c:symbol val="none"/>
          </c:marker>
          <c:val>
            <c:numRef>
              <c:f>'Inputs - Weather'!$G$6:$G$17</c:f>
              <c:numCache>
                <c:formatCode>General</c:formatCode>
                <c:ptCount val="12"/>
                <c:pt idx="0">
                  <c:v>89.65</c:v>
                </c:pt>
                <c:pt idx="1">
                  <c:v>58.01</c:v>
                </c:pt>
                <c:pt idx="2">
                  <c:v>105.47</c:v>
                </c:pt>
                <c:pt idx="3">
                  <c:v>179.3</c:v>
                </c:pt>
                <c:pt idx="4">
                  <c:v>84.38</c:v>
                </c:pt>
                <c:pt idx="5">
                  <c:v>79.099999999999994</c:v>
                </c:pt>
                <c:pt idx="6">
                  <c:v>116.02</c:v>
                </c:pt>
                <c:pt idx="7">
                  <c:v>47.46</c:v>
                </c:pt>
                <c:pt idx="8">
                  <c:v>68.55</c:v>
                </c:pt>
                <c:pt idx="9">
                  <c:v>110.74</c:v>
                </c:pt>
                <c:pt idx="10">
                  <c:v>89.65</c:v>
                </c:pt>
                <c:pt idx="11">
                  <c:v>110.74</c:v>
                </c:pt>
              </c:numCache>
            </c:numRef>
          </c:val>
          <c:smooth val="0"/>
          <c:extLst>
            <c:ext xmlns:c16="http://schemas.microsoft.com/office/drawing/2014/chart" uri="{C3380CC4-5D6E-409C-BE32-E72D297353CC}">
              <c16:uniqueId val="{00000001-D23F-4C6F-A300-250229C5000A}"/>
            </c:ext>
          </c:extLst>
        </c:ser>
        <c:ser>
          <c:idx val="2"/>
          <c:order val="2"/>
          <c:tx>
            <c:strRef>
              <c:f>'Inputs - Weather'!$H$4</c:f>
              <c:strCache>
                <c:ptCount val="1"/>
                <c:pt idx="0">
                  <c:v>2008</c:v>
                </c:pt>
              </c:strCache>
            </c:strRef>
          </c:tx>
          <c:spPr>
            <a:ln w="63500">
              <a:solidFill>
                <a:srgbClr val="FFFF00"/>
              </a:solidFill>
            </a:ln>
          </c:spPr>
          <c:marker>
            <c:symbol val="none"/>
          </c:marker>
          <c:val>
            <c:numRef>
              <c:f>'Inputs - Weather'!$H$6:$H$17</c:f>
              <c:numCache>
                <c:formatCode>General</c:formatCode>
                <c:ptCount val="12"/>
                <c:pt idx="0">
                  <c:v>58.01</c:v>
                </c:pt>
                <c:pt idx="1">
                  <c:v>232.03</c:v>
                </c:pt>
                <c:pt idx="2">
                  <c:v>131.84</c:v>
                </c:pt>
                <c:pt idx="3">
                  <c:v>94.92</c:v>
                </c:pt>
                <c:pt idx="4">
                  <c:v>42.19</c:v>
                </c:pt>
                <c:pt idx="5">
                  <c:v>121.29</c:v>
                </c:pt>
                <c:pt idx="6">
                  <c:v>179.3</c:v>
                </c:pt>
                <c:pt idx="7">
                  <c:v>94.92</c:v>
                </c:pt>
                <c:pt idx="8">
                  <c:v>189.84</c:v>
                </c:pt>
                <c:pt idx="9">
                  <c:v>84.38</c:v>
                </c:pt>
                <c:pt idx="10">
                  <c:v>89.65</c:v>
                </c:pt>
                <c:pt idx="11">
                  <c:v>174.02</c:v>
                </c:pt>
              </c:numCache>
            </c:numRef>
          </c:val>
          <c:smooth val="0"/>
          <c:extLst>
            <c:ext xmlns:c16="http://schemas.microsoft.com/office/drawing/2014/chart" uri="{C3380CC4-5D6E-409C-BE32-E72D297353CC}">
              <c16:uniqueId val="{00000002-D23F-4C6F-A300-250229C5000A}"/>
            </c:ext>
          </c:extLst>
        </c:ser>
        <c:ser>
          <c:idx val="3"/>
          <c:order val="3"/>
          <c:tx>
            <c:strRef>
              <c:f>'Inputs - Weather'!$I$4</c:f>
              <c:strCache>
                <c:ptCount val="1"/>
                <c:pt idx="0">
                  <c:v>2009</c:v>
                </c:pt>
              </c:strCache>
            </c:strRef>
          </c:tx>
          <c:spPr>
            <a:ln w="50800">
              <a:solidFill>
                <a:srgbClr val="00B050"/>
              </a:solidFill>
            </a:ln>
          </c:spPr>
          <c:marker>
            <c:symbol val="none"/>
          </c:marker>
          <c:val>
            <c:numRef>
              <c:f>'Inputs - Weather'!$I$6:$I$17</c:f>
              <c:numCache>
                <c:formatCode>General</c:formatCode>
                <c:ptCount val="12"/>
                <c:pt idx="0">
                  <c:v>73.83</c:v>
                </c:pt>
                <c:pt idx="1">
                  <c:v>36.909999999999997</c:v>
                </c:pt>
                <c:pt idx="2">
                  <c:v>63.28</c:v>
                </c:pt>
                <c:pt idx="3">
                  <c:v>79.099999999999994</c:v>
                </c:pt>
                <c:pt idx="4">
                  <c:v>94.92</c:v>
                </c:pt>
                <c:pt idx="5">
                  <c:v>147.66</c:v>
                </c:pt>
                <c:pt idx="6">
                  <c:v>226.76</c:v>
                </c:pt>
                <c:pt idx="7">
                  <c:v>94.92</c:v>
                </c:pt>
                <c:pt idx="8">
                  <c:v>36.909999999999997</c:v>
                </c:pt>
                <c:pt idx="9">
                  <c:v>142.38</c:v>
                </c:pt>
                <c:pt idx="10">
                  <c:v>68.55</c:v>
                </c:pt>
                <c:pt idx="11">
                  <c:v>105.47</c:v>
                </c:pt>
              </c:numCache>
            </c:numRef>
          </c:val>
          <c:smooth val="0"/>
          <c:extLst>
            <c:ext xmlns:c16="http://schemas.microsoft.com/office/drawing/2014/chart" uri="{C3380CC4-5D6E-409C-BE32-E72D297353CC}">
              <c16:uniqueId val="{00000003-D23F-4C6F-A300-250229C5000A}"/>
            </c:ext>
          </c:extLst>
        </c:ser>
        <c:ser>
          <c:idx val="4"/>
          <c:order val="4"/>
          <c:tx>
            <c:strRef>
              <c:f>'Inputs - Weather'!$J$4</c:f>
              <c:strCache>
                <c:ptCount val="1"/>
                <c:pt idx="0">
                  <c:v>2010</c:v>
                </c:pt>
              </c:strCache>
            </c:strRef>
          </c:tx>
          <c:spPr>
            <a:ln w="38100">
              <a:solidFill>
                <a:schemeClr val="accent1">
                  <a:lumMod val="75000"/>
                </a:schemeClr>
              </a:solidFill>
            </a:ln>
          </c:spPr>
          <c:marker>
            <c:symbol val="none"/>
          </c:marker>
          <c:val>
            <c:numRef>
              <c:f>'Inputs - Weather'!$J$6:$J$17</c:f>
              <c:numCache>
                <c:formatCode>General</c:formatCode>
                <c:ptCount val="12"/>
                <c:pt idx="0">
                  <c:v>63.28</c:v>
                </c:pt>
                <c:pt idx="1">
                  <c:v>100.2</c:v>
                </c:pt>
                <c:pt idx="2">
                  <c:v>174.02</c:v>
                </c:pt>
                <c:pt idx="3">
                  <c:v>31.64</c:v>
                </c:pt>
                <c:pt idx="4">
                  <c:v>63.28</c:v>
                </c:pt>
                <c:pt idx="5">
                  <c:v>100.2</c:v>
                </c:pt>
                <c:pt idx="6">
                  <c:v>73.83</c:v>
                </c:pt>
                <c:pt idx="7">
                  <c:v>68.55</c:v>
                </c:pt>
                <c:pt idx="8">
                  <c:v>63.28</c:v>
                </c:pt>
                <c:pt idx="9">
                  <c:v>163.47999999999999</c:v>
                </c:pt>
                <c:pt idx="10">
                  <c:v>84.38</c:v>
                </c:pt>
                <c:pt idx="11">
                  <c:v>100.2</c:v>
                </c:pt>
              </c:numCache>
            </c:numRef>
          </c:val>
          <c:smooth val="0"/>
          <c:extLst>
            <c:ext xmlns:c16="http://schemas.microsoft.com/office/drawing/2014/chart" uri="{C3380CC4-5D6E-409C-BE32-E72D297353CC}">
              <c16:uniqueId val="{00000004-D23F-4C6F-A300-250229C5000A}"/>
            </c:ext>
          </c:extLst>
        </c:ser>
        <c:ser>
          <c:idx val="5"/>
          <c:order val="5"/>
          <c:tx>
            <c:strRef>
              <c:f>'Inputs - Weather'!$K$4</c:f>
              <c:strCache>
                <c:ptCount val="1"/>
                <c:pt idx="0">
                  <c:v>2011</c:v>
                </c:pt>
              </c:strCache>
            </c:strRef>
          </c:tx>
          <c:spPr>
            <a:ln w="25400">
              <a:solidFill>
                <a:srgbClr val="7030A0"/>
              </a:solidFill>
            </a:ln>
          </c:spPr>
          <c:marker>
            <c:symbol val="none"/>
          </c:marker>
          <c:val>
            <c:numRef>
              <c:f>'Inputs - Weather'!$K$6:$K$17</c:f>
              <c:numCache>
                <c:formatCode>General</c:formatCode>
                <c:ptCount val="12"/>
                <c:pt idx="0">
                  <c:v>63.28</c:v>
                </c:pt>
                <c:pt idx="1">
                  <c:v>100.2</c:v>
                </c:pt>
                <c:pt idx="2">
                  <c:v>116.02</c:v>
                </c:pt>
                <c:pt idx="3">
                  <c:v>126.56</c:v>
                </c:pt>
                <c:pt idx="4">
                  <c:v>84.38</c:v>
                </c:pt>
                <c:pt idx="5">
                  <c:v>168.75</c:v>
                </c:pt>
                <c:pt idx="6">
                  <c:v>52.73</c:v>
                </c:pt>
                <c:pt idx="7">
                  <c:v>258.39999999999998</c:v>
                </c:pt>
                <c:pt idx="8">
                  <c:v>210.94</c:v>
                </c:pt>
                <c:pt idx="9">
                  <c:v>142.38</c:v>
                </c:pt>
                <c:pt idx="10">
                  <c:v>73.83</c:v>
                </c:pt>
                <c:pt idx="11">
                  <c:v>110.74</c:v>
                </c:pt>
              </c:numCache>
            </c:numRef>
          </c:val>
          <c:smooth val="0"/>
          <c:extLst>
            <c:ext xmlns:c16="http://schemas.microsoft.com/office/drawing/2014/chart" uri="{C3380CC4-5D6E-409C-BE32-E72D297353CC}">
              <c16:uniqueId val="{00000007-6239-4BEF-A4A4-184965F6EE93}"/>
            </c:ext>
          </c:extLst>
        </c:ser>
        <c:dLbls>
          <c:showLegendKey val="0"/>
          <c:showVal val="0"/>
          <c:showCatName val="0"/>
          <c:showSerName val="0"/>
          <c:showPercent val="0"/>
          <c:showBubbleSize val="0"/>
        </c:dLbls>
        <c:smooth val="0"/>
        <c:axId val="489621560"/>
        <c:axId val="489623520"/>
      </c:lineChart>
      <c:catAx>
        <c:axId val="489621560"/>
        <c:scaling>
          <c:orientation val="minMax"/>
        </c:scaling>
        <c:delete val="0"/>
        <c:axPos val="b"/>
        <c:title>
          <c:tx>
            <c:rich>
              <a:bodyPr/>
              <a:lstStyle/>
              <a:p>
                <a:pPr>
                  <a:defRPr b="0"/>
                </a:pPr>
                <a:r>
                  <a:rPr lang="en-US" b="0"/>
                  <a:t>Month</a:t>
                </a:r>
              </a:p>
            </c:rich>
          </c:tx>
          <c:overlay val="0"/>
        </c:title>
        <c:majorTickMark val="out"/>
        <c:minorTickMark val="none"/>
        <c:tickLblPos val="nextTo"/>
        <c:crossAx val="489623520"/>
        <c:crosses val="autoZero"/>
        <c:auto val="1"/>
        <c:lblAlgn val="ctr"/>
        <c:lblOffset val="100"/>
        <c:noMultiLvlLbl val="0"/>
      </c:catAx>
      <c:valAx>
        <c:axId val="489623520"/>
        <c:scaling>
          <c:orientation val="minMax"/>
        </c:scaling>
        <c:delete val="0"/>
        <c:axPos val="l"/>
        <c:title>
          <c:tx>
            <c:rich>
              <a:bodyPr rot="-5400000" vert="horz"/>
              <a:lstStyle/>
              <a:p>
                <a:pPr>
                  <a:defRPr b="0"/>
                </a:pPr>
                <a:r>
                  <a:rPr lang="en-US" b="0"/>
                  <a:t>Total rainfall (mm month</a:t>
                </a:r>
                <a:r>
                  <a:rPr lang="en-US" b="0" baseline="30000"/>
                  <a:t>-1</a:t>
                </a:r>
                <a:r>
                  <a:rPr lang="en-US" b="0"/>
                  <a:t>)</a:t>
                </a:r>
              </a:p>
            </c:rich>
          </c:tx>
          <c:overlay val="0"/>
        </c:title>
        <c:numFmt formatCode="General" sourceLinked="1"/>
        <c:majorTickMark val="out"/>
        <c:minorTickMark val="none"/>
        <c:tickLblPos val="nextTo"/>
        <c:crossAx val="489621560"/>
        <c:crosses val="autoZero"/>
        <c:crossBetween val="between"/>
      </c:valAx>
      <c:spPr>
        <a:solidFill>
          <a:schemeClr val="accent5">
            <a:lumMod val="20000"/>
            <a:lumOff val="80000"/>
          </a:schemeClr>
        </a:solidFill>
        <a:ln>
          <a:solidFill>
            <a:schemeClr val="tx2">
              <a:lumMod val="60000"/>
              <a:lumOff val="40000"/>
            </a:schemeClr>
          </a:solidFill>
        </a:ln>
      </c:spPr>
    </c:plotArea>
    <c:legend>
      <c:legendPos val="b"/>
      <c:layout>
        <c:manualLayout>
          <c:xMode val="edge"/>
          <c:yMode val="edge"/>
          <c:x val="0.12783831628322034"/>
          <c:y val="0.85569571362108177"/>
          <c:w val="0.85111914790747123"/>
          <c:h val="0.14430428637891834"/>
        </c:manualLayout>
      </c:layout>
      <c:overlay val="0"/>
      <c:txPr>
        <a:bodyPr/>
        <a:lstStyle/>
        <a:p>
          <a:pPr>
            <a:defRPr sz="1000"/>
          </a:pPr>
          <a:endParaRPr lang="en-US"/>
        </a:p>
      </c:txPr>
    </c:legend>
    <c:plotVisOnly val="1"/>
    <c:dispBlanksAs val="gap"/>
    <c:showDLblsOverMax val="0"/>
  </c:chart>
  <c:spPr>
    <a:solidFill>
      <a:schemeClr val="accent5">
        <a:lumMod val="60000"/>
        <a:lumOff val="40000"/>
      </a:schemeClr>
    </a:solidFill>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0804268675455115"/>
          <c:y val="6.4250692621755617E-2"/>
          <c:w val="0.74810922787193979"/>
          <c:h val="0.58162641877123222"/>
        </c:manualLayout>
      </c:layout>
      <c:lineChart>
        <c:grouping val="standard"/>
        <c:varyColors val="0"/>
        <c:ser>
          <c:idx val="0"/>
          <c:order val="0"/>
          <c:tx>
            <c:strRef>
              <c:f>'Inputs - Weather'!$F$18</c:f>
              <c:strCache>
                <c:ptCount val="1"/>
                <c:pt idx="0">
                  <c:v>2006</c:v>
                </c:pt>
              </c:strCache>
            </c:strRef>
          </c:tx>
          <c:spPr>
            <a:ln w="88900">
              <a:solidFill>
                <a:srgbClr val="FF0000"/>
              </a:solidFill>
            </a:ln>
          </c:spPr>
          <c:marker>
            <c:symbol val="none"/>
          </c:marker>
          <c:val>
            <c:numRef>
              <c:f>'Inputs - Weather'!$F$20:$F$31</c:f>
              <c:numCache>
                <c:formatCode>General</c:formatCode>
                <c:ptCount val="12"/>
                <c:pt idx="0">
                  <c:v>-1.95</c:v>
                </c:pt>
                <c:pt idx="1">
                  <c:v>-3.96</c:v>
                </c:pt>
                <c:pt idx="2">
                  <c:v>-0.17</c:v>
                </c:pt>
                <c:pt idx="3">
                  <c:v>7.19</c:v>
                </c:pt>
                <c:pt idx="4">
                  <c:v>12.4</c:v>
                </c:pt>
                <c:pt idx="5">
                  <c:v>18.09</c:v>
                </c:pt>
                <c:pt idx="6">
                  <c:v>21.94</c:v>
                </c:pt>
                <c:pt idx="7">
                  <c:v>19.68</c:v>
                </c:pt>
                <c:pt idx="8">
                  <c:v>15.25</c:v>
                </c:pt>
                <c:pt idx="9">
                  <c:v>9.0500000000000007</c:v>
                </c:pt>
                <c:pt idx="10">
                  <c:v>5.85</c:v>
                </c:pt>
                <c:pt idx="11">
                  <c:v>0.97</c:v>
                </c:pt>
              </c:numCache>
            </c:numRef>
          </c:val>
          <c:smooth val="0"/>
          <c:extLst>
            <c:ext xmlns:c16="http://schemas.microsoft.com/office/drawing/2014/chart" uri="{C3380CC4-5D6E-409C-BE32-E72D297353CC}">
              <c16:uniqueId val="{00000000-52D7-4148-9E6F-C699D435332F}"/>
            </c:ext>
          </c:extLst>
        </c:ser>
        <c:ser>
          <c:idx val="1"/>
          <c:order val="1"/>
          <c:tx>
            <c:strRef>
              <c:f>'Inputs - Weather'!$G$18</c:f>
              <c:strCache>
                <c:ptCount val="1"/>
                <c:pt idx="0">
                  <c:v>2007</c:v>
                </c:pt>
              </c:strCache>
            </c:strRef>
          </c:tx>
          <c:spPr>
            <a:ln w="76200">
              <a:solidFill>
                <a:schemeClr val="accent2"/>
              </a:solidFill>
            </a:ln>
          </c:spPr>
          <c:marker>
            <c:symbol val="none"/>
          </c:marker>
          <c:val>
            <c:numRef>
              <c:f>'Inputs - Weather'!$G$20:$G$31</c:f>
              <c:numCache>
                <c:formatCode>General</c:formatCode>
                <c:ptCount val="12"/>
                <c:pt idx="0">
                  <c:v>-4.0999999999999996</c:v>
                </c:pt>
                <c:pt idx="1">
                  <c:v>-8.4600000000000009</c:v>
                </c:pt>
                <c:pt idx="2">
                  <c:v>-1.99</c:v>
                </c:pt>
                <c:pt idx="3">
                  <c:v>4.6900000000000004</c:v>
                </c:pt>
                <c:pt idx="4">
                  <c:v>13.84</c:v>
                </c:pt>
                <c:pt idx="5">
                  <c:v>18.27</c:v>
                </c:pt>
                <c:pt idx="6">
                  <c:v>20.399999999999999</c:v>
                </c:pt>
                <c:pt idx="7">
                  <c:v>21.16</c:v>
                </c:pt>
                <c:pt idx="8">
                  <c:v>17.71</c:v>
                </c:pt>
                <c:pt idx="9">
                  <c:v>12.9</c:v>
                </c:pt>
                <c:pt idx="10">
                  <c:v>2.19</c:v>
                </c:pt>
                <c:pt idx="11">
                  <c:v>-4.0199999999999996</c:v>
                </c:pt>
              </c:numCache>
            </c:numRef>
          </c:val>
          <c:smooth val="0"/>
          <c:extLst>
            <c:ext xmlns:c16="http://schemas.microsoft.com/office/drawing/2014/chart" uri="{C3380CC4-5D6E-409C-BE32-E72D297353CC}">
              <c16:uniqueId val="{00000001-52D7-4148-9E6F-C699D435332F}"/>
            </c:ext>
          </c:extLst>
        </c:ser>
        <c:ser>
          <c:idx val="2"/>
          <c:order val="2"/>
          <c:tx>
            <c:strRef>
              <c:f>'Inputs - Weather'!$H$18</c:f>
              <c:strCache>
                <c:ptCount val="1"/>
                <c:pt idx="0">
                  <c:v>2008</c:v>
                </c:pt>
              </c:strCache>
            </c:strRef>
          </c:tx>
          <c:spPr>
            <a:ln w="63500">
              <a:solidFill>
                <a:srgbClr val="FFFF00"/>
              </a:solidFill>
            </a:ln>
          </c:spPr>
          <c:marker>
            <c:symbol val="none"/>
          </c:marker>
          <c:val>
            <c:numRef>
              <c:f>'Inputs - Weather'!$H$20:$H$31</c:f>
              <c:numCache>
                <c:formatCode>General</c:formatCode>
                <c:ptCount val="12"/>
                <c:pt idx="0">
                  <c:v>-4.2</c:v>
                </c:pt>
                <c:pt idx="1">
                  <c:v>-4.58</c:v>
                </c:pt>
                <c:pt idx="2">
                  <c:v>-0.72</c:v>
                </c:pt>
                <c:pt idx="3">
                  <c:v>7.8</c:v>
                </c:pt>
                <c:pt idx="4">
                  <c:v>11.54</c:v>
                </c:pt>
                <c:pt idx="5">
                  <c:v>19.190000000000001</c:v>
                </c:pt>
                <c:pt idx="6">
                  <c:v>21.64</c:v>
                </c:pt>
                <c:pt idx="7">
                  <c:v>18.829999999999998</c:v>
                </c:pt>
                <c:pt idx="8">
                  <c:v>16.34</c:v>
                </c:pt>
                <c:pt idx="9">
                  <c:v>8.58</c:v>
                </c:pt>
                <c:pt idx="10">
                  <c:v>2.66</c:v>
                </c:pt>
                <c:pt idx="11">
                  <c:v>-3.03</c:v>
                </c:pt>
              </c:numCache>
            </c:numRef>
          </c:val>
          <c:smooth val="0"/>
          <c:extLst>
            <c:ext xmlns:c16="http://schemas.microsoft.com/office/drawing/2014/chart" uri="{C3380CC4-5D6E-409C-BE32-E72D297353CC}">
              <c16:uniqueId val="{00000002-52D7-4148-9E6F-C699D435332F}"/>
            </c:ext>
          </c:extLst>
        </c:ser>
        <c:ser>
          <c:idx val="3"/>
          <c:order val="3"/>
          <c:tx>
            <c:strRef>
              <c:f>'Inputs - Weather'!$I$18</c:f>
              <c:strCache>
                <c:ptCount val="1"/>
                <c:pt idx="0">
                  <c:v>2009</c:v>
                </c:pt>
              </c:strCache>
            </c:strRef>
          </c:tx>
          <c:spPr>
            <a:ln w="50800">
              <a:solidFill>
                <a:srgbClr val="00B050"/>
              </a:solidFill>
            </a:ln>
          </c:spPr>
          <c:marker>
            <c:symbol val="none"/>
          </c:marker>
          <c:val>
            <c:numRef>
              <c:f>'Inputs - Weather'!$I$20:$I$31</c:f>
              <c:numCache>
                <c:formatCode>General</c:formatCode>
                <c:ptCount val="12"/>
                <c:pt idx="0">
                  <c:v>-9.67</c:v>
                </c:pt>
                <c:pt idx="1">
                  <c:v>-4.32</c:v>
                </c:pt>
                <c:pt idx="2">
                  <c:v>0.35</c:v>
                </c:pt>
                <c:pt idx="3">
                  <c:v>7.48</c:v>
                </c:pt>
                <c:pt idx="4">
                  <c:v>13.18</c:v>
                </c:pt>
                <c:pt idx="5">
                  <c:v>16.89</c:v>
                </c:pt>
                <c:pt idx="6">
                  <c:v>18.89</c:v>
                </c:pt>
                <c:pt idx="7">
                  <c:v>20.62</c:v>
                </c:pt>
                <c:pt idx="8">
                  <c:v>14.98</c:v>
                </c:pt>
                <c:pt idx="9">
                  <c:v>8.07</c:v>
                </c:pt>
                <c:pt idx="10">
                  <c:v>5.65</c:v>
                </c:pt>
                <c:pt idx="11">
                  <c:v>-3.93</c:v>
                </c:pt>
              </c:numCache>
            </c:numRef>
          </c:val>
          <c:smooth val="0"/>
          <c:extLst>
            <c:ext xmlns:c16="http://schemas.microsoft.com/office/drawing/2014/chart" uri="{C3380CC4-5D6E-409C-BE32-E72D297353CC}">
              <c16:uniqueId val="{00000003-52D7-4148-9E6F-C699D435332F}"/>
            </c:ext>
          </c:extLst>
        </c:ser>
        <c:ser>
          <c:idx val="4"/>
          <c:order val="4"/>
          <c:tx>
            <c:strRef>
              <c:f>'Inputs - Weather'!$J$18</c:f>
              <c:strCache>
                <c:ptCount val="1"/>
                <c:pt idx="0">
                  <c:v>2010</c:v>
                </c:pt>
              </c:strCache>
            </c:strRef>
          </c:tx>
          <c:spPr>
            <a:ln w="38100">
              <a:solidFill>
                <a:schemeClr val="accent1">
                  <a:lumMod val="75000"/>
                </a:schemeClr>
              </a:solidFill>
            </a:ln>
          </c:spPr>
          <c:marker>
            <c:symbol val="none"/>
          </c:marker>
          <c:val>
            <c:numRef>
              <c:f>'Inputs - Weather'!$J$20:$J$31</c:f>
              <c:numCache>
                <c:formatCode>General</c:formatCode>
                <c:ptCount val="12"/>
                <c:pt idx="0">
                  <c:v>-6.12</c:v>
                </c:pt>
                <c:pt idx="1">
                  <c:v>-4.25</c:v>
                </c:pt>
                <c:pt idx="2">
                  <c:v>3.13</c:v>
                </c:pt>
                <c:pt idx="3">
                  <c:v>9.0399999999999991</c:v>
                </c:pt>
                <c:pt idx="4">
                  <c:v>15.1</c:v>
                </c:pt>
                <c:pt idx="5">
                  <c:v>19.149999999999999</c:v>
                </c:pt>
                <c:pt idx="6">
                  <c:v>23.25</c:v>
                </c:pt>
                <c:pt idx="7">
                  <c:v>21.44</c:v>
                </c:pt>
                <c:pt idx="8">
                  <c:v>18.170000000000002</c:v>
                </c:pt>
                <c:pt idx="9">
                  <c:v>9.44</c:v>
                </c:pt>
                <c:pt idx="10">
                  <c:v>2.89</c:v>
                </c:pt>
                <c:pt idx="11">
                  <c:v>-4.5199999999999996</c:v>
                </c:pt>
              </c:numCache>
            </c:numRef>
          </c:val>
          <c:smooth val="0"/>
          <c:extLst>
            <c:ext xmlns:c16="http://schemas.microsoft.com/office/drawing/2014/chart" uri="{C3380CC4-5D6E-409C-BE32-E72D297353CC}">
              <c16:uniqueId val="{00000004-52D7-4148-9E6F-C699D435332F}"/>
            </c:ext>
          </c:extLst>
        </c:ser>
        <c:ser>
          <c:idx val="5"/>
          <c:order val="5"/>
          <c:tx>
            <c:strRef>
              <c:f>'Inputs - Weather'!$K$18</c:f>
              <c:strCache>
                <c:ptCount val="1"/>
                <c:pt idx="0">
                  <c:v>2011</c:v>
                </c:pt>
              </c:strCache>
            </c:strRef>
          </c:tx>
          <c:spPr>
            <a:ln w="25400">
              <a:solidFill>
                <a:srgbClr val="7030A0"/>
              </a:solidFill>
            </a:ln>
          </c:spPr>
          <c:marker>
            <c:symbol val="none"/>
          </c:marker>
          <c:val>
            <c:numRef>
              <c:f>'[1]Inputs2- Weather'!$K$30:$K$41</c:f>
              <c:numCache>
                <c:formatCode>General</c:formatCode>
                <c:ptCount val="12"/>
                <c:pt idx="0">
                  <c:v>2.85</c:v>
                </c:pt>
                <c:pt idx="1">
                  <c:v>2.85</c:v>
                </c:pt>
                <c:pt idx="2">
                  <c:v>4.4000000000000004</c:v>
                </c:pt>
                <c:pt idx="3">
                  <c:v>6.55</c:v>
                </c:pt>
                <c:pt idx="4">
                  <c:v>9.35</c:v>
                </c:pt>
                <c:pt idx="5">
                  <c:v>11.8</c:v>
                </c:pt>
                <c:pt idx="6">
                  <c:v>13.8</c:v>
                </c:pt>
                <c:pt idx="7">
                  <c:v>13.35</c:v>
                </c:pt>
                <c:pt idx="8">
                  <c:v>11.100000000000001</c:v>
                </c:pt>
                <c:pt idx="9">
                  <c:v>8.15</c:v>
                </c:pt>
                <c:pt idx="10">
                  <c:v>5.1999999999999993</c:v>
                </c:pt>
                <c:pt idx="11">
                  <c:v>2.7</c:v>
                </c:pt>
              </c:numCache>
            </c:numRef>
          </c:val>
          <c:smooth val="0"/>
          <c:extLst>
            <c:ext xmlns:c16="http://schemas.microsoft.com/office/drawing/2014/chart" uri="{C3380CC4-5D6E-409C-BE32-E72D297353CC}">
              <c16:uniqueId val="{00000005-52D7-4148-9E6F-C699D435332F}"/>
            </c:ext>
          </c:extLst>
        </c:ser>
        <c:dLbls>
          <c:showLegendKey val="0"/>
          <c:showVal val="0"/>
          <c:showCatName val="0"/>
          <c:showSerName val="0"/>
          <c:showPercent val="0"/>
          <c:showBubbleSize val="0"/>
        </c:dLbls>
        <c:smooth val="0"/>
        <c:axId val="489621952"/>
        <c:axId val="489622344"/>
      </c:lineChart>
      <c:catAx>
        <c:axId val="489621952"/>
        <c:scaling>
          <c:orientation val="minMax"/>
        </c:scaling>
        <c:delete val="0"/>
        <c:axPos val="b"/>
        <c:title>
          <c:tx>
            <c:rich>
              <a:bodyPr/>
              <a:lstStyle/>
              <a:p>
                <a:pPr>
                  <a:defRPr b="0"/>
                </a:pPr>
                <a:r>
                  <a:rPr lang="en-US" b="0"/>
                  <a:t>Month</a:t>
                </a:r>
              </a:p>
            </c:rich>
          </c:tx>
          <c:overlay val="0"/>
        </c:title>
        <c:majorTickMark val="out"/>
        <c:minorTickMark val="none"/>
        <c:tickLblPos val="nextTo"/>
        <c:crossAx val="489622344"/>
        <c:crosses val="autoZero"/>
        <c:auto val="1"/>
        <c:lblAlgn val="ctr"/>
        <c:lblOffset val="100"/>
        <c:noMultiLvlLbl val="0"/>
      </c:catAx>
      <c:valAx>
        <c:axId val="489622344"/>
        <c:scaling>
          <c:orientation val="minMax"/>
        </c:scaling>
        <c:delete val="0"/>
        <c:axPos val="l"/>
        <c:title>
          <c:tx>
            <c:rich>
              <a:bodyPr rot="-5400000" vert="horz"/>
              <a:lstStyle/>
              <a:p>
                <a:pPr>
                  <a:defRPr b="0"/>
                </a:pPr>
                <a:r>
                  <a:rPr lang="en-US" b="0"/>
                  <a:t>Average</a:t>
                </a:r>
                <a:r>
                  <a:rPr lang="en-US" b="0" baseline="0"/>
                  <a:t> air temperature (ºC)</a:t>
                </a:r>
                <a:endParaRPr lang="en-US" b="0"/>
              </a:p>
            </c:rich>
          </c:tx>
          <c:layout>
            <c:manualLayout>
              <c:xMode val="edge"/>
              <c:yMode val="edge"/>
              <c:x val="3.951502616713138E-2"/>
              <c:y val="8.5091161263704928E-3"/>
            </c:manualLayout>
          </c:layout>
          <c:overlay val="0"/>
        </c:title>
        <c:numFmt formatCode="0" sourceLinked="0"/>
        <c:majorTickMark val="out"/>
        <c:minorTickMark val="none"/>
        <c:tickLblPos val="nextTo"/>
        <c:crossAx val="489621952"/>
        <c:crosses val="autoZero"/>
        <c:crossBetween val="between"/>
      </c:valAx>
      <c:spPr>
        <a:solidFill>
          <a:schemeClr val="accent5">
            <a:lumMod val="20000"/>
            <a:lumOff val="80000"/>
          </a:schemeClr>
        </a:solidFill>
        <a:ln>
          <a:solidFill>
            <a:schemeClr val="tx2">
              <a:lumMod val="60000"/>
              <a:lumOff val="40000"/>
            </a:schemeClr>
          </a:solidFill>
        </a:ln>
      </c:spPr>
    </c:plotArea>
    <c:legend>
      <c:legendPos val="b"/>
      <c:layout>
        <c:manualLayout>
          <c:xMode val="edge"/>
          <c:yMode val="edge"/>
          <c:x val="0.12783831628322034"/>
          <c:y val="0.85569571362108177"/>
          <c:w val="0.82603440305275144"/>
          <c:h val="0.14430428637891837"/>
        </c:manualLayout>
      </c:layout>
      <c:overlay val="0"/>
      <c:txPr>
        <a:bodyPr/>
        <a:lstStyle/>
        <a:p>
          <a:pPr>
            <a:defRPr sz="1000"/>
          </a:pPr>
          <a:endParaRPr lang="en-US"/>
        </a:p>
      </c:txPr>
    </c:legend>
    <c:plotVisOnly val="1"/>
    <c:dispBlanksAs val="gap"/>
    <c:showDLblsOverMax val="0"/>
  </c:chart>
  <c:spPr>
    <a:solidFill>
      <a:schemeClr val="accent5">
        <a:lumMod val="60000"/>
        <a:lumOff val="40000"/>
      </a:schemeClr>
    </a:solidFill>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0804268675455115"/>
          <c:y val="6.4250692621755617E-2"/>
          <c:w val="0.74810922787193979"/>
          <c:h val="0.58162641877123222"/>
        </c:manualLayout>
      </c:layout>
      <c:lineChart>
        <c:grouping val="standard"/>
        <c:varyColors val="0"/>
        <c:ser>
          <c:idx val="0"/>
          <c:order val="0"/>
          <c:tx>
            <c:strRef>
              <c:f>'Inputs - Weather'!$F$33</c:f>
              <c:strCache>
                <c:ptCount val="1"/>
                <c:pt idx="0">
                  <c:v>2011</c:v>
                </c:pt>
              </c:strCache>
            </c:strRef>
          </c:tx>
          <c:spPr>
            <a:ln w="88900">
              <a:solidFill>
                <a:srgbClr val="FF0000"/>
              </a:solidFill>
            </a:ln>
          </c:spPr>
          <c:marker>
            <c:symbol val="none"/>
          </c:marker>
          <c:val>
            <c:numRef>
              <c:f>'Inputs - Weather'!$F$35:$F$46</c:f>
              <c:numCache>
                <c:formatCode>General</c:formatCode>
                <c:ptCount val="12"/>
                <c:pt idx="0">
                  <c:v>-8.01</c:v>
                </c:pt>
                <c:pt idx="1">
                  <c:v>-6.74</c:v>
                </c:pt>
                <c:pt idx="2">
                  <c:v>-0.57999999999999996</c:v>
                </c:pt>
                <c:pt idx="3">
                  <c:v>7.18</c:v>
                </c:pt>
                <c:pt idx="4">
                  <c:v>14.05</c:v>
                </c:pt>
                <c:pt idx="5">
                  <c:v>17.96</c:v>
                </c:pt>
                <c:pt idx="6">
                  <c:v>21.89</c:v>
                </c:pt>
                <c:pt idx="7">
                  <c:v>20.350000000000001</c:v>
                </c:pt>
                <c:pt idx="8">
                  <c:v>17.38</c:v>
                </c:pt>
                <c:pt idx="9">
                  <c:v>9.61</c:v>
                </c:pt>
                <c:pt idx="10">
                  <c:v>5.71</c:v>
                </c:pt>
                <c:pt idx="11">
                  <c:v>-0.46</c:v>
                </c:pt>
              </c:numCache>
            </c:numRef>
          </c:val>
          <c:smooth val="0"/>
          <c:extLst>
            <c:ext xmlns:c16="http://schemas.microsoft.com/office/drawing/2014/chart" uri="{C3380CC4-5D6E-409C-BE32-E72D297353CC}">
              <c16:uniqueId val="{00000000-AEFD-4356-92A4-9F013F64B31F}"/>
            </c:ext>
          </c:extLst>
        </c:ser>
        <c:ser>
          <c:idx val="1"/>
          <c:order val="1"/>
          <c:tx>
            <c:strRef>
              <c:f>'Inputs - Weather'!$G$33</c:f>
              <c:strCache>
                <c:ptCount val="1"/>
                <c:pt idx="0">
                  <c:v>2012</c:v>
                </c:pt>
              </c:strCache>
            </c:strRef>
          </c:tx>
          <c:spPr>
            <a:ln w="76200">
              <a:solidFill>
                <a:schemeClr val="accent2"/>
              </a:solidFill>
            </a:ln>
          </c:spPr>
          <c:marker>
            <c:symbol val="none"/>
          </c:marker>
          <c:val>
            <c:numRef>
              <c:f>'Inputs - Weather'!$G$35:$G$46</c:f>
              <c:numCache>
                <c:formatCode>General</c:formatCode>
                <c:ptCount val="12"/>
                <c:pt idx="0">
                  <c:v>-3.44</c:v>
                </c:pt>
                <c:pt idx="1">
                  <c:v>-1.65</c:v>
                </c:pt>
                <c:pt idx="2">
                  <c:v>4.68</c:v>
                </c:pt>
                <c:pt idx="3">
                  <c:v>7.69</c:v>
                </c:pt>
                <c:pt idx="4">
                  <c:v>15.52</c:v>
                </c:pt>
                <c:pt idx="5">
                  <c:v>17.8</c:v>
                </c:pt>
                <c:pt idx="6">
                  <c:v>22.99</c:v>
                </c:pt>
                <c:pt idx="7">
                  <c:v>21.76</c:v>
                </c:pt>
                <c:pt idx="8">
                  <c:v>16.16</c:v>
                </c:pt>
                <c:pt idx="9">
                  <c:v>11.21</c:v>
                </c:pt>
                <c:pt idx="10">
                  <c:v>1.8</c:v>
                </c:pt>
                <c:pt idx="11">
                  <c:v>-0.63</c:v>
                </c:pt>
              </c:numCache>
            </c:numRef>
          </c:val>
          <c:smooth val="0"/>
          <c:extLst>
            <c:ext xmlns:c16="http://schemas.microsoft.com/office/drawing/2014/chart" uri="{C3380CC4-5D6E-409C-BE32-E72D297353CC}">
              <c16:uniqueId val="{00000001-AEFD-4356-92A4-9F013F64B31F}"/>
            </c:ext>
          </c:extLst>
        </c:ser>
        <c:ser>
          <c:idx val="2"/>
          <c:order val="2"/>
          <c:tx>
            <c:strRef>
              <c:f>'Inputs - Weather'!$H$33</c:f>
              <c:strCache>
                <c:ptCount val="1"/>
                <c:pt idx="0">
                  <c:v>2013</c:v>
                </c:pt>
              </c:strCache>
            </c:strRef>
          </c:tx>
          <c:spPr>
            <a:ln w="63500">
              <a:solidFill>
                <a:srgbClr val="FFFF00"/>
              </a:solidFill>
            </a:ln>
          </c:spPr>
          <c:marker>
            <c:symbol val="none"/>
          </c:marker>
          <c:val>
            <c:numRef>
              <c:f>'Inputs - Weather'!$H$35:$H$46</c:f>
              <c:numCache>
                <c:formatCode>General</c:formatCode>
                <c:ptCount val="12"/>
                <c:pt idx="0">
                  <c:v>-5.04</c:v>
                </c:pt>
                <c:pt idx="1">
                  <c:v>-4.4400000000000004</c:v>
                </c:pt>
                <c:pt idx="2">
                  <c:v>-0.82</c:v>
                </c:pt>
                <c:pt idx="3">
                  <c:v>6.18</c:v>
                </c:pt>
                <c:pt idx="4">
                  <c:v>13.58</c:v>
                </c:pt>
                <c:pt idx="5">
                  <c:v>18.37</c:v>
                </c:pt>
                <c:pt idx="6">
                  <c:v>22.71</c:v>
                </c:pt>
                <c:pt idx="7">
                  <c:v>19.329999999999998</c:v>
                </c:pt>
                <c:pt idx="8">
                  <c:v>15.36</c:v>
                </c:pt>
                <c:pt idx="9">
                  <c:v>10.24</c:v>
                </c:pt>
                <c:pt idx="10">
                  <c:v>1.6</c:v>
                </c:pt>
                <c:pt idx="11">
                  <c:v>-3.59</c:v>
                </c:pt>
              </c:numCache>
            </c:numRef>
          </c:val>
          <c:smooth val="0"/>
          <c:extLst>
            <c:ext xmlns:c16="http://schemas.microsoft.com/office/drawing/2014/chart" uri="{C3380CC4-5D6E-409C-BE32-E72D297353CC}">
              <c16:uniqueId val="{00000002-AEFD-4356-92A4-9F013F64B31F}"/>
            </c:ext>
          </c:extLst>
        </c:ser>
        <c:ser>
          <c:idx val="3"/>
          <c:order val="3"/>
          <c:tx>
            <c:strRef>
              <c:f>'Inputs - Weather'!$I$33</c:f>
              <c:strCache>
                <c:ptCount val="1"/>
                <c:pt idx="0">
                  <c:v>2014</c:v>
                </c:pt>
              </c:strCache>
            </c:strRef>
          </c:tx>
          <c:spPr>
            <a:ln w="50800">
              <a:solidFill>
                <a:srgbClr val="00B050"/>
              </a:solidFill>
            </a:ln>
          </c:spPr>
          <c:marker>
            <c:symbol val="none"/>
          </c:marker>
          <c:val>
            <c:numRef>
              <c:f>'Inputs - Weather'!$I$35:$I$46</c:f>
              <c:numCache>
                <c:formatCode>General</c:formatCode>
                <c:ptCount val="12"/>
                <c:pt idx="0">
                  <c:v>-7.32</c:v>
                </c:pt>
                <c:pt idx="1">
                  <c:v>-7.56</c:v>
                </c:pt>
                <c:pt idx="2">
                  <c:v>-3.72</c:v>
                </c:pt>
                <c:pt idx="3">
                  <c:v>5.88</c:v>
                </c:pt>
                <c:pt idx="4">
                  <c:v>13.3</c:v>
                </c:pt>
                <c:pt idx="5">
                  <c:v>18.579999999999998</c:v>
                </c:pt>
                <c:pt idx="6">
                  <c:v>20.88</c:v>
                </c:pt>
                <c:pt idx="7">
                  <c:v>19.38</c:v>
                </c:pt>
                <c:pt idx="8">
                  <c:v>16.57</c:v>
                </c:pt>
                <c:pt idx="9">
                  <c:v>10.87</c:v>
                </c:pt>
                <c:pt idx="10">
                  <c:v>1.4</c:v>
                </c:pt>
                <c:pt idx="11">
                  <c:v>-1.78</c:v>
                </c:pt>
              </c:numCache>
            </c:numRef>
          </c:val>
          <c:smooth val="0"/>
          <c:extLst>
            <c:ext xmlns:c16="http://schemas.microsoft.com/office/drawing/2014/chart" uri="{C3380CC4-5D6E-409C-BE32-E72D297353CC}">
              <c16:uniqueId val="{00000003-AEFD-4356-92A4-9F013F64B31F}"/>
            </c:ext>
          </c:extLst>
        </c:ser>
        <c:ser>
          <c:idx val="4"/>
          <c:order val="4"/>
          <c:tx>
            <c:strRef>
              <c:f>'Inputs - Weather'!$J$33</c:f>
              <c:strCache>
                <c:ptCount val="1"/>
                <c:pt idx="0">
                  <c:v>2015</c:v>
                </c:pt>
              </c:strCache>
            </c:strRef>
          </c:tx>
          <c:spPr>
            <a:ln w="38100">
              <a:solidFill>
                <a:schemeClr val="accent1">
                  <a:lumMod val="75000"/>
                </a:schemeClr>
              </a:solidFill>
            </a:ln>
          </c:spPr>
          <c:marker>
            <c:symbol val="none"/>
          </c:marker>
          <c:val>
            <c:numRef>
              <c:f>'Inputs - Weather'!$J$35:$J$46</c:f>
              <c:numCache>
                <c:formatCode>General</c:formatCode>
                <c:ptCount val="12"/>
                <c:pt idx="0">
                  <c:v>-8.2799999999999994</c:v>
                </c:pt>
                <c:pt idx="1">
                  <c:v>-13.02</c:v>
                </c:pt>
                <c:pt idx="2">
                  <c:v>-3.52</c:v>
                </c:pt>
                <c:pt idx="3">
                  <c:v>6.08</c:v>
                </c:pt>
                <c:pt idx="4">
                  <c:v>16.079999999999998</c:v>
                </c:pt>
                <c:pt idx="5">
                  <c:v>17.399999999999999</c:v>
                </c:pt>
                <c:pt idx="6">
                  <c:v>21.29</c:v>
                </c:pt>
                <c:pt idx="7">
                  <c:v>21.81</c:v>
                </c:pt>
                <c:pt idx="8">
                  <c:v>19.09</c:v>
                </c:pt>
                <c:pt idx="9">
                  <c:v>9.02</c:v>
                </c:pt>
                <c:pt idx="10">
                  <c:v>5.62</c:v>
                </c:pt>
                <c:pt idx="11">
                  <c:v>3.68</c:v>
                </c:pt>
              </c:numCache>
            </c:numRef>
          </c:val>
          <c:smooth val="0"/>
          <c:extLst>
            <c:ext xmlns:c16="http://schemas.microsoft.com/office/drawing/2014/chart" uri="{C3380CC4-5D6E-409C-BE32-E72D297353CC}">
              <c16:uniqueId val="{00000004-AEFD-4356-92A4-9F013F64B31F}"/>
            </c:ext>
          </c:extLst>
        </c:ser>
        <c:ser>
          <c:idx val="5"/>
          <c:order val="5"/>
          <c:tx>
            <c:strRef>
              <c:f>'Inputs - Weather'!$K$33</c:f>
              <c:strCache>
                <c:ptCount val="1"/>
                <c:pt idx="0">
                  <c:v>2016</c:v>
                </c:pt>
              </c:strCache>
            </c:strRef>
          </c:tx>
          <c:spPr>
            <a:ln w="25400">
              <a:solidFill>
                <a:srgbClr val="7030A0"/>
              </a:solidFill>
            </a:ln>
          </c:spPr>
          <c:marker>
            <c:symbol val="none"/>
          </c:marker>
          <c:val>
            <c:numRef>
              <c:f>'Inputs - Weather'!$K$35:$K$46</c:f>
              <c:numCache>
                <c:formatCode>General</c:formatCode>
                <c:ptCount val="12"/>
                <c:pt idx="0">
                  <c:v>-4.54</c:v>
                </c:pt>
                <c:pt idx="1">
                  <c:v>-2.77</c:v>
                </c:pt>
                <c:pt idx="2">
                  <c:v>2.73</c:v>
                </c:pt>
                <c:pt idx="3">
                  <c:v>5.92</c:v>
                </c:pt>
                <c:pt idx="4">
                  <c:v>13.14</c:v>
                </c:pt>
                <c:pt idx="5">
                  <c:v>18.75</c:v>
                </c:pt>
                <c:pt idx="6">
                  <c:v>23.19</c:v>
                </c:pt>
                <c:pt idx="7">
                  <c:v>22.75</c:v>
                </c:pt>
                <c:pt idx="8">
                  <c:v>18.3</c:v>
                </c:pt>
                <c:pt idx="9">
                  <c:v>10.44</c:v>
                </c:pt>
                <c:pt idx="10">
                  <c:v>4.28</c:v>
                </c:pt>
                <c:pt idx="11">
                  <c:v>-2.87</c:v>
                </c:pt>
              </c:numCache>
            </c:numRef>
          </c:val>
          <c:smooth val="0"/>
          <c:extLst>
            <c:ext xmlns:c16="http://schemas.microsoft.com/office/drawing/2014/chart" uri="{C3380CC4-5D6E-409C-BE32-E72D297353CC}">
              <c16:uniqueId val="{00000005-AEFD-4356-92A4-9F013F64B31F}"/>
            </c:ext>
          </c:extLst>
        </c:ser>
        <c:dLbls>
          <c:showLegendKey val="0"/>
          <c:showVal val="0"/>
          <c:showCatName val="0"/>
          <c:showSerName val="0"/>
          <c:showPercent val="0"/>
          <c:showBubbleSize val="0"/>
        </c:dLbls>
        <c:smooth val="0"/>
        <c:axId val="489627440"/>
        <c:axId val="424484496"/>
      </c:lineChart>
      <c:catAx>
        <c:axId val="489627440"/>
        <c:scaling>
          <c:orientation val="minMax"/>
        </c:scaling>
        <c:delete val="0"/>
        <c:axPos val="b"/>
        <c:title>
          <c:tx>
            <c:rich>
              <a:bodyPr/>
              <a:lstStyle/>
              <a:p>
                <a:pPr>
                  <a:defRPr b="0"/>
                </a:pPr>
                <a:r>
                  <a:rPr lang="en-US" b="0"/>
                  <a:t>Month</a:t>
                </a:r>
              </a:p>
            </c:rich>
          </c:tx>
          <c:overlay val="0"/>
        </c:title>
        <c:majorTickMark val="out"/>
        <c:minorTickMark val="none"/>
        <c:tickLblPos val="nextTo"/>
        <c:crossAx val="424484496"/>
        <c:crosses val="autoZero"/>
        <c:auto val="1"/>
        <c:lblAlgn val="ctr"/>
        <c:lblOffset val="100"/>
        <c:noMultiLvlLbl val="0"/>
      </c:catAx>
      <c:valAx>
        <c:axId val="424484496"/>
        <c:scaling>
          <c:orientation val="minMax"/>
        </c:scaling>
        <c:delete val="0"/>
        <c:axPos val="l"/>
        <c:title>
          <c:tx>
            <c:rich>
              <a:bodyPr rot="-5400000" vert="horz"/>
              <a:lstStyle/>
              <a:p>
                <a:pPr>
                  <a:defRPr b="0"/>
                </a:pPr>
                <a:r>
                  <a:rPr lang="en-US" b="0"/>
                  <a:t>Total rainfall (mm month</a:t>
                </a:r>
                <a:r>
                  <a:rPr lang="en-US" b="0" baseline="30000"/>
                  <a:t>-1</a:t>
                </a:r>
                <a:r>
                  <a:rPr lang="en-US" b="0"/>
                  <a:t>)</a:t>
                </a:r>
              </a:p>
            </c:rich>
          </c:tx>
          <c:overlay val="0"/>
        </c:title>
        <c:numFmt formatCode="General" sourceLinked="1"/>
        <c:majorTickMark val="out"/>
        <c:minorTickMark val="none"/>
        <c:tickLblPos val="nextTo"/>
        <c:crossAx val="489627440"/>
        <c:crosses val="autoZero"/>
        <c:crossBetween val="between"/>
      </c:valAx>
      <c:spPr>
        <a:solidFill>
          <a:schemeClr val="accent5">
            <a:lumMod val="20000"/>
            <a:lumOff val="80000"/>
          </a:schemeClr>
        </a:solidFill>
        <a:ln>
          <a:solidFill>
            <a:schemeClr val="tx2">
              <a:lumMod val="60000"/>
              <a:lumOff val="40000"/>
            </a:schemeClr>
          </a:solidFill>
        </a:ln>
      </c:spPr>
    </c:plotArea>
    <c:legend>
      <c:legendPos val="b"/>
      <c:layout>
        <c:manualLayout>
          <c:xMode val="edge"/>
          <c:yMode val="edge"/>
          <c:x val="0.12783831628322034"/>
          <c:y val="0.85569571362108177"/>
          <c:w val="0.82603440305275144"/>
          <c:h val="0.14430428637891837"/>
        </c:manualLayout>
      </c:layout>
      <c:overlay val="0"/>
      <c:txPr>
        <a:bodyPr/>
        <a:lstStyle/>
        <a:p>
          <a:pPr>
            <a:defRPr sz="1000"/>
          </a:pPr>
          <a:endParaRPr lang="en-US"/>
        </a:p>
      </c:txPr>
    </c:legend>
    <c:plotVisOnly val="1"/>
    <c:dispBlanksAs val="gap"/>
    <c:showDLblsOverMax val="0"/>
  </c:chart>
  <c:spPr>
    <a:solidFill>
      <a:schemeClr val="accent5">
        <a:lumMod val="60000"/>
        <a:lumOff val="40000"/>
      </a:schemeClr>
    </a:solidFill>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0804268675455115"/>
          <c:y val="6.4250692621755617E-2"/>
          <c:w val="0.74810922787193979"/>
          <c:h val="0.58162641877123222"/>
        </c:manualLayout>
      </c:layout>
      <c:lineChart>
        <c:grouping val="standard"/>
        <c:varyColors val="0"/>
        <c:ser>
          <c:idx val="0"/>
          <c:order val="0"/>
          <c:tx>
            <c:strRef>
              <c:f>'Inputs - Weather'!$F$47</c:f>
              <c:strCache>
                <c:ptCount val="1"/>
                <c:pt idx="0">
                  <c:v>2011</c:v>
                </c:pt>
              </c:strCache>
            </c:strRef>
          </c:tx>
          <c:spPr>
            <a:ln w="88900">
              <a:solidFill>
                <a:srgbClr val="FF0000"/>
              </a:solidFill>
            </a:ln>
          </c:spPr>
          <c:marker>
            <c:symbol val="none"/>
          </c:marker>
          <c:val>
            <c:numRef>
              <c:f>'Inputs - Weather'!$F$49:$F$60</c:f>
              <c:numCache>
                <c:formatCode>General</c:formatCode>
                <c:ptCount val="12"/>
                <c:pt idx="0">
                  <c:v>-6.12</c:v>
                </c:pt>
                <c:pt idx="1">
                  <c:v>-4.25</c:v>
                </c:pt>
                <c:pt idx="2">
                  <c:v>3.13</c:v>
                </c:pt>
                <c:pt idx="3">
                  <c:v>9.0399999999999991</c:v>
                </c:pt>
                <c:pt idx="4">
                  <c:v>15.1</c:v>
                </c:pt>
                <c:pt idx="5">
                  <c:v>19.149999999999999</c:v>
                </c:pt>
                <c:pt idx="6">
                  <c:v>23.25</c:v>
                </c:pt>
                <c:pt idx="7">
                  <c:v>21.44</c:v>
                </c:pt>
                <c:pt idx="8">
                  <c:v>18.170000000000002</c:v>
                </c:pt>
                <c:pt idx="9">
                  <c:v>9.44</c:v>
                </c:pt>
                <c:pt idx="10">
                  <c:v>2.89</c:v>
                </c:pt>
                <c:pt idx="11">
                  <c:v>-4.5199999999999996</c:v>
                </c:pt>
              </c:numCache>
            </c:numRef>
          </c:val>
          <c:smooth val="0"/>
          <c:extLst>
            <c:ext xmlns:c16="http://schemas.microsoft.com/office/drawing/2014/chart" uri="{C3380CC4-5D6E-409C-BE32-E72D297353CC}">
              <c16:uniqueId val="{00000000-5AD7-41EC-9745-F2ABE2628D8C}"/>
            </c:ext>
          </c:extLst>
        </c:ser>
        <c:ser>
          <c:idx val="1"/>
          <c:order val="1"/>
          <c:tx>
            <c:strRef>
              <c:f>'Inputs - Weather'!$G$47</c:f>
              <c:strCache>
                <c:ptCount val="1"/>
                <c:pt idx="0">
                  <c:v>2012</c:v>
                </c:pt>
              </c:strCache>
            </c:strRef>
          </c:tx>
          <c:spPr>
            <a:ln w="76200">
              <a:solidFill>
                <a:schemeClr val="accent2"/>
              </a:solidFill>
            </a:ln>
          </c:spPr>
          <c:marker>
            <c:symbol val="none"/>
          </c:marker>
          <c:val>
            <c:numRef>
              <c:f>'Inputs - Weather'!$G$49:$G$60</c:f>
              <c:numCache>
                <c:formatCode>General</c:formatCode>
                <c:ptCount val="12"/>
                <c:pt idx="0">
                  <c:v>-8.01</c:v>
                </c:pt>
                <c:pt idx="1">
                  <c:v>-6.74</c:v>
                </c:pt>
                <c:pt idx="2">
                  <c:v>-0.57999999999999996</c:v>
                </c:pt>
                <c:pt idx="3">
                  <c:v>7.18</c:v>
                </c:pt>
                <c:pt idx="4">
                  <c:v>14.05</c:v>
                </c:pt>
                <c:pt idx="5">
                  <c:v>17.96</c:v>
                </c:pt>
                <c:pt idx="6">
                  <c:v>21.89</c:v>
                </c:pt>
                <c:pt idx="7">
                  <c:v>20.350000000000001</c:v>
                </c:pt>
                <c:pt idx="8">
                  <c:v>17.38</c:v>
                </c:pt>
                <c:pt idx="9">
                  <c:v>9.61</c:v>
                </c:pt>
                <c:pt idx="10">
                  <c:v>5.71</c:v>
                </c:pt>
                <c:pt idx="11">
                  <c:v>-0.46</c:v>
                </c:pt>
              </c:numCache>
            </c:numRef>
          </c:val>
          <c:smooth val="0"/>
          <c:extLst>
            <c:ext xmlns:c16="http://schemas.microsoft.com/office/drawing/2014/chart" uri="{C3380CC4-5D6E-409C-BE32-E72D297353CC}">
              <c16:uniqueId val="{00000001-5AD7-41EC-9745-F2ABE2628D8C}"/>
            </c:ext>
          </c:extLst>
        </c:ser>
        <c:ser>
          <c:idx val="2"/>
          <c:order val="2"/>
          <c:tx>
            <c:strRef>
              <c:f>'Inputs - Weather'!$H$47</c:f>
              <c:strCache>
                <c:ptCount val="1"/>
                <c:pt idx="0">
                  <c:v>2013</c:v>
                </c:pt>
              </c:strCache>
            </c:strRef>
          </c:tx>
          <c:spPr>
            <a:ln w="63500">
              <a:solidFill>
                <a:srgbClr val="FFFF00"/>
              </a:solidFill>
            </a:ln>
          </c:spPr>
          <c:marker>
            <c:symbol val="none"/>
          </c:marker>
          <c:val>
            <c:numRef>
              <c:f>'Inputs - Weather'!$H$49:$H$60</c:f>
              <c:numCache>
                <c:formatCode>General</c:formatCode>
                <c:ptCount val="12"/>
                <c:pt idx="0">
                  <c:v>-3.44</c:v>
                </c:pt>
                <c:pt idx="1">
                  <c:v>-1.65</c:v>
                </c:pt>
                <c:pt idx="2">
                  <c:v>4.68</c:v>
                </c:pt>
                <c:pt idx="3">
                  <c:v>7.69</c:v>
                </c:pt>
                <c:pt idx="4">
                  <c:v>15.52</c:v>
                </c:pt>
                <c:pt idx="5">
                  <c:v>17.8</c:v>
                </c:pt>
                <c:pt idx="6">
                  <c:v>22.99</c:v>
                </c:pt>
                <c:pt idx="7">
                  <c:v>21.76</c:v>
                </c:pt>
                <c:pt idx="8">
                  <c:v>16.16</c:v>
                </c:pt>
                <c:pt idx="9">
                  <c:v>11.21</c:v>
                </c:pt>
                <c:pt idx="10">
                  <c:v>1.8</c:v>
                </c:pt>
                <c:pt idx="11">
                  <c:v>-0.63</c:v>
                </c:pt>
              </c:numCache>
            </c:numRef>
          </c:val>
          <c:smooth val="0"/>
          <c:extLst>
            <c:ext xmlns:c16="http://schemas.microsoft.com/office/drawing/2014/chart" uri="{C3380CC4-5D6E-409C-BE32-E72D297353CC}">
              <c16:uniqueId val="{00000002-5AD7-41EC-9745-F2ABE2628D8C}"/>
            </c:ext>
          </c:extLst>
        </c:ser>
        <c:ser>
          <c:idx val="3"/>
          <c:order val="3"/>
          <c:tx>
            <c:strRef>
              <c:f>'Inputs - Weather'!$I$47</c:f>
              <c:strCache>
                <c:ptCount val="1"/>
                <c:pt idx="0">
                  <c:v>2014</c:v>
                </c:pt>
              </c:strCache>
            </c:strRef>
          </c:tx>
          <c:spPr>
            <a:ln w="50800">
              <a:solidFill>
                <a:srgbClr val="00B050"/>
              </a:solidFill>
            </a:ln>
          </c:spPr>
          <c:marker>
            <c:symbol val="none"/>
          </c:marker>
          <c:val>
            <c:numRef>
              <c:f>'Inputs - Weather'!$I$49:$I$60</c:f>
              <c:numCache>
                <c:formatCode>General</c:formatCode>
                <c:ptCount val="12"/>
                <c:pt idx="0">
                  <c:v>-5.04</c:v>
                </c:pt>
                <c:pt idx="1">
                  <c:v>-4.4400000000000004</c:v>
                </c:pt>
                <c:pt idx="2">
                  <c:v>-0.82</c:v>
                </c:pt>
                <c:pt idx="3">
                  <c:v>6.18</c:v>
                </c:pt>
                <c:pt idx="4">
                  <c:v>13.58</c:v>
                </c:pt>
                <c:pt idx="5">
                  <c:v>18.37</c:v>
                </c:pt>
                <c:pt idx="6">
                  <c:v>22.71</c:v>
                </c:pt>
                <c:pt idx="7">
                  <c:v>19.329999999999998</c:v>
                </c:pt>
                <c:pt idx="8">
                  <c:v>15.36</c:v>
                </c:pt>
                <c:pt idx="9">
                  <c:v>10.24</c:v>
                </c:pt>
                <c:pt idx="10">
                  <c:v>1.6</c:v>
                </c:pt>
                <c:pt idx="11">
                  <c:v>-3.59</c:v>
                </c:pt>
              </c:numCache>
            </c:numRef>
          </c:val>
          <c:smooth val="0"/>
          <c:extLst>
            <c:ext xmlns:c16="http://schemas.microsoft.com/office/drawing/2014/chart" uri="{C3380CC4-5D6E-409C-BE32-E72D297353CC}">
              <c16:uniqueId val="{00000003-5AD7-41EC-9745-F2ABE2628D8C}"/>
            </c:ext>
          </c:extLst>
        </c:ser>
        <c:ser>
          <c:idx val="4"/>
          <c:order val="4"/>
          <c:tx>
            <c:strRef>
              <c:f>'Inputs - Weather'!$J$47</c:f>
              <c:strCache>
                <c:ptCount val="1"/>
                <c:pt idx="0">
                  <c:v>2015</c:v>
                </c:pt>
              </c:strCache>
            </c:strRef>
          </c:tx>
          <c:spPr>
            <a:ln w="38100">
              <a:solidFill>
                <a:schemeClr val="accent1">
                  <a:lumMod val="75000"/>
                </a:schemeClr>
              </a:solidFill>
            </a:ln>
          </c:spPr>
          <c:marker>
            <c:symbol val="none"/>
          </c:marker>
          <c:val>
            <c:numRef>
              <c:f>'Inputs - Weather'!$J$49:$J$60</c:f>
              <c:numCache>
                <c:formatCode>General</c:formatCode>
                <c:ptCount val="12"/>
                <c:pt idx="0">
                  <c:v>-7.32</c:v>
                </c:pt>
                <c:pt idx="1">
                  <c:v>-7.56</c:v>
                </c:pt>
                <c:pt idx="2">
                  <c:v>-3.72</c:v>
                </c:pt>
                <c:pt idx="3">
                  <c:v>5.88</c:v>
                </c:pt>
                <c:pt idx="4">
                  <c:v>13.3</c:v>
                </c:pt>
                <c:pt idx="5">
                  <c:v>18.579999999999998</c:v>
                </c:pt>
                <c:pt idx="6">
                  <c:v>20.88</c:v>
                </c:pt>
                <c:pt idx="7">
                  <c:v>19.38</c:v>
                </c:pt>
                <c:pt idx="8">
                  <c:v>16.57</c:v>
                </c:pt>
                <c:pt idx="9">
                  <c:v>10.87</c:v>
                </c:pt>
                <c:pt idx="10">
                  <c:v>1.4</c:v>
                </c:pt>
                <c:pt idx="11">
                  <c:v>-1.78</c:v>
                </c:pt>
              </c:numCache>
            </c:numRef>
          </c:val>
          <c:smooth val="0"/>
          <c:extLst>
            <c:ext xmlns:c16="http://schemas.microsoft.com/office/drawing/2014/chart" uri="{C3380CC4-5D6E-409C-BE32-E72D297353CC}">
              <c16:uniqueId val="{00000004-5AD7-41EC-9745-F2ABE2628D8C}"/>
            </c:ext>
          </c:extLst>
        </c:ser>
        <c:ser>
          <c:idx val="5"/>
          <c:order val="5"/>
          <c:tx>
            <c:strRef>
              <c:f>'Inputs - Weather'!$K$47</c:f>
              <c:strCache>
                <c:ptCount val="1"/>
                <c:pt idx="0">
                  <c:v>2016</c:v>
                </c:pt>
              </c:strCache>
            </c:strRef>
          </c:tx>
          <c:spPr>
            <a:ln w="25400">
              <a:solidFill>
                <a:srgbClr val="7030A0"/>
              </a:solidFill>
            </a:ln>
          </c:spPr>
          <c:marker>
            <c:symbol val="none"/>
          </c:marker>
          <c:val>
            <c:numRef>
              <c:f>'Inputs - Weather'!$K$49:$K$60</c:f>
              <c:numCache>
                <c:formatCode>General</c:formatCode>
                <c:ptCount val="12"/>
                <c:pt idx="0">
                  <c:v>-8.2799999999999994</c:v>
                </c:pt>
                <c:pt idx="1">
                  <c:v>-13.02</c:v>
                </c:pt>
                <c:pt idx="2">
                  <c:v>-3.52</c:v>
                </c:pt>
                <c:pt idx="3">
                  <c:v>6.08</c:v>
                </c:pt>
                <c:pt idx="4">
                  <c:v>16.079999999999998</c:v>
                </c:pt>
                <c:pt idx="5">
                  <c:v>17.399999999999999</c:v>
                </c:pt>
                <c:pt idx="6">
                  <c:v>21.29</c:v>
                </c:pt>
                <c:pt idx="7">
                  <c:v>21.81</c:v>
                </c:pt>
                <c:pt idx="8">
                  <c:v>19.09</c:v>
                </c:pt>
                <c:pt idx="9">
                  <c:v>9.02</c:v>
                </c:pt>
                <c:pt idx="10">
                  <c:v>5.62</c:v>
                </c:pt>
                <c:pt idx="11">
                  <c:v>3.68</c:v>
                </c:pt>
              </c:numCache>
            </c:numRef>
          </c:val>
          <c:smooth val="0"/>
          <c:extLst>
            <c:ext xmlns:c16="http://schemas.microsoft.com/office/drawing/2014/chart" uri="{C3380CC4-5D6E-409C-BE32-E72D297353CC}">
              <c16:uniqueId val="{00000005-5AD7-41EC-9745-F2ABE2628D8C}"/>
            </c:ext>
          </c:extLst>
        </c:ser>
        <c:dLbls>
          <c:showLegendKey val="0"/>
          <c:showVal val="0"/>
          <c:showCatName val="0"/>
          <c:showSerName val="0"/>
          <c:showPercent val="0"/>
          <c:showBubbleSize val="0"/>
        </c:dLbls>
        <c:smooth val="0"/>
        <c:axId val="424487240"/>
        <c:axId val="398259632"/>
      </c:lineChart>
      <c:catAx>
        <c:axId val="424487240"/>
        <c:scaling>
          <c:orientation val="minMax"/>
        </c:scaling>
        <c:delete val="0"/>
        <c:axPos val="b"/>
        <c:title>
          <c:tx>
            <c:rich>
              <a:bodyPr/>
              <a:lstStyle/>
              <a:p>
                <a:pPr>
                  <a:defRPr b="0"/>
                </a:pPr>
                <a:r>
                  <a:rPr lang="en-US" b="0"/>
                  <a:t>Month</a:t>
                </a:r>
              </a:p>
            </c:rich>
          </c:tx>
          <c:overlay val="0"/>
        </c:title>
        <c:majorTickMark val="out"/>
        <c:minorTickMark val="none"/>
        <c:tickLblPos val="nextTo"/>
        <c:crossAx val="398259632"/>
        <c:crosses val="autoZero"/>
        <c:auto val="1"/>
        <c:lblAlgn val="ctr"/>
        <c:lblOffset val="100"/>
        <c:noMultiLvlLbl val="0"/>
      </c:catAx>
      <c:valAx>
        <c:axId val="398259632"/>
        <c:scaling>
          <c:orientation val="minMax"/>
        </c:scaling>
        <c:delete val="0"/>
        <c:axPos val="l"/>
        <c:title>
          <c:tx>
            <c:rich>
              <a:bodyPr rot="-5400000" vert="horz"/>
              <a:lstStyle/>
              <a:p>
                <a:pPr>
                  <a:defRPr b="0"/>
                </a:pPr>
                <a:r>
                  <a:rPr lang="en-US" b="0"/>
                  <a:t>Average</a:t>
                </a:r>
                <a:r>
                  <a:rPr lang="en-US" b="0" baseline="0"/>
                  <a:t> air temperature (ºC)</a:t>
                </a:r>
                <a:endParaRPr lang="en-US" b="0"/>
              </a:p>
            </c:rich>
          </c:tx>
          <c:layout>
            <c:manualLayout>
              <c:xMode val="edge"/>
              <c:yMode val="edge"/>
              <c:x val="3.951502616713138E-2"/>
              <c:y val="8.5091161263704928E-3"/>
            </c:manualLayout>
          </c:layout>
          <c:overlay val="0"/>
        </c:title>
        <c:numFmt formatCode="0" sourceLinked="0"/>
        <c:majorTickMark val="out"/>
        <c:minorTickMark val="none"/>
        <c:tickLblPos val="nextTo"/>
        <c:crossAx val="424487240"/>
        <c:crosses val="autoZero"/>
        <c:crossBetween val="between"/>
      </c:valAx>
      <c:spPr>
        <a:solidFill>
          <a:schemeClr val="accent5">
            <a:lumMod val="20000"/>
            <a:lumOff val="80000"/>
          </a:schemeClr>
        </a:solidFill>
        <a:ln>
          <a:solidFill>
            <a:schemeClr val="tx2">
              <a:lumMod val="60000"/>
              <a:lumOff val="40000"/>
            </a:schemeClr>
          </a:solidFill>
        </a:ln>
      </c:spPr>
    </c:plotArea>
    <c:legend>
      <c:legendPos val="b"/>
      <c:layout>
        <c:manualLayout>
          <c:xMode val="edge"/>
          <c:yMode val="edge"/>
          <c:x val="0.12783831628322034"/>
          <c:y val="0.85569571362108177"/>
          <c:w val="0.82603440305275144"/>
          <c:h val="0.14430428637891837"/>
        </c:manualLayout>
      </c:layout>
      <c:overlay val="0"/>
      <c:txPr>
        <a:bodyPr/>
        <a:lstStyle/>
        <a:p>
          <a:pPr>
            <a:defRPr sz="1000"/>
          </a:pPr>
          <a:endParaRPr lang="en-US"/>
        </a:p>
      </c:txPr>
    </c:legend>
    <c:plotVisOnly val="1"/>
    <c:dispBlanksAs val="gap"/>
    <c:showDLblsOverMax val="0"/>
  </c:chart>
  <c:spPr>
    <a:solidFill>
      <a:schemeClr val="accent5">
        <a:lumMod val="60000"/>
        <a:lumOff val="40000"/>
      </a:schemeClr>
    </a:solidFill>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556096189333563"/>
          <c:y val="0.13297710427705969"/>
          <c:w val="0.79810784871959617"/>
          <c:h val="0.67556645042011254"/>
        </c:manualLayout>
      </c:layout>
      <c:lineChart>
        <c:grouping val="standard"/>
        <c:varyColors val="0"/>
        <c:ser>
          <c:idx val="0"/>
          <c:order val="0"/>
          <c:tx>
            <c:v>DPM</c:v>
          </c:tx>
          <c:spPr>
            <a:ln w="38100">
              <a:solidFill>
                <a:srgbClr val="92D050"/>
              </a:solidFill>
            </a:ln>
          </c:spPr>
          <c:marker>
            <c:symbol val="none"/>
          </c:marker>
          <c:cat>
            <c:numRef>
              <c:f>'Simulation of changes in soil C'!$C$19:$C$162</c:f>
              <c:numCache>
                <c:formatCode>General</c:formatCode>
                <c:ptCount val="144"/>
                <c:pt idx="0">
                  <c:v>-6</c:v>
                </c:pt>
                <c:pt idx="1">
                  <c:v>-6</c:v>
                </c:pt>
                <c:pt idx="2">
                  <c:v>-6</c:v>
                </c:pt>
                <c:pt idx="3">
                  <c:v>-6</c:v>
                </c:pt>
                <c:pt idx="4">
                  <c:v>-6</c:v>
                </c:pt>
                <c:pt idx="5">
                  <c:v>-6</c:v>
                </c:pt>
                <c:pt idx="6">
                  <c:v>-6</c:v>
                </c:pt>
                <c:pt idx="7">
                  <c:v>-6</c:v>
                </c:pt>
                <c:pt idx="8">
                  <c:v>-6</c:v>
                </c:pt>
                <c:pt idx="9">
                  <c:v>-6</c:v>
                </c:pt>
                <c:pt idx="10">
                  <c:v>-6</c:v>
                </c:pt>
                <c:pt idx="11">
                  <c:v>-6</c:v>
                </c:pt>
                <c:pt idx="12">
                  <c:v>-5</c:v>
                </c:pt>
                <c:pt idx="13">
                  <c:v>-5</c:v>
                </c:pt>
                <c:pt idx="14">
                  <c:v>-5</c:v>
                </c:pt>
                <c:pt idx="15">
                  <c:v>-5</c:v>
                </c:pt>
                <c:pt idx="16">
                  <c:v>-5</c:v>
                </c:pt>
                <c:pt idx="17">
                  <c:v>-5</c:v>
                </c:pt>
                <c:pt idx="18">
                  <c:v>-5</c:v>
                </c:pt>
                <c:pt idx="19">
                  <c:v>-5</c:v>
                </c:pt>
                <c:pt idx="20">
                  <c:v>-5</c:v>
                </c:pt>
                <c:pt idx="21">
                  <c:v>-5</c:v>
                </c:pt>
                <c:pt idx="22">
                  <c:v>-5</c:v>
                </c:pt>
                <c:pt idx="23">
                  <c:v>-5</c:v>
                </c:pt>
                <c:pt idx="24">
                  <c:v>-4</c:v>
                </c:pt>
                <c:pt idx="25">
                  <c:v>-4</c:v>
                </c:pt>
                <c:pt idx="26">
                  <c:v>-4</c:v>
                </c:pt>
                <c:pt idx="27">
                  <c:v>-4</c:v>
                </c:pt>
                <c:pt idx="28">
                  <c:v>-4</c:v>
                </c:pt>
                <c:pt idx="29">
                  <c:v>-4</c:v>
                </c:pt>
                <c:pt idx="30">
                  <c:v>-4</c:v>
                </c:pt>
                <c:pt idx="31">
                  <c:v>-4</c:v>
                </c:pt>
                <c:pt idx="32">
                  <c:v>-4</c:v>
                </c:pt>
                <c:pt idx="33">
                  <c:v>-4</c:v>
                </c:pt>
                <c:pt idx="34">
                  <c:v>-4</c:v>
                </c:pt>
                <c:pt idx="35">
                  <c:v>-4</c:v>
                </c:pt>
                <c:pt idx="36">
                  <c:v>-3</c:v>
                </c:pt>
                <c:pt idx="37">
                  <c:v>-3</c:v>
                </c:pt>
                <c:pt idx="38">
                  <c:v>-3</c:v>
                </c:pt>
                <c:pt idx="39">
                  <c:v>-3</c:v>
                </c:pt>
                <c:pt idx="40">
                  <c:v>-3</c:v>
                </c:pt>
                <c:pt idx="41">
                  <c:v>-3</c:v>
                </c:pt>
                <c:pt idx="42">
                  <c:v>-3</c:v>
                </c:pt>
                <c:pt idx="43">
                  <c:v>-3</c:v>
                </c:pt>
                <c:pt idx="44">
                  <c:v>-3</c:v>
                </c:pt>
                <c:pt idx="45">
                  <c:v>-3</c:v>
                </c:pt>
                <c:pt idx="46">
                  <c:v>-3</c:v>
                </c:pt>
                <c:pt idx="47">
                  <c:v>-3</c:v>
                </c:pt>
                <c:pt idx="48">
                  <c:v>-2</c:v>
                </c:pt>
                <c:pt idx="49">
                  <c:v>-2</c:v>
                </c:pt>
                <c:pt idx="50">
                  <c:v>-2</c:v>
                </c:pt>
                <c:pt idx="51">
                  <c:v>-2</c:v>
                </c:pt>
                <c:pt idx="52">
                  <c:v>-2</c:v>
                </c:pt>
                <c:pt idx="53">
                  <c:v>-2</c:v>
                </c:pt>
                <c:pt idx="54">
                  <c:v>-2</c:v>
                </c:pt>
                <c:pt idx="55">
                  <c:v>-2</c:v>
                </c:pt>
                <c:pt idx="56">
                  <c:v>-2</c:v>
                </c:pt>
                <c:pt idx="57">
                  <c:v>-2</c:v>
                </c:pt>
                <c:pt idx="58">
                  <c:v>-2</c:v>
                </c:pt>
                <c:pt idx="59">
                  <c:v>-2</c:v>
                </c:pt>
                <c:pt idx="60">
                  <c:v>-1</c:v>
                </c:pt>
                <c:pt idx="61">
                  <c:v>-1</c:v>
                </c:pt>
                <c:pt idx="62">
                  <c:v>-1</c:v>
                </c:pt>
                <c:pt idx="63">
                  <c:v>-1</c:v>
                </c:pt>
                <c:pt idx="64">
                  <c:v>-1</c:v>
                </c:pt>
                <c:pt idx="65">
                  <c:v>-1</c:v>
                </c:pt>
                <c:pt idx="66">
                  <c:v>-1</c:v>
                </c:pt>
                <c:pt idx="67">
                  <c:v>-1</c:v>
                </c:pt>
                <c:pt idx="68">
                  <c:v>-1</c:v>
                </c:pt>
                <c:pt idx="69">
                  <c:v>-1</c:v>
                </c:pt>
                <c:pt idx="70">
                  <c:v>-1</c:v>
                </c:pt>
                <c:pt idx="71">
                  <c:v>-1</c:v>
                </c:pt>
                <c:pt idx="72">
                  <c:v>0</c:v>
                </c:pt>
                <c:pt idx="73">
                  <c:v>0</c:v>
                </c:pt>
                <c:pt idx="74">
                  <c:v>0</c:v>
                </c:pt>
                <c:pt idx="75">
                  <c:v>0</c:v>
                </c:pt>
                <c:pt idx="76">
                  <c:v>0</c:v>
                </c:pt>
                <c:pt idx="77">
                  <c:v>0</c:v>
                </c:pt>
                <c:pt idx="78">
                  <c:v>0</c:v>
                </c:pt>
                <c:pt idx="79">
                  <c:v>0</c:v>
                </c:pt>
                <c:pt idx="80">
                  <c:v>0</c:v>
                </c:pt>
                <c:pt idx="81">
                  <c:v>0</c:v>
                </c:pt>
                <c:pt idx="82">
                  <c:v>0</c:v>
                </c:pt>
                <c:pt idx="83">
                  <c:v>0</c:v>
                </c:pt>
                <c:pt idx="84">
                  <c:v>1</c:v>
                </c:pt>
                <c:pt idx="85">
                  <c:v>1</c:v>
                </c:pt>
                <c:pt idx="86">
                  <c:v>1</c:v>
                </c:pt>
                <c:pt idx="87">
                  <c:v>1</c:v>
                </c:pt>
                <c:pt idx="88">
                  <c:v>1</c:v>
                </c:pt>
                <c:pt idx="89">
                  <c:v>1</c:v>
                </c:pt>
                <c:pt idx="90">
                  <c:v>1</c:v>
                </c:pt>
                <c:pt idx="91">
                  <c:v>1</c:v>
                </c:pt>
                <c:pt idx="92">
                  <c:v>1</c:v>
                </c:pt>
                <c:pt idx="93">
                  <c:v>1</c:v>
                </c:pt>
                <c:pt idx="94">
                  <c:v>1</c:v>
                </c:pt>
                <c:pt idx="95">
                  <c:v>1</c:v>
                </c:pt>
                <c:pt idx="96">
                  <c:v>2</c:v>
                </c:pt>
                <c:pt idx="97">
                  <c:v>2</c:v>
                </c:pt>
                <c:pt idx="98">
                  <c:v>2</c:v>
                </c:pt>
                <c:pt idx="99">
                  <c:v>2</c:v>
                </c:pt>
                <c:pt idx="100">
                  <c:v>2</c:v>
                </c:pt>
                <c:pt idx="101">
                  <c:v>2</c:v>
                </c:pt>
                <c:pt idx="102">
                  <c:v>2</c:v>
                </c:pt>
                <c:pt idx="103">
                  <c:v>2</c:v>
                </c:pt>
                <c:pt idx="104">
                  <c:v>2</c:v>
                </c:pt>
                <c:pt idx="105">
                  <c:v>2</c:v>
                </c:pt>
                <c:pt idx="106">
                  <c:v>2</c:v>
                </c:pt>
                <c:pt idx="107">
                  <c:v>2</c:v>
                </c:pt>
                <c:pt idx="108">
                  <c:v>3</c:v>
                </c:pt>
                <c:pt idx="109">
                  <c:v>3</c:v>
                </c:pt>
                <c:pt idx="110">
                  <c:v>3</c:v>
                </c:pt>
                <c:pt idx="111">
                  <c:v>3</c:v>
                </c:pt>
                <c:pt idx="112">
                  <c:v>3</c:v>
                </c:pt>
                <c:pt idx="113">
                  <c:v>3</c:v>
                </c:pt>
                <c:pt idx="114">
                  <c:v>3</c:v>
                </c:pt>
                <c:pt idx="115">
                  <c:v>3</c:v>
                </c:pt>
                <c:pt idx="116">
                  <c:v>3</c:v>
                </c:pt>
                <c:pt idx="117">
                  <c:v>3</c:v>
                </c:pt>
                <c:pt idx="118">
                  <c:v>3</c:v>
                </c:pt>
                <c:pt idx="119">
                  <c:v>3</c:v>
                </c:pt>
                <c:pt idx="120">
                  <c:v>4</c:v>
                </c:pt>
                <c:pt idx="121">
                  <c:v>4</c:v>
                </c:pt>
                <c:pt idx="122">
                  <c:v>4</c:v>
                </c:pt>
                <c:pt idx="123">
                  <c:v>4</c:v>
                </c:pt>
                <c:pt idx="124">
                  <c:v>4</c:v>
                </c:pt>
                <c:pt idx="125">
                  <c:v>4</c:v>
                </c:pt>
                <c:pt idx="126">
                  <c:v>4</c:v>
                </c:pt>
                <c:pt idx="127">
                  <c:v>4</c:v>
                </c:pt>
                <c:pt idx="128">
                  <c:v>4</c:v>
                </c:pt>
                <c:pt idx="129">
                  <c:v>4</c:v>
                </c:pt>
                <c:pt idx="130">
                  <c:v>4</c:v>
                </c:pt>
                <c:pt idx="131">
                  <c:v>4</c:v>
                </c:pt>
                <c:pt idx="132">
                  <c:v>5</c:v>
                </c:pt>
                <c:pt idx="133">
                  <c:v>5</c:v>
                </c:pt>
                <c:pt idx="134">
                  <c:v>5</c:v>
                </c:pt>
                <c:pt idx="135">
                  <c:v>5</c:v>
                </c:pt>
                <c:pt idx="136">
                  <c:v>5</c:v>
                </c:pt>
                <c:pt idx="137">
                  <c:v>5</c:v>
                </c:pt>
                <c:pt idx="138">
                  <c:v>5</c:v>
                </c:pt>
                <c:pt idx="139">
                  <c:v>5</c:v>
                </c:pt>
                <c:pt idx="140">
                  <c:v>5</c:v>
                </c:pt>
                <c:pt idx="141">
                  <c:v>5</c:v>
                </c:pt>
                <c:pt idx="142">
                  <c:v>5</c:v>
                </c:pt>
                <c:pt idx="143">
                  <c:v>5</c:v>
                </c:pt>
              </c:numCache>
            </c:numRef>
          </c:cat>
          <c:val>
            <c:numRef>
              <c:f>'Simulation of changes in soil C'!$R$19:$R$162</c:f>
              <c:numCache>
                <c:formatCode>0.00</c:formatCode>
                <c:ptCount val="144"/>
                <c:pt idx="0">
                  <c:v>0.17230800073270203</c:v>
                </c:pt>
                <c:pt idx="1">
                  <c:v>0.21747415725181166</c:v>
                </c:pt>
                <c:pt idx="2">
                  <c:v>0.26533863193247953</c:v>
                </c:pt>
                <c:pt idx="3">
                  <c:v>0.29610312107642428</c:v>
                </c:pt>
                <c:pt idx="4">
                  <c:v>0.24533636517640528</c:v>
                </c:pt>
                <c:pt idx="5">
                  <c:v>0.15680302210319566</c:v>
                </c:pt>
                <c:pt idx="6">
                  <c:v>8.9012346686511076E-2</c:v>
                </c:pt>
                <c:pt idx="7">
                  <c:v>7.8742477644531045E-2</c:v>
                </c:pt>
                <c:pt idx="8">
                  <c:v>7.9759363498844368E-2</c:v>
                </c:pt>
                <c:pt idx="9">
                  <c:v>9.0248576101642317E-2</c:v>
                </c:pt>
                <c:pt idx="10">
                  <c:v>0.10253833727862847</c:v>
                </c:pt>
                <c:pt idx="11">
                  <c:v>0.12412401211051438</c:v>
                </c:pt>
                <c:pt idx="12">
                  <c:v>0.1618490498516994</c:v>
                </c:pt>
                <c:pt idx="13">
                  <c:v>0.21006985922862487</c:v>
                </c:pt>
                <c:pt idx="14">
                  <c:v>0.26064918955978705</c:v>
                </c:pt>
                <c:pt idx="15">
                  <c:v>0.3009708703157698</c:v>
                </c:pt>
                <c:pt idx="16">
                  <c:v>0.28089816768666154</c:v>
                </c:pt>
                <c:pt idx="17">
                  <c:v>0.1567756473684713</c:v>
                </c:pt>
                <c:pt idx="18">
                  <c:v>0.11442949901601336</c:v>
                </c:pt>
                <c:pt idx="19">
                  <c:v>9.0870915158996368E-2</c:v>
                </c:pt>
                <c:pt idx="20">
                  <c:v>8.0946446796078445E-2</c:v>
                </c:pt>
                <c:pt idx="21">
                  <c:v>8.4869610381733976E-2</c:v>
                </c:pt>
                <c:pt idx="22">
                  <c:v>8.5741878103290009E-2</c:v>
                </c:pt>
                <c:pt idx="23">
                  <c:v>0.124267249299049</c:v>
                </c:pt>
                <c:pt idx="24">
                  <c:v>0.17298187099559528</c:v>
                </c:pt>
                <c:pt idx="25">
                  <c:v>0.22116841013345434</c:v>
                </c:pt>
                <c:pt idx="26">
                  <c:v>0.26925782913687063</c:v>
                </c:pt>
                <c:pt idx="27">
                  <c:v>0.3030038721466648</c:v>
                </c:pt>
                <c:pt idx="28">
                  <c:v>0.24163606349094729</c:v>
                </c:pt>
                <c:pt idx="29">
                  <c:v>0.192916431201755</c:v>
                </c:pt>
                <c:pt idx="30">
                  <c:v>0.11425562705856698</c:v>
                </c:pt>
                <c:pt idx="31">
                  <c:v>6.9597565469843706E-2</c:v>
                </c:pt>
                <c:pt idx="32">
                  <c:v>6.8673657304415867E-2</c:v>
                </c:pt>
                <c:pt idx="33">
                  <c:v>7.0879284669061016E-2</c:v>
                </c:pt>
                <c:pt idx="34">
                  <c:v>9.2892942629224887E-2</c:v>
                </c:pt>
                <c:pt idx="35">
                  <c:v>0.12892035287804934</c:v>
                </c:pt>
                <c:pt idx="36">
                  <c:v>0.17630078899206086</c:v>
                </c:pt>
                <c:pt idx="37">
                  <c:v>0.22697508101737227</c:v>
                </c:pt>
                <c:pt idx="38">
                  <c:v>0.27458364676241886</c:v>
                </c:pt>
                <c:pt idx="39">
                  <c:v>0.3011639132490298</c:v>
                </c:pt>
                <c:pt idx="40">
                  <c:v>0.24477601983243341</c:v>
                </c:pt>
                <c:pt idx="41">
                  <c:v>0.14915022997399408</c:v>
                </c:pt>
                <c:pt idx="42">
                  <c:v>9.2089870438380017E-2</c:v>
                </c:pt>
                <c:pt idx="43">
                  <c:v>7.1337245587043602E-2</c:v>
                </c:pt>
                <c:pt idx="44">
                  <c:v>7.5359749237173312E-2</c:v>
                </c:pt>
                <c:pt idx="45">
                  <c:v>8.8710853998885758E-2</c:v>
                </c:pt>
                <c:pt idx="46">
                  <c:v>0.10552785254758845</c:v>
                </c:pt>
                <c:pt idx="47">
                  <c:v>0.12717044181096376</c:v>
                </c:pt>
                <c:pt idx="48">
                  <c:v>0.17574271009266287</c:v>
                </c:pt>
                <c:pt idx="49">
                  <c:v>0.22565952441268367</c:v>
                </c:pt>
                <c:pt idx="50">
                  <c:v>0.27316814119274491</c:v>
                </c:pt>
                <c:pt idx="51">
                  <c:v>0.27615393133766752</c:v>
                </c:pt>
                <c:pt idx="52">
                  <c:v>0.20945293128634812</c:v>
                </c:pt>
                <c:pt idx="53">
                  <c:v>0.15555645698319925</c:v>
                </c:pt>
                <c:pt idx="54">
                  <c:v>0.11024777229552352</c:v>
                </c:pt>
                <c:pt idx="55">
                  <c:v>8.2348746147600849E-2</c:v>
                </c:pt>
                <c:pt idx="56">
                  <c:v>7.7574725071755724E-2</c:v>
                </c:pt>
                <c:pt idx="57">
                  <c:v>8.2446311660186733E-2</c:v>
                </c:pt>
                <c:pt idx="58">
                  <c:v>9.6635118081117424E-2</c:v>
                </c:pt>
                <c:pt idx="59">
                  <c:v>0.13128872078155016</c:v>
                </c:pt>
                <c:pt idx="60">
                  <c:v>0.18038441585145359</c:v>
                </c:pt>
                <c:pt idx="61">
                  <c:v>0.23091962580492631</c:v>
                </c:pt>
                <c:pt idx="62">
                  <c:v>0.28097470769947036</c:v>
                </c:pt>
                <c:pt idx="63">
                  <c:v>0.31314797425546376</c:v>
                </c:pt>
                <c:pt idx="64">
                  <c:v>0.25667978571049621</c:v>
                </c:pt>
                <c:pt idx="65">
                  <c:v>0.14567604506103826</c:v>
                </c:pt>
                <c:pt idx="66">
                  <c:v>8.6792535177871166E-2</c:v>
                </c:pt>
                <c:pt idx="67">
                  <c:v>7.8139866012381307E-2</c:v>
                </c:pt>
                <c:pt idx="68">
                  <c:v>6.5619079760484172E-2</c:v>
                </c:pt>
                <c:pt idx="69">
                  <c:v>6.7990792776804365E-2</c:v>
                </c:pt>
                <c:pt idx="70">
                  <c:v>8.8072108162544335E-2</c:v>
                </c:pt>
                <c:pt idx="71">
                  <c:v>0.11429430379939746</c:v>
                </c:pt>
                <c:pt idx="72">
                  <c:v>0.16498992137003876</c:v>
                </c:pt>
                <c:pt idx="73">
                  <c:v>0.21568553894068004</c:v>
                </c:pt>
                <c:pt idx="74">
                  <c:v>0.26638115651132133</c:v>
                </c:pt>
                <c:pt idx="75">
                  <c:v>0.31707677408196261</c:v>
                </c:pt>
                <c:pt idx="76">
                  <c:v>0.36777239165260389</c:v>
                </c:pt>
                <c:pt idx="77">
                  <c:v>0.41846800922324517</c:v>
                </c:pt>
                <c:pt idx="78">
                  <c:v>0.46916362679388646</c:v>
                </c:pt>
                <c:pt idx="79">
                  <c:v>0.51985924436452779</c:v>
                </c:pt>
                <c:pt idx="80">
                  <c:v>0.57055486193516902</c:v>
                </c:pt>
                <c:pt idx="81">
                  <c:v>0.62125047950581025</c:v>
                </c:pt>
                <c:pt idx="82">
                  <c:v>0.67194609707645148</c:v>
                </c:pt>
                <c:pt idx="83">
                  <c:v>0.7226417146470927</c:v>
                </c:pt>
                <c:pt idx="84">
                  <c:v>0.77333733221773393</c:v>
                </c:pt>
                <c:pt idx="85">
                  <c:v>0.82403294978837516</c:v>
                </c:pt>
                <c:pt idx="86">
                  <c:v>0.87472856735901638</c:v>
                </c:pt>
                <c:pt idx="87">
                  <c:v>0.86776052651776447</c:v>
                </c:pt>
                <c:pt idx="88">
                  <c:v>0.69906064837338233</c:v>
                </c:pt>
                <c:pt idx="89">
                  <c:v>0.42433432190259796</c:v>
                </c:pt>
                <c:pt idx="90">
                  <c:v>0.22685329573814952</c:v>
                </c:pt>
                <c:pt idx="91">
                  <c:v>0.1224278027788071</c:v>
                </c:pt>
                <c:pt idx="92">
                  <c:v>9.3829176345068224E-2</c:v>
                </c:pt>
                <c:pt idx="93">
                  <c:v>9.1192993248716103E-2</c:v>
                </c:pt>
                <c:pt idx="94">
                  <c:v>0.11324476935652934</c:v>
                </c:pt>
                <c:pt idx="95">
                  <c:v>0.14293662576830563</c:v>
                </c:pt>
                <c:pt idx="96">
                  <c:v>0.18737840082128318</c:v>
                </c:pt>
                <c:pt idx="97">
                  <c:v>0.23555312351797764</c:v>
                </c:pt>
                <c:pt idx="98">
                  <c:v>0.27946216304804922</c:v>
                </c:pt>
                <c:pt idx="99">
                  <c:v>0.28680487764491491</c:v>
                </c:pt>
                <c:pt idx="100">
                  <c:v>0.26614143624168335</c:v>
                </c:pt>
                <c:pt idx="101">
                  <c:v>0.18042381489095621</c:v>
                </c:pt>
                <c:pt idx="102">
                  <c:v>0.12640782630890318</c:v>
                </c:pt>
                <c:pt idx="103">
                  <c:v>8.7666489854628313E-2</c:v>
                </c:pt>
                <c:pt idx="104">
                  <c:v>7.8671957887761074E-2</c:v>
                </c:pt>
                <c:pt idx="105">
                  <c:v>8.7492868853830813E-2</c:v>
                </c:pt>
                <c:pt idx="106">
                  <c:v>0.1058631383403367</c:v>
                </c:pt>
                <c:pt idx="107">
                  <c:v>0.14771225162383803</c:v>
                </c:pt>
                <c:pt idx="108">
                  <c:v>0.19229711364799162</c:v>
                </c:pt>
                <c:pt idx="109">
                  <c:v>0.24189857611929796</c:v>
                </c:pt>
                <c:pt idx="110">
                  <c:v>0.29064789318087775</c:v>
                </c:pt>
                <c:pt idx="111">
                  <c:v>0.3300648472346624</c:v>
                </c:pt>
                <c:pt idx="112">
                  <c:v>0.31475463820328053</c:v>
                </c:pt>
                <c:pt idx="113">
                  <c:v>0.22380692462189664</c:v>
                </c:pt>
                <c:pt idx="114">
                  <c:v>0.14106456705065096</c:v>
                </c:pt>
                <c:pt idx="115">
                  <c:v>9.2782748137746326E-2</c:v>
                </c:pt>
                <c:pt idx="116">
                  <c:v>8.5778913305881332E-2</c:v>
                </c:pt>
                <c:pt idx="117">
                  <c:v>9.2937062743444071E-2</c:v>
                </c:pt>
                <c:pt idx="118">
                  <c:v>0.11241607435632128</c:v>
                </c:pt>
                <c:pt idx="119">
                  <c:v>0.1541821039182151</c:v>
                </c:pt>
                <c:pt idx="120">
                  <c:v>0.20294858377436614</c:v>
                </c:pt>
                <c:pt idx="121">
                  <c:v>0.25342608802606303</c:v>
                </c:pt>
                <c:pt idx="122">
                  <c:v>0.3039024580257868</c:v>
                </c:pt>
                <c:pt idx="123">
                  <c:v>0.35103176345434745</c:v>
                </c:pt>
                <c:pt idx="124">
                  <c:v>0.33479433559698885</c:v>
                </c:pt>
                <c:pt idx="125">
                  <c:v>0.23795084525106483</c:v>
                </c:pt>
                <c:pt idx="126">
                  <c:v>0.145413257703155</c:v>
                </c:pt>
                <c:pt idx="127">
                  <c:v>0.10006410362197134</c:v>
                </c:pt>
                <c:pt idx="128">
                  <c:v>8.8402074621467208E-2</c:v>
                </c:pt>
                <c:pt idx="129">
                  <c:v>9.0951496323402908E-2</c:v>
                </c:pt>
                <c:pt idx="130">
                  <c:v>0.109113193310061</c:v>
                </c:pt>
                <c:pt idx="131">
                  <c:v>0.15113449723871875</c:v>
                </c:pt>
                <c:pt idx="132">
                  <c:v>0.19690094586508131</c:v>
                </c:pt>
                <c:pt idx="133">
                  <c:v>0.24751105457141476</c:v>
                </c:pt>
                <c:pt idx="134">
                  <c:v>0.29820666492957987</c:v>
                </c:pt>
                <c:pt idx="135">
                  <c:v>0.34465453726474204</c:v>
                </c:pt>
                <c:pt idx="136">
                  <c:v>0.32750127704265419</c:v>
                </c:pt>
                <c:pt idx="137">
                  <c:v>0.2046757129297283</c:v>
                </c:pt>
                <c:pt idx="138">
                  <c:v>0.13891737628664508</c:v>
                </c:pt>
                <c:pt idx="139">
                  <c:v>9.6520329540075167E-2</c:v>
                </c:pt>
                <c:pt idx="140">
                  <c:v>8.1388845465159343E-2</c:v>
                </c:pt>
                <c:pt idx="141">
                  <c:v>8.1982584167877542E-2</c:v>
                </c:pt>
                <c:pt idx="142">
                  <c:v>0.10859173623068011</c:v>
                </c:pt>
                <c:pt idx="143">
                  <c:v>0.1394434363103067</c:v>
                </c:pt>
              </c:numCache>
            </c:numRef>
          </c:val>
          <c:smooth val="0"/>
          <c:extLst>
            <c:ext xmlns:c16="http://schemas.microsoft.com/office/drawing/2014/chart" uri="{C3380CC4-5D6E-409C-BE32-E72D297353CC}">
              <c16:uniqueId val="{00000000-6BDE-43B9-8FEA-38DF89399481}"/>
            </c:ext>
          </c:extLst>
        </c:ser>
        <c:ser>
          <c:idx val="1"/>
          <c:order val="1"/>
          <c:tx>
            <c:v>RPM</c:v>
          </c:tx>
          <c:spPr>
            <a:ln w="38100">
              <a:solidFill>
                <a:schemeClr val="accent6">
                  <a:lumMod val="50000"/>
                </a:schemeClr>
              </a:solidFill>
            </a:ln>
          </c:spPr>
          <c:marker>
            <c:symbol val="none"/>
          </c:marker>
          <c:cat>
            <c:numRef>
              <c:f>'Simulation of changes in soil C'!$C$19:$C$162</c:f>
              <c:numCache>
                <c:formatCode>General</c:formatCode>
                <c:ptCount val="144"/>
                <c:pt idx="0">
                  <c:v>-6</c:v>
                </c:pt>
                <c:pt idx="1">
                  <c:v>-6</c:v>
                </c:pt>
                <c:pt idx="2">
                  <c:v>-6</c:v>
                </c:pt>
                <c:pt idx="3">
                  <c:v>-6</c:v>
                </c:pt>
                <c:pt idx="4">
                  <c:v>-6</c:v>
                </c:pt>
                <c:pt idx="5">
                  <c:v>-6</c:v>
                </c:pt>
                <c:pt idx="6">
                  <c:v>-6</c:v>
                </c:pt>
                <c:pt idx="7">
                  <c:v>-6</c:v>
                </c:pt>
                <c:pt idx="8">
                  <c:v>-6</c:v>
                </c:pt>
                <c:pt idx="9">
                  <c:v>-6</c:v>
                </c:pt>
                <c:pt idx="10">
                  <c:v>-6</c:v>
                </c:pt>
                <c:pt idx="11">
                  <c:v>-6</c:v>
                </c:pt>
                <c:pt idx="12">
                  <c:v>-5</c:v>
                </c:pt>
                <c:pt idx="13">
                  <c:v>-5</c:v>
                </c:pt>
                <c:pt idx="14">
                  <c:v>-5</c:v>
                </c:pt>
                <c:pt idx="15">
                  <c:v>-5</c:v>
                </c:pt>
                <c:pt idx="16">
                  <c:v>-5</c:v>
                </c:pt>
                <c:pt idx="17">
                  <c:v>-5</c:v>
                </c:pt>
                <c:pt idx="18">
                  <c:v>-5</c:v>
                </c:pt>
                <c:pt idx="19">
                  <c:v>-5</c:v>
                </c:pt>
                <c:pt idx="20">
                  <c:v>-5</c:v>
                </c:pt>
                <c:pt idx="21">
                  <c:v>-5</c:v>
                </c:pt>
                <c:pt idx="22">
                  <c:v>-5</c:v>
                </c:pt>
                <c:pt idx="23">
                  <c:v>-5</c:v>
                </c:pt>
                <c:pt idx="24">
                  <c:v>-4</c:v>
                </c:pt>
                <c:pt idx="25">
                  <c:v>-4</c:v>
                </c:pt>
                <c:pt idx="26">
                  <c:v>-4</c:v>
                </c:pt>
                <c:pt idx="27">
                  <c:v>-4</c:v>
                </c:pt>
                <c:pt idx="28">
                  <c:v>-4</c:v>
                </c:pt>
                <c:pt idx="29">
                  <c:v>-4</c:v>
                </c:pt>
                <c:pt idx="30">
                  <c:v>-4</c:v>
                </c:pt>
                <c:pt idx="31">
                  <c:v>-4</c:v>
                </c:pt>
                <c:pt idx="32">
                  <c:v>-4</c:v>
                </c:pt>
                <c:pt idx="33">
                  <c:v>-4</c:v>
                </c:pt>
                <c:pt idx="34">
                  <c:v>-4</c:v>
                </c:pt>
                <c:pt idx="35">
                  <c:v>-4</c:v>
                </c:pt>
                <c:pt idx="36">
                  <c:v>-3</c:v>
                </c:pt>
                <c:pt idx="37">
                  <c:v>-3</c:v>
                </c:pt>
                <c:pt idx="38">
                  <c:v>-3</c:v>
                </c:pt>
                <c:pt idx="39">
                  <c:v>-3</c:v>
                </c:pt>
                <c:pt idx="40">
                  <c:v>-3</c:v>
                </c:pt>
                <c:pt idx="41">
                  <c:v>-3</c:v>
                </c:pt>
                <c:pt idx="42">
                  <c:v>-3</c:v>
                </c:pt>
                <c:pt idx="43">
                  <c:v>-3</c:v>
                </c:pt>
                <c:pt idx="44">
                  <c:v>-3</c:v>
                </c:pt>
                <c:pt idx="45">
                  <c:v>-3</c:v>
                </c:pt>
                <c:pt idx="46">
                  <c:v>-3</c:v>
                </c:pt>
                <c:pt idx="47">
                  <c:v>-3</c:v>
                </c:pt>
                <c:pt idx="48">
                  <c:v>-2</c:v>
                </c:pt>
                <c:pt idx="49">
                  <c:v>-2</c:v>
                </c:pt>
                <c:pt idx="50">
                  <c:v>-2</c:v>
                </c:pt>
                <c:pt idx="51">
                  <c:v>-2</c:v>
                </c:pt>
                <c:pt idx="52">
                  <c:v>-2</c:v>
                </c:pt>
                <c:pt idx="53">
                  <c:v>-2</c:v>
                </c:pt>
                <c:pt idx="54">
                  <c:v>-2</c:v>
                </c:pt>
                <c:pt idx="55">
                  <c:v>-2</c:v>
                </c:pt>
                <c:pt idx="56">
                  <c:v>-2</c:v>
                </c:pt>
                <c:pt idx="57">
                  <c:v>-2</c:v>
                </c:pt>
                <c:pt idx="58">
                  <c:v>-2</c:v>
                </c:pt>
                <c:pt idx="59">
                  <c:v>-2</c:v>
                </c:pt>
                <c:pt idx="60">
                  <c:v>-1</c:v>
                </c:pt>
                <c:pt idx="61">
                  <c:v>-1</c:v>
                </c:pt>
                <c:pt idx="62">
                  <c:v>-1</c:v>
                </c:pt>
                <c:pt idx="63">
                  <c:v>-1</c:v>
                </c:pt>
                <c:pt idx="64">
                  <c:v>-1</c:v>
                </c:pt>
                <c:pt idx="65">
                  <c:v>-1</c:v>
                </c:pt>
                <c:pt idx="66">
                  <c:v>-1</c:v>
                </c:pt>
                <c:pt idx="67">
                  <c:v>-1</c:v>
                </c:pt>
                <c:pt idx="68">
                  <c:v>-1</c:v>
                </c:pt>
                <c:pt idx="69">
                  <c:v>-1</c:v>
                </c:pt>
                <c:pt idx="70">
                  <c:v>-1</c:v>
                </c:pt>
                <c:pt idx="71">
                  <c:v>-1</c:v>
                </c:pt>
                <c:pt idx="72">
                  <c:v>0</c:v>
                </c:pt>
                <c:pt idx="73">
                  <c:v>0</c:v>
                </c:pt>
                <c:pt idx="74">
                  <c:v>0</c:v>
                </c:pt>
                <c:pt idx="75">
                  <c:v>0</c:v>
                </c:pt>
                <c:pt idx="76">
                  <c:v>0</c:v>
                </c:pt>
                <c:pt idx="77">
                  <c:v>0</c:v>
                </c:pt>
                <c:pt idx="78">
                  <c:v>0</c:v>
                </c:pt>
                <c:pt idx="79">
                  <c:v>0</c:v>
                </c:pt>
                <c:pt idx="80">
                  <c:v>0</c:v>
                </c:pt>
                <c:pt idx="81">
                  <c:v>0</c:v>
                </c:pt>
                <c:pt idx="82">
                  <c:v>0</c:v>
                </c:pt>
                <c:pt idx="83">
                  <c:v>0</c:v>
                </c:pt>
                <c:pt idx="84">
                  <c:v>1</c:v>
                </c:pt>
                <c:pt idx="85">
                  <c:v>1</c:v>
                </c:pt>
                <c:pt idx="86">
                  <c:v>1</c:v>
                </c:pt>
                <c:pt idx="87">
                  <c:v>1</c:v>
                </c:pt>
                <c:pt idx="88">
                  <c:v>1</c:v>
                </c:pt>
                <c:pt idx="89">
                  <c:v>1</c:v>
                </c:pt>
                <c:pt idx="90">
                  <c:v>1</c:v>
                </c:pt>
                <c:pt idx="91">
                  <c:v>1</c:v>
                </c:pt>
                <c:pt idx="92">
                  <c:v>1</c:v>
                </c:pt>
                <c:pt idx="93">
                  <c:v>1</c:v>
                </c:pt>
                <c:pt idx="94">
                  <c:v>1</c:v>
                </c:pt>
                <c:pt idx="95">
                  <c:v>1</c:v>
                </c:pt>
                <c:pt idx="96">
                  <c:v>2</c:v>
                </c:pt>
                <c:pt idx="97">
                  <c:v>2</c:v>
                </c:pt>
                <c:pt idx="98">
                  <c:v>2</c:v>
                </c:pt>
                <c:pt idx="99">
                  <c:v>2</c:v>
                </c:pt>
                <c:pt idx="100">
                  <c:v>2</c:v>
                </c:pt>
                <c:pt idx="101">
                  <c:v>2</c:v>
                </c:pt>
                <c:pt idx="102">
                  <c:v>2</c:v>
                </c:pt>
                <c:pt idx="103">
                  <c:v>2</c:v>
                </c:pt>
                <c:pt idx="104">
                  <c:v>2</c:v>
                </c:pt>
                <c:pt idx="105">
                  <c:v>2</c:v>
                </c:pt>
                <c:pt idx="106">
                  <c:v>2</c:v>
                </c:pt>
                <c:pt idx="107">
                  <c:v>2</c:v>
                </c:pt>
                <c:pt idx="108">
                  <c:v>3</c:v>
                </c:pt>
                <c:pt idx="109">
                  <c:v>3</c:v>
                </c:pt>
                <c:pt idx="110">
                  <c:v>3</c:v>
                </c:pt>
                <c:pt idx="111">
                  <c:v>3</c:v>
                </c:pt>
                <c:pt idx="112">
                  <c:v>3</c:v>
                </c:pt>
                <c:pt idx="113">
                  <c:v>3</c:v>
                </c:pt>
                <c:pt idx="114">
                  <c:v>3</c:v>
                </c:pt>
                <c:pt idx="115">
                  <c:v>3</c:v>
                </c:pt>
                <c:pt idx="116">
                  <c:v>3</c:v>
                </c:pt>
                <c:pt idx="117">
                  <c:v>3</c:v>
                </c:pt>
                <c:pt idx="118">
                  <c:v>3</c:v>
                </c:pt>
                <c:pt idx="119">
                  <c:v>3</c:v>
                </c:pt>
                <c:pt idx="120">
                  <c:v>4</c:v>
                </c:pt>
                <c:pt idx="121">
                  <c:v>4</c:v>
                </c:pt>
                <c:pt idx="122">
                  <c:v>4</c:v>
                </c:pt>
                <c:pt idx="123">
                  <c:v>4</c:v>
                </c:pt>
                <c:pt idx="124">
                  <c:v>4</c:v>
                </c:pt>
                <c:pt idx="125">
                  <c:v>4</c:v>
                </c:pt>
                <c:pt idx="126">
                  <c:v>4</c:v>
                </c:pt>
                <c:pt idx="127">
                  <c:v>4</c:v>
                </c:pt>
                <c:pt idx="128">
                  <c:v>4</c:v>
                </c:pt>
                <c:pt idx="129">
                  <c:v>4</c:v>
                </c:pt>
                <c:pt idx="130">
                  <c:v>4</c:v>
                </c:pt>
                <c:pt idx="131">
                  <c:v>4</c:v>
                </c:pt>
                <c:pt idx="132">
                  <c:v>5</c:v>
                </c:pt>
                <c:pt idx="133">
                  <c:v>5</c:v>
                </c:pt>
                <c:pt idx="134">
                  <c:v>5</c:v>
                </c:pt>
                <c:pt idx="135">
                  <c:v>5</c:v>
                </c:pt>
                <c:pt idx="136">
                  <c:v>5</c:v>
                </c:pt>
                <c:pt idx="137">
                  <c:v>5</c:v>
                </c:pt>
                <c:pt idx="138">
                  <c:v>5</c:v>
                </c:pt>
                <c:pt idx="139">
                  <c:v>5</c:v>
                </c:pt>
                <c:pt idx="140">
                  <c:v>5</c:v>
                </c:pt>
                <c:pt idx="141">
                  <c:v>5</c:v>
                </c:pt>
                <c:pt idx="142">
                  <c:v>5</c:v>
                </c:pt>
                <c:pt idx="143">
                  <c:v>5</c:v>
                </c:pt>
              </c:numCache>
            </c:numRef>
          </c:cat>
          <c:val>
            <c:numRef>
              <c:f>'Simulation of changes in soil C'!$U$19:$U$162</c:f>
              <c:numCache>
                <c:formatCode>0.00</c:formatCode>
                <c:ptCount val="144"/>
                <c:pt idx="0">
                  <c:v>15.688586141751999</c:v>
                </c:pt>
                <c:pt idx="1">
                  <c:v>15.876024797271468</c:v>
                </c:pt>
                <c:pt idx="2">
                  <c:v>16.072567417739375</c:v>
                </c:pt>
                <c:pt idx="3">
                  <c:v>16.237742314489054</c:v>
                </c:pt>
                <c:pt idx="4">
                  <c:v>16.237428177559639</c:v>
                </c:pt>
                <c:pt idx="5">
                  <c:v>16.037005435066781</c:v>
                </c:pt>
                <c:pt idx="6">
                  <c:v>15.575983148188676</c:v>
                </c:pt>
                <c:pt idx="7">
                  <c:v>15.248347029937754</c:v>
                </c:pt>
                <c:pt idx="8">
                  <c:v>15.001941691162838</c:v>
                </c:pt>
                <c:pt idx="9">
                  <c:v>14.892362917260922</c:v>
                </c:pt>
                <c:pt idx="10">
                  <c:v>14.849524541161543</c:v>
                </c:pt>
                <c:pt idx="11">
                  <c:v>14.904290359205687</c:v>
                </c:pt>
                <c:pt idx="12">
                  <c:v>15.057805003022805</c:v>
                </c:pt>
                <c:pt idx="13">
                  <c:v>15.253628332031452</c:v>
                </c:pt>
                <c:pt idx="14">
                  <c:v>15.456157418215197</c:v>
                </c:pt>
                <c:pt idx="15">
                  <c:v>15.640119228755019</c:v>
                </c:pt>
                <c:pt idx="16">
                  <c:v>15.717634197551634</c:v>
                </c:pt>
                <c:pt idx="17">
                  <c:v>15.467884761959406</c:v>
                </c:pt>
                <c:pt idx="18">
                  <c:v>15.258577056200327</c:v>
                </c:pt>
                <c:pt idx="19">
                  <c:v>14.989666554146165</c:v>
                </c:pt>
                <c:pt idx="20">
                  <c:v>14.705899235696013</c:v>
                </c:pt>
                <c:pt idx="21">
                  <c:v>14.533123438805701</c:v>
                </c:pt>
                <c:pt idx="22">
                  <c:v>14.355363386329808</c:v>
                </c:pt>
                <c:pt idx="23">
                  <c:v>14.492370638441006</c:v>
                </c:pt>
                <c:pt idx="24">
                  <c:v>14.688168087316525</c:v>
                </c:pt>
                <c:pt idx="25">
                  <c:v>14.884513665180098</c:v>
                </c:pt>
                <c:pt idx="26">
                  <c:v>15.082003956054407</c:v>
                </c:pt>
                <c:pt idx="27">
                  <c:v>15.255397127174986</c:v>
                </c:pt>
                <c:pt idx="28">
                  <c:v>15.248295816454888</c:v>
                </c:pt>
                <c:pt idx="29">
                  <c:v>15.210524324929416</c:v>
                </c:pt>
                <c:pt idx="30">
                  <c:v>14.915016578314985</c:v>
                </c:pt>
                <c:pt idx="31">
                  <c:v>14.334098511791556</c:v>
                </c:pt>
                <c:pt idx="32">
                  <c:v>13.966470919088881</c:v>
                </c:pt>
                <c:pt idx="33">
                  <c:v>13.665507584888889</c:v>
                </c:pt>
                <c:pt idx="34">
                  <c:v>13.657318791115175</c:v>
                </c:pt>
                <c:pt idx="35">
                  <c:v>13.789867345543701</c:v>
                </c:pt>
                <c:pt idx="36">
                  <c:v>13.981876679260523</c:v>
                </c:pt>
                <c:pt idx="37">
                  <c:v>14.184608408651814</c:v>
                </c:pt>
                <c:pt idx="38">
                  <c:v>14.381564678792751</c:v>
                </c:pt>
                <c:pt idx="39">
                  <c:v>14.544741632628039</c:v>
                </c:pt>
                <c:pt idx="40">
                  <c:v>14.557061150739754</c:v>
                </c:pt>
                <c:pt idx="41">
                  <c:v>14.36749360733233</c:v>
                </c:pt>
                <c:pt idx="42">
                  <c:v>14.028271317284624</c:v>
                </c:pt>
                <c:pt idx="43">
                  <c:v>13.615603181758511</c:v>
                </c:pt>
                <c:pt idx="44">
                  <c:v>13.391402933526448</c:v>
                </c:pt>
                <c:pt idx="45">
                  <c:v>13.322081323138992</c:v>
                </c:pt>
                <c:pt idx="46">
                  <c:v>13.333965538115773</c:v>
                </c:pt>
                <c:pt idx="47">
                  <c:v>13.408556754774782</c:v>
                </c:pt>
                <c:pt idx="48">
                  <c:v>13.604567800772902</c:v>
                </c:pt>
                <c:pt idx="49">
                  <c:v>13.805537714456516</c:v>
                </c:pt>
                <c:pt idx="50">
                  <c:v>14.002430454404749</c:v>
                </c:pt>
                <c:pt idx="51">
                  <c:v>14.124810716388692</c:v>
                </c:pt>
                <c:pt idx="52">
                  <c:v>14.094953199809536</c:v>
                </c:pt>
                <c:pt idx="53">
                  <c:v>14.008196785680184</c:v>
                </c:pt>
                <c:pt idx="54">
                  <c:v>13.813233495161713</c:v>
                </c:pt>
                <c:pt idx="55">
                  <c:v>13.508452762489091</c:v>
                </c:pt>
                <c:pt idx="56">
                  <c:v>13.265043073143556</c:v>
                </c:pt>
                <c:pt idx="57">
                  <c:v>13.117046281514572</c:v>
                </c:pt>
                <c:pt idx="58">
                  <c:v>13.091701696328037</c:v>
                </c:pt>
                <c:pt idx="59">
                  <c:v>13.223382188589683</c:v>
                </c:pt>
                <c:pt idx="60">
                  <c:v>13.421301536280357</c:v>
                </c:pt>
                <c:pt idx="61">
                  <c:v>13.623725803548091</c:v>
                </c:pt>
                <c:pt idx="62">
                  <c:v>13.825373041990966</c:v>
                </c:pt>
                <c:pt idx="63">
                  <c:v>13.999899748976802</c:v>
                </c:pt>
                <c:pt idx="64">
                  <c:v>14.027856096311531</c:v>
                </c:pt>
                <c:pt idx="65">
                  <c:v>13.818438633232104</c:v>
                </c:pt>
                <c:pt idx="66">
                  <c:v>13.454782661575896</c:v>
                </c:pt>
                <c:pt idx="67">
                  <c:v>13.200759224460022</c:v>
                </c:pt>
                <c:pt idx="68">
                  <c:v>12.763915574047997</c:v>
                </c:pt>
                <c:pt idx="69">
                  <c:v>12.466178906461185</c:v>
                </c:pt>
                <c:pt idx="70">
                  <c:v>12.447190903542788</c:v>
                </c:pt>
                <c:pt idx="71">
                  <c:v>12.528994755152917</c:v>
                </c:pt>
                <c:pt idx="72">
                  <c:v>12.731777225435483</c:v>
                </c:pt>
                <c:pt idx="73">
                  <c:v>12.934559695718049</c:v>
                </c:pt>
                <c:pt idx="74">
                  <c:v>13.137342166000614</c:v>
                </c:pt>
                <c:pt idx="75">
                  <c:v>13.34012463628318</c:v>
                </c:pt>
                <c:pt idx="76">
                  <c:v>13.542907106565746</c:v>
                </c:pt>
                <c:pt idx="77">
                  <c:v>13.745689576848312</c:v>
                </c:pt>
                <c:pt idx="78">
                  <c:v>13.948472047130878</c:v>
                </c:pt>
                <c:pt idx="79">
                  <c:v>14.151254517413443</c:v>
                </c:pt>
                <c:pt idx="80">
                  <c:v>14.354036987696009</c:v>
                </c:pt>
                <c:pt idx="81">
                  <c:v>14.556819457978575</c:v>
                </c:pt>
                <c:pt idx="82">
                  <c:v>14.759601928261141</c:v>
                </c:pt>
                <c:pt idx="83">
                  <c:v>14.962384398543707</c:v>
                </c:pt>
                <c:pt idx="84">
                  <c:v>15.165166868826272</c:v>
                </c:pt>
                <c:pt idx="85">
                  <c:v>15.367949339108838</c:v>
                </c:pt>
                <c:pt idx="86">
                  <c:v>15.570731809391404</c:v>
                </c:pt>
                <c:pt idx="87">
                  <c:v>15.741691419558244</c:v>
                </c:pt>
                <c:pt idx="88">
                  <c:v>15.807430793437051</c:v>
                </c:pt>
                <c:pt idx="89">
                  <c:v>15.715911301093367</c:v>
                </c:pt>
                <c:pt idx="90">
                  <c:v>15.509616440778679</c:v>
                </c:pt>
                <c:pt idx="91">
                  <c:v>15.185828947812068</c:v>
                </c:pt>
                <c:pt idx="92">
                  <c:v>14.920706632744416</c:v>
                </c:pt>
                <c:pt idx="93">
                  <c:v>14.752081191962592</c:v>
                </c:pt>
                <c:pt idx="94">
                  <c:v>14.788946481241997</c:v>
                </c:pt>
                <c:pt idx="95">
                  <c:v>14.900991317606147</c:v>
                </c:pt>
                <c:pt idx="96">
                  <c:v>15.083787733915166</c:v>
                </c:pt>
                <c:pt idx="97">
                  <c:v>15.280442235476617</c:v>
                </c:pt>
                <c:pt idx="98">
                  <c:v>15.469829128356402</c:v>
                </c:pt>
                <c:pt idx="99">
                  <c:v>15.594575570609155</c:v>
                </c:pt>
                <c:pt idx="100">
                  <c:v>15.664085973556663</c:v>
                </c:pt>
                <c:pt idx="101">
                  <c:v>15.532802233321165</c:v>
                </c:pt>
                <c:pt idx="102">
                  <c:v>15.336163760579719</c:v>
                </c:pt>
                <c:pt idx="103">
                  <c:v>14.983629055303709</c:v>
                </c:pt>
                <c:pt idx="104">
                  <c:v>14.681687895397907</c:v>
                </c:pt>
                <c:pt idx="105">
                  <c:v>14.553573820413146</c:v>
                </c:pt>
                <c:pt idx="106">
                  <c:v>14.556387033883137</c:v>
                </c:pt>
                <c:pt idx="107">
                  <c:v>14.721111596182897</c:v>
                </c:pt>
                <c:pt idx="108">
                  <c:v>14.905247147272508</c:v>
                </c:pt>
                <c:pt idx="109">
                  <c:v>15.105478280262028</c:v>
                </c:pt>
                <c:pt idx="110">
                  <c:v>15.304600315262462</c:v>
                </c:pt>
                <c:pt idx="111">
                  <c:v>15.489221697507203</c:v>
                </c:pt>
                <c:pt idx="112">
                  <c:v>15.588673347406957</c:v>
                </c:pt>
                <c:pt idx="113">
                  <c:v>15.514353579764688</c:v>
                </c:pt>
                <c:pt idx="114">
                  <c:v>15.300735030691541</c:v>
                </c:pt>
                <c:pt idx="115">
                  <c:v>14.958292840326152</c:v>
                </c:pt>
                <c:pt idx="116">
                  <c:v>14.730956241108942</c:v>
                </c:pt>
                <c:pt idx="117">
                  <c:v>14.623991979578546</c:v>
                </c:pt>
                <c:pt idx="118">
                  <c:v>14.648301338543982</c:v>
                </c:pt>
                <c:pt idx="119">
                  <c:v>14.814757530819636</c:v>
                </c:pt>
                <c:pt idx="120">
                  <c:v>15.011945075963938</c:v>
                </c:pt>
                <c:pt idx="121">
                  <c:v>15.214243283729125</c:v>
                </c:pt>
                <c:pt idx="122">
                  <c:v>15.41663071737687</c:v>
                </c:pt>
                <c:pt idx="123">
                  <c:v>15.613954606773337</c:v>
                </c:pt>
                <c:pt idx="124">
                  <c:v>15.717954601899981</c:v>
                </c:pt>
                <c:pt idx="125">
                  <c:v>15.649126574235165</c:v>
                </c:pt>
                <c:pt idx="126">
                  <c:v>15.425367611213876</c:v>
                </c:pt>
                <c:pt idx="127">
                  <c:v>15.136258078073828</c:v>
                </c:pt>
                <c:pt idx="128">
                  <c:v>14.902285311718392</c:v>
                </c:pt>
                <c:pt idx="129">
                  <c:v>14.75750329285275</c:v>
                </c:pt>
                <c:pt idx="130">
                  <c:v>14.765582944328827</c:v>
                </c:pt>
                <c:pt idx="131">
                  <c:v>14.93171712350548</c:v>
                </c:pt>
                <c:pt idx="132">
                  <c:v>15.119653731568746</c:v>
                </c:pt>
                <c:pt idx="133">
                  <c:v>15.322239178399062</c:v>
                </c:pt>
                <c:pt idx="134">
                  <c:v>15.525021635286919</c:v>
                </c:pt>
                <c:pt idx="135">
                  <c:v>15.721123547332684</c:v>
                </c:pt>
                <c:pt idx="136">
                  <c:v>15.820850479769316</c:v>
                </c:pt>
                <c:pt idx="137">
                  <c:v>15.6694722097509</c:v>
                </c:pt>
                <c:pt idx="138">
                  <c:v>15.481596700223836</c:v>
                </c:pt>
                <c:pt idx="139">
                  <c:v>15.177755363493784</c:v>
                </c:pt>
                <c:pt idx="140">
                  <c:v>14.867721495584858</c:v>
                </c:pt>
                <c:pt idx="141">
                  <c:v>14.650138466898415</c:v>
                </c:pt>
                <c:pt idx="142">
                  <c:v>14.700831524679504</c:v>
                </c:pt>
                <c:pt idx="143">
                  <c:v>14.814885569145536</c:v>
                </c:pt>
              </c:numCache>
            </c:numRef>
          </c:val>
          <c:smooth val="0"/>
          <c:extLst>
            <c:ext xmlns:c16="http://schemas.microsoft.com/office/drawing/2014/chart" uri="{C3380CC4-5D6E-409C-BE32-E72D297353CC}">
              <c16:uniqueId val="{00000001-6BDE-43B9-8FEA-38DF89399481}"/>
            </c:ext>
          </c:extLst>
        </c:ser>
        <c:ser>
          <c:idx val="2"/>
          <c:order val="2"/>
          <c:tx>
            <c:v>BIO</c:v>
          </c:tx>
          <c:spPr>
            <a:ln w="38100">
              <a:solidFill>
                <a:srgbClr val="C38649"/>
              </a:solidFill>
            </a:ln>
          </c:spPr>
          <c:marker>
            <c:symbol val="none"/>
          </c:marker>
          <c:cat>
            <c:numRef>
              <c:f>'Simulation of changes in soil C'!$C$19:$C$162</c:f>
              <c:numCache>
                <c:formatCode>General</c:formatCode>
                <c:ptCount val="144"/>
                <c:pt idx="0">
                  <c:v>-6</c:v>
                </c:pt>
                <c:pt idx="1">
                  <c:v>-6</c:v>
                </c:pt>
                <c:pt idx="2">
                  <c:v>-6</c:v>
                </c:pt>
                <c:pt idx="3">
                  <c:v>-6</c:v>
                </c:pt>
                <c:pt idx="4">
                  <c:v>-6</c:v>
                </c:pt>
                <c:pt idx="5">
                  <c:v>-6</c:v>
                </c:pt>
                <c:pt idx="6">
                  <c:v>-6</c:v>
                </c:pt>
                <c:pt idx="7">
                  <c:v>-6</c:v>
                </c:pt>
                <c:pt idx="8">
                  <c:v>-6</c:v>
                </c:pt>
                <c:pt idx="9">
                  <c:v>-6</c:v>
                </c:pt>
                <c:pt idx="10">
                  <c:v>-6</c:v>
                </c:pt>
                <c:pt idx="11">
                  <c:v>-6</c:v>
                </c:pt>
                <c:pt idx="12">
                  <c:v>-5</c:v>
                </c:pt>
                <c:pt idx="13">
                  <c:v>-5</c:v>
                </c:pt>
                <c:pt idx="14">
                  <c:v>-5</c:v>
                </c:pt>
                <c:pt idx="15">
                  <c:v>-5</c:v>
                </c:pt>
                <c:pt idx="16">
                  <c:v>-5</c:v>
                </c:pt>
                <c:pt idx="17">
                  <c:v>-5</c:v>
                </c:pt>
                <c:pt idx="18">
                  <c:v>-5</c:v>
                </c:pt>
                <c:pt idx="19">
                  <c:v>-5</c:v>
                </c:pt>
                <c:pt idx="20">
                  <c:v>-5</c:v>
                </c:pt>
                <c:pt idx="21">
                  <c:v>-5</c:v>
                </c:pt>
                <c:pt idx="22">
                  <c:v>-5</c:v>
                </c:pt>
                <c:pt idx="23">
                  <c:v>-5</c:v>
                </c:pt>
                <c:pt idx="24">
                  <c:v>-4</c:v>
                </c:pt>
                <c:pt idx="25">
                  <c:v>-4</c:v>
                </c:pt>
                <c:pt idx="26">
                  <c:v>-4</c:v>
                </c:pt>
                <c:pt idx="27">
                  <c:v>-4</c:v>
                </c:pt>
                <c:pt idx="28">
                  <c:v>-4</c:v>
                </c:pt>
                <c:pt idx="29">
                  <c:v>-4</c:v>
                </c:pt>
                <c:pt idx="30">
                  <c:v>-4</c:v>
                </c:pt>
                <c:pt idx="31">
                  <c:v>-4</c:v>
                </c:pt>
                <c:pt idx="32">
                  <c:v>-4</c:v>
                </c:pt>
                <c:pt idx="33">
                  <c:v>-4</c:v>
                </c:pt>
                <c:pt idx="34">
                  <c:v>-4</c:v>
                </c:pt>
                <c:pt idx="35">
                  <c:v>-4</c:v>
                </c:pt>
                <c:pt idx="36">
                  <c:v>-3</c:v>
                </c:pt>
                <c:pt idx="37">
                  <c:v>-3</c:v>
                </c:pt>
                <c:pt idx="38">
                  <c:v>-3</c:v>
                </c:pt>
                <c:pt idx="39">
                  <c:v>-3</c:v>
                </c:pt>
                <c:pt idx="40">
                  <c:v>-3</c:v>
                </c:pt>
                <c:pt idx="41">
                  <c:v>-3</c:v>
                </c:pt>
                <c:pt idx="42">
                  <c:v>-3</c:v>
                </c:pt>
                <c:pt idx="43">
                  <c:v>-3</c:v>
                </c:pt>
                <c:pt idx="44">
                  <c:v>-3</c:v>
                </c:pt>
                <c:pt idx="45">
                  <c:v>-3</c:v>
                </c:pt>
                <c:pt idx="46">
                  <c:v>-3</c:v>
                </c:pt>
                <c:pt idx="47">
                  <c:v>-3</c:v>
                </c:pt>
                <c:pt idx="48">
                  <c:v>-2</c:v>
                </c:pt>
                <c:pt idx="49">
                  <c:v>-2</c:v>
                </c:pt>
                <c:pt idx="50">
                  <c:v>-2</c:v>
                </c:pt>
                <c:pt idx="51">
                  <c:v>-2</c:v>
                </c:pt>
                <c:pt idx="52">
                  <c:v>-2</c:v>
                </c:pt>
                <c:pt idx="53">
                  <c:v>-2</c:v>
                </c:pt>
                <c:pt idx="54">
                  <c:v>-2</c:v>
                </c:pt>
                <c:pt idx="55">
                  <c:v>-2</c:v>
                </c:pt>
                <c:pt idx="56">
                  <c:v>-2</c:v>
                </c:pt>
                <c:pt idx="57">
                  <c:v>-2</c:v>
                </c:pt>
                <c:pt idx="58">
                  <c:v>-2</c:v>
                </c:pt>
                <c:pt idx="59">
                  <c:v>-2</c:v>
                </c:pt>
                <c:pt idx="60">
                  <c:v>-1</c:v>
                </c:pt>
                <c:pt idx="61">
                  <c:v>-1</c:v>
                </c:pt>
                <c:pt idx="62">
                  <c:v>-1</c:v>
                </c:pt>
                <c:pt idx="63">
                  <c:v>-1</c:v>
                </c:pt>
                <c:pt idx="64">
                  <c:v>-1</c:v>
                </c:pt>
                <c:pt idx="65">
                  <c:v>-1</c:v>
                </c:pt>
                <c:pt idx="66">
                  <c:v>-1</c:v>
                </c:pt>
                <c:pt idx="67">
                  <c:v>-1</c:v>
                </c:pt>
                <c:pt idx="68">
                  <c:v>-1</c:v>
                </c:pt>
                <c:pt idx="69">
                  <c:v>-1</c:v>
                </c:pt>
                <c:pt idx="70">
                  <c:v>-1</c:v>
                </c:pt>
                <c:pt idx="71">
                  <c:v>-1</c:v>
                </c:pt>
                <c:pt idx="72">
                  <c:v>0</c:v>
                </c:pt>
                <c:pt idx="73">
                  <c:v>0</c:v>
                </c:pt>
                <c:pt idx="74">
                  <c:v>0</c:v>
                </c:pt>
                <c:pt idx="75">
                  <c:v>0</c:v>
                </c:pt>
                <c:pt idx="76">
                  <c:v>0</c:v>
                </c:pt>
                <c:pt idx="77">
                  <c:v>0</c:v>
                </c:pt>
                <c:pt idx="78">
                  <c:v>0</c:v>
                </c:pt>
                <c:pt idx="79">
                  <c:v>0</c:v>
                </c:pt>
                <c:pt idx="80">
                  <c:v>0</c:v>
                </c:pt>
                <c:pt idx="81">
                  <c:v>0</c:v>
                </c:pt>
                <c:pt idx="82">
                  <c:v>0</c:v>
                </c:pt>
                <c:pt idx="83">
                  <c:v>0</c:v>
                </c:pt>
                <c:pt idx="84">
                  <c:v>1</c:v>
                </c:pt>
                <c:pt idx="85">
                  <c:v>1</c:v>
                </c:pt>
                <c:pt idx="86">
                  <c:v>1</c:v>
                </c:pt>
                <c:pt idx="87">
                  <c:v>1</c:v>
                </c:pt>
                <c:pt idx="88">
                  <c:v>1</c:v>
                </c:pt>
                <c:pt idx="89">
                  <c:v>1</c:v>
                </c:pt>
                <c:pt idx="90">
                  <c:v>1</c:v>
                </c:pt>
                <c:pt idx="91">
                  <c:v>1</c:v>
                </c:pt>
                <c:pt idx="92">
                  <c:v>1</c:v>
                </c:pt>
                <c:pt idx="93">
                  <c:v>1</c:v>
                </c:pt>
                <c:pt idx="94">
                  <c:v>1</c:v>
                </c:pt>
                <c:pt idx="95">
                  <c:v>1</c:v>
                </c:pt>
                <c:pt idx="96">
                  <c:v>2</c:v>
                </c:pt>
                <c:pt idx="97">
                  <c:v>2</c:v>
                </c:pt>
                <c:pt idx="98">
                  <c:v>2</c:v>
                </c:pt>
                <c:pt idx="99">
                  <c:v>2</c:v>
                </c:pt>
                <c:pt idx="100">
                  <c:v>2</c:v>
                </c:pt>
                <c:pt idx="101">
                  <c:v>2</c:v>
                </c:pt>
                <c:pt idx="102">
                  <c:v>2</c:v>
                </c:pt>
                <c:pt idx="103">
                  <c:v>2</c:v>
                </c:pt>
                <c:pt idx="104">
                  <c:v>2</c:v>
                </c:pt>
                <c:pt idx="105">
                  <c:v>2</c:v>
                </c:pt>
                <c:pt idx="106">
                  <c:v>2</c:v>
                </c:pt>
                <c:pt idx="107">
                  <c:v>2</c:v>
                </c:pt>
                <c:pt idx="108">
                  <c:v>3</c:v>
                </c:pt>
                <c:pt idx="109">
                  <c:v>3</c:v>
                </c:pt>
                <c:pt idx="110">
                  <c:v>3</c:v>
                </c:pt>
                <c:pt idx="111">
                  <c:v>3</c:v>
                </c:pt>
                <c:pt idx="112">
                  <c:v>3</c:v>
                </c:pt>
                <c:pt idx="113">
                  <c:v>3</c:v>
                </c:pt>
                <c:pt idx="114">
                  <c:v>3</c:v>
                </c:pt>
                <c:pt idx="115">
                  <c:v>3</c:v>
                </c:pt>
                <c:pt idx="116">
                  <c:v>3</c:v>
                </c:pt>
                <c:pt idx="117">
                  <c:v>3</c:v>
                </c:pt>
                <c:pt idx="118">
                  <c:v>3</c:v>
                </c:pt>
                <c:pt idx="119">
                  <c:v>3</c:v>
                </c:pt>
                <c:pt idx="120">
                  <c:v>4</c:v>
                </c:pt>
                <c:pt idx="121">
                  <c:v>4</c:v>
                </c:pt>
                <c:pt idx="122">
                  <c:v>4</c:v>
                </c:pt>
                <c:pt idx="123">
                  <c:v>4</c:v>
                </c:pt>
                <c:pt idx="124">
                  <c:v>4</c:v>
                </c:pt>
                <c:pt idx="125">
                  <c:v>4</c:v>
                </c:pt>
                <c:pt idx="126">
                  <c:v>4</c:v>
                </c:pt>
                <c:pt idx="127">
                  <c:v>4</c:v>
                </c:pt>
                <c:pt idx="128">
                  <c:v>4</c:v>
                </c:pt>
                <c:pt idx="129">
                  <c:v>4</c:v>
                </c:pt>
                <c:pt idx="130">
                  <c:v>4</c:v>
                </c:pt>
                <c:pt idx="131">
                  <c:v>4</c:v>
                </c:pt>
                <c:pt idx="132">
                  <c:v>5</c:v>
                </c:pt>
                <c:pt idx="133">
                  <c:v>5</c:v>
                </c:pt>
                <c:pt idx="134">
                  <c:v>5</c:v>
                </c:pt>
                <c:pt idx="135">
                  <c:v>5</c:v>
                </c:pt>
                <c:pt idx="136">
                  <c:v>5</c:v>
                </c:pt>
                <c:pt idx="137">
                  <c:v>5</c:v>
                </c:pt>
                <c:pt idx="138">
                  <c:v>5</c:v>
                </c:pt>
                <c:pt idx="139">
                  <c:v>5</c:v>
                </c:pt>
                <c:pt idx="140">
                  <c:v>5</c:v>
                </c:pt>
                <c:pt idx="141">
                  <c:v>5</c:v>
                </c:pt>
                <c:pt idx="142">
                  <c:v>5</c:v>
                </c:pt>
                <c:pt idx="143">
                  <c:v>5</c:v>
                </c:pt>
              </c:numCache>
            </c:numRef>
          </c:cat>
          <c:val>
            <c:numRef>
              <c:f>'Simulation of changes in soil C'!$X$19:$X$162</c:f>
              <c:numCache>
                <c:formatCode>0.00</c:formatCode>
                <c:ptCount val="144"/>
                <c:pt idx="0">
                  <c:v>9.3930279496117087E-6</c:v>
                </c:pt>
                <c:pt idx="1">
                  <c:v>1.947208201702027E-3</c:v>
                </c:pt>
                <c:pt idx="2">
                  <c:v>2.7806922379027539E-3</c:v>
                </c:pt>
                <c:pt idx="3">
                  <c:v>8.0308571301931989E-3</c:v>
                </c:pt>
                <c:pt idx="4">
                  <c:v>3.5729153364250879E-2</c:v>
                </c:pt>
                <c:pt idx="5">
                  <c:v>8.4256107896097485E-2</c:v>
                </c:pt>
                <c:pt idx="6">
                  <c:v>0.15124092176986809</c:v>
                </c:pt>
                <c:pt idx="7">
                  <c:v>0.19747599526694909</c:v>
                </c:pt>
                <c:pt idx="8">
                  <c:v>0.23367926186335486</c:v>
                </c:pt>
                <c:pt idx="9">
                  <c:v>0.25769783446737476</c:v>
                </c:pt>
                <c:pt idx="10">
                  <c:v>0.27629435815399239</c:v>
                </c:pt>
                <c:pt idx="11">
                  <c:v>0.28758496656581606</c:v>
                </c:pt>
                <c:pt idx="12">
                  <c:v>0.29153277913167941</c:v>
                </c:pt>
                <c:pt idx="13">
                  <c:v>0.29214084081030173</c:v>
                </c:pt>
                <c:pt idx="14">
                  <c:v>0.2921651950442099</c:v>
                </c:pt>
                <c:pt idx="15">
                  <c:v>0.29412393565107059</c:v>
                </c:pt>
                <c:pt idx="16">
                  <c:v>0.30733143541616414</c:v>
                </c:pt>
                <c:pt idx="17">
                  <c:v>0.34795175210936163</c:v>
                </c:pt>
                <c:pt idx="18">
                  <c:v>0.37714486506639799</c:v>
                </c:pt>
                <c:pt idx="19">
                  <c:v>0.40598463986928929</c:v>
                </c:pt>
                <c:pt idx="20">
                  <c:v>0.43228770122785409</c:v>
                </c:pt>
                <c:pt idx="21">
                  <c:v>0.45086463441993713</c:v>
                </c:pt>
                <c:pt idx="22">
                  <c:v>0.46873412058848934</c:v>
                </c:pt>
                <c:pt idx="23">
                  <c:v>0.47184890392614748</c:v>
                </c:pt>
                <c:pt idx="24">
                  <c:v>0.47223542787013584</c:v>
                </c:pt>
                <c:pt idx="25">
                  <c:v>0.47265196943496596</c:v>
                </c:pt>
                <c:pt idx="26">
                  <c:v>0.47304240609379283</c:v>
                </c:pt>
                <c:pt idx="27">
                  <c:v>0.47543439767459822</c:v>
                </c:pt>
                <c:pt idx="28">
                  <c:v>0.49193607424805197</c:v>
                </c:pt>
                <c:pt idx="29">
                  <c:v>0.50795127704815712</c:v>
                </c:pt>
                <c:pt idx="30">
                  <c:v>0.53409925045969986</c:v>
                </c:pt>
                <c:pt idx="31">
                  <c:v>0.56356959633656345</c:v>
                </c:pt>
                <c:pt idx="32">
                  <c:v>0.57958278274556951</c:v>
                </c:pt>
                <c:pt idx="33">
                  <c:v>0.59189073347321175</c:v>
                </c:pt>
                <c:pt idx="34">
                  <c:v>0.59679030348697115</c:v>
                </c:pt>
                <c:pt idx="35">
                  <c:v>0.59874621107082093</c:v>
                </c:pt>
                <c:pt idx="36">
                  <c:v>0.59913560336709826</c:v>
                </c:pt>
                <c:pt idx="37">
                  <c:v>0.59913795313919471</c:v>
                </c:pt>
                <c:pt idx="38">
                  <c:v>0.59946644058997534</c:v>
                </c:pt>
                <c:pt idx="39">
                  <c:v>0.60199894243133256</c:v>
                </c:pt>
                <c:pt idx="40">
                  <c:v>0.61363750435268039</c:v>
                </c:pt>
                <c:pt idx="41">
                  <c:v>0.63119812848913393</c:v>
                </c:pt>
                <c:pt idx="42">
                  <c:v>0.64621923700747586</c:v>
                </c:pt>
                <c:pt idx="43">
                  <c:v>0.65695144628702473</c:v>
                </c:pt>
                <c:pt idx="44">
                  <c:v>0.66217249513770959</c:v>
                </c:pt>
                <c:pt idx="45">
                  <c:v>0.6653494693610863</c:v>
                </c:pt>
                <c:pt idx="46">
                  <c:v>0.66795999892477109</c:v>
                </c:pt>
                <c:pt idx="47">
                  <c:v>0.67015022665147683</c:v>
                </c:pt>
                <c:pt idx="48">
                  <c:v>0.67031119384329874</c:v>
                </c:pt>
                <c:pt idx="49">
                  <c:v>0.67037375421946366</c:v>
                </c:pt>
                <c:pt idx="50">
                  <c:v>0.67063837581265373</c:v>
                </c:pt>
                <c:pt idx="51">
                  <c:v>0.6747151509707584</c:v>
                </c:pt>
                <c:pt idx="52">
                  <c:v>0.68499819165460241</c:v>
                </c:pt>
                <c:pt idx="53">
                  <c:v>0.69397881534843209</c:v>
                </c:pt>
                <c:pt idx="54">
                  <c:v>0.70188435712372033</c:v>
                </c:pt>
                <c:pt idx="55">
                  <c:v>0.70747244326249881</c:v>
                </c:pt>
                <c:pt idx="56">
                  <c:v>0.70992646235571366</c:v>
                </c:pt>
                <c:pt idx="57">
                  <c:v>0.71117713222864898</c:v>
                </c:pt>
                <c:pt idx="58">
                  <c:v>0.71211568970477779</c:v>
                </c:pt>
                <c:pt idx="59">
                  <c:v>0.71270698370687324</c:v>
                </c:pt>
                <c:pt idx="60">
                  <c:v>0.71279113321500098</c:v>
                </c:pt>
                <c:pt idx="61">
                  <c:v>0.71280131558966486</c:v>
                </c:pt>
                <c:pt idx="62">
                  <c:v>0.7128460226163339</c:v>
                </c:pt>
                <c:pt idx="63">
                  <c:v>0.71421211449447775</c:v>
                </c:pt>
                <c:pt idx="64">
                  <c:v>0.72233489482384705</c:v>
                </c:pt>
                <c:pt idx="65">
                  <c:v>0.73406242982597547</c:v>
                </c:pt>
                <c:pt idx="66">
                  <c:v>0.73966470130995388</c:v>
                </c:pt>
                <c:pt idx="67">
                  <c:v>0.74007787781878731</c:v>
                </c:pt>
                <c:pt idx="68">
                  <c:v>0.7385356292597075</c:v>
                </c:pt>
                <c:pt idx="69">
                  <c:v>0.7353889085106966</c:v>
                </c:pt>
                <c:pt idx="70">
                  <c:v>0.73396988552794828</c:v>
                </c:pt>
                <c:pt idx="71">
                  <c:v>0.73376733265446092</c:v>
                </c:pt>
                <c:pt idx="72">
                  <c:v>0.73376733265446092</c:v>
                </c:pt>
                <c:pt idx="73">
                  <c:v>0.73376733265446092</c:v>
                </c:pt>
                <c:pt idx="74">
                  <c:v>0.73376733265446092</c:v>
                </c:pt>
                <c:pt idx="75">
                  <c:v>0.73376733265446092</c:v>
                </c:pt>
                <c:pt idx="76">
                  <c:v>0.73376733265446092</c:v>
                </c:pt>
                <c:pt idx="77">
                  <c:v>0.73376733265446092</c:v>
                </c:pt>
                <c:pt idx="78">
                  <c:v>0.73376733265446092</c:v>
                </c:pt>
                <c:pt idx="79">
                  <c:v>0.73376733265446092</c:v>
                </c:pt>
                <c:pt idx="80">
                  <c:v>0.73376733265446092</c:v>
                </c:pt>
                <c:pt idx="81">
                  <c:v>0.73376733265446092</c:v>
                </c:pt>
                <c:pt idx="82">
                  <c:v>0.73376733265446092</c:v>
                </c:pt>
                <c:pt idx="83">
                  <c:v>0.73376733265446092</c:v>
                </c:pt>
                <c:pt idx="84">
                  <c:v>0.73376733265446092</c:v>
                </c:pt>
                <c:pt idx="85">
                  <c:v>0.73376733265446092</c:v>
                </c:pt>
                <c:pt idx="86">
                  <c:v>0.73376733265446092</c:v>
                </c:pt>
                <c:pt idx="87">
                  <c:v>0.73856738918107756</c:v>
                </c:pt>
                <c:pt idx="88">
                  <c:v>0.75694714835236265</c:v>
                </c:pt>
                <c:pt idx="89">
                  <c:v>0.78400041128921227</c:v>
                </c:pt>
                <c:pt idx="90">
                  <c:v>0.80337303961221329</c:v>
                </c:pt>
                <c:pt idx="91">
                  <c:v>0.81314415005243157</c:v>
                </c:pt>
                <c:pt idx="92">
                  <c:v>0.81541644077685649</c:v>
                </c:pt>
                <c:pt idx="93">
                  <c:v>0.81554847838197397</c:v>
                </c:pt>
                <c:pt idx="94">
                  <c:v>0.81565572607066594</c:v>
                </c:pt>
                <c:pt idx="95">
                  <c:v>0.81614070850618103</c:v>
                </c:pt>
                <c:pt idx="96">
                  <c:v>0.81638787209250574</c:v>
                </c:pt>
                <c:pt idx="97">
                  <c:v>0.81651992031757414</c:v>
                </c:pt>
                <c:pt idx="98">
                  <c:v>0.81693036660372165</c:v>
                </c:pt>
                <c:pt idx="99">
                  <c:v>0.81974443582977008</c:v>
                </c:pt>
                <c:pt idx="100">
                  <c:v>0.82441203729869927</c:v>
                </c:pt>
                <c:pt idx="101">
                  <c:v>0.83284634419447801</c:v>
                </c:pt>
                <c:pt idx="102">
                  <c:v>0.8375014309111215</c:v>
                </c:pt>
                <c:pt idx="103">
                  <c:v>0.83877242172603317</c:v>
                </c:pt>
                <c:pt idx="104">
                  <c:v>0.83685355370642689</c:v>
                </c:pt>
                <c:pt idx="105">
                  <c:v>0.83497114478013101</c:v>
                </c:pt>
                <c:pt idx="106">
                  <c:v>0.83415486197188971</c:v>
                </c:pt>
                <c:pt idx="107">
                  <c:v>0.83419427539808877</c:v>
                </c:pt>
                <c:pt idx="108">
                  <c:v>0.8343790584423485</c:v>
                </c:pt>
                <c:pt idx="109">
                  <c:v>0.8344284887824609</c:v>
                </c:pt>
                <c:pt idx="110">
                  <c:v>0.83453522864881535</c:v>
                </c:pt>
                <c:pt idx="111">
                  <c:v>0.8352225377289032</c:v>
                </c:pt>
                <c:pt idx="112">
                  <c:v>0.83943384263813148</c:v>
                </c:pt>
                <c:pt idx="113">
                  <c:v>0.84804803579877386</c:v>
                </c:pt>
                <c:pt idx="114">
                  <c:v>0.85407020379230969</c:v>
                </c:pt>
                <c:pt idx="115">
                  <c:v>0.85491864017526586</c:v>
                </c:pt>
                <c:pt idx="116">
                  <c:v>0.8526872520477593</c:v>
                </c:pt>
                <c:pt idx="117">
                  <c:v>0.85067914838136094</c:v>
                </c:pt>
                <c:pt idx="118">
                  <c:v>0.84982266130052331</c:v>
                </c:pt>
                <c:pt idx="119">
                  <c:v>0.84984379563215884</c:v>
                </c:pt>
                <c:pt idx="120">
                  <c:v>0.8498982288659539</c:v>
                </c:pt>
                <c:pt idx="121">
                  <c:v>0.84990778497981179</c:v>
                </c:pt>
                <c:pt idx="122">
                  <c:v>0.84991951201598825</c:v>
                </c:pt>
                <c:pt idx="123">
                  <c:v>0.85013300618791765</c:v>
                </c:pt>
                <c:pt idx="124">
                  <c:v>0.85435539727975596</c:v>
                </c:pt>
                <c:pt idx="125">
                  <c:v>0.8631954836814163</c:v>
                </c:pt>
                <c:pt idx="126">
                  <c:v>0.86943567758046714</c:v>
                </c:pt>
                <c:pt idx="127">
                  <c:v>0.87002342166857694</c:v>
                </c:pt>
                <c:pt idx="128">
                  <c:v>0.86770585089854979</c:v>
                </c:pt>
                <c:pt idx="129">
                  <c:v>0.86515313645619185</c:v>
                </c:pt>
                <c:pt idx="130">
                  <c:v>0.86390108786484088</c:v>
                </c:pt>
                <c:pt idx="131">
                  <c:v>0.86385344994642421</c:v>
                </c:pt>
                <c:pt idx="132">
                  <c:v>0.86396632166898846</c:v>
                </c:pt>
                <c:pt idx="133">
                  <c:v>0.86396970934619688</c:v>
                </c:pt>
                <c:pt idx="134">
                  <c:v>0.86396970970977116</c:v>
                </c:pt>
                <c:pt idx="135">
                  <c:v>0.86421360496187793</c:v>
                </c:pt>
                <c:pt idx="136">
                  <c:v>0.86833683125095629</c:v>
                </c:pt>
                <c:pt idx="137">
                  <c:v>0.87802670837731867</c:v>
                </c:pt>
                <c:pt idx="138">
                  <c:v>0.88176683853880633</c:v>
                </c:pt>
                <c:pt idx="139">
                  <c:v>0.88129409522422542</c:v>
                </c:pt>
                <c:pt idx="140">
                  <c:v>0.87753230861762987</c:v>
                </c:pt>
                <c:pt idx="141">
                  <c:v>0.87327661445386562</c:v>
                </c:pt>
                <c:pt idx="142">
                  <c:v>0.87186858702943548</c:v>
                </c:pt>
                <c:pt idx="143">
                  <c:v>0.87154338378389518</c:v>
                </c:pt>
              </c:numCache>
            </c:numRef>
          </c:val>
          <c:smooth val="0"/>
          <c:extLst>
            <c:ext xmlns:c16="http://schemas.microsoft.com/office/drawing/2014/chart" uri="{C3380CC4-5D6E-409C-BE32-E72D297353CC}">
              <c16:uniqueId val="{00000002-6BDE-43B9-8FEA-38DF89399481}"/>
            </c:ext>
          </c:extLst>
        </c:ser>
        <c:dLbls>
          <c:showLegendKey val="0"/>
          <c:showVal val="0"/>
          <c:showCatName val="0"/>
          <c:showSerName val="0"/>
          <c:showPercent val="0"/>
          <c:showBubbleSize val="0"/>
        </c:dLbls>
        <c:smooth val="0"/>
        <c:axId val="499833192"/>
        <c:axId val="499830840"/>
      </c:lineChart>
      <c:catAx>
        <c:axId val="499833192"/>
        <c:scaling>
          <c:orientation val="minMax"/>
        </c:scaling>
        <c:delete val="0"/>
        <c:axPos val="b"/>
        <c:title>
          <c:tx>
            <c:rich>
              <a:bodyPr/>
              <a:lstStyle/>
              <a:p>
                <a:pPr>
                  <a:defRPr/>
                </a:pPr>
                <a:r>
                  <a:rPr lang="en-GB"/>
                  <a:t>Year</a:t>
                </a:r>
              </a:p>
            </c:rich>
          </c:tx>
          <c:layout>
            <c:manualLayout>
              <c:xMode val="edge"/>
              <c:yMode val="edge"/>
              <c:x val="0.47705821390476766"/>
              <c:y val="0.87945921854107856"/>
            </c:manualLayout>
          </c:layout>
          <c:overlay val="0"/>
        </c:title>
        <c:numFmt formatCode="General" sourceLinked="1"/>
        <c:majorTickMark val="out"/>
        <c:minorTickMark val="none"/>
        <c:tickLblPos val="nextTo"/>
        <c:crossAx val="499830840"/>
        <c:crosses val="autoZero"/>
        <c:auto val="1"/>
        <c:lblAlgn val="ctr"/>
        <c:lblOffset val="100"/>
        <c:tickLblSkip val="24"/>
        <c:tickMarkSkip val="12"/>
        <c:noMultiLvlLbl val="0"/>
      </c:catAx>
      <c:valAx>
        <c:axId val="499830840"/>
        <c:scaling>
          <c:orientation val="minMax"/>
        </c:scaling>
        <c:delete val="0"/>
        <c:axPos val="l"/>
        <c:majorGridlines/>
        <c:title>
          <c:tx>
            <c:rich>
              <a:bodyPr rot="-5400000" vert="horz"/>
              <a:lstStyle/>
              <a:p>
                <a:pPr>
                  <a:defRPr/>
                </a:pPr>
                <a:r>
                  <a:rPr lang="en-US"/>
                  <a:t>Carbon (t ha</a:t>
                </a:r>
                <a:r>
                  <a:rPr lang="en-US" baseline="30000"/>
                  <a:t>-1</a:t>
                </a:r>
                <a:r>
                  <a:rPr lang="en-US"/>
                  <a:t>)</a:t>
                </a:r>
              </a:p>
            </c:rich>
          </c:tx>
          <c:layout>
            <c:manualLayout>
              <c:xMode val="edge"/>
              <c:yMode val="edge"/>
              <c:x val="1.6151736793269506E-2"/>
              <c:y val="0.26571848330279468"/>
            </c:manualLayout>
          </c:layout>
          <c:overlay val="0"/>
        </c:title>
        <c:numFmt formatCode="0" sourceLinked="0"/>
        <c:majorTickMark val="out"/>
        <c:minorTickMark val="none"/>
        <c:tickLblPos val="nextTo"/>
        <c:crossAx val="499833192"/>
        <c:crosses val="autoZero"/>
        <c:crossBetween val="between"/>
      </c:valAx>
      <c:spPr>
        <a:noFill/>
        <a:ln w="25400">
          <a:noFill/>
        </a:ln>
      </c:spPr>
    </c:plotArea>
    <c:legend>
      <c:legendPos val="b"/>
      <c:layout>
        <c:manualLayout>
          <c:xMode val="edge"/>
          <c:yMode val="edge"/>
          <c:x val="0.58686386739806862"/>
          <c:y val="0.91490285412436656"/>
          <c:w val="0.39055067388683146"/>
          <c:h val="8.5097002535677549E-2"/>
        </c:manualLayout>
      </c:layout>
      <c:overlay val="0"/>
    </c:legend>
    <c:plotVisOnly val="1"/>
    <c:dispBlanksAs val="gap"/>
    <c:showDLblsOverMax val="0"/>
  </c:chart>
  <c:spPr>
    <a:solidFill>
      <a:schemeClr val="bg1"/>
    </a:solidFill>
    <a:ln>
      <a:solidFill>
        <a:schemeClr val="tx1"/>
      </a:solidFill>
    </a:ln>
  </c:spPr>
  <c:txPr>
    <a:bodyPr/>
    <a:lstStyle/>
    <a:p>
      <a:pPr>
        <a:defRPr sz="1100" baseline="0">
          <a:latin typeface="Calibri" pitchFamily="34" charset="0"/>
        </a:defRPr>
      </a:pPr>
      <a:endParaRPr lang="en-US"/>
    </a:p>
  </c:txPr>
  <c:printSettings>
    <c:headerFooter/>
    <c:pageMargins b="0.75000000000000244" l="0.70000000000000062" r="0.70000000000000062" t="0.75000000000000244" header="0.30000000000000032" footer="0.30000000000000032"/>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556096189333563"/>
          <c:y val="0.13297710427705969"/>
          <c:w val="0.79810784871959617"/>
          <c:h val="0.67556645042011254"/>
        </c:manualLayout>
      </c:layout>
      <c:lineChart>
        <c:grouping val="standard"/>
        <c:varyColors val="0"/>
        <c:ser>
          <c:idx val="0"/>
          <c:order val="0"/>
          <c:tx>
            <c:v>HUM</c:v>
          </c:tx>
          <c:spPr>
            <a:ln w="38100">
              <a:solidFill>
                <a:schemeClr val="accent4">
                  <a:lumMod val="50000"/>
                </a:schemeClr>
              </a:solidFill>
            </a:ln>
          </c:spPr>
          <c:marker>
            <c:symbol val="none"/>
          </c:marker>
          <c:cat>
            <c:numRef>
              <c:f>'Simulation of changes in soil C'!$C$19:$C$162</c:f>
              <c:numCache>
                <c:formatCode>General</c:formatCode>
                <c:ptCount val="144"/>
                <c:pt idx="0">
                  <c:v>-6</c:v>
                </c:pt>
                <c:pt idx="1">
                  <c:v>-6</c:v>
                </c:pt>
                <c:pt idx="2">
                  <c:v>-6</c:v>
                </c:pt>
                <c:pt idx="3">
                  <c:v>-6</c:v>
                </c:pt>
                <c:pt idx="4">
                  <c:v>-6</c:v>
                </c:pt>
                <c:pt idx="5">
                  <c:v>-6</c:v>
                </c:pt>
                <c:pt idx="6">
                  <c:v>-6</c:v>
                </c:pt>
                <c:pt idx="7">
                  <c:v>-6</c:v>
                </c:pt>
                <c:pt idx="8">
                  <c:v>-6</c:v>
                </c:pt>
                <c:pt idx="9">
                  <c:v>-6</c:v>
                </c:pt>
                <c:pt idx="10">
                  <c:v>-6</c:v>
                </c:pt>
                <c:pt idx="11">
                  <c:v>-6</c:v>
                </c:pt>
                <c:pt idx="12">
                  <c:v>-5</c:v>
                </c:pt>
                <c:pt idx="13">
                  <c:v>-5</c:v>
                </c:pt>
                <c:pt idx="14">
                  <c:v>-5</c:v>
                </c:pt>
                <c:pt idx="15">
                  <c:v>-5</c:v>
                </c:pt>
                <c:pt idx="16">
                  <c:v>-5</c:v>
                </c:pt>
                <c:pt idx="17">
                  <c:v>-5</c:v>
                </c:pt>
                <c:pt idx="18">
                  <c:v>-5</c:v>
                </c:pt>
                <c:pt idx="19">
                  <c:v>-5</c:v>
                </c:pt>
                <c:pt idx="20">
                  <c:v>-5</c:v>
                </c:pt>
                <c:pt idx="21">
                  <c:v>-5</c:v>
                </c:pt>
                <c:pt idx="22">
                  <c:v>-5</c:v>
                </c:pt>
                <c:pt idx="23">
                  <c:v>-5</c:v>
                </c:pt>
                <c:pt idx="24">
                  <c:v>-4</c:v>
                </c:pt>
                <c:pt idx="25">
                  <c:v>-4</c:v>
                </c:pt>
                <c:pt idx="26">
                  <c:v>-4</c:v>
                </c:pt>
                <c:pt idx="27">
                  <c:v>-4</c:v>
                </c:pt>
                <c:pt idx="28">
                  <c:v>-4</c:v>
                </c:pt>
                <c:pt idx="29">
                  <c:v>-4</c:v>
                </c:pt>
                <c:pt idx="30">
                  <c:v>-4</c:v>
                </c:pt>
                <c:pt idx="31">
                  <c:v>-4</c:v>
                </c:pt>
                <c:pt idx="32">
                  <c:v>-4</c:v>
                </c:pt>
                <c:pt idx="33">
                  <c:v>-4</c:v>
                </c:pt>
                <c:pt idx="34">
                  <c:v>-4</c:v>
                </c:pt>
                <c:pt idx="35">
                  <c:v>-4</c:v>
                </c:pt>
                <c:pt idx="36">
                  <c:v>-3</c:v>
                </c:pt>
                <c:pt idx="37">
                  <c:v>-3</c:v>
                </c:pt>
                <c:pt idx="38">
                  <c:v>-3</c:v>
                </c:pt>
                <c:pt idx="39">
                  <c:v>-3</c:v>
                </c:pt>
                <c:pt idx="40">
                  <c:v>-3</c:v>
                </c:pt>
                <c:pt idx="41">
                  <c:v>-3</c:v>
                </c:pt>
                <c:pt idx="42">
                  <c:v>-3</c:v>
                </c:pt>
                <c:pt idx="43">
                  <c:v>-3</c:v>
                </c:pt>
                <c:pt idx="44">
                  <c:v>-3</c:v>
                </c:pt>
                <c:pt idx="45">
                  <c:v>-3</c:v>
                </c:pt>
                <c:pt idx="46">
                  <c:v>-3</c:v>
                </c:pt>
                <c:pt idx="47">
                  <c:v>-3</c:v>
                </c:pt>
                <c:pt idx="48">
                  <c:v>-2</c:v>
                </c:pt>
                <c:pt idx="49">
                  <c:v>-2</c:v>
                </c:pt>
                <c:pt idx="50">
                  <c:v>-2</c:v>
                </c:pt>
                <c:pt idx="51">
                  <c:v>-2</c:v>
                </c:pt>
                <c:pt idx="52">
                  <c:v>-2</c:v>
                </c:pt>
                <c:pt idx="53">
                  <c:v>-2</c:v>
                </c:pt>
                <c:pt idx="54">
                  <c:v>-2</c:v>
                </c:pt>
                <c:pt idx="55">
                  <c:v>-2</c:v>
                </c:pt>
                <c:pt idx="56">
                  <c:v>-2</c:v>
                </c:pt>
                <c:pt idx="57">
                  <c:v>-2</c:v>
                </c:pt>
                <c:pt idx="58">
                  <c:v>-2</c:v>
                </c:pt>
                <c:pt idx="59">
                  <c:v>-2</c:v>
                </c:pt>
                <c:pt idx="60">
                  <c:v>-1</c:v>
                </c:pt>
                <c:pt idx="61">
                  <c:v>-1</c:v>
                </c:pt>
                <c:pt idx="62">
                  <c:v>-1</c:v>
                </c:pt>
                <c:pt idx="63">
                  <c:v>-1</c:v>
                </c:pt>
                <c:pt idx="64">
                  <c:v>-1</c:v>
                </c:pt>
                <c:pt idx="65">
                  <c:v>-1</c:v>
                </c:pt>
                <c:pt idx="66">
                  <c:v>-1</c:v>
                </c:pt>
                <c:pt idx="67">
                  <c:v>-1</c:v>
                </c:pt>
                <c:pt idx="68">
                  <c:v>-1</c:v>
                </c:pt>
                <c:pt idx="69">
                  <c:v>-1</c:v>
                </c:pt>
                <c:pt idx="70">
                  <c:v>-1</c:v>
                </c:pt>
                <c:pt idx="71">
                  <c:v>-1</c:v>
                </c:pt>
                <c:pt idx="72">
                  <c:v>0</c:v>
                </c:pt>
                <c:pt idx="73">
                  <c:v>0</c:v>
                </c:pt>
                <c:pt idx="74">
                  <c:v>0</c:v>
                </c:pt>
                <c:pt idx="75">
                  <c:v>0</c:v>
                </c:pt>
                <c:pt idx="76">
                  <c:v>0</c:v>
                </c:pt>
                <c:pt idx="77">
                  <c:v>0</c:v>
                </c:pt>
                <c:pt idx="78">
                  <c:v>0</c:v>
                </c:pt>
                <c:pt idx="79">
                  <c:v>0</c:v>
                </c:pt>
                <c:pt idx="80">
                  <c:v>0</c:v>
                </c:pt>
                <c:pt idx="81">
                  <c:v>0</c:v>
                </c:pt>
                <c:pt idx="82">
                  <c:v>0</c:v>
                </c:pt>
                <c:pt idx="83">
                  <c:v>0</c:v>
                </c:pt>
                <c:pt idx="84">
                  <c:v>1</c:v>
                </c:pt>
                <c:pt idx="85">
                  <c:v>1</c:v>
                </c:pt>
                <c:pt idx="86">
                  <c:v>1</c:v>
                </c:pt>
                <c:pt idx="87">
                  <c:v>1</c:v>
                </c:pt>
                <c:pt idx="88">
                  <c:v>1</c:v>
                </c:pt>
                <c:pt idx="89">
                  <c:v>1</c:v>
                </c:pt>
                <c:pt idx="90">
                  <c:v>1</c:v>
                </c:pt>
                <c:pt idx="91">
                  <c:v>1</c:v>
                </c:pt>
                <c:pt idx="92">
                  <c:v>1</c:v>
                </c:pt>
                <c:pt idx="93">
                  <c:v>1</c:v>
                </c:pt>
                <c:pt idx="94">
                  <c:v>1</c:v>
                </c:pt>
                <c:pt idx="95">
                  <c:v>1</c:v>
                </c:pt>
                <c:pt idx="96">
                  <c:v>2</c:v>
                </c:pt>
                <c:pt idx="97">
                  <c:v>2</c:v>
                </c:pt>
                <c:pt idx="98">
                  <c:v>2</c:v>
                </c:pt>
                <c:pt idx="99">
                  <c:v>2</c:v>
                </c:pt>
                <c:pt idx="100">
                  <c:v>2</c:v>
                </c:pt>
                <c:pt idx="101">
                  <c:v>2</c:v>
                </c:pt>
                <c:pt idx="102">
                  <c:v>2</c:v>
                </c:pt>
                <c:pt idx="103">
                  <c:v>2</c:v>
                </c:pt>
                <c:pt idx="104">
                  <c:v>2</c:v>
                </c:pt>
                <c:pt idx="105">
                  <c:v>2</c:v>
                </c:pt>
                <c:pt idx="106">
                  <c:v>2</c:v>
                </c:pt>
                <c:pt idx="107">
                  <c:v>2</c:v>
                </c:pt>
                <c:pt idx="108">
                  <c:v>3</c:v>
                </c:pt>
                <c:pt idx="109">
                  <c:v>3</c:v>
                </c:pt>
                <c:pt idx="110">
                  <c:v>3</c:v>
                </c:pt>
                <c:pt idx="111">
                  <c:v>3</c:v>
                </c:pt>
                <c:pt idx="112">
                  <c:v>3</c:v>
                </c:pt>
                <c:pt idx="113">
                  <c:v>3</c:v>
                </c:pt>
                <c:pt idx="114">
                  <c:v>3</c:v>
                </c:pt>
                <c:pt idx="115">
                  <c:v>3</c:v>
                </c:pt>
                <c:pt idx="116">
                  <c:v>3</c:v>
                </c:pt>
                <c:pt idx="117">
                  <c:v>3</c:v>
                </c:pt>
                <c:pt idx="118">
                  <c:v>3</c:v>
                </c:pt>
                <c:pt idx="119">
                  <c:v>3</c:v>
                </c:pt>
                <c:pt idx="120">
                  <c:v>4</c:v>
                </c:pt>
                <c:pt idx="121">
                  <c:v>4</c:v>
                </c:pt>
                <c:pt idx="122">
                  <c:v>4</c:v>
                </c:pt>
                <c:pt idx="123">
                  <c:v>4</c:v>
                </c:pt>
                <c:pt idx="124">
                  <c:v>4</c:v>
                </c:pt>
                <c:pt idx="125">
                  <c:v>4</c:v>
                </c:pt>
                <c:pt idx="126">
                  <c:v>4</c:v>
                </c:pt>
                <c:pt idx="127">
                  <c:v>4</c:v>
                </c:pt>
                <c:pt idx="128">
                  <c:v>4</c:v>
                </c:pt>
                <c:pt idx="129">
                  <c:v>4</c:v>
                </c:pt>
                <c:pt idx="130">
                  <c:v>4</c:v>
                </c:pt>
                <c:pt idx="131">
                  <c:v>4</c:v>
                </c:pt>
                <c:pt idx="132">
                  <c:v>5</c:v>
                </c:pt>
                <c:pt idx="133">
                  <c:v>5</c:v>
                </c:pt>
                <c:pt idx="134">
                  <c:v>5</c:v>
                </c:pt>
                <c:pt idx="135">
                  <c:v>5</c:v>
                </c:pt>
                <c:pt idx="136">
                  <c:v>5</c:v>
                </c:pt>
                <c:pt idx="137">
                  <c:v>5</c:v>
                </c:pt>
                <c:pt idx="138">
                  <c:v>5</c:v>
                </c:pt>
                <c:pt idx="139">
                  <c:v>5</c:v>
                </c:pt>
                <c:pt idx="140">
                  <c:v>5</c:v>
                </c:pt>
                <c:pt idx="141">
                  <c:v>5</c:v>
                </c:pt>
                <c:pt idx="142">
                  <c:v>5</c:v>
                </c:pt>
                <c:pt idx="143">
                  <c:v>5</c:v>
                </c:pt>
              </c:numCache>
            </c:numRef>
          </c:cat>
          <c:val>
            <c:numRef>
              <c:f>'Simulation of changes in soil C'!$AA$19:$AA$162</c:f>
              <c:numCache>
                <c:formatCode>0.00</c:formatCode>
                <c:ptCount val="144"/>
                <c:pt idx="0">
                  <c:v>40.239630716105481</c:v>
                </c:pt>
                <c:pt idx="1">
                  <c:v>40.239285635714367</c:v>
                </c:pt>
                <c:pt idx="2">
                  <c:v>40.239213626152228</c:v>
                </c:pt>
                <c:pt idx="3">
                  <c:v>40.239123298484735</c:v>
                </c:pt>
                <c:pt idx="4">
                  <c:v>40.238216895377292</c:v>
                </c:pt>
                <c:pt idx="5">
                  <c:v>40.230172510939759</c:v>
                </c:pt>
                <c:pt idx="6">
                  <c:v>40.204563813458215</c:v>
                </c:pt>
                <c:pt idx="7">
                  <c:v>40.179259258808699</c:v>
                </c:pt>
                <c:pt idx="8">
                  <c:v>40.156629361422631</c:v>
                </c:pt>
                <c:pt idx="9">
                  <c:v>40.141032414844631</c:v>
                </c:pt>
                <c:pt idx="10">
                  <c:v>40.129322566083296</c:v>
                </c:pt>
                <c:pt idx="11">
                  <c:v>40.122899628261898</c:v>
                </c:pt>
                <c:pt idx="12">
                  <c:v>40.121144004242346</c:v>
                </c:pt>
                <c:pt idx="13">
                  <c:v>40.120971570348054</c:v>
                </c:pt>
                <c:pt idx="14">
                  <c:v>40.120968351252564</c:v>
                </c:pt>
                <c:pt idx="15">
                  <c:v>40.120934059793008</c:v>
                </c:pt>
                <c:pt idx="16">
                  <c:v>40.1210368562394</c:v>
                </c:pt>
                <c:pt idx="17">
                  <c:v>40.113269006427743</c:v>
                </c:pt>
                <c:pt idx="18">
                  <c:v>40.099077072437908</c:v>
                </c:pt>
                <c:pt idx="19">
                  <c:v>40.078767247028885</c:v>
                </c:pt>
                <c:pt idx="20">
                  <c:v>40.055086939969364</c:v>
                </c:pt>
                <c:pt idx="21">
                  <c:v>40.036057211176733</c:v>
                </c:pt>
                <c:pt idx="22">
                  <c:v>40.0163998046865</c:v>
                </c:pt>
                <c:pt idx="23">
                  <c:v>40.013358050979178</c:v>
                </c:pt>
                <c:pt idx="24">
                  <c:v>40.013115238415629</c:v>
                </c:pt>
                <c:pt idx="25">
                  <c:v>40.012971530761206</c:v>
                </c:pt>
                <c:pt idx="26">
                  <c:v>40.012917134513543</c:v>
                </c:pt>
                <c:pt idx="27">
                  <c:v>40.012911485982436</c:v>
                </c:pt>
                <c:pt idx="28">
                  <c:v>40.012177732544693</c:v>
                </c:pt>
                <c:pt idx="29">
                  <c:v>40.008521108422883</c:v>
                </c:pt>
                <c:pt idx="30">
                  <c:v>39.992765494736304</c:v>
                </c:pt>
                <c:pt idx="31">
                  <c:v>39.954141435317595</c:v>
                </c:pt>
                <c:pt idx="32">
                  <c:v>39.921627843681328</c:v>
                </c:pt>
                <c:pt idx="33">
                  <c:v>39.891397735171211</c:v>
                </c:pt>
                <c:pt idx="34">
                  <c:v>39.879238111415695</c:v>
                </c:pt>
                <c:pt idx="35">
                  <c:v>39.875753009872597</c:v>
                </c:pt>
                <c:pt idx="36">
                  <c:v>39.875343647233855</c:v>
                </c:pt>
                <c:pt idx="37">
                  <c:v>39.875342391920377</c:v>
                </c:pt>
                <c:pt idx="38">
                  <c:v>39.875273525744788</c:v>
                </c:pt>
                <c:pt idx="39">
                  <c:v>39.875188453146798</c:v>
                </c:pt>
                <c:pt idx="40">
                  <c:v>39.874098676132434</c:v>
                </c:pt>
                <c:pt idx="41">
                  <c:v>39.864309911558344</c:v>
                </c:pt>
                <c:pt idx="42">
                  <c:v>39.840154064634213</c:v>
                </c:pt>
                <c:pt idx="43">
                  <c:v>39.805253155221891</c:v>
                </c:pt>
                <c:pt idx="44">
                  <c:v>39.779254780959079</c:v>
                </c:pt>
                <c:pt idx="45">
                  <c:v>39.762989269229294</c:v>
                </c:pt>
                <c:pt idx="46">
                  <c:v>39.752283151795176</c:v>
                </c:pt>
                <c:pt idx="47">
                  <c:v>39.745791641044477</c:v>
                </c:pt>
                <c:pt idx="48">
                  <c:v>39.745518243756351</c:v>
                </c:pt>
                <c:pt idx="49">
                  <c:v>39.745469926533808</c:v>
                </c:pt>
                <c:pt idx="50">
                  <c:v>39.745390638492182</c:v>
                </c:pt>
                <c:pt idx="51">
                  <c:v>39.744863838110483</c:v>
                </c:pt>
                <c:pt idx="52">
                  <c:v>39.741460355111037</c:v>
                </c:pt>
                <c:pt idx="53">
                  <c:v>39.733043822864829</c:v>
                </c:pt>
                <c:pt idx="54">
                  <c:v>39.716250976198623</c:v>
                </c:pt>
                <c:pt idx="55">
                  <c:v>39.689109433576618</c:v>
                </c:pt>
                <c:pt idx="56">
                  <c:v>39.662509461945497</c:v>
                </c:pt>
                <c:pt idx="57">
                  <c:v>39.641000839210278</c:v>
                </c:pt>
                <c:pt idx="58">
                  <c:v>39.627445306638265</c:v>
                </c:pt>
                <c:pt idx="59">
                  <c:v>39.623734012342766</c:v>
                </c:pt>
                <c:pt idx="60">
                  <c:v>39.623539611211477</c:v>
                </c:pt>
                <c:pt idx="61">
                  <c:v>39.623530325619903</c:v>
                </c:pt>
                <c:pt idx="62">
                  <c:v>39.623516521211023</c:v>
                </c:pt>
                <c:pt idx="63">
                  <c:v>39.6234859415842</c:v>
                </c:pt>
                <c:pt idx="64">
                  <c:v>39.622772611758784</c:v>
                </c:pt>
                <c:pt idx="65">
                  <c:v>39.611834942669375</c:v>
                </c:pt>
                <c:pt idx="66">
                  <c:v>39.584019435482247</c:v>
                </c:pt>
                <c:pt idx="67">
                  <c:v>39.557135198376528</c:v>
                </c:pt>
                <c:pt idx="68">
                  <c:v>39.514681963427108</c:v>
                </c:pt>
                <c:pt idx="69">
                  <c:v>39.478937511349969</c:v>
                </c:pt>
                <c:pt idx="70">
                  <c:v>39.463552773128974</c:v>
                </c:pt>
                <c:pt idx="71">
                  <c:v>39.45598320739802</c:v>
                </c:pt>
                <c:pt idx="72">
                  <c:v>39.45598320739802</c:v>
                </c:pt>
                <c:pt idx="73">
                  <c:v>39.45598320739802</c:v>
                </c:pt>
                <c:pt idx="74">
                  <c:v>39.45598320739802</c:v>
                </c:pt>
                <c:pt idx="75">
                  <c:v>39.45598320739802</c:v>
                </c:pt>
                <c:pt idx="76">
                  <c:v>39.45598320739802</c:v>
                </c:pt>
                <c:pt idx="77">
                  <c:v>39.45598320739802</c:v>
                </c:pt>
                <c:pt idx="78">
                  <c:v>39.45598320739802</c:v>
                </c:pt>
                <c:pt idx="79">
                  <c:v>39.45598320739802</c:v>
                </c:pt>
                <c:pt idx="80">
                  <c:v>39.45598320739802</c:v>
                </c:pt>
                <c:pt idx="81">
                  <c:v>39.45598320739802</c:v>
                </c:pt>
                <c:pt idx="82">
                  <c:v>39.45598320739802</c:v>
                </c:pt>
                <c:pt idx="83">
                  <c:v>39.45598320739802</c:v>
                </c:pt>
                <c:pt idx="84">
                  <c:v>39.45598320739802</c:v>
                </c:pt>
                <c:pt idx="85">
                  <c:v>39.45598320739802</c:v>
                </c:pt>
                <c:pt idx="86">
                  <c:v>39.45598320739802</c:v>
                </c:pt>
                <c:pt idx="87">
                  <c:v>39.460125967024894</c:v>
                </c:pt>
                <c:pt idx="88">
                  <c:v>39.475308565582175</c:v>
                </c:pt>
                <c:pt idx="89">
                  <c:v>39.493776973896679</c:v>
                </c:pt>
                <c:pt idx="90">
                  <c:v>39.499183041252969</c:v>
                </c:pt>
                <c:pt idx="91">
                  <c:v>39.488987773074271</c:v>
                </c:pt>
                <c:pt idx="92">
                  <c:v>39.473006230002241</c:v>
                </c:pt>
                <c:pt idx="93">
                  <c:v>39.45863501600936</c:v>
                </c:pt>
                <c:pt idx="94">
                  <c:v>39.452599099232685</c:v>
                </c:pt>
                <c:pt idx="95">
                  <c:v>39.449890893590634</c:v>
                </c:pt>
                <c:pt idx="96">
                  <c:v>39.449482911867285</c:v>
                </c:pt>
                <c:pt idx="97">
                  <c:v>39.449427829029595</c:v>
                </c:pt>
                <c:pt idx="98">
                  <c:v>39.449455898029683</c:v>
                </c:pt>
                <c:pt idx="99">
                  <c:v>39.450102294479201</c:v>
                </c:pt>
                <c:pt idx="100">
                  <c:v>39.451066443618018</c:v>
                </c:pt>
                <c:pt idx="101">
                  <c:v>39.44925712542512</c:v>
                </c:pt>
                <c:pt idx="102">
                  <c:v>39.440856975499514</c:v>
                </c:pt>
                <c:pt idx="103">
                  <c:v>39.422284315877484</c:v>
                </c:pt>
                <c:pt idx="104">
                  <c:v>39.401728358757062</c:v>
                </c:pt>
                <c:pt idx="105">
                  <c:v>39.387837029861601</c:v>
                </c:pt>
                <c:pt idx="106">
                  <c:v>39.380012883005286</c:v>
                </c:pt>
                <c:pt idx="107">
                  <c:v>39.378822742581328</c:v>
                </c:pt>
                <c:pt idx="108">
                  <c:v>39.378445609012616</c:v>
                </c:pt>
                <c:pt idx="109">
                  <c:v>39.378423981212315</c:v>
                </c:pt>
                <c:pt idx="110">
                  <c:v>39.378436599675794</c:v>
                </c:pt>
                <c:pt idx="111">
                  <c:v>39.378689555415868</c:v>
                </c:pt>
                <c:pt idx="112">
                  <c:v>39.38043954327793</c:v>
                </c:pt>
                <c:pt idx="113">
                  <c:v>39.381723522563561</c:v>
                </c:pt>
                <c:pt idx="114">
                  <c:v>39.375408735823143</c:v>
                </c:pt>
                <c:pt idx="115">
                  <c:v>39.358364646013378</c:v>
                </c:pt>
                <c:pt idx="116">
                  <c:v>39.341789544050435</c:v>
                </c:pt>
                <c:pt idx="117">
                  <c:v>39.32955018995623</c:v>
                </c:pt>
                <c:pt idx="118">
                  <c:v>39.323033946598485</c:v>
                </c:pt>
                <c:pt idx="119">
                  <c:v>39.32199665687952</c:v>
                </c:pt>
                <c:pt idx="120">
                  <c:v>39.321901009984693</c:v>
                </c:pt>
                <c:pt idx="121">
                  <c:v>39.321898645667162</c:v>
                </c:pt>
                <c:pt idx="122">
                  <c:v>39.321901491095034</c:v>
                </c:pt>
                <c:pt idx="123">
                  <c:v>39.322003041310602</c:v>
                </c:pt>
                <c:pt idx="124">
                  <c:v>39.324204321886015</c:v>
                </c:pt>
                <c:pt idx="125">
                  <c:v>39.326748456237439</c:v>
                </c:pt>
                <c:pt idx="126">
                  <c:v>39.321605079202079</c:v>
                </c:pt>
                <c:pt idx="127">
                  <c:v>39.307821366160908</c:v>
                </c:pt>
                <c:pt idx="128">
                  <c:v>39.292295825031871</c:v>
                </c:pt>
                <c:pt idx="129">
                  <c:v>39.279170856718224</c:v>
                </c:pt>
                <c:pt idx="130">
                  <c:v>39.272244164207734</c:v>
                </c:pt>
                <c:pt idx="131">
                  <c:v>39.271223767786388</c:v>
                </c:pt>
                <c:pt idx="132">
                  <c:v>39.270973995606454</c:v>
                </c:pt>
                <c:pt idx="133">
                  <c:v>39.270973003934941</c:v>
                </c:pt>
                <c:pt idx="134">
                  <c:v>39.270973004028811</c:v>
                </c:pt>
                <c:pt idx="135">
                  <c:v>39.271095126419809</c:v>
                </c:pt>
                <c:pt idx="136">
                  <c:v>39.273336203584385</c:v>
                </c:pt>
                <c:pt idx="137">
                  <c:v>39.275140284007605</c:v>
                </c:pt>
                <c:pt idx="138">
                  <c:v>39.269301159003952</c:v>
                </c:pt>
                <c:pt idx="139">
                  <c:v>39.254958624696478</c:v>
                </c:pt>
                <c:pt idx="140">
                  <c:v>39.236196275691142</c:v>
                </c:pt>
                <c:pt idx="141">
                  <c:v>39.219368375950367</c:v>
                </c:pt>
                <c:pt idx="142">
                  <c:v>39.213754465368432</c:v>
                </c:pt>
                <c:pt idx="143">
                  <c:v>39.21111932460569</c:v>
                </c:pt>
              </c:numCache>
            </c:numRef>
          </c:val>
          <c:smooth val="0"/>
          <c:extLst>
            <c:ext xmlns:c16="http://schemas.microsoft.com/office/drawing/2014/chart" uri="{C3380CC4-5D6E-409C-BE32-E72D297353CC}">
              <c16:uniqueId val="{00000000-B889-47CB-A496-B125DAF8707F}"/>
            </c:ext>
          </c:extLst>
        </c:ser>
        <c:ser>
          <c:idx val="2"/>
          <c:order val="1"/>
          <c:tx>
            <c:v>IOM</c:v>
          </c:tx>
          <c:spPr>
            <a:ln w="38100">
              <a:solidFill>
                <a:schemeClr val="tx1"/>
              </a:solidFill>
            </a:ln>
          </c:spPr>
          <c:marker>
            <c:symbol val="none"/>
          </c:marker>
          <c:cat>
            <c:numRef>
              <c:f>'Simulation of changes in soil C'!$C$19:$C$162</c:f>
              <c:numCache>
                <c:formatCode>General</c:formatCode>
                <c:ptCount val="144"/>
                <c:pt idx="0">
                  <c:v>-6</c:v>
                </c:pt>
                <c:pt idx="1">
                  <c:v>-6</c:v>
                </c:pt>
                <c:pt idx="2">
                  <c:v>-6</c:v>
                </c:pt>
                <c:pt idx="3">
                  <c:v>-6</c:v>
                </c:pt>
                <c:pt idx="4">
                  <c:v>-6</c:v>
                </c:pt>
                <c:pt idx="5">
                  <c:v>-6</c:v>
                </c:pt>
                <c:pt idx="6">
                  <c:v>-6</c:v>
                </c:pt>
                <c:pt idx="7">
                  <c:v>-6</c:v>
                </c:pt>
                <c:pt idx="8">
                  <c:v>-6</c:v>
                </c:pt>
                <c:pt idx="9">
                  <c:v>-6</c:v>
                </c:pt>
                <c:pt idx="10">
                  <c:v>-6</c:v>
                </c:pt>
                <c:pt idx="11">
                  <c:v>-6</c:v>
                </c:pt>
                <c:pt idx="12">
                  <c:v>-5</c:v>
                </c:pt>
                <c:pt idx="13">
                  <c:v>-5</c:v>
                </c:pt>
                <c:pt idx="14">
                  <c:v>-5</c:v>
                </c:pt>
                <c:pt idx="15">
                  <c:v>-5</c:v>
                </c:pt>
                <c:pt idx="16">
                  <c:v>-5</c:v>
                </c:pt>
                <c:pt idx="17">
                  <c:v>-5</c:v>
                </c:pt>
                <c:pt idx="18">
                  <c:v>-5</c:v>
                </c:pt>
                <c:pt idx="19">
                  <c:v>-5</c:v>
                </c:pt>
                <c:pt idx="20">
                  <c:v>-5</c:v>
                </c:pt>
                <c:pt idx="21">
                  <c:v>-5</c:v>
                </c:pt>
                <c:pt idx="22">
                  <c:v>-5</c:v>
                </c:pt>
                <c:pt idx="23">
                  <c:v>-5</c:v>
                </c:pt>
                <c:pt idx="24">
                  <c:v>-4</c:v>
                </c:pt>
                <c:pt idx="25">
                  <c:v>-4</c:v>
                </c:pt>
                <c:pt idx="26">
                  <c:v>-4</c:v>
                </c:pt>
                <c:pt idx="27">
                  <c:v>-4</c:v>
                </c:pt>
                <c:pt idx="28">
                  <c:v>-4</c:v>
                </c:pt>
                <c:pt idx="29">
                  <c:v>-4</c:v>
                </c:pt>
                <c:pt idx="30">
                  <c:v>-4</c:v>
                </c:pt>
                <c:pt idx="31">
                  <c:v>-4</c:v>
                </c:pt>
                <c:pt idx="32">
                  <c:v>-4</c:v>
                </c:pt>
                <c:pt idx="33">
                  <c:v>-4</c:v>
                </c:pt>
                <c:pt idx="34">
                  <c:v>-4</c:v>
                </c:pt>
                <c:pt idx="35">
                  <c:v>-4</c:v>
                </c:pt>
                <c:pt idx="36">
                  <c:v>-3</c:v>
                </c:pt>
                <c:pt idx="37">
                  <c:v>-3</c:v>
                </c:pt>
                <c:pt idx="38">
                  <c:v>-3</c:v>
                </c:pt>
                <c:pt idx="39">
                  <c:v>-3</c:v>
                </c:pt>
                <c:pt idx="40">
                  <c:v>-3</c:v>
                </c:pt>
                <c:pt idx="41">
                  <c:v>-3</c:v>
                </c:pt>
                <c:pt idx="42">
                  <c:v>-3</c:v>
                </c:pt>
                <c:pt idx="43">
                  <c:v>-3</c:v>
                </c:pt>
                <c:pt idx="44">
                  <c:v>-3</c:v>
                </c:pt>
                <c:pt idx="45">
                  <c:v>-3</c:v>
                </c:pt>
                <c:pt idx="46">
                  <c:v>-3</c:v>
                </c:pt>
                <c:pt idx="47">
                  <c:v>-3</c:v>
                </c:pt>
                <c:pt idx="48">
                  <c:v>-2</c:v>
                </c:pt>
                <c:pt idx="49">
                  <c:v>-2</c:v>
                </c:pt>
                <c:pt idx="50">
                  <c:v>-2</c:v>
                </c:pt>
                <c:pt idx="51">
                  <c:v>-2</c:v>
                </c:pt>
                <c:pt idx="52">
                  <c:v>-2</c:v>
                </c:pt>
                <c:pt idx="53">
                  <c:v>-2</c:v>
                </c:pt>
                <c:pt idx="54">
                  <c:v>-2</c:v>
                </c:pt>
                <c:pt idx="55">
                  <c:v>-2</c:v>
                </c:pt>
                <c:pt idx="56">
                  <c:v>-2</c:v>
                </c:pt>
                <c:pt idx="57">
                  <c:v>-2</c:v>
                </c:pt>
                <c:pt idx="58">
                  <c:v>-2</c:v>
                </c:pt>
                <c:pt idx="59">
                  <c:v>-2</c:v>
                </c:pt>
                <c:pt idx="60">
                  <c:v>-1</c:v>
                </c:pt>
                <c:pt idx="61">
                  <c:v>-1</c:v>
                </c:pt>
                <c:pt idx="62">
                  <c:v>-1</c:v>
                </c:pt>
                <c:pt idx="63">
                  <c:v>-1</c:v>
                </c:pt>
                <c:pt idx="64">
                  <c:v>-1</c:v>
                </c:pt>
                <c:pt idx="65">
                  <c:v>-1</c:v>
                </c:pt>
                <c:pt idx="66">
                  <c:v>-1</c:v>
                </c:pt>
                <c:pt idx="67">
                  <c:v>-1</c:v>
                </c:pt>
                <c:pt idx="68">
                  <c:v>-1</c:v>
                </c:pt>
                <c:pt idx="69">
                  <c:v>-1</c:v>
                </c:pt>
                <c:pt idx="70">
                  <c:v>-1</c:v>
                </c:pt>
                <c:pt idx="71">
                  <c:v>-1</c:v>
                </c:pt>
                <c:pt idx="72">
                  <c:v>0</c:v>
                </c:pt>
                <c:pt idx="73">
                  <c:v>0</c:v>
                </c:pt>
                <c:pt idx="74">
                  <c:v>0</c:v>
                </c:pt>
                <c:pt idx="75">
                  <c:v>0</c:v>
                </c:pt>
                <c:pt idx="76">
                  <c:v>0</c:v>
                </c:pt>
                <c:pt idx="77">
                  <c:v>0</c:v>
                </c:pt>
                <c:pt idx="78">
                  <c:v>0</c:v>
                </c:pt>
                <c:pt idx="79">
                  <c:v>0</c:v>
                </c:pt>
                <c:pt idx="80">
                  <c:v>0</c:v>
                </c:pt>
                <c:pt idx="81">
                  <c:v>0</c:v>
                </c:pt>
                <c:pt idx="82">
                  <c:v>0</c:v>
                </c:pt>
                <c:pt idx="83">
                  <c:v>0</c:v>
                </c:pt>
                <c:pt idx="84">
                  <c:v>1</c:v>
                </c:pt>
                <c:pt idx="85">
                  <c:v>1</c:v>
                </c:pt>
                <c:pt idx="86">
                  <c:v>1</c:v>
                </c:pt>
                <c:pt idx="87">
                  <c:v>1</c:v>
                </c:pt>
                <c:pt idx="88">
                  <c:v>1</c:v>
                </c:pt>
                <c:pt idx="89">
                  <c:v>1</c:v>
                </c:pt>
                <c:pt idx="90">
                  <c:v>1</c:v>
                </c:pt>
                <c:pt idx="91">
                  <c:v>1</c:v>
                </c:pt>
                <c:pt idx="92">
                  <c:v>1</c:v>
                </c:pt>
                <c:pt idx="93">
                  <c:v>1</c:v>
                </c:pt>
                <c:pt idx="94">
                  <c:v>1</c:v>
                </c:pt>
                <c:pt idx="95">
                  <c:v>1</c:v>
                </c:pt>
                <c:pt idx="96">
                  <c:v>2</c:v>
                </c:pt>
                <c:pt idx="97">
                  <c:v>2</c:v>
                </c:pt>
                <c:pt idx="98">
                  <c:v>2</c:v>
                </c:pt>
                <c:pt idx="99">
                  <c:v>2</c:v>
                </c:pt>
                <c:pt idx="100">
                  <c:v>2</c:v>
                </c:pt>
                <c:pt idx="101">
                  <c:v>2</c:v>
                </c:pt>
                <c:pt idx="102">
                  <c:v>2</c:v>
                </c:pt>
                <c:pt idx="103">
                  <c:v>2</c:v>
                </c:pt>
                <c:pt idx="104">
                  <c:v>2</c:v>
                </c:pt>
                <c:pt idx="105">
                  <c:v>2</c:v>
                </c:pt>
                <c:pt idx="106">
                  <c:v>2</c:v>
                </c:pt>
                <c:pt idx="107">
                  <c:v>2</c:v>
                </c:pt>
                <c:pt idx="108">
                  <c:v>3</c:v>
                </c:pt>
                <c:pt idx="109">
                  <c:v>3</c:v>
                </c:pt>
                <c:pt idx="110">
                  <c:v>3</c:v>
                </c:pt>
                <c:pt idx="111">
                  <c:v>3</c:v>
                </c:pt>
                <c:pt idx="112">
                  <c:v>3</c:v>
                </c:pt>
                <c:pt idx="113">
                  <c:v>3</c:v>
                </c:pt>
                <c:pt idx="114">
                  <c:v>3</c:v>
                </c:pt>
                <c:pt idx="115">
                  <c:v>3</c:v>
                </c:pt>
                <c:pt idx="116">
                  <c:v>3</c:v>
                </c:pt>
                <c:pt idx="117">
                  <c:v>3</c:v>
                </c:pt>
                <c:pt idx="118">
                  <c:v>3</c:v>
                </c:pt>
                <c:pt idx="119">
                  <c:v>3</c:v>
                </c:pt>
                <c:pt idx="120">
                  <c:v>4</c:v>
                </c:pt>
                <c:pt idx="121">
                  <c:v>4</c:v>
                </c:pt>
                <c:pt idx="122">
                  <c:v>4</c:v>
                </c:pt>
                <c:pt idx="123">
                  <c:v>4</c:v>
                </c:pt>
                <c:pt idx="124">
                  <c:v>4</c:v>
                </c:pt>
                <c:pt idx="125">
                  <c:v>4</c:v>
                </c:pt>
                <c:pt idx="126">
                  <c:v>4</c:v>
                </c:pt>
                <c:pt idx="127">
                  <c:v>4</c:v>
                </c:pt>
                <c:pt idx="128">
                  <c:v>4</c:v>
                </c:pt>
                <c:pt idx="129">
                  <c:v>4</c:v>
                </c:pt>
                <c:pt idx="130">
                  <c:v>4</c:v>
                </c:pt>
                <c:pt idx="131">
                  <c:v>4</c:v>
                </c:pt>
                <c:pt idx="132">
                  <c:v>5</c:v>
                </c:pt>
                <c:pt idx="133">
                  <c:v>5</c:v>
                </c:pt>
                <c:pt idx="134">
                  <c:v>5</c:v>
                </c:pt>
                <c:pt idx="135">
                  <c:v>5</c:v>
                </c:pt>
                <c:pt idx="136">
                  <c:v>5</c:v>
                </c:pt>
                <c:pt idx="137">
                  <c:v>5</c:v>
                </c:pt>
                <c:pt idx="138">
                  <c:v>5</c:v>
                </c:pt>
                <c:pt idx="139">
                  <c:v>5</c:v>
                </c:pt>
                <c:pt idx="140">
                  <c:v>5</c:v>
                </c:pt>
                <c:pt idx="141">
                  <c:v>5</c:v>
                </c:pt>
                <c:pt idx="142">
                  <c:v>5</c:v>
                </c:pt>
                <c:pt idx="143">
                  <c:v>5</c:v>
                </c:pt>
              </c:numCache>
            </c:numRef>
          </c:cat>
          <c:val>
            <c:numRef>
              <c:f>'Simulation of changes in soil C'!$AE$19:$AE$162</c:f>
              <c:numCache>
                <c:formatCode>0.00</c:formatCode>
                <c:ptCount val="144"/>
                <c:pt idx="0">
                  <c:v>6.3847072090583081</c:v>
                </c:pt>
                <c:pt idx="1">
                  <c:v>6.3847072090583081</c:v>
                </c:pt>
                <c:pt idx="2">
                  <c:v>6.3847072090583081</c:v>
                </c:pt>
                <c:pt idx="3">
                  <c:v>6.3847072090583081</c:v>
                </c:pt>
                <c:pt idx="4">
                  <c:v>6.3847072090583081</c:v>
                </c:pt>
                <c:pt idx="5">
                  <c:v>6.3847072090583081</c:v>
                </c:pt>
                <c:pt idx="6">
                  <c:v>6.3847072090583081</c:v>
                </c:pt>
                <c:pt idx="7">
                  <c:v>6.3847072090583081</c:v>
                </c:pt>
                <c:pt idx="8">
                  <c:v>6.3847072090583081</c:v>
                </c:pt>
                <c:pt idx="9">
                  <c:v>6.3847072090583081</c:v>
                </c:pt>
                <c:pt idx="10">
                  <c:v>6.3847072090583081</c:v>
                </c:pt>
                <c:pt idx="11">
                  <c:v>6.3847072090583081</c:v>
                </c:pt>
                <c:pt idx="12">
                  <c:v>6.3847072090583081</c:v>
                </c:pt>
                <c:pt idx="13">
                  <c:v>6.3847072090583081</c:v>
                </c:pt>
                <c:pt idx="14">
                  <c:v>6.3847072090583081</c:v>
                </c:pt>
                <c:pt idx="15">
                  <c:v>6.3847072090583081</c:v>
                </c:pt>
                <c:pt idx="16">
                  <c:v>6.3847072090583081</c:v>
                </c:pt>
                <c:pt idx="17">
                  <c:v>6.3847072090583081</c:v>
                </c:pt>
                <c:pt idx="18">
                  <c:v>6.3847072090583081</c:v>
                </c:pt>
                <c:pt idx="19">
                  <c:v>6.3847072090583081</c:v>
                </c:pt>
                <c:pt idx="20">
                  <c:v>6.3847072090583081</c:v>
                </c:pt>
                <c:pt idx="21">
                  <c:v>6.3847072090583081</c:v>
                </c:pt>
                <c:pt idx="22">
                  <c:v>6.3847072090583081</c:v>
                </c:pt>
                <c:pt idx="23">
                  <c:v>6.3847072090583081</c:v>
                </c:pt>
                <c:pt idx="24">
                  <c:v>6.3847072090583081</c:v>
                </c:pt>
                <c:pt idx="25">
                  <c:v>6.3847072090583081</c:v>
                </c:pt>
                <c:pt idx="26">
                  <c:v>6.3847072090583081</c:v>
                </c:pt>
                <c:pt idx="27">
                  <c:v>6.3847072090583081</c:v>
                </c:pt>
                <c:pt idx="28">
                  <c:v>6.3847072090583081</c:v>
                </c:pt>
                <c:pt idx="29">
                  <c:v>6.3847072090583081</c:v>
                </c:pt>
                <c:pt idx="30">
                  <c:v>6.3847072090583081</c:v>
                </c:pt>
                <c:pt idx="31">
                  <c:v>6.3847072090583081</c:v>
                </c:pt>
                <c:pt idx="32">
                  <c:v>6.3847072090583081</c:v>
                </c:pt>
                <c:pt idx="33">
                  <c:v>6.3847072090583081</c:v>
                </c:pt>
                <c:pt idx="34">
                  <c:v>6.3847072090583081</c:v>
                </c:pt>
                <c:pt idx="35">
                  <c:v>6.3847072090583081</c:v>
                </c:pt>
                <c:pt idx="36">
                  <c:v>6.3847072090583081</c:v>
                </c:pt>
                <c:pt idx="37">
                  <c:v>6.3847072090583081</c:v>
                </c:pt>
                <c:pt idx="38">
                  <c:v>6.3847072090583081</c:v>
                </c:pt>
                <c:pt idx="39">
                  <c:v>6.3847072090583081</c:v>
                </c:pt>
                <c:pt idx="40">
                  <c:v>6.3847072090583081</c:v>
                </c:pt>
                <c:pt idx="41">
                  <c:v>6.3847072090583081</c:v>
                </c:pt>
                <c:pt idx="42">
                  <c:v>6.3847072090583081</c:v>
                </c:pt>
                <c:pt idx="43">
                  <c:v>6.3847072090583081</c:v>
                </c:pt>
                <c:pt idx="44">
                  <c:v>6.3847072090583081</c:v>
                </c:pt>
                <c:pt idx="45">
                  <c:v>6.3847072090583081</c:v>
                </c:pt>
                <c:pt idx="46">
                  <c:v>6.3847072090583081</c:v>
                </c:pt>
                <c:pt idx="47">
                  <c:v>6.3847072090583081</c:v>
                </c:pt>
                <c:pt idx="48">
                  <c:v>6.3847072090583081</c:v>
                </c:pt>
                <c:pt idx="49">
                  <c:v>6.3847072090583081</c:v>
                </c:pt>
                <c:pt idx="50">
                  <c:v>6.3847072090583081</c:v>
                </c:pt>
                <c:pt idx="51">
                  <c:v>6.3847072090583081</c:v>
                </c:pt>
                <c:pt idx="52">
                  <c:v>6.3847072090583081</c:v>
                </c:pt>
                <c:pt idx="53">
                  <c:v>6.3847072090583081</c:v>
                </c:pt>
                <c:pt idx="54">
                  <c:v>6.3847072090583081</c:v>
                </c:pt>
                <c:pt idx="55">
                  <c:v>6.3847072090583081</c:v>
                </c:pt>
                <c:pt idx="56">
                  <c:v>6.3847072090583081</c:v>
                </c:pt>
                <c:pt idx="57">
                  <c:v>6.3847072090583081</c:v>
                </c:pt>
                <c:pt idx="58">
                  <c:v>6.3847072090583081</c:v>
                </c:pt>
                <c:pt idx="59">
                  <c:v>6.3847072090583081</c:v>
                </c:pt>
                <c:pt idx="60">
                  <c:v>6.3847072090583081</c:v>
                </c:pt>
                <c:pt idx="61">
                  <c:v>6.3847072090583081</c:v>
                </c:pt>
                <c:pt idx="62">
                  <c:v>6.3847072090583081</c:v>
                </c:pt>
                <c:pt idx="63">
                  <c:v>6.3847072090583081</c:v>
                </c:pt>
                <c:pt idx="64">
                  <c:v>6.3847072090583081</c:v>
                </c:pt>
                <c:pt idx="65">
                  <c:v>6.3847072090583081</c:v>
                </c:pt>
                <c:pt idx="66">
                  <c:v>6.3847072090583081</c:v>
                </c:pt>
                <c:pt idx="67">
                  <c:v>6.3847072090583081</c:v>
                </c:pt>
                <c:pt idx="68">
                  <c:v>6.3847072090583081</c:v>
                </c:pt>
                <c:pt idx="69">
                  <c:v>6.3847072090583081</c:v>
                </c:pt>
                <c:pt idx="70">
                  <c:v>6.3847072090583081</c:v>
                </c:pt>
                <c:pt idx="71">
                  <c:v>6.3847072090583081</c:v>
                </c:pt>
                <c:pt idx="72">
                  <c:v>6.3847072090583081</c:v>
                </c:pt>
                <c:pt idx="73">
                  <c:v>6.3847072090583081</c:v>
                </c:pt>
                <c:pt idx="74">
                  <c:v>6.3847072090583081</c:v>
                </c:pt>
                <c:pt idx="75">
                  <c:v>6.3847072090583081</c:v>
                </c:pt>
                <c:pt idx="76">
                  <c:v>6.3847072090583081</c:v>
                </c:pt>
                <c:pt idx="77">
                  <c:v>6.3847072090583081</c:v>
                </c:pt>
                <c:pt idx="78">
                  <c:v>6.3847072090583081</c:v>
                </c:pt>
                <c:pt idx="79">
                  <c:v>6.3847072090583081</c:v>
                </c:pt>
                <c:pt idx="80">
                  <c:v>6.3847072090583081</c:v>
                </c:pt>
                <c:pt idx="81">
                  <c:v>6.3847072090583081</c:v>
                </c:pt>
                <c:pt idx="82">
                  <c:v>6.3847072090583081</c:v>
                </c:pt>
                <c:pt idx="83">
                  <c:v>6.3847072090583081</c:v>
                </c:pt>
                <c:pt idx="84">
                  <c:v>6.3847072090583081</c:v>
                </c:pt>
                <c:pt idx="85">
                  <c:v>6.3847072090583081</c:v>
                </c:pt>
                <c:pt idx="86">
                  <c:v>6.3847072090583081</c:v>
                </c:pt>
                <c:pt idx="87">
                  <c:v>6.3847072090583081</c:v>
                </c:pt>
                <c:pt idx="88">
                  <c:v>6.3847072090583081</c:v>
                </c:pt>
                <c:pt idx="89">
                  <c:v>6.3847072090583081</c:v>
                </c:pt>
                <c:pt idx="90">
                  <c:v>6.3847072090583081</c:v>
                </c:pt>
                <c:pt idx="91">
                  <c:v>6.3847072090583081</c:v>
                </c:pt>
                <c:pt idx="92">
                  <c:v>6.3847072090583081</c:v>
                </c:pt>
                <c:pt idx="93">
                  <c:v>6.3847072090583081</c:v>
                </c:pt>
                <c:pt idx="94">
                  <c:v>6.3847072090583081</c:v>
                </c:pt>
                <c:pt idx="95">
                  <c:v>6.3847072090583081</c:v>
                </c:pt>
                <c:pt idx="96">
                  <c:v>6.3847072090583081</c:v>
                </c:pt>
                <c:pt idx="97">
                  <c:v>6.3847072090583081</c:v>
                </c:pt>
                <c:pt idx="98">
                  <c:v>6.3847072090583081</c:v>
                </c:pt>
                <c:pt idx="99">
                  <c:v>6.3847072090583081</c:v>
                </c:pt>
                <c:pt idx="100">
                  <c:v>6.3847072090583081</c:v>
                </c:pt>
                <c:pt idx="101">
                  <c:v>6.3847072090583081</c:v>
                </c:pt>
                <c:pt idx="102">
                  <c:v>6.3847072090583081</c:v>
                </c:pt>
                <c:pt idx="103">
                  <c:v>6.3847072090583081</c:v>
                </c:pt>
                <c:pt idx="104">
                  <c:v>6.3847072090583081</c:v>
                </c:pt>
                <c:pt idx="105">
                  <c:v>6.3847072090583081</c:v>
                </c:pt>
                <c:pt idx="106">
                  <c:v>6.3847072090583081</c:v>
                </c:pt>
                <c:pt idx="107">
                  <c:v>6.3847072090583081</c:v>
                </c:pt>
                <c:pt idx="108">
                  <c:v>6.3847072090583081</c:v>
                </c:pt>
                <c:pt idx="109">
                  <c:v>6.3847072090583081</c:v>
                </c:pt>
                <c:pt idx="110">
                  <c:v>6.3847072090583081</c:v>
                </c:pt>
                <c:pt idx="111">
                  <c:v>6.3847072090583081</c:v>
                </c:pt>
                <c:pt idx="112">
                  <c:v>6.3847072090583081</c:v>
                </c:pt>
                <c:pt idx="113">
                  <c:v>6.3847072090583081</c:v>
                </c:pt>
                <c:pt idx="114">
                  <c:v>6.3847072090583081</c:v>
                </c:pt>
                <c:pt idx="115">
                  <c:v>6.3847072090583081</c:v>
                </c:pt>
                <c:pt idx="116">
                  <c:v>6.3847072090583081</c:v>
                </c:pt>
                <c:pt idx="117">
                  <c:v>6.3847072090583081</c:v>
                </c:pt>
                <c:pt idx="118">
                  <c:v>6.3847072090583081</c:v>
                </c:pt>
                <c:pt idx="119">
                  <c:v>6.3847072090583081</c:v>
                </c:pt>
                <c:pt idx="120">
                  <c:v>6.3847072090583081</c:v>
                </c:pt>
                <c:pt idx="121">
                  <c:v>6.3847072090583081</c:v>
                </c:pt>
                <c:pt idx="122">
                  <c:v>6.3847072090583081</c:v>
                </c:pt>
                <c:pt idx="123">
                  <c:v>6.3847072090583081</c:v>
                </c:pt>
                <c:pt idx="124">
                  <c:v>6.3847072090583081</c:v>
                </c:pt>
                <c:pt idx="125">
                  <c:v>6.3847072090583081</c:v>
                </c:pt>
                <c:pt idx="126">
                  <c:v>6.3847072090583081</c:v>
                </c:pt>
                <c:pt idx="127">
                  <c:v>6.3847072090583081</c:v>
                </c:pt>
                <c:pt idx="128">
                  <c:v>6.3847072090583081</c:v>
                </c:pt>
                <c:pt idx="129">
                  <c:v>6.3847072090583081</c:v>
                </c:pt>
                <c:pt idx="130">
                  <c:v>6.3847072090583081</c:v>
                </c:pt>
                <c:pt idx="131">
                  <c:v>6.3847072090583081</c:v>
                </c:pt>
                <c:pt idx="132">
                  <c:v>6.3847072090583081</c:v>
                </c:pt>
                <c:pt idx="133">
                  <c:v>6.3847072090583081</c:v>
                </c:pt>
                <c:pt idx="134">
                  <c:v>6.3847072090583081</c:v>
                </c:pt>
                <c:pt idx="135">
                  <c:v>6.3847072090583081</c:v>
                </c:pt>
                <c:pt idx="136">
                  <c:v>6.3847072090583081</c:v>
                </c:pt>
                <c:pt idx="137">
                  <c:v>6.3847072090583081</c:v>
                </c:pt>
                <c:pt idx="138">
                  <c:v>6.3847072090583081</c:v>
                </c:pt>
                <c:pt idx="139">
                  <c:v>6.3847072090583081</c:v>
                </c:pt>
                <c:pt idx="140">
                  <c:v>6.3847072090583081</c:v>
                </c:pt>
                <c:pt idx="141">
                  <c:v>6.3847072090583081</c:v>
                </c:pt>
                <c:pt idx="142">
                  <c:v>6.3847072090583081</c:v>
                </c:pt>
                <c:pt idx="143">
                  <c:v>6.3847072090583081</c:v>
                </c:pt>
              </c:numCache>
            </c:numRef>
          </c:val>
          <c:smooth val="0"/>
          <c:extLst>
            <c:ext xmlns:c16="http://schemas.microsoft.com/office/drawing/2014/chart" uri="{C3380CC4-5D6E-409C-BE32-E72D297353CC}">
              <c16:uniqueId val="{00000001-B889-47CB-A496-B125DAF8707F}"/>
            </c:ext>
          </c:extLst>
        </c:ser>
        <c:dLbls>
          <c:showLegendKey val="0"/>
          <c:showVal val="0"/>
          <c:showCatName val="0"/>
          <c:showSerName val="0"/>
          <c:showPercent val="0"/>
          <c:showBubbleSize val="0"/>
        </c:dLbls>
        <c:smooth val="0"/>
        <c:axId val="499834368"/>
        <c:axId val="499825744"/>
      </c:lineChart>
      <c:catAx>
        <c:axId val="499834368"/>
        <c:scaling>
          <c:orientation val="minMax"/>
        </c:scaling>
        <c:delete val="0"/>
        <c:axPos val="b"/>
        <c:title>
          <c:tx>
            <c:rich>
              <a:bodyPr/>
              <a:lstStyle/>
              <a:p>
                <a:pPr>
                  <a:defRPr/>
                </a:pPr>
                <a:r>
                  <a:rPr lang="en-GB"/>
                  <a:t>Year</a:t>
                </a:r>
              </a:p>
            </c:rich>
          </c:tx>
          <c:layout>
            <c:manualLayout>
              <c:xMode val="edge"/>
              <c:yMode val="edge"/>
              <c:x val="0.47705821390476766"/>
              <c:y val="0.87945921854107856"/>
            </c:manualLayout>
          </c:layout>
          <c:overlay val="0"/>
        </c:title>
        <c:numFmt formatCode="General" sourceLinked="1"/>
        <c:majorTickMark val="out"/>
        <c:minorTickMark val="none"/>
        <c:tickLblPos val="nextTo"/>
        <c:crossAx val="499825744"/>
        <c:crosses val="autoZero"/>
        <c:auto val="1"/>
        <c:lblAlgn val="ctr"/>
        <c:lblOffset val="100"/>
        <c:tickLblSkip val="24"/>
        <c:tickMarkSkip val="12"/>
        <c:noMultiLvlLbl val="0"/>
      </c:catAx>
      <c:valAx>
        <c:axId val="499825744"/>
        <c:scaling>
          <c:orientation val="minMax"/>
          <c:min val="0"/>
        </c:scaling>
        <c:delete val="0"/>
        <c:axPos val="l"/>
        <c:majorGridlines/>
        <c:title>
          <c:tx>
            <c:rich>
              <a:bodyPr rot="-5400000" vert="horz"/>
              <a:lstStyle/>
              <a:p>
                <a:pPr>
                  <a:defRPr/>
                </a:pPr>
                <a:r>
                  <a:rPr lang="en-US"/>
                  <a:t>Carbon (t ha</a:t>
                </a:r>
                <a:r>
                  <a:rPr lang="en-US" baseline="30000"/>
                  <a:t>-1</a:t>
                </a:r>
                <a:r>
                  <a:rPr lang="en-US"/>
                  <a:t>)</a:t>
                </a:r>
              </a:p>
            </c:rich>
          </c:tx>
          <c:layout>
            <c:manualLayout>
              <c:xMode val="edge"/>
              <c:yMode val="edge"/>
              <c:x val="8.2931399209277452E-3"/>
              <c:y val="0.26571848330279468"/>
            </c:manualLayout>
          </c:layout>
          <c:overlay val="0"/>
        </c:title>
        <c:numFmt formatCode="0" sourceLinked="0"/>
        <c:majorTickMark val="out"/>
        <c:minorTickMark val="none"/>
        <c:tickLblPos val="nextTo"/>
        <c:crossAx val="499834368"/>
        <c:crosses val="autoZero"/>
        <c:crossBetween val="between"/>
      </c:valAx>
      <c:spPr>
        <a:noFill/>
        <a:ln w="25400">
          <a:noFill/>
        </a:ln>
      </c:spPr>
    </c:plotArea>
    <c:legend>
      <c:legendPos val="b"/>
      <c:layout>
        <c:manualLayout>
          <c:xMode val="edge"/>
          <c:yMode val="edge"/>
          <c:x val="0.56584662033717503"/>
          <c:y val="0.91406367259225385"/>
          <c:w val="0.43415330151834047"/>
          <c:h val="8.5936327407746135E-2"/>
        </c:manualLayout>
      </c:layout>
      <c:overlay val="0"/>
    </c:legend>
    <c:plotVisOnly val="1"/>
    <c:dispBlanksAs val="gap"/>
    <c:showDLblsOverMax val="0"/>
  </c:chart>
  <c:spPr>
    <a:solidFill>
      <a:schemeClr val="bg1"/>
    </a:solidFill>
    <a:ln>
      <a:solidFill>
        <a:schemeClr val="tx1"/>
      </a:solidFill>
    </a:ln>
  </c:spPr>
  <c:txPr>
    <a:bodyPr/>
    <a:lstStyle/>
    <a:p>
      <a:pPr>
        <a:defRPr sz="1100" baseline="0">
          <a:latin typeface="Calibri" pitchFamily="34" charset="0"/>
        </a:defRPr>
      </a:pPr>
      <a:endParaRPr lang="en-US"/>
    </a:p>
  </c:txPr>
  <c:printSettings>
    <c:headerFooter/>
    <c:pageMargins b="0.75000000000000244" l="0.70000000000000062" r="0.70000000000000062" t="0.75000000000000244" header="0.30000000000000032" footer="0.30000000000000032"/>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556096189333563"/>
          <c:y val="0.13297710427705969"/>
          <c:w val="0.6976177242550563"/>
          <c:h val="0.67556645042011254"/>
        </c:manualLayout>
      </c:layout>
      <c:lineChart>
        <c:grouping val="standard"/>
        <c:varyColors val="0"/>
        <c:ser>
          <c:idx val="0"/>
          <c:order val="0"/>
          <c:tx>
            <c:v>Carbon dioxide</c:v>
          </c:tx>
          <c:spPr>
            <a:ln w="25400">
              <a:solidFill>
                <a:schemeClr val="tx1"/>
              </a:solidFill>
            </a:ln>
          </c:spPr>
          <c:marker>
            <c:symbol val="none"/>
          </c:marker>
          <c:cat>
            <c:numRef>
              <c:f>'Simulation of changes in soil C'!$C$19:$C$162</c:f>
              <c:numCache>
                <c:formatCode>General</c:formatCode>
                <c:ptCount val="144"/>
                <c:pt idx="0">
                  <c:v>-6</c:v>
                </c:pt>
                <c:pt idx="1">
                  <c:v>-6</c:v>
                </c:pt>
                <c:pt idx="2">
                  <c:v>-6</c:v>
                </c:pt>
                <c:pt idx="3">
                  <c:v>-6</c:v>
                </c:pt>
                <c:pt idx="4">
                  <c:v>-6</c:v>
                </c:pt>
                <c:pt idx="5">
                  <c:v>-6</c:v>
                </c:pt>
                <c:pt idx="6">
                  <c:v>-6</c:v>
                </c:pt>
                <c:pt idx="7">
                  <c:v>-6</c:v>
                </c:pt>
                <c:pt idx="8">
                  <c:v>-6</c:v>
                </c:pt>
                <c:pt idx="9">
                  <c:v>-6</c:v>
                </c:pt>
                <c:pt idx="10">
                  <c:v>-6</c:v>
                </c:pt>
                <c:pt idx="11">
                  <c:v>-6</c:v>
                </c:pt>
                <c:pt idx="12">
                  <c:v>-5</c:v>
                </c:pt>
                <c:pt idx="13">
                  <c:v>-5</c:v>
                </c:pt>
                <c:pt idx="14">
                  <c:v>-5</c:v>
                </c:pt>
                <c:pt idx="15">
                  <c:v>-5</c:v>
                </c:pt>
                <c:pt idx="16">
                  <c:v>-5</c:v>
                </c:pt>
                <c:pt idx="17">
                  <c:v>-5</c:v>
                </c:pt>
                <c:pt idx="18">
                  <c:v>-5</c:v>
                </c:pt>
                <c:pt idx="19">
                  <c:v>-5</c:v>
                </c:pt>
                <c:pt idx="20">
                  <c:v>-5</c:v>
                </c:pt>
                <c:pt idx="21">
                  <c:v>-5</c:v>
                </c:pt>
                <c:pt idx="22">
                  <c:v>-5</c:v>
                </c:pt>
                <c:pt idx="23">
                  <c:v>-5</c:v>
                </c:pt>
                <c:pt idx="24">
                  <c:v>-4</c:v>
                </c:pt>
                <c:pt idx="25">
                  <c:v>-4</c:v>
                </c:pt>
                <c:pt idx="26">
                  <c:v>-4</c:v>
                </c:pt>
                <c:pt idx="27">
                  <c:v>-4</c:v>
                </c:pt>
                <c:pt idx="28">
                  <c:v>-4</c:v>
                </c:pt>
                <c:pt idx="29">
                  <c:v>-4</c:v>
                </c:pt>
                <c:pt idx="30">
                  <c:v>-4</c:v>
                </c:pt>
                <c:pt idx="31">
                  <c:v>-4</c:v>
                </c:pt>
                <c:pt idx="32">
                  <c:v>-4</c:v>
                </c:pt>
                <c:pt idx="33">
                  <c:v>-4</c:v>
                </c:pt>
                <c:pt idx="34">
                  <c:v>-4</c:v>
                </c:pt>
                <c:pt idx="35">
                  <c:v>-4</c:v>
                </c:pt>
                <c:pt idx="36">
                  <c:v>-3</c:v>
                </c:pt>
                <c:pt idx="37">
                  <c:v>-3</c:v>
                </c:pt>
                <c:pt idx="38">
                  <c:v>-3</c:v>
                </c:pt>
                <c:pt idx="39">
                  <c:v>-3</c:v>
                </c:pt>
                <c:pt idx="40">
                  <c:v>-3</c:v>
                </c:pt>
                <c:pt idx="41">
                  <c:v>-3</c:v>
                </c:pt>
                <c:pt idx="42">
                  <c:v>-3</c:v>
                </c:pt>
                <c:pt idx="43">
                  <c:v>-3</c:v>
                </c:pt>
                <c:pt idx="44">
                  <c:v>-3</c:v>
                </c:pt>
                <c:pt idx="45">
                  <c:v>-3</c:v>
                </c:pt>
                <c:pt idx="46">
                  <c:v>-3</c:v>
                </c:pt>
                <c:pt idx="47">
                  <c:v>-3</c:v>
                </c:pt>
                <c:pt idx="48">
                  <c:v>-2</c:v>
                </c:pt>
                <c:pt idx="49">
                  <c:v>-2</c:v>
                </c:pt>
                <c:pt idx="50">
                  <c:v>-2</c:v>
                </c:pt>
                <c:pt idx="51">
                  <c:v>-2</c:v>
                </c:pt>
                <c:pt idx="52">
                  <c:v>-2</c:v>
                </c:pt>
                <c:pt idx="53">
                  <c:v>-2</c:v>
                </c:pt>
                <c:pt idx="54">
                  <c:v>-2</c:v>
                </c:pt>
                <c:pt idx="55">
                  <c:v>-2</c:v>
                </c:pt>
                <c:pt idx="56">
                  <c:v>-2</c:v>
                </c:pt>
                <c:pt idx="57">
                  <c:v>-2</c:v>
                </c:pt>
                <c:pt idx="58">
                  <c:v>-2</c:v>
                </c:pt>
                <c:pt idx="59">
                  <c:v>-2</c:v>
                </c:pt>
                <c:pt idx="60">
                  <c:v>-1</c:v>
                </c:pt>
                <c:pt idx="61">
                  <c:v>-1</c:v>
                </c:pt>
                <c:pt idx="62">
                  <c:v>-1</c:v>
                </c:pt>
                <c:pt idx="63">
                  <c:v>-1</c:v>
                </c:pt>
                <c:pt idx="64">
                  <c:v>-1</c:v>
                </c:pt>
                <c:pt idx="65">
                  <c:v>-1</c:v>
                </c:pt>
                <c:pt idx="66">
                  <c:v>-1</c:v>
                </c:pt>
                <c:pt idx="67">
                  <c:v>-1</c:v>
                </c:pt>
                <c:pt idx="68">
                  <c:v>-1</c:v>
                </c:pt>
                <c:pt idx="69">
                  <c:v>-1</c:v>
                </c:pt>
                <c:pt idx="70">
                  <c:v>-1</c:v>
                </c:pt>
                <c:pt idx="71">
                  <c:v>-1</c:v>
                </c:pt>
                <c:pt idx="72">
                  <c:v>0</c:v>
                </c:pt>
                <c:pt idx="73">
                  <c:v>0</c:v>
                </c:pt>
                <c:pt idx="74">
                  <c:v>0</c:v>
                </c:pt>
                <c:pt idx="75">
                  <c:v>0</c:v>
                </c:pt>
                <c:pt idx="76">
                  <c:v>0</c:v>
                </c:pt>
                <c:pt idx="77">
                  <c:v>0</c:v>
                </c:pt>
                <c:pt idx="78">
                  <c:v>0</c:v>
                </c:pt>
                <c:pt idx="79">
                  <c:v>0</c:v>
                </c:pt>
                <c:pt idx="80">
                  <c:v>0</c:v>
                </c:pt>
                <c:pt idx="81">
                  <c:v>0</c:v>
                </c:pt>
                <c:pt idx="82">
                  <c:v>0</c:v>
                </c:pt>
                <c:pt idx="83">
                  <c:v>0</c:v>
                </c:pt>
                <c:pt idx="84">
                  <c:v>1</c:v>
                </c:pt>
                <c:pt idx="85">
                  <c:v>1</c:v>
                </c:pt>
                <c:pt idx="86">
                  <c:v>1</c:v>
                </c:pt>
                <c:pt idx="87">
                  <c:v>1</c:v>
                </c:pt>
                <c:pt idx="88">
                  <c:v>1</c:v>
                </c:pt>
                <c:pt idx="89">
                  <c:v>1</c:v>
                </c:pt>
                <c:pt idx="90">
                  <c:v>1</c:v>
                </c:pt>
                <c:pt idx="91">
                  <c:v>1</c:v>
                </c:pt>
                <c:pt idx="92">
                  <c:v>1</c:v>
                </c:pt>
                <c:pt idx="93">
                  <c:v>1</c:v>
                </c:pt>
                <c:pt idx="94">
                  <c:v>1</c:v>
                </c:pt>
                <c:pt idx="95">
                  <c:v>1</c:v>
                </c:pt>
                <c:pt idx="96">
                  <c:v>2</c:v>
                </c:pt>
                <c:pt idx="97">
                  <c:v>2</c:v>
                </c:pt>
                <c:pt idx="98">
                  <c:v>2</c:v>
                </c:pt>
                <c:pt idx="99">
                  <c:v>2</c:v>
                </c:pt>
                <c:pt idx="100">
                  <c:v>2</c:v>
                </c:pt>
                <c:pt idx="101">
                  <c:v>2</c:v>
                </c:pt>
                <c:pt idx="102">
                  <c:v>2</c:v>
                </c:pt>
                <c:pt idx="103">
                  <c:v>2</c:v>
                </c:pt>
                <c:pt idx="104">
                  <c:v>2</c:v>
                </c:pt>
                <c:pt idx="105">
                  <c:v>2</c:v>
                </c:pt>
                <c:pt idx="106">
                  <c:v>2</c:v>
                </c:pt>
                <c:pt idx="107">
                  <c:v>2</c:v>
                </c:pt>
                <c:pt idx="108">
                  <c:v>3</c:v>
                </c:pt>
                <c:pt idx="109">
                  <c:v>3</c:v>
                </c:pt>
                <c:pt idx="110">
                  <c:v>3</c:v>
                </c:pt>
                <c:pt idx="111">
                  <c:v>3</c:v>
                </c:pt>
                <c:pt idx="112">
                  <c:v>3</c:v>
                </c:pt>
                <c:pt idx="113">
                  <c:v>3</c:v>
                </c:pt>
                <c:pt idx="114">
                  <c:v>3</c:v>
                </c:pt>
                <c:pt idx="115">
                  <c:v>3</c:v>
                </c:pt>
                <c:pt idx="116">
                  <c:v>3</c:v>
                </c:pt>
                <c:pt idx="117">
                  <c:v>3</c:v>
                </c:pt>
                <c:pt idx="118">
                  <c:v>3</c:v>
                </c:pt>
                <c:pt idx="119">
                  <c:v>3</c:v>
                </c:pt>
                <c:pt idx="120">
                  <c:v>4</c:v>
                </c:pt>
                <c:pt idx="121">
                  <c:v>4</c:v>
                </c:pt>
                <c:pt idx="122">
                  <c:v>4</c:v>
                </c:pt>
                <c:pt idx="123">
                  <c:v>4</c:v>
                </c:pt>
                <c:pt idx="124">
                  <c:v>4</c:v>
                </c:pt>
                <c:pt idx="125">
                  <c:v>4</c:v>
                </c:pt>
                <c:pt idx="126">
                  <c:v>4</c:v>
                </c:pt>
                <c:pt idx="127">
                  <c:v>4</c:v>
                </c:pt>
                <c:pt idx="128">
                  <c:v>4</c:v>
                </c:pt>
                <c:pt idx="129">
                  <c:v>4</c:v>
                </c:pt>
                <c:pt idx="130">
                  <c:v>4</c:v>
                </c:pt>
                <c:pt idx="131">
                  <c:v>4</c:v>
                </c:pt>
                <c:pt idx="132">
                  <c:v>5</c:v>
                </c:pt>
                <c:pt idx="133">
                  <c:v>5</c:v>
                </c:pt>
                <c:pt idx="134">
                  <c:v>5</c:v>
                </c:pt>
                <c:pt idx="135">
                  <c:v>5</c:v>
                </c:pt>
                <c:pt idx="136">
                  <c:v>5</c:v>
                </c:pt>
                <c:pt idx="137">
                  <c:v>5</c:v>
                </c:pt>
                <c:pt idx="138">
                  <c:v>5</c:v>
                </c:pt>
                <c:pt idx="139">
                  <c:v>5</c:v>
                </c:pt>
                <c:pt idx="140">
                  <c:v>5</c:v>
                </c:pt>
                <c:pt idx="141">
                  <c:v>5</c:v>
                </c:pt>
                <c:pt idx="142">
                  <c:v>5</c:v>
                </c:pt>
                <c:pt idx="143">
                  <c:v>5</c:v>
                </c:pt>
              </c:numCache>
            </c:numRef>
          </c:cat>
          <c:val>
            <c:numRef>
              <c:f>'Simulation of changes in soil C'!$AH$18:$AH$162</c:f>
              <c:numCache>
                <c:formatCode>0.00</c:formatCode>
                <c:ptCount val="145"/>
                <c:pt idx="0">
                  <c:v>2.5330052683768752E-2</c:v>
                </c:pt>
                <c:pt idx="1">
                  <c:v>1.9280541031997351E-2</c:v>
                </c:pt>
                <c:pt idx="2">
                  <c:v>8.309518230568913E-3</c:v>
                </c:pt>
                <c:pt idx="3">
                  <c:v>5.2378864734782794E-2</c:v>
                </c:pt>
                <c:pt idx="4">
                  <c:v>0.27776708755602375</c:v>
                </c:pt>
                <c:pt idx="5">
                  <c:v>0.50195160332496103</c:v>
                </c:pt>
                <c:pt idx="6">
                  <c:v>0.74091493375577111</c:v>
                </c:pt>
                <c:pt idx="7">
                  <c:v>0.57045355629854222</c:v>
                </c:pt>
                <c:pt idx="8">
                  <c:v>0.48529317156346991</c:v>
                </c:pt>
                <c:pt idx="9">
                  <c:v>0.34414602312630371</c:v>
                </c:pt>
                <c:pt idx="10">
                  <c:v>0.27714002785032016</c:v>
                </c:pt>
                <c:pt idx="11">
                  <c:v>0.17225892438675589</c:v>
                </c:pt>
                <c:pt idx="12">
                  <c:v>6.0046217748593984E-2</c:v>
                </c:pt>
                <c:pt idx="13">
                  <c:v>8.9983216833099226E-3</c:v>
                </c:pt>
                <c:pt idx="14">
                  <c:v>3.4853619987715019E-4</c:v>
                </c:pt>
                <c:pt idx="15">
                  <c:v>2.7270147410097072E-2</c:v>
                </c:pt>
                <c:pt idx="16">
                  <c:v>0.18272552547421855</c:v>
                </c:pt>
                <c:pt idx="17">
                  <c:v>0.59449757688208593</c:v>
                </c:pt>
                <c:pt idx="18">
                  <c:v>0.4901307629975426</c:v>
                </c:pt>
                <c:pt idx="19">
                  <c:v>0.53741722437051265</c:v>
                </c:pt>
                <c:pt idx="20">
                  <c:v>0.54454712036723474</c:v>
                </c:pt>
                <c:pt idx="21">
                  <c:v>0.42278351675841064</c:v>
                </c:pt>
                <c:pt idx="22">
                  <c:v>0.43215379292922373</c:v>
                </c:pt>
                <c:pt idx="23">
                  <c:v>7.7872434915909144E-2</c:v>
                </c:pt>
                <c:pt idx="24">
                  <c:v>8.8223059007043417E-3</c:v>
                </c:pt>
                <c:pt idx="25">
                  <c:v>8.6731369413716349E-3</c:v>
                </c:pt>
                <c:pt idx="26">
                  <c:v>7.5623375643164249E-3</c:v>
                </c:pt>
                <c:pt idx="27">
                  <c:v>4.3952530673141817E-2</c:v>
                </c:pt>
                <c:pt idx="28">
                  <c:v>0.3061792840933123</c:v>
                </c:pt>
                <c:pt idx="29">
                  <c:v>0.3276106329895801</c:v>
                </c:pt>
                <c:pt idx="30">
                  <c:v>0.61725427888586382</c:v>
                </c:pt>
                <c:pt idx="31">
                  <c:v>0.88820792950720462</c:v>
                </c:pt>
                <c:pt idx="32">
                  <c:v>0.63852999394856902</c:v>
                </c:pt>
                <c:pt idx="33">
                  <c:v>0.57015795247103429</c:v>
                </c:pt>
                <c:pt idx="34">
                  <c:v>0.24691327740851482</c:v>
                </c:pt>
                <c:pt idx="35">
                  <c:v>8.6431317135106933E-2</c:v>
                </c:pt>
                <c:pt idx="36">
                  <c:v>1.4108288364834987E-2</c:v>
                </c:pt>
                <c:pt idx="37">
                  <c:v>7.0971977989729926E-5</c:v>
                </c:pt>
                <c:pt idx="38">
                  <c:v>8.6536306920320851E-3</c:v>
                </c:pt>
                <c:pt idx="39">
                  <c:v>6.1273438287941483E-2</c:v>
                </c:pt>
                <c:pt idx="40">
                  <c:v>0.28699767825110523</c:v>
                </c:pt>
                <c:pt idx="41">
                  <c:v>0.53089956155670248</c:v>
                </c:pt>
                <c:pt idx="42">
                  <c:v>0.65889547584231623</c:v>
                </c:pt>
                <c:pt idx="43">
                  <c:v>0.71106754836343045</c:v>
                </c:pt>
                <c:pt idx="44">
                  <c:v>0.49443315784727138</c:v>
                </c:pt>
                <c:pt idx="45">
                  <c:v>0.32253713098535963</c:v>
                </c:pt>
                <c:pt idx="46">
                  <c:v>0.23287246219815455</c:v>
                </c:pt>
                <c:pt idx="47">
                  <c:v>0.16154556495482197</c:v>
                </c:pt>
                <c:pt idx="48">
                  <c:v>9.0072036696911238E-3</c:v>
                </c:pt>
                <c:pt idx="49">
                  <c:v>2.5771166959478991E-3</c:v>
                </c:pt>
                <c:pt idx="50">
                  <c:v>8.8913975733441643E-3</c:v>
                </c:pt>
                <c:pt idx="51">
                  <c:v>0.12456206094792882</c:v>
                </c:pt>
                <c:pt idx="52">
                  <c:v>0.34315704679928538</c:v>
                </c:pt>
                <c:pt idx="53">
                  <c:v>0.39356688483808716</c:v>
                </c:pt>
                <c:pt idx="54">
                  <c:v>0.50263736795026948</c:v>
                </c:pt>
                <c:pt idx="55">
                  <c:v>0.60771130315698207</c:v>
                </c:pt>
                <c:pt idx="56">
                  <c:v>0.52580775081249476</c:v>
                </c:pt>
                <c:pt idx="57">
                  <c:v>0.41686124575604377</c:v>
                </c:pt>
                <c:pt idx="58">
                  <c:v>0.27725084171469266</c:v>
                </c:pt>
                <c:pt idx="59">
                  <c:v>9.0263993184534277E-2</c:v>
                </c:pt>
                <c:pt idx="60">
                  <c:v>6.5732967157897775E-3</c:v>
                </c:pt>
                <c:pt idx="61">
                  <c:v>5.1771384891008279E-4</c:v>
                </c:pt>
                <c:pt idx="62">
                  <c:v>1.7448648979986694E-3</c:v>
                </c:pt>
                <c:pt idx="63">
                  <c:v>4.5442602060054182E-2</c:v>
                </c:pt>
                <c:pt idx="64">
                  <c:v>0.2745804785594898</c:v>
                </c:pt>
                <c:pt idx="65">
                  <c:v>0.57310942566937417</c:v>
                </c:pt>
                <c:pt idx="66">
                  <c:v>0.69823080509573343</c:v>
                </c:pt>
                <c:pt idx="67">
                  <c:v>0.54262525473145506</c:v>
                </c:pt>
                <c:pt idx="68">
                  <c:v>0.74683800802563027</c:v>
                </c:pt>
                <c:pt idx="69">
                  <c:v>0.58773421524984448</c:v>
                </c:pt>
                <c:pt idx="70">
                  <c:v>0.26918853658960695</c:v>
                </c:pt>
                <c:pt idx="71">
                  <c:v>0.15322415921065916</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8.0543702374129472E-2</c:v>
                </c:pt>
                <c:pt idx="88">
                  <c:v>0.32287623439021274</c:v>
                </c:pt>
                <c:pt idx="89">
                  <c:v>0.57420223541632087</c:v>
                </c:pt>
                <c:pt idx="90">
                  <c:v>0.6324752786530472</c:v>
                </c:pt>
                <c:pt idx="91">
                  <c:v>0.68211523151764031</c:v>
                </c:pt>
                <c:pt idx="92">
                  <c:v>0.56090828170219775</c:v>
                </c:pt>
                <c:pt idx="93">
                  <c:v>0.43897888811914665</c:v>
                </c:pt>
                <c:pt idx="94">
                  <c:v>0.20048969155396756</c:v>
                </c:pt>
                <c:pt idx="95">
                  <c:v>0.11396461828381625</c:v>
                </c:pt>
                <c:pt idx="96">
                  <c:v>2.640071462823762E-2</c:v>
                </c:pt>
                <c:pt idx="97">
                  <c:v>8.5718982076812261E-3</c:v>
                </c:pt>
                <c:pt idx="98">
                  <c:v>1.9743640157119786E-2</c:v>
                </c:pt>
                <c:pt idx="99">
                  <c:v>0.11792846532801947</c:v>
                </c:pt>
                <c:pt idx="100">
                  <c:v>0.19899937570118642</c:v>
                </c:pt>
                <c:pt idx="101">
                  <c:v>0.46385446073654985</c:v>
                </c:pt>
                <c:pt idx="102">
                  <c:v>0.50787761238567131</c:v>
                </c:pt>
                <c:pt idx="103">
                  <c:v>0.66205579839061135</c:v>
                </c:pt>
                <c:pt idx="104">
                  <c:v>0.58688860486590477</c:v>
                </c:pt>
                <c:pt idx="105">
                  <c:v>0.38854498969365914</c:v>
                </c:pt>
                <c:pt idx="106">
                  <c:v>0.24093503456126855</c:v>
                </c:pt>
                <c:pt idx="107">
                  <c:v>4.8055139267705743E-2</c:v>
                </c:pt>
                <c:pt idx="108">
                  <c:v>2.4950025263899507E-2</c:v>
                </c:pt>
                <c:pt idx="109">
                  <c:v>3.6176898525666313E-3</c:v>
                </c:pt>
                <c:pt idx="110">
                  <c:v>5.4873774613611592E-3</c:v>
                </c:pt>
                <c:pt idx="111">
                  <c:v>2.8499486734516966E-2</c:v>
                </c:pt>
                <c:pt idx="112">
                  <c:v>0.1633753542135451</c:v>
                </c:pt>
                <c:pt idx="113">
                  <c:v>0.40884739663058134</c:v>
                </c:pt>
                <c:pt idx="114">
                  <c:v>0.55013161324447923</c:v>
                </c:pt>
                <c:pt idx="115">
                  <c:v>0.66039775055831151</c:v>
                </c:pt>
                <c:pt idx="116">
                  <c:v>0.5066250119927298</c:v>
                </c:pt>
                <c:pt idx="117">
                  <c:v>0.36753165770664309</c:v>
                </c:pt>
                <c:pt idx="118">
                  <c:v>0.21706244771347449</c:v>
                </c:pt>
                <c:pt idx="119">
                  <c:v>4.6272021402992969E-2</c:v>
                </c:pt>
                <c:pt idx="120">
                  <c:v>7.5652765137833719E-3</c:v>
                </c:pt>
                <c:pt idx="121">
                  <c:v>6.9518403999415388E-4</c:v>
                </c:pt>
                <c:pt idx="122">
                  <c:v>5.9971174168635562E-4</c:v>
                </c:pt>
                <c:pt idx="123">
                  <c:v>8.709848640680749E-3</c:v>
                </c:pt>
                <c:pt idx="124">
                  <c:v>0.15929184891666684</c:v>
                </c:pt>
                <c:pt idx="125">
                  <c:v>0.40776538511086741</c:v>
                </c:pt>
                <c:pt idx="126">
                  <c:v>0.56867782155871538</c:v>
                </c:pt>
                <c:pt idx="127">
                  <c:v>0.60113274402750161</c:v>
                </c:pt>
                <c:pt idx="128">
                  <c:v>0.51695599510820722</c:v>
                </c:pt>
                <c:pt idx="129">
                  <c:v>0.41138836777292448</c:v>
                </c:pt>
                <c:pt idx="130">
                  <c:v>0.23541548049230923</c:v>
                </c:pt>
                <c:pt idx="131">
                  <c:v>4.6390639087657858E-2</c:v>
                </c:pt>
                <c:pt idx="132">
                  <c:v>1.9911931620945213E-2</c:v>
                </c:pt>
                <c:pt idx="133">
                  <c:v>2.8013631086280214E-4</c:v>
                </c:pt>
                <c:pt idx="134">
                  <c:v>2.0149741132279579E-8</c:v>
                </c:pt>
                <c:pt idx="135">
                  <c:v>1.0562285829173892E-2</c:v>
                </c:pt>
                <c:pt idx="136">
                  <c:v>0.16454011218501066</c:v>
                </c:pt>
                <c:pt idx="137">
                  <c:v>0.51618796443496395</c:v>
                </c:pt>
                <c:pt idx="138">
                  <c:v>0.50921092886551833</c:v>
                </c:pt>
                <c:pt idx="139">
                  <c:v>0.61453174895188878</c:v>
                </c:pt>
                <c:pt idx="140">
                  <c:v>0.60116757544898003</c:v>
                </c:pt>
                <c:pt idx="141">
                  <c:v>0.49155097174147455</c:v>
                </c:pt>
                <c:pt idx="142">
                  <c:v>0.18319781601567905</c:v>
                </c:pt>
                <c:pt idx="143">
                  <c:v>0.11153268731583321</c:v>
                </c:pt>
                <c:pt idx="144">
                  <c:v>7.9654893928383513E-2</c:v>
                </c:pt>
              </c:numCache>
            </c:numRef>
          </c:val>
          <c:smooth val="0"/>
          <c:extLst>
            <c:ext xmlns:c16="http://schemas.microsoft.com/office/drawing/2014/chart" uri="{C3380CC4-5D6E-409C-BE32-E72D297353CC}">
              <c16:uniqueId val="{00000000-109E-4B46-BA96-E7A6717D893E}"/>
            </c:ext>
          </c:extLst>
        </c:ser>
        <c:dLbls>
          <c:showLegendKey val="0"/>
          <c:showVal val="0"/>
          <c:showCatName val="0"/>
          <c:showSerName val="0"/>
          <c:showPercent val="0"/>
          <c:showBubbleSize val="0"/>
        </c:dLbls>
        <c:marker val="1"/>
        <c:smooth val="0"/>
        <c:axId val="499834368"/>
        <c:axId val="499825744"/>
      </c:lineChart>
      <c:lineChart>
        <c:grouping val="standard"/>
        <c:varyColors val="0"/>
        <c:ser>
          <c:idx val="1"/>
          <c:order val="1"/>
          <c:tx>
            <c:v>Weighted rate constant</c:v>
          </c:tx>
          <c:spPr>
            <a:ln w="25400">
              <a:solidFill>
                <a:srgbClr val="FF0000"/>
              </a:solidFill>
            </a:ln>
          </c:spPr>
          <c:marker>
            <c:symbol val="none"/>
          </c:marker>
          <c:cat>
            <c:numRef>
              <c:f>'Simulation of changes in soil C'!$C$19:$C$162</c:f>
              <c:numCache>
                <c:formatCode>General</c:formatCode>
                <c:ptCount val="144"/>
                <c:pt idx="0">
                  <c:v>-6</c:v>
                </c:pt>
                <c:pt idx="1">
                  <c:v>-6</c:v>
                </c:pt>
                <c:pt idx="2">
                  <c:v>-6</c:v>
                </c:pt>
                <c:pt idx="3">
                  <c:v>-6</c:v>
                </c:pt>
                <c:pt idx="4">
                  <c:v>-6</c:v>
                </c:pt>
                <c:pt idx="5">
                  <c:v>-6</c:v>
                </c:pt>
                <c:pt idx="6">
                  <c:v>-6</c:v>
                </c:pt>
                <c:pt idx="7">
                  <c:v>-6</c:v>
                </c:pt>
                <c:pt idx="8">
                  <c:v>-6</c:v>
                </c:pt>
                <c:pt idx="9">
                  <c:v>-6</c:v>
                </c:pt>
                <c:pt idx="10">
                  <c:v>-6</c:v>
                </c:pt>
                <c:pt idx="11">
                  <c:v>-6</c:v>
                </c:pt>
                <c:pt idx="12">
                  <c:v>-5</c:v>
                </c:pt>
                <c:pt idx="13">
                  <c:v>-5</c:v>
                </c:pt>
                <c:pt idx="14">
                  <c:v>-5</c:v>
                </c:pt>
                <c:pt idx="15">
                  <c:v>-5</c:v>
                </c:pt>
                <c:pt idx="16">
                  <c:v>-5</c:v>
                </c:pt>
                <c:pt idx="17">
                  <c:v>-5</c:v>
                </c:pt>
                <c:pt idx="18">
                  <c:v>-5</c:v>
                </c:pt>
                <c:pt idx="19">
                  <c:v>-5</c:v>
                </c:pt>
                <c:pt idx="20">
                  <c:v>-5</c:v>
                </c:pt>
                <c:pt idx="21">
                  <c:v>-5</c:v>
                </c:pt>
                <c:pt idx="22">
                  <c:v>-5</c:v>
                </c:pt>
                <c:pt idx="23">
                  <c:v>-5</c:v>
                </c:pt>
                <c:pt idx="24">
                  <c:v>-4</c:v>
                </c:pt>
                <c:pt idx="25">
                  <c:v>-4</c:v>
                </c:pt>
                <c:pt idx="26">
                  <c:v>-4</c:v>
                </c:pt>
                <c:pt idx="27">
                  <c:v>-4</c:v>
                </c:pt>
                <c:pt idx="28">
                  <c:v>-4</c:v>
                </c:pt>
                <c:pt idx="29">
                  <c:v>-4</c:v>
                </c:pt>
                <c:pt idx="30">
                  <c:v>-4</c:v>
                </c:pt>
                <c:pt idx="31">
                  <c:v>-4</c:v>
                </c:pt>
                <c:pt idx="32">
                  <c:v>-4</c:v>
                </c:pt>
                <c:pt idx="33">
                  <c:v>-4</c:v>
                </c:pt>
                <c:pt idx="34">
                  <c:v>-4</c:v>
                </c:pt>
                <c:pt idx="35">
                  <c:v>-4</c:v>
                </c:pt>
                <c:pt idx="36">
                  <c:v>-3</c:v>
                </c:pt>
                <c:pt idx="37">
                  <c:v>-3</c:v>
                </c:pt>
                <c:pt idx="38">
                  <c:v>-3</c:v>
                </c:pt>
                <c:pt idx="39">
                  <c:v>-3</c:v>
                </c:pt>
                <c:pt idx="40">
                  <c:v>-3</c:v>
                </c:pt>
                <c:pt idx="41">
                  <c:v>-3</c:v>
                </c:pt>
                <c:pt idx="42">
                  <c:v>-3</c:v>
                </c:pt>
                <c:pt idx="43">
                  <c:v>-3</c:v>
                </c:pt>
                <c:pt idx="44">
                  <c:v>-3</c:v>
                </c:pt>
                <c:pt idx="45">
                  <c:v>-3</c:v>
                </c:pt>
                <c:pt idx="46">
                  <c:v>-3</c:v>
                </c:pt>
                <c:pt idx="47">
                  <c:v>-3</c:v>
                </c:pt>
                <c:pt idx="48">
                  <c:v>-2</c:v>
                </c:pt>
                <c:pt idx="49">
                  <c:v>-2</c:v>
                </c:pt>
                <c:pt idx="50">
                  <c:v>-2</c:v>
                </c:pt>
                <c:pt idx="51">
                  <c:v>-2</c:v>
                </c:pt>
                <c:pt idx="52">
                  <c:v>-2</c:v>
                </c:pt>
                <c:pt idx="53">
                  <c:v>-2</c:v>
                </c:pt>
                <c:pt idx="54">
                  <c:v>-2</c:v>
                </c:pt>
                <c:pt idx="55">
                  <c:v>-2</c:v>
                </c:pt>
                <c:pt idx="56">
                  <c:v>-2</c:v>
                </c:pt>
                <c:pt idx="57">
                  <c:v>-2</c:v>
                </c:pt>
                <c:pt idx="58">
                  <c:v>-2</c:v>
                </c:pt>
                <c:pt idx="59">
                  <c:v>-2</c:v>
                </c:pt>
                <c:pt idx="60">
                  <c:v>-1</c:v>
                </c:pt>
                <c:pt idx="61">
                  <c:v>-1</c:v>
                </c:pt>
                <c:pt idx="62">
                  <c:v>-1</c:v>
                </c:pt>
                <c:pt idx="63">
                  <c:v>-1</c:v>
                </c:pt>
                <c:pt idx="64">
                  <c:v>-1</c:v>
                </c:pt>
                <c:pt idx="65">
                  <c:v>-1</c:v>
                </c:pt>
                <c:pt idx="66">
                  <c:v>-1</c:v>
                </c:pt>
                <c:pt idx="67">
                  <c:v>-1</c:v>
                </c:pt>
                <c:pt idx="68">
                  <c:v>-1</c:v>
                </c:pt>
                <c:pt idx="69">
                  <c:v>-1</c:v>
                </c:pt>
                <c:pt idx="70">
                  <c:v>-1</c:v>
                </c:pt>
                <c:pt idx="71">
                  <c:v>-1</c:v>
                </c:pt>
                <c:pt idx="72">
                  <c:v>0</c:v>
                </c:pt>
                <c:pt idx="73">
                  <c:v>0</c:v>
                </c:pt>
                <c:pt idx="74">
                  <c:v>0</c:v>
                </c:pt>
                <c:pt idx="75">
                  <c:v>0</c:v>
                </c:pt>
                <c:pt idx="76">
                  <c:v>0</c:v>
                </c:pt>
                <c:pt idx="77">
                  <c:v>0</c:v>
                </c:pt>
                <c:pt idx="78">
                  <c:v>0</c:v>
                </c:pt>
                <c:pt idx="79">
                  <c:v>0</c:v>
                </c:pt>
                <c:pt idx="80">
                  <c:v>0</c:v>
                </c:pt>
                <c:pt idx="81">
                  <c:v>0</c:v>
                </c:pt>
                <c:pt idx="82">
                  <c:v>0</c:v>
                </c:pt>
                <c:pt idx="83">
                  <c:v>0</c:v>
                </c:pt>
                <c:pt idx="84">
                  <c:v>1</c:v>
                </c:pt>
                <c:pt idx="85">
                  <c:v>1</c:v>
                </c:pt>
                <c:pt idx="86">
                  <c:v>1</c:v>
                </c:pt>
                <c:pt idx="87">
                  <c:v>1</c:v>
                </c:pt>
                <c:pt idx="88">
                  <c:v>1</c:v>
                </c:pt>
                <c:pt idx="89">
                  <c:v>1</c:v>
                </c:pt>
                <c:pt idx="90">
                  <c:v>1</c:v>
                </c:pt>
                <c:pt idx="91">
                  <c:v>1</c:v>
                </c:pt>
                <c:pt idx="92">
                  <c:v>1</c:v>
                </c:pt>
                <c:pt idx="93">
                  <c:v>1</c:v>
                </c:pt>
                <c:pt idx="94">
                  <c:v>1</c:v>
                </c:pt>
                <c:pt idx="95">
                  <c:v>1</c:v>
                </c:pt>
                <c:pt idx="96">
                  <c:v>2</c:v>
                </c:pt>
                <c:pt idx="97">
                  <c:v>2</c:v>
                </c:pt>
                <c:pt idx="98">
                  <c:v>2</c:v>
                </c:pt>
                <c:pt idx="99">
                  <c:v>2</c:v>
                </c:pt>
                <c:pt idx="100">
                  <c:v>2</c:v>
                </c:pt>
                <c:pt idx="101">
                  <c:v>2</c:v>
                </c:pt>
                <c:pt idx="102">
                  <c:v>2</c:v>
                </c:pt>
                <c:pt idx="103">
                  <c:v>2</c:v>
                </c:pt>
                <c:pt idx="104">
                  <c:v>2</c:v>
                </c:pt>
                <c:pt idx="105">
                  <c:v>2</c:v>
                </c:pt>
                <c:pt idx="106">
                  <c:v>2</c:v>
                </c:pt>
                <c:pt idx="107">
                  <c:v>2</c:v>
                </c:pt>
                <c:pt idx="108">
                  <c:v>3</c:v>
                </c:pt>
                <c:pt idx="109">
                  <c:v>3</c:v>
                </c:pt>
                <c:pt idx="110">
                  <c:v>3</c:v>
                </c:pt>
                <c:pt idx="111">
                  <c:v>3</c:v>
                </c:pt>
                <c:pt idx="112">
                  <c:v>3</c:v>
                </c:pt>
                <c:pt idx="113">
                  <c:v>3</c:v>
                </c:pt>
                <c:pt idx="114">
                  <c:v>3</c:v>
                </c:pt>
                <c:pt idx="115">
                  <c:v>3</c:v>
                </c:pt>
                <c:pt idx="116">
                  <c:v>3</c:v>
                </c:pt>
                <c:pt idx="117">
                  <c:v>3</c:v>
                </c:pt>
                <c:pt idx="118">
                  <c:v>3</c:v>
                </c:pt>
                <c:pt idx="119">
                  <c:v>3</c:v>
                </c:pt>
                <c:pt idx="120">
                  <c:v>4</c:v>
                </c:pt>
                <c:pt idx="121">
                  <c:v>4</c:v>
                </c:pt>
                <c:pt idx="122">
                  <c:v>4</c:v>
                </c:pt>
                <c:pt idx="123">
                  <c:v>4</c:v>
                </c:pt>
                <c:pt idx="124">
                  <c:v>4</c:v>
                </c:pt>
                <c:pt idx="125">
                  <c:v>4</c:v>
                </c:pt>
                <c:pt idx="126">
                  <c:v>4</c:v>
                </c:pt>
                <c:pt idx="127">
                  <c:v>4</c:v>
                </c:pt>
                <c:pt idx="128">
                  <c:v>4</c:v>
                </c:pt>
                <c:pt idx="129">
                  <c:v>4</c:v>
                </c:pt>
                <c:pt idx="130">
                  <c:v>4</c:v>
                </c:pt>
                <c:pt idx="131">
                  <c:v>4</c:v>
                </c:pt>
                <c:pt idx="132">
                  <c:v>5</c:v>
                </c:pt>
                <c:pt idx="133">
                  <c:v>5</c:v>
                </c:pt>
                <c:pt idx="134">
                  <c:v>5</c:v>
                </c:pt>
                <c:pt idx="135">
                  <c:v>5</c:v>
                </c:pt>
                <c:pt idx="136">
                  <c:v>5</c:v>
                </c:pt>
                <c:pt idx="137">
                  <c:v>5</c:v>
                </c:pt>
                <c:pt idx="138">
                  <c:v>5</c:v>
                </c:pt>
                <c:pt idx="139">
                  <c:v>5</c:v>
                </c:pt>
                <c:pt idx="140">
                  <c:v>5</c:v>
                </c:pt>
                <c:pt idx="141">
                  <c:v>5</c:v>
                </c:pt>
                <c:pt idx="142">
                  <c:v>5</c:v>
                </c:pt>
                <c:pt idx="143">
                  <c:v>5</c:v>
                </c:pt>
              </c:numCache>
            </c:numRef>
          </c:cat>
          <c:val>
            <c:numRef>
              <c:f>'Simulation of changes in soil C'!$AI$19:$AI$162</c:f>
              <c:numCache>
                <c:formatCode>0.00</c:formatCode>
                <c:ptCount val="144"/>
                <c:pt idx="0">
                  <c:v>1.0746265254096801E-2</c:v>
                </c:pt>
                <c:pt idx="1">
                  <c:v>1.1454774634017E-2</c:v>
                </c:pt>
                <c:pt idx="2">
                  <c:v>1.2197759304647485E-2</c:v>
                </c:pt>
                <c:pt idx="3">
                  <c:v>1.2683874299225059E-2</c:v>
                </c:pt>
                <c:pt idx="4">
                  <c:v>1.1970592844434672E-2</c:v>
                </c:pt>
                <c:pt idx="5">
                  <c:v>1.0675942581676198E-2</c:v>
                </c:pt>
                <c:pt idx="6">
                  <c:v>9.6196839230499234E-3</c:v>
                </c:pt>
                <c:pt idx="7">
                  <c:v>9.4186354563881389E-3</c:v>
                </c:pt>
                <c:pt idx="8">
                  <c:v>9.3974376727908402E-3</c:v>
                </c:pt>
                <c:pt idx="9">
                  <c:v>9.5445741225639973E-3</c:v>
                </c:pt>
                <c:pt idx="10">
                  <c:v>9.7324368330392423E-3</c:v>
                </c:pt>
                <c:pt idx="11">
                  <c:v>1.0078349655206426E-2</c:v>
                </c:pt>
                <c:pt idx="12">
                  <c:v>1.0681238778706477E-2</c:v>
                </c:pt>
                <c:pt idx="13">
                  <c:v>1.1441865590161577E-2</c:v>
                </c:pt>
                <c:pt idx="14">
                  <c:v>1.2231421552387281E-2</c:v>
                </c:pt>
                <c:pt idx="15">
                  <c:v>1.2862076343356368E-2</c:v>
                </c:pt>
                <c:pt idx="16">
                  <c:v>1.2596727390268066E-2</c:v>
                </c:pt>
                <c:pt idx="17">
                  <c:v>1.0757364848388865E-2</c:v>
                </c:pt>
                <c:pt idx="18">
                  <c:v>1.0105727870970159E-2</c:v>
                </c:pt>
                <c:pt idx="19">
                  <c:v>9.711000038739764E-3</c:v>
                </c:pt>
                <c:pt idx="20">
                  <c:v>9.5096258607559846E-3</c:v>
                </c:pt>
                <c:pt idx="21">
                  <c:v>9.5377531968518937E-3</c:v>
                </c:pt>
                <c:pt idx="22">
                  <c:v>9.5184020199425429E-3</c:v>
                </c:pt>
                <c:pt idx="23">
                  <c:v>1.0135884350866976E-2</c:v>
                </c:pt>
                <c:pt idx="24">
                  <c:v>1.0913377150491066E-2</c:v>
                </c:pt>
                <c:pt idx="25">
                  <c:v>1.1676358156328859E-2</c:v>
                </c:pt>
                <c:pt idx="26">
                  <c:v>1.2431441505501984E-2</c:v>
                </c:pt>
                <c:pt idx="27">
                  <c:v>1.2966412380145493E-2</c:v>
                </c:pt>
                <c:pt idx="28">
                  <c:v>1.2078324049109052E-2</c:v>
                </c:pt>
                <c:pt idx="29">
                  <c:v>1.1367059672168134E-2</c:v>
                </c:pt>
                <c:pt idx="30">
                  <c:v>1.0154026825907204E-2</c:v>
                </c:pt>
                <c:pt idx="31">
                  <c:v>9.3576808133211502E-3</c:v>
                </c:pt>
                <c:pt idx="32">
                  <c:v>9.2562643453286599E-3</c:v>
                </c:pt>
                <c:pt idx="33">
                  <c:v>9.2170122800539888E-3</c:v>
                </c:pt>
                <c:pt idx="34">
                  <c:v>9.555016490651963E-3</c:v>
                </c:pt>
                <c:pt idx="35">
                  <c:v>1.0140423060171398E-2</c:v>
                </c:pt>
                <c:pt idx="36">
                  <c:v>1.0906949088563045E-2</c:v>
                </c:pt>
                <c:pt idx="37">
                  <c:v>1.1718322603894443E-2</c:v>
                </c:pt>
                <c:pt idx="38">
                  <c:v>1.2475552042726082E-2</c:v>
                </c:pt>
                <c:pt idx="39">
                  <c:v>1.2908841856231828E-2</c:v>
                </c:pt>
                <c:pt idx="40">
                  <c:v>1.2083895726951384E-2</c:v>
                </c:pt>
                <c:pt idx="41">
                  <c:v>1.0627390351581688E-2</c:v>
                </c:pt>
                <c:pt idx="42">
                  <c:v>9.6946038138147981E-3</c:v>
                </c:pt>
                <c:pt idx="43">
                  <c:v>9.276456757904266E-3</c:v>
                </c:pt>
                <c:pt idx="44">
                  <c:v>9.2806512322483898E-3</c:v>
                </c:pt>
                <c:pt idx="45">
                  <c:v>9.4697593677571523E-3</c:v>
                </c:pt>
                <c:pt idx="46">
                  <c:v>9.7341846514029315E-3</c:v>
                </c:pt>
                <c:pt idx="47">
                  <c:v>1.0088483730334765E-2</c:v>
                </c:pt>
                <c:pt idx="48">
                  <c:v>1.0880407720148271E-2</c:v>
                </c:pt>
                <c:pt idx="49">
                  <c:v>1.1686604857693121E-2</c:v>
                </c:pt>
                <c:pt idx="50">
                  <c:v>1.2448492341046852E-2</c:v>
                </c:pt>
                <c:pt idx="51">
                  <c:v>1.252448938862802E-2</c:v>
                </c:pt>
                <c:pt idx="52">
                  <c:v>1.152601207587386E-2</c:v>
                </c:pt>
                <c:pt idx="53">
                  <c:v>1.0701915581583305E-2</c:v>
                </c:pt>
                <c:pt idx="54">
                  <c:v>9.9739648198039193E-3</c:v>
                </c:pt>
                <c:pt idx="55">
                  <c:v>9.4724867592837127E-3</c:v>
                </c:pt>
                <c:pt idx="56">
                  <c:v>9.3348472015211577E-3</c:v>
                </c:pt>
                <c:pt idx="57">
                  <c:v>9.3706599340128236E-3</c:v>
                </c:pt>
                <c:pt idx="58">
                  <c:v>9.5844210882542521E-3</c:v>
                </c:pt>
                <c:pt idx="59">
                  <c:v>1.0154944523858293E-2</c:v>
                </c:pt>
                <c:pt idx="60">
                  <c:v>1.0958794300639932E-2</c:v>
                </c:pt>
                <c:pt idx="61">
                  <c:v>1.1778149992175061E-2</c:v>
                </c:pt>
                <c:pt idx="62">
                  <c:v>1.258250438951442E-2</c:v>
                </c:pt>
                <c:pt idx="63">
                  <c:v>1.310640757516681E-2</c:v>
                </c:pt>
                <c:pt idx="64">
                  <c:v>1.2271041065248421E-2</c:v>
                </c:pt>
                <c:pt idx="65">
                  <c:v>1.055515929654244E-2</c:v>
                </c:pt>
                <c:pt idx="66">
                  <c:v>9.5674208174567569E-3</c:v>
                </c:pt>
                <c:pt idx="67">
                  <c:v>9.3655242471660117E-3</c:v>
                </c:pt>
                <c:pt idx="68">
                  <c:v>9.0473402070376015E-3</c:v>
                </c:pt>
                <c:pt idx="69">
                  <c:v>8.9966183059396847E-3</c:v>
                </c:pt>
                <c:pt idx="70">
                  <c:v>9.3056742874178932E-3</c:v>
                </c:pt>
                <c:pt idx="71">
                  <c:v>9.7398768130502588E-3</c:v>
                </c:pt>
                <c:pt idx="72">
                  <c:v>1.0584668792939402E-2</c:v>
                </c:pt>
                <c:pt idx="73">
                  <c:v>1.1421431666242168E-2</c:v>
                </c:pt>
                <c:pt idx="74">
                  <c:v>1.2250279357422003E-2</c:v>
                </c:pt>
                <c:pt idx="75">
                  <c:v>1.3071323645799196E-2</c:v>
                </c:pt>
                <c:pt idx="76">
                  <c:v>1.3884674215804341E-2</c:v>
                </c:pt>
                <c:pt idx="77">
                  <c:v>1.4690438705825657E-2</c:v>
                </c:pt>
                <c:pt idx="78">
                  <c:v>1.5488722755695879E-2</c:v>
                </c:pt>
                <c:pt idx="79">
                  <c:v>1.6279630052862697E-2</c:v>
                </c:pt>
                <c:pt idx="80">
                  <c:v>1.7063262377285122E-2</c:v>
                </c:pt>
                <c:pt idx="81">
                  <c:v>1.783971964509664E-2</c:v>
                </c:pt>
                <c:pt idx="82">
                  <c:v>1.8609099951074431E-2</c:v>
                </c:pt>
                <c:pt idx="83">
                  <c:v>1.9371499609952679E-2</c:v>
                </c:pt>
                <c:pt idx="84">
                  <c:v>2.0127013196616365E-2</c:v>
                </c:pt>
                <c:pt idx="85">
                  <c:v>2.0875733585210891E-2</c:v>
                </c:pt>
                <c:pt idx="86">
                  <c:v>2.1617751987201481E-2</c:v>
                </c:pt>
                <c:pt idx="87">
                  <c:v>2.1529731944172979E-2</c:v>
                </c:pt>
                <c:pt idx="88">
                  <c:v>1.9125564779750678E-2</c:v>
                </c:pt>
                <c:pt idx="89">
                  <c:v>1.5162755730844628E-2</c:v>
                </c:pt>
                <c:pt idx="90">
                  <c:v>1.2255786088909038E-2</c:v>
                </c:pt>
                <c:pt idx="91">
                  <c:v>1.0649211679259531E-2</c:v>
                </c:pt>
                <c:pt idx="92">
                  <c:v>1.0159400319787374E-2</c:v>
                </c:pt>
                <c:pt idx="93">
                  <c:v>1.0076947889589655E-2</c:v>
                </c:pt>
                <c:pt idx="94">
                  <c:v>1.0416984831639088E-2</c:v>
                </c:pt>
                <c:pt idx="95">
                  <c:v>1.0889109300030451E-2</c:v>
                </c:pt>
                <c:pt idx="96">
                  <c:v>1.1593953649221757E-2</c:v>
                </c:pt>
                <c:pt idx="97">
                  <c:v>1.2351003373014152E-2</c:v>
                </c:pt>
                <c:pt idx="98">
                  <c:v>1.3037620167644526E-2</c:v>
                </c:pt>
                <c:pt idx="99">
                  <c:v>1.3173435481266902E-2</c:v>
                </c:pt>
                <c:pt idx="100">
                  <c:v>1.288981443283428E-2</c:v>
                </c:pt>
                <c:pt idx="101">
                  <c:v>1.1612192504522459E-2</c:v>
                </c:pt>
                <c:pt idx="102">
                  <c:v>1.0773793865119379E-2</c:v>
                </c:pt>
                <c:pt idx="103">
                  <c:v>1.0111307434098445E-2</c:v>
                </c:pt>
                <c:pt idx="104">
                  <c:v>9.8965295973899685E-3</c:v>
                </c:pt>
                <c:pt idx="105">
                  <c:v>9.9941879593445793E-3</c:v>
                </c:pt>
                <c:pt idx="106">
                  <c:v>1.0271093693857017E-2</c:v>
                </c:pt>
                <c:pt idx="107">
                  <c:v>1.0940690794582555E-2</c:v>
                </c:pt>
                <c:pt idx="108">
                  <c:v>1.1650624950973656E-2</c:v>
                </c:pt>
                <c:pt idx="109">
                  <c:v>1.2432334885326059E-2</c:v>
                </c:pt>
                <c:pt idx="110">
                  <c:v>1.3194324246302352E-2</c:v>
                </c:pt>
                <c:pt idx="111">
                  <c:v>1.381061566081607E-2</c:v>
                </c:pt>
                <c:pt idx="112">
                  <c:v>1.3609593058602877E-2</c:v>
                </c:pt>
                <c:pt idx="113">
                  <c:v>1.2268515782973723E-2</c:v>
                </c:pt>
                <c:pt idx="114">
                  <c:v>1.1005167119821989E-2</c:v>
                </c:pt>
                <c:pt idx="115">
                  <c:v>1.0203575846926287E-2</c:v>
                </c:pt>
                <c:pt idx="116">
                  <c:v>1.0038386036324828E-2</c:v>
                </c:pt>
                <c:pt idx="117">
                  <c:v>1.0116806983016792E-2</c:v>
                </c:pt>
                <c:pt idx="118">
                  <c:v>1.0415601786497442E-2</c:v>
                </c:pt>
                <c:pt idx="119">
                  <c:v>1.108312384693459E-2</c:v>
                </c:pt>
                <c:pt idx="120">
                  <c:v>1.1856699084460699E-2</c:v>
                </c:pt>
                <c:pt idx="121">
                  <c:v>1.264975818963225E-2</c:v>
                </c:pt>
                <c:pt idx="122">
                  <c:v>1.3435646126782122E-2</c:v>
                </c:pt>
                <c:pt idx="123">
                  <c:v>1.4164768116781641E-2</c:v>
                </c:pt>
                <c:pt idx="124">
                  <c:v>1.3950840747604927E-2</c:v>
                </c:pt>
                <c:pt idx="125">
                  <c:v>1.2528141665346826E-2</c:v>
                </c:pt>
                <c:pt idx="126">
                  <c:v>1.1121711193872031E-2</c:v>
                </c:pt>
                <c:pt idx="127">
                  <c:v>1.0379250654232513E-2</c:v>
                </c:pt>
                <c:pt idx="128">
                  <c:v>1.0143780963226039E-2</c:v>
                </c:pt>
                <c:pt idx="129">
                  <c:v>1.0142771751869652E-2</c:v>
                </c:pt>
                <c:pt idx="130">
                  <c:v>1.0416774590787433E-2</c:v>
                </c:pt>
                <c:pt idx="131">
                  <c:v>1.1087020732053809E-2</c:v>
                </c:pt>
                <c:pt idx="132">
                  <c:v>1.1812940948188272E-2</c:v>
                </c:pt>
                <c:pt idx="133">
                  <c:v>1.2607288724627014E-2</c:v>
                </c:pt>
                <c:pt idx="134">
                  <c:v>1.3395738944195231E-2</c:v>
                </c:pt>
                <c:pt idx="135">
                  <c:v>1.4114029131704895E-2</c:v>
                </c:pt>
                <c:pt idx="136">
                  <c:v>1.3886174003554679E-2</c:v>
                </c:pt>
                <c:pt idx="137">
                  <c:v>1.2066434675256177E-2</c:v>
                </c:pt>
                <c:pt idx="138">
                  <c:v>1.1058506612026701E-2</c:v>
                </c:pt>
                <c:pt idx="139">
                  <c:v>1.0354956264624909E-2</c:v>
                </c:pt>
                <c:pt idx="140">
                  <c:v>1.0046249403532813E-2</c:v>
                </c:pt>
                <c:pt idx="141">
                  <c:v>9.9949010115746671E-3</c:v>
                </c:pt>
                <c:pt idx="142">
                  <c:v>1.0407549856332843E-2</c:v>
                </c:pt>
                <c:pt idx="143">
                  <c:v>1.0899246775487904E-2</c:v>
                </c:pt>
              </c:numCache>
            </c:numRef>
          </c:val>
          <c:smooth val="0"/>
          <c:extLst>
            <c:ext xmlns:c16="http://schemas.microsoft.com/office/drawing/2014/chart" uri="{C3380CC4-5D6E-409C-BE32-E72D297353CC}">
              <c16:uniqueId val="{00000001-38E8-4B65-85F0-4C0A3853F5EB}"/>
            </c:ext>
          </c:extLst>
        </c:ser>
        <c:dLbls>
          <c:showLegendKey val="0"/>
          <c:showVal val="0"/>
          <c:showCatName val="0"/>
          <c:showSerName val="0"/>
          <c:showPercent val="0"/>
          <c:showBubbleSize val="0"/>
        </c:dLbls>
        <c:marker val="1"/>
        <c:smooth val="0"/>
        <c:axId val="38589071"/>
        <c:axId val="38590511"/>
      </c:lineChart>
      <c:catAx>
        <c:axId val="499834368"/>
        <c:scaling>
          <c:orientation val="minMax"/>
        </c:scaling>
        <c:delete val="0"/>
        <c:axPos val="b"/>
        <c:title>
          <c:tx>
            <c:rich>
              <a:bodyPr/>
              <a:lstStyle/>
              <a:p>
                <a:pPr>
                  <a:defRPr/>
                </a:pPr>
                <a:r>
                  <a:rPr lang="en-GB"/>
                  <a:t>Year</a:t>
                </a:r>
              </a:p>
            </c:rich>
          </c:tx>
          <c:layout>
            <c:manualLayout>
              <c:xMode val="edge"/>
              <c:yMode val="edge"/>
              <c:x val="0.47705821390476766"/>
              <c:y val="0.87945921854107856"/>
            </c:manualLayout>
          </c:layout>
          <c:overlay val="0"/>
        </c:title>
        <c:numFmt formatCode="General" sourceLinked="1"/>
        <c:majorTickMark val="out"/>
        <c:minorTickMark val="none"/>
        <c:tickLblPos val="nextTo"/>
        <c:crossAx val="499825744"/>
        <c:crosses val="autoZero"/>
        <c:auto val="1"/>
        <c:lblAlgn val="ctr"/>
        <c:lblOffset val="100"/>
        <c:tickLblSkip val="24"/>
        <c:tickMarkSkip val="12"/>
        <c:noMultiLvlLbl val="0"/>
      </c:catAx>
      <c:valAx>
        <c:axId val="499825744"/>
        <c:scaling>
          <c:orientation val="minMax"/>
        </c:scaling>
        <c:delete val="0"/>
        <c:axPos val="l"/>
        <c:majorGridlines/>
        <c:title>
          <c:tx>
            <c:rich>
              <a:bodyPr rot="-5400000" vert="horz"/>
              <a:lstStyle/>
              <a:p>
                <a:pPr>
                  <a:defRPr/>
                </a:pPr>
                <a:r>
                  <a:rPr lang="en-US"/>
                  <a:t>Carbon (t ha</a:t>
                </a:r>
                <a:r>
                  <a:rPr lang="en-US" baseline="30000"/>
                  <a:t>-1</a:t>
                </a:r>
                <a:r>
                  <a:rPr lang="en-US"/>
                  <a:t>)</a:t>
                </a:r>
              </a:p>
            </c:rich>
          </c:tx>
          <c:layout>
            <c:manualLayout>
              <c:xMode val="edge"/>
              <c:yMode val="edge"/>
              <c:x val="8.2931399209277452E-3"/>
              <c:y val="0.26571848330279468"/>
            </c:manualLayout>
          </c:layout>
          <c:overlay val="0"/>
        </c:title>
        <c:numFmt formatCode="0.0" sourceLinked="0"/>
        <c:majorTickMark val="out"/>
        <c:minorTickMark val="none"/>
        <c:tickLblPos val="nextTo"/>
        <c:crossAx val="499834368"/>
        <c:crosses val="autoZero"/>
        <c:crossBetween val="between"/>
      </c:valAx>
      <c:valAx>
        <c:axId val="38590511"/>
        <c:scaling>
          <c:orientation val="minMax"/>
        </c:scaling>
        <c:delete val="0"/>
        <c:axPos val="r"/>
        <c:title>
          <c:tx>
            <c:rich>
              <a:bodyPr rot="5400000" vert="horz"/>
              <a:lstStyle/>
              <a:p>
                <a:pPr>
                  <a:defRPr/>
                </a:pPr>
                <a:r>
                  <a:rPr lang="en-GB"/>
                  <a:t>Weighted rate constand</a:t>
                </a:r>
                <a:r>
                  <a:rPr lang="en-GB" baseline="0"/>
                  <a:t> (month</a:t>
                </a:r>
                <a:r>
                  <a:rPr lang="en-GB" baseline="30000"/>
                  <a:t>-1</a:t>
                </a:r>
                <a:r>
                  <a:rPr lang="en-GB" baseline="0"/>
                  <a:t>)</a:t>
                </a:r>
                <a:endParaRPr lang="en-GB"/>
              </a:p>
            </c:rich>
          </c:tx>
          <c:layout>
            <c:manualLayout>
              <c:xMode val="edge"/>
              <c:yMode val="edge"/>
              <c:x val="0.92944573104832484"/>
              <c:y val="0.10625518132352921"/>
            </c:manualLayout>
          </c:layout>
          <c:overlay val="0"/>
        </c:title>
        <c:numFmt formatCode="0.00" sourceLinked="1"/>
        <c:majorTickMark val="out"/>
        <c:minorTickMark val="none"/>
        <c:tickLblPos val="nextTo"/>
        <c:crossAx val="38589071"/>
        <c:crosses val="max"/>
        <c:crossBetween val="between"/>
      </c:valAx>
      <c:catAx>
        <c:axId val="38589071"/>
        <c:scaling>
          <c:orientation val="minMax"/>
        </c:scaling>
        <c:delete val="1"/>
        <c:axPos val="b"/>
        <c:numFmt formatCode="General" sourceLinked="1"/>
        <c:majorTickMark val="out"/>
        <c:minorTickMark val="none"/>
        <c:tickLblPos val="nextTo"/>
        <c:crossAx val="38590511"/>
        <c:crosses val="autoZero"/>
        <c:auto val="1"/>
        <c:lblAlgn val="ctr"/>
        <c:lblOffset val="100"/>
        <c:noMultiLvlLbl val="0"/>
      </c:catAx>
      <c:spPr>
        <a:noFill/>
        <a:ln w="25400">
          <a:noFill/>
        </a:ln>
      </c:spPr>
    </c:plotArea>
    <c:legend>
      <c:legendPos val="b"/>
      <c:layout>
        <c:manualLayout>
          <c:xMode val="edge"/>
          <c:yMode val="edge"/>
          <c:x val="0.56584662033717503"/>
          <c:y val="0.91406367259225385"/>
          <c:w val="0.43415347066856497"/>
          <c:h val="8.5690996981556439E-2"/>
        </c:manualLayout>
      </c:layout>
      <c:overlay val="0"/>
    </c:legend>
    <c:plotVisOnly val="1"/>
    <c:dispBlanksAs val="gap"/>
    <c:showDLblsOverMax val="0"/>
  </c:chart>
  <c:spPr>
    <a:solidFill>
      <a:schemeClr val="bg1"/>
    </a:solidFill>
    <a:ln>
      <a:solidFill>
        <a:schemeClr val="tx1"/>
      </a:solidFill>
    </a:ln>
  </c:spPr>
  <c:txPr>
    <a:bodyPr/>
    <a:lstStyle/>
    <a:p>
      <a:pPr>
        <a:defRPr sz="1100" baseline="0">
          <a:latin typeface="Calibri" pitchFamily="34" charset="0"/>
        </a:defRPr>
      </a:pPr>
      <a:endParaRPr lang="en-US"/>
    </a:p>
  </c:txPr>
  <c:printSettings>
    <c:headerFooter/>
    <c:pageMargins b="0.75000000000000244" l="0.70000000000000062" r="0.70000000000000062" t="0.75000000000000244" header="0.30000000000000032" footer="0.30000000000000032"/>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556096189333563"/>
          <c:y val="0.13297710427705969"/>
          <c:w val="0.79810784871959617"/>
          <c:h val="0.67556645042011254"/>
        </c:manualLayout>
      </c:layout>
      <c:lineChart>
        <c:grouping val="standard"/>
        <c:varyColors val="0"/>
        <c:ser>
          <c:idx val="1"/>
          <c:order val="0"/>
          <c:tx>
            <c:v>Total C</c:v>
          </c:tx>
          <c:spPr>
            <a:ln w="38100">
              <a:solidFill>
                <a:srgbClr val="996600"/>
              </a:solidFill>
            </a:ln>
          </c:spPr>
          <c:marker>
            <c:symbol val="none"/>
          </c:marker>
          <c:cat>
            <c:numRef>
              <c:f>'Simulation of changes in soil C'!$C$19:$C$162</c:f>
              <c:numCache>
                <c:formatCode>General</c:formatCode>
                <c:ptCount val="144"/>
                <c:pt idx="0">
                  <c:v>-6</c:v>
                </c:pt>
                <c:pt idx="1">
                  <c:v>-6</c:v>
                </c:pt>
                <c:pt idx="2">
                  <c:v>-6</c:v>
                </c:pt>
                <c:pt idx="3">
                  <c:v>-6</c:v>
                </c:pt>
                <c:pt idx="4">
                  <c:v>-6</c:v>
                </c:pt>
                <c:pt idx="5">
                  <c:v>-6</c:v>
                </c:pt>
                <c:pt idx="6">
                  <c:v>-6</c:v>
                </c:pt>
                <c:pt idx="7">
                  <c:v>-6</c:v>
                </c:pt>
                <c:pt idx="8">
                  <c:v>-6</c:v>
                </c:pt>
                <c:pt idx="9">
                  <c:v>-6</c:v>
                </c:pt>
                <c:pt idx="10">
                  <c:v>-6</c:v>
                </c:pt>
                <c:pt idx="11">
                  <c:v>-6</c:v>
                </c:pt>
                <c:pt idx="12">
                  <c:v>-5</c:v>
                </c:pt>
                <c:pt idx="13">
                  <c:v>-5</c:v>
                </c:pt>
                <c:pt idx="14">
                  <c:v>-5</c:v>
                </c:pt>
                <c:pt idx="15">
                  <c:v>-5</c:v>
                </c:pt>
                <c:pt idx="16">
                  <c:v>-5</c:v>
                </c:pt>
                <c:pt idx="17">
                  <c:v>-5</c:v>
                </c:pt>
                <c:pt idx="18">
                  <c:v>-5</c:v>
                </c:pt>
                <c:pt idx="19">
                  <c:v>-5</c:v>
                </c:pt>
                <c:pt idx="20">
                  <c:v>-5</c:v>
                </c:pt>
                <c:pt idx="21">
                  <c:v>-5</c:v>
                </c:pt>
                <c:pt idx="22">
                  <c:v>-5</c:v>
                </c:pt>
                <c:pt idx="23">
                  <c:v>-5</c:v>
                </c:pt>
                <c:pt idx="24">
                  <c:v>-4</c:v>
                </c:pt>
                <c:pt idx="25">
                  <c:v>-4</c:v>
                </c:pt>
                <c:pt idx="26">
                  <c:v>-4</c:v>
                </c:pt>
                <c:pt idx="27">
                  <c:v>-4</c:v>
                </c:pt>
                <c:pt idx="28">
                  <c:v>-4</c:v>
                </c:pt>
                <c:pt idx="29">
                  <c:v>-4</c:v>
                </c:pt>
                <c:pt idx="30">
                  <c:v>-4</c:v>
                </c:pt>
                <c:pt idx="31">
                  <c:v>-4</c:v>
                </c:pt>
                <c:pt idx="32">
                  <c:v>-4</c:v>
                </c:pt>
                <c:pt idx="33">
                  <c:v>-4</c:v>
                </c:pt>
                <c:pt idx="34">
                  <c:v>-4</c:v>
                </c:pt>
                <c:pt idx="35">
                  <c:v>-4</c:v>
                </c:pt>
                <c:pt idx="36">
                  <c:v>-3</c:v>
                </c:pt>
                <c:pt idx="37">
                  <c:v>-3</c:v>
                </c:pt>
                <c:pt idx="38">
                  <c:v>-3</c:v>
                </c:pt>
                <c:pt idx="39">
                  <c:v>-3</c:v>
                </c:pt>
                <c:pt idx="40">
                  <c:v>-3</c:v>
                </c:pt>
                <c:pt idx="41">
                  <c:v>-3</c:v>
                </c:pt>
                <c:pt idx="42">
                  <c:v>-3</c:v>
                </c:pt>
                <c:pt idx="43">
                  <c:v>-3</c:v>
                </c:pt>
                <c:pt idx="44">
                  <c:v>-3</c:v>
                </c:pt>
                <c:pt idx="45">
                  <c:v>-3</c:v>
                </c:pt>
                <c:pt idx="46">
                  <c:v>-3</c:v>
                </c:pt>
                <c:pt idx="47">
                  <c:v>-3</c:v>
                </c:pt>
                <c:pt idx="48">
                  <c:v>-2</c:v>
                </c:pt>
                <c:pt idx="49">
                  <c:v>-2</c:v>
                </c:pt>
                <c:pt idx="50">
                  <c:v>-2</c:v>
                </c:pt>
                <c:pt idx="51">
                  <c:v>-2</c:v>
                </c:pt>
                <c:pt idx="52">
                  <c:v>-2</c:v>
                </c:pt>
                <c:pt idx="53">
                  <c:v>-2</c:v>
                </c:pt>
                <c:pt idx="54">
                  <c:v>-2</c:v>
                </c:pt>
                <c:pt idx="55">
                  <c:v>-2</c:v>
                </c:pt>
                <c:pt idx="56">
                  <c:v>-2</c:v>
                </c:pt>
                <c:pt idx="57">
                  <c:v>-2</c:v>
                </c:pt>
                <c:pt idx="58">
                  <c:v>-2</c:v>
                </c:pt>
                <c:pt idx="59">
                  <c:v>-2</c:v>
                </c:pt>
                <c:pt idx="60">
                  <c:v>-1</c:v>
                </c:pt>
                <c:pt idx="61">
                  <c:v>-1</c:v>
                </c:pt>
                <c:pt idx="62">
                  <c:v>-1</c:v>
                </c:pt>
                <c:pt idx="63">
                  <c:v>-1</c:v>
                </c:pt>
                <c:pt idx="64">
                  <c:v>-1</c:v>
                </c:pt>
                <c:pt idx="65">
                  <c:v>-1</c:v>
                </c:pt>
                <c:pt idx="66">
                  <c:v>-1</c:v>
                </c:pt>
                <c:pt idx="67">
                  <c:v>-1</c:v>
                </c:pt>
                <c:pt idx="68">
                  <c:v>-1</c:v>
                </c:pt>
                <c:pt idx="69">
                  <c:v>-1</c:v>
                </c:pt>
                <c:pt idx="70">
                  <c:v>-1</c:v>
                </c:pt>
                <c:pt idx="71">
                  <c:v>-1</c:v>
                </c:pt>
                <c:pt idx="72">
                  <c:v>0</c:v>
                </c:pt>
                <c:pt idx="73">
                  <c:v>0</c:v>
                </c:pt>
                <c:pt idx="74">
                  <c:v>0</c:v>
                </c:pt>
                <c:pt idx="75">
                  <c:v>0</c:v>
                </c:pt>
                <c:pt idx="76">
                  <c:v>0</c:v>
                </c:pt>
                <c:pt idx="77">
                  <c:v>0</c:v>
                </c:pt>
                <c:pt idx="78">
                  <c:v>0</c:v>
                </c:pt>
                <c:pt idx="79">
                  <c:v>0</c:v>
                </c:pt>
                <c:pt idx="80">
                  <c:v>0</c:v>
                </c:pt>
                <c:pt idx="81">
                  <c:v>0</c:v>
                </c:pt>
                <c:pt idx="82">
                  <c:v>0</c:v>
                </c:pt>
                <c:pt idx="83">
                  <c:v>0</c:v>
                </c:pt>
                <c:pt idx="84">
                  <c:v>1</c:v>
                </c:pt>
                <c:pt idx="85">
                  <c:v>1</c:v>
                </c:pt>
                <c:pt idx="86">
                  <c:v>1</c:v>
                </c:pt>
                <c:pt idx="87">
                  <c:v>1</c:v>
                </c:pt>
                <c:pt idx="88">
                  <c:v>1</c:v>
                </c:pt>
                <c:pt idx="89">
                  <c:v>1</c:v>
                </c:pt>
                <c:pt idx="90">
                  <c:v>1</c:v>
                </c:pt>
                <c:pt idx="91">
                  <c:v>1</c:v>
                </c:pt>
                <c:pt idx="92">
                  <c:v>1</c:v>
                </c:pt>
                <c:pt idx="93">
                  <c:v>1</c:v>
                </c:pt>
                <c:pt idx="94">
                  <c:v>1</c:v>
                </c:pt>
                <c:pt idx="95">
                  <c:v>1</c:v>
                </c:pt>
                <c:pt idx="96">
                  <c:v>2</c:v>
                </c:pt>
                <c:pt idx="97">
                  <c:v>2</c:v>
                </c:pt>
                <c:pt idx="98">
                  <c:v>2</c:v>
                </c:pt>
                <c:pt idx="99">
                  <c:v>2</c:v>
                </c:pt>
                <c:pt idx="100">
                  <c:v>2</c:v>
                </c:pt>
                <c:pt idx="101">
                  <c:v>2</c:v>
                </c:pt>
                <c:pt idx="102">
                  <c:v>2</c:v>
                </c:pt>
                <c:pt idx="103">
                  <c:v>2</c:v>
                </c:pt>
                <c:pt idx="104">
                  <c:v>2</c:v>
                </c:pt>
                <c:pt idx="105">
                  <c:v>2</c:v>
                </c:pt>
                <c:pt idx="106">
                  <c:v>2</c:v>
                </c:pt>
                <c:pt idx="107">
                  <c:v>2</c:v>
                </c:pt>
                <c:pt idx="108">
                  <c:v>3</c:v>
                </c:pt>
                <c:pt idx="109">
                  <c:v>3</c:v>
                </c:pt>
                <c:pt idx="110">
                  <c:v>3</c:v>
                </c:pt>
                <c:pt idx="111">
                  <c:v>3</c:v>
                </c:pt>
                <c:pt idx="112">
                  <c:v>3</c:v>
                </c:pt>
                <c:pt idx="113">
                  <c:v>3</c:v>
                </c:pt>
                <c:pt idx="114">
                  <c:v>3</c:v>
                </c:pt>
                <c:pt idx="115">
                  <c:v>3</c:v>
                </c:pt>
                <c:pt idx="116">
                  <c:v>3</c:v>
                </c:pt>
                <c:pt idx="117">
                  <c:v>3</c:v>
                </c:pt>
                <c:pt idx="118">
                  <c:v>3</c:v>
                </c:pt>
                <c:pt idx="119">
                  <c:v>3</c:v>
                </c:pt>
                <c:pt idx="120">
                  <c:v>4</c:v>
                </c:pt>
                <c:pt idx="121">
                  <c:v>4</c:v>
                </c:pt>
                <c:pt idx="122">
                  <c:v>4</c:v>
                </c:pt>
                <c:pt idx="123">
                  <c:v>4</c:v>
                </c:pt>
                <c:pt idx="124">
                  <c:v>4</c:v>
                </c:pt>
                <c:pt idx="125">
                  <c:v>4</c:v>
                </c:pt>
                <c:pt idx="126">
                  <c:v>4</c:v>
                </c:pt>
                <c:pt idx="127">
                  <c:v>4</c:v>
                </c:pt>
                <c:pt idx="128">
                  <c:v>4</c:v>
                </c:pt>
                <c:pt idx="129">
                  <c:v>4</c:v>
                </c:pt>
                <c:pt idx="130">
                  <c:v>4</c:v>
                </c:pt>
                <c:pt idx="131">
                  <c:v>4</c:v>
                </c:pt>
                <c:pt idx="132">
                  <c:v>5</c:v>
                </c:pt>
                <c:pt idx="133">
                  <c:v>5</c:v>
                </c:pt>
                <c:pt idx="134">
                  <c:v>5</c:v>
                </c:pt>
                <c:pt idx="135">
                  <c:v>5</c:v>
                </c:pt>
                <c:pt idx="136">
                  <c:v>5</c:v>
                </c:pt>
                <c:pt idx="137">
                  <c:v>5</c:v>
                </c:pt>
                <c:pt idx="138">
                  <c:v>5</c:v>
                </c:pt>
                <c:pt idx="139">
                  <c:v>5</c:v>
                </c:pt>
                <c:pt idx="140">
                  <c:v>5</c:v>
                </c:pt>
                <c:pt idx="141">
                  <c:v>5</c:v>
                </c:pt>
                <c:pt idx="142">
                  <c:v>5</c:v>
                </c:pt>
                <c:pt idx="143">
                  <c:v>5</c:v>
                </c:pt>
              </c:numCache>
            </c:numRef>
          </c:cat>
          <c:val>
            <c:numRef>
              <c:f>'Simulation of changes in soil C'!$AG$19:$AG$162</c:f>
              <c:numCache>
                <c:formatCode>0.00</c:formatCode>
                <c:ptCount val="144"/>
                <c:pt idx="0">
                  <c:v>62.485241460676434</c:v>
                </c:pt>
                <c:pt idx="1">
                  <c:v>62.719439007497655</c:v>
                </c:pt>
                <c:pt idx="2">
                  <c:v>62.96460757712029</c:v>
                </c:pt>
                <c:pt idx="3">
                  <c:v>63.165706800238709</c:v>
                </c:pt>
                <c:pt idx="4">
                  <c:v>63.141417800535891</c:v>
                </c:pt>
                <c:pt idx="5">
                  <c:v>62.892944285064139</c:v>
                </c:pt>
                <c:pt idx="6">
                  <c:v>62.405507439161575</c:v>
                </c:pt>
                <c:pt idx="7">
                  <c:v>62.08853197071624</c:v>
                </c:pt>
                <c:pt idx="8">
                  <c:v>61.856716887005973</c:v>
                </c:pt>
                <c:pt idx="9">
                  <c:v>61.766048951732877</c:v>
                </c:pt>
                <c:pt idx="10">
                  <c:v>61.742387011735765</c:v>
                </c:pt>
                <c:pt idx="11">
                  <c:v>61.823606175202222</c:v>
                </c:pt>
                <c:pt idx="12">
                  <c:v>62.017038045306833</c:v>
                </c:pt>
                <c:pt idx="13">
                  <c:v>62.261517811476736</c:v>
                </c:pt>
                <c:pt idx="14">
                  <c:v>62.514647363130067</c:v>
                </c:pt>
                <c:pt idx="15">
                  <c:v>62.74085530357317</c:v>
                </c:pt>
                <c:pt idx="16">
                  <c:v>62.811607865952169</c:v>
                </c:pt>
                <c:pt idx="17">
                  <c:v>62.470588376923288</c:v>
                </c:pt>
                <c:pt idx="18">
                  <c:v>62.233935701778954</c:v>
                </c:pt>
                <c:pt idx="19">
                  <c:v>61.949996565261642</c:v>
                </c:pt>
                <c:pt idx="20">
                  <c:v>61.658927532747612</c:v>
                </c:pt>
                <c:pt idx="21">
                  <c:v>61.489622103842407</c:v>
                </c:pt>
                <c:pt idx="22">
                  <c:v>61.31094639876639</c:v>
                </c:pt>
                <c:pt idx="23">
                  <c:v>61.486552051703683</c:v>
                </c:pt>
                <c:pt idx="24">
                  <c:v>61.731207833656192</c:v>
                </c:pt>
                <c:pt idx="25">
                  <c:v>61.976012784568027</c:v>
                </c:pt>
                <c:pt idx="26">
                  <c:v>62.221928534856922</c:v>
                </c:pt>
                <c:pt idx="27">
                  <c:v>62.431454092036986</c:v>
                </c:pt>
                <c:pt idx="28">
                  <c:v>62.378752895796886</c:v>
                </c:pt>
                <c:pt idx="29">
                  <c:v>62.304620350660514</c:v>
                </c:pt>
                <c:pt idx="30">
                  <c:v>61.940844159627858</c:v>
                </c:pt>
                <c:pt idx="31">
                  <c:v>61.306114317973865</c:v>
                </c:pt>
                <c:pt idx="32">
                  <c:v>60.921062411878502</c:v>
                </c:pt>
                <c:pt idx="33">
                  <c:v>60.604382547260677</c:v>
                </c:pt>
                <c:pt idx="34">
                  <c:v>60.610947357705371</c:v>
                </c:pt>
                <c:pt idx="35">
                  <c:v>60.777994128423472</c:v>
                </c:pt>
                <c:pt idx="36">
                  <c:v>61.017363927911845</c:v>
                </c:pt>
                <c:pt idx="37">
                  <c:v>61.270771043787065</c:v>
                </c:pt>
                <c:pt idx="38">
                  <c:v>61.515595500948237</c:v>
                </c:pt>
                <c:pt idx="39">
                  <c:v>61.707800150513506</c:v>
                </c:pt>
                <c:pt idx="40">
                  <c:v>61.674280560115605</c:v>
                </c:pt>
                <c:pt idx="41">
                  <c:v>61.396859086412107</c:v>
                </c:pt>
                <c:pt idx="42">
                  <c:v>60.991441698422996</c:v>
                </c:pt>
                <c:pt idx="43">
                  <c:v>60.533852237912775</c:v>
                </c:pt>
                <c:pt idx="44">
                  <c:v>60.292897167918717</c:v>
                </c:pt>
                <c:pt idx="45">
                  <c:v>60.223838124786568</c:v>
                </c:pt>
                <c:pt idx="46">
                  <c:v>60.244443750441619</c:v>
                </c:pt>
                <c:pt idx="47">
                  <c:v>60.336376273340008</c:v>
                </c:pt>
                <c:pt idx="48">
                  <c:v>60.580847157523522</c:v>
                </c:pt>
                <c:pt idx="49">
                  <c:v>60.831748128680779</c:v>
                </c:pt>
                <c:pt idx="50">
                  <c:v>61.076334818960632</c:v>
                </c:pt>
                <c:pt idx="51">
                  <c:v>61.205250845865905</c:v>
                </c:pt>
                <c:pt idx="52">
                  <c:v>61.115571886919831</c:v>
                </c:pt>
                <c:pt idx="53">
                  <c:v>60.975483089934947</c:v>
                </c:pt>
                <c:pt idx="54">
                  <c:v>60.726323809837886</c:v>
                </c:pt>
                <c:pt idx="55">
                  <c:v>60.372090594534114</c:v>
                </c:pt>
                <c:pt idx="56">
                  <c:v>60.099760931574828</c:v>
                </c:pt>
                <c:pt idx="57">
                  <c:v>59.936377773671992</c:v>
                </c:pt>
                <c:pt idx="58">
                  <c:v>59.912605019810499</c:v>
                </c:pt>
                <c:pt idx="59">
                  <c:v>60.075819114479174</c:v>
                </c:pt>
                <c:pt idx="60">
                  <c:v>60.322723905616591</c:v>
                </c:pt>
                <c:pt idx="61">
                  <c:v>60.575684279620887</c:v>
                </c:pt>
                <c:pt idx="62">
                  <c:v>60.827417502576097</c:v>
                </c:pt>
                <c:pt idx="63">
                  <c:v>61.035452988369251</c:v>
                </c:pt>
                <c:pt idx="64">
                  <c:v>61.014350597662961</c:v>
                </c:pt>
                <c:pt idx="65">
                  <c:v>60.694719259846799</c:v>
                </c:pt>
                <c:pt idx="66">
                  <c:v>60.24996654260427</c:v>
                </c:pt>
                <c:pt idx="67">
                  <c:v>59.960819375726025</c:v>
                </c:pt>
                <c:pt idx="68">
                  <c:v>59.467459455553602</c:v>
                </c:pt>
                <c:pt idx="69">
                  <c:v>59.133203328156959</c:v>
                </c:pt>
                <c:pt idx="70">
                  <c:v>59.11749287942056</c:v>
                </c:pt>
                <c:pt idx="71">
                  <c:v>59.217746808063097</c:v>
                </c:pt>
                <c:pt idx="72">
                  <c:v>59.471224895916308</c:v>
                </c:pt>
                <c:pt idx="73">
                  <c:v>59.724702983769518</c:v>
                </c:pt>
                <c:pt idx="74">
                  <c:v>59.978181071622721</c:v>
                </c:pt>
                <c:pt idx="75">
                  <c:v>60.231659159475932</c:v>
                </c:pt>
                <c:pt idx="76">
                  <c:v>60.485137247329135</c:v>
                </c:pt>
                <c:pt idx="77">
                  <c:v>60.738615335182345</c:v>
                </c:pt>
                <c:pt idx="78">
                  <c:v>60.992093423035548</c:v>
                </c:pt>
                <c:pt idx="79">
                  <c:v>61.245571510888759</c:v>
                </c:pt>
                <c:pt idx="80">
                  <c:v>61.499049598741962</c:v>
                </c:pt>
                <c:pt idx="81">
                  <c:v>61.752527686595172</c:v>
                </c:pt>
                <c:pt idx="82">
                  <c:v>62.006005774448383</c:v>
                </c:pt>
                <c:pt idx="83">
                  <c:v>62.259483862301586</c:v>
                </c:pt>
                <c:pt idx="84">
                  <c:v>62.512961950154789</c:v>
                </c:pt>
                <c:pt idx="85">
                  <c:v>62.766440038008</c:v>
                </c:pt>
                <c:pt idx="86">
                  <c:v>63.01991812586121</c:v>
                </c:pt>
                <c:pt idx="87">
                  <c:v>63.192852511340284</c:v>
                </c:pt>
                <c:pt idx="88">
                  <c:v>63.12345436480328</c:v>
                </c:pt>
                <c:pt idx="89">
                  <c:v>62.802730217240168</c:v>
                </c:pt>
                <c:pt idx="90">
                  <c:v>62.423733026440317</c:v>
                </c:pt>
                <c:pt idx="91">
                  <c:v>61.995095882775885</c:v>
                </c:pt>
                <c:pt idx="92">
                  <c:v>61.687665688926884</c:v>
                </c:pt>
                <c:pt idx="93">
                  <c:v>61.50216488866095</c:v>
                </c:pt>
                <c:pt idx="94">
                  <c:v>61.555153284960184</c:v>
                </c:pt>
                <c:pt idx="95">
                  <c:v>61.694666754529571</c:v>
                </c:pt>
                <c:pt idx="96">
                  <c:v>61.92174412775455</c:v>
                </c:pt>
                <c:pt idx="97">
                  <c:v>62.16665031740007</c:v>
                </c:pt>
                <c:pt idx="98">
                  <c:v>62.400384765096163</c:v>
                </c:pt>
                <c:pt idx="99">
                  <c:v>62.535934387621346</c:v>
                </c:pt>
                <c:pt idx="100">
                  <c:v>62.590413099773372</c:v>
                </c:pt>
                <c:pt idx="101">
                  <c:v>62.380036726890026</c:v>
                </c:pt>
                <c:pt idx="102">
                  <c:v>62.125637202357566</c:v>
                </c:pt>
                <c:pt idx="103">
                  <c:v>61.717059491820159</c:v>
                </c:pt>
                <c:pt idx="104">
                  <c:v>61.383648974807464</c:v>
                </c:pt>
                <c:pt idx="105">
                  <c:v>61.248582072967011</c:v>
                </c:pt>
                <c:pt idx="106">
                  <c:v>61.261125126258953</c:v>
                </c:pt>
                <c:pt idx="107">
                  <c:v>61.466548074844454</c:v>
                </c:pt>
                <c:pt idx="108">
                  <c:v>61.695076137433773</c:v>
                </c:pt>
                <c:pt idx="109">
                  <c:v>61.944936535434408</c:v>
                </c:pt>
                <c:pt idx="110">
                  <c:v>62.192927245826255</c:v>
                </c:pt>
                <c:pt idx="111">
                  <c:v>62.417905846944947</c:v>
                </c:pt>
                <c:pt idx="112">
                  <c:v>62.508008580584601</c:v>
                </c:pt>
                <c:pt idx="113">
                  <c:v>62.35263927180722</c:v>
                </c:pt>
                <c:pt idx="114">
                  <c:v>62.055985746415956</c:v>
                </c:pt>
                <c:pt idx="115">
                  <c:v>61.649066083710849</c:v>
                </c:pt>
                <c:pt idx="116">
                  <c:v>61.395919159571321</c:v>
                </c:pt>
                <c:pt idx="117">
                  <c:v>61.281865589717881</c:v>
                </c:pt>
                <c:pt idx="118">
                  <c:v>61.318281229857618</c:v>
                </c:pt>
                <c:pt idx="119">
                  <c:v>61.525487296307837</c:v>
                </c:pt>
                <c:pt idx="120">
                  <c:v>61.771400107647253</c:v>
                </c:pt>
                <c:pt idx="121">
                  <c:v>62.024183011460465</c:v>
                </c:pt>
                <c:pt idx="122">
                  <c:v>62.277061387571983</c:v>
                </c:pt>
                <c:pt idx="123">
                  <c:v>62.521829626784509</c:v>
                </c:pt>
                <c:pt idx="124">
                  <c:v>62.616015865721046</c:v>
                </c:pt>
                <c:pt idx="125">
                  <c:v>62.461728568463393</c:v>
                </c:pt>
                <c:pt idx="126">
                  <c:v>62.146528834757881</c:v>
                </c:pt>
                <c:pt idx="127">
                  <c:v>61.798874178583588</c:v>
                </c:pt>
                <c:pt idx="128">
                  <c:v>61.535396271328587</c:v>
                </c:pt>
                <c:pt idx="129">
                  <c:v>61.377485991408875</c:v>
                </c:pt>
                <c:pt idx="130">
                  <c:v>61.395548598769764</c:v>
                </c:pt>
                <c:pt idx="131">
                  <c:v>61.602636047535313</c:v>
                </c:pt>
                <c:pt idx="132">
                  <c:v>61.836202203767577</c:v>
                </c:pt>
                <c:pt idx="133">
                  <c:v>62.089400155309917</c:v>
                </c:pt>
                <c:pt idx="134">
                  <c:v>62.342878223013386</c:v>
                </c:pt>
                <c:pt idx="135">
                  <c:v>62.585794025037416</c:v>
                </c:pt>
                <c:pt idx="136">
                  <c:v>62.674732000705617</c:v>
                </c:pt>
                <c:pt idx="137">
                  <c:v>62.412022124123858</c:v>
                </c:pt>
                <c:pt idx="138">
                  <c:v>62.156289283111548</c:v>
                </c:pt>
                <c:pt idx="139">
                  <c:v>61.795235622012868</c:v>
                </c:pt>
                <c:pt idx="140">
                  <c:v>61.447546134417095</c:v>
                </c:pt>
                <c:pt idx="141">
                  <c:v>61.209473250528831</c:v>
                </c:pt>
                <c:pt idx="142">
                  <c:v>61.279753522366356</c:v>
                </c:pt>
                <c:pt idx="143">
                  <c:v>61.42169892290373</c:v>
                </c:pt>
              </c:numCache>
            </c:numRef>
          </c:val>
          <c:smooth val="0"/>
          <c:extLst>
            <c:ext xmlns:c16="http://schemas.microsoft.com/office/drawing/2014/chart" uri="{C3380CC4-5D6E-409C-BE32-E72D297353CC}">
              <c16:uniqueId val="{00000000-2047-4CCD-9024-BFF22A20A82F}"/>
            </c:ext>
          </c:extLst>
        </c:ser>
        <c:ser>
          <c:idx val="3"/>
          <c:order val="1"/>
          <c:tx>
            <c:v>Meas. C</c:v>
          </c:tx>
          <c:spPr>
            <a:ln>
              <a:noFill/>
            </a:ln>
          </c:spPr>
          <c:marker>
            <c:symbol val="circle"/>
            <c:size val="7"/>
            <c:spPr>
              <a:solidFill>
                <a:srgbClr val="B0753A"/>
              </a:solidFill>
              <a:ln>
                <a:solidFill>
                  <a:schemeClr val="tx1"/>
                </a:solidFill>
              </a:ln>
            </c:spPr>
          </c:marker>
          <c:cat>
            <c:numRef>
              <c:f>'Simulation of changes in soil C'!$C$19:$C$162</c:f>
              <c:numCache>
                <c:formatCode>General</c:formatCode>
                <c:ptCount val="144"/>
                <c:pt idx="0">
                  <c:v>-6</c:v>
                </c:pt>
                <c:pt idx="1">
                  <c:v>-6</c:v>
                </c:pt>
                <c:pt idx="2">
                  <c:v>-6</c:v>
                </c:pt>
                <c:pt idx="3">
                  <c:v>-6</c:v>
                </c:pt>
                <c:pt idx="4">
                  <c:v>-6</c:v>
                </c:pt>
                <c:pt idx="5">
                  <c:v>-6</c:v>
                </c:pt>
                <c:pt idx="6">
                  <c:v>-6</c:v>
                </c:pt>
                <c:pt idx="7">
                  <c:v>-6</c:v>
                </c:pt>
                <c:pt idx="8">
                  <c:v>-6</c:v>
                </c:pt>
                <c:pt idx="9">
                  <c:v>-6</c:v>
                </c:pt>
                <c:pt idx="10">
                  <c:v>-6</c:v>
                </c:pt>
                <c:pt idx="11">
                  <c:v>-6</c:v>
                </c:pt>
                <c:pt idx="12">
                  <c:v>-5</c:v>
                </c:pt>
                <c:pt idx="13">
                  <c:v>-5</c:v>
                </c:pt>
                <c:pt idx="14">
                  <c:v>-5</c:v>
                </c:pt>
                <c:pt idx="15">
                  <c:v>-5</c:v>
                </c:pt>
                <c:pt idx="16">
                  <c:v>-5</c:v>
                </c:pt>
                <c:pt idx="17">
                  <c:v>-5</c:v>
                </c:pt>
                <c:pt idx="18">
                  <c:v>-5</c:v>
                </c:pt>
                <c:pt idx="19">
                  <c:v>-5</c:v>
                </c:pt>
                <c:pt idx="20">
                  <c:v>-5</c:v>
                </c:pt>
                <c:pt idx="21">
                  <c:v>-5</c:v>
                </c:pt>
                <c:pt idx="22">
                  <c:v>-5</c:v>
                </c:pt>
                <c:pt idx="23">
                  <c:v>-5</c:v>
                </c:pt>
                <c:pt idx="24">
                  <c:v>-4</c:v>
                </c:pt>
                <c:pt idx="25">
                  <c:v>-4</c:v>
                </c:pt>
                <c:pt idx="26">
                  <c:v>-4</c:v>
                </c:pt>
                <c:pt idx="27">
                  <c:v>-4</c:v>
                </c:pt>
                <c:pt idx="28">
                  <c:v>-4</c:v>
                </c:pt>
                <c:pt idx="29">
                  <c:v>-4</c:v>
                </c:pt>
                <c:pt idx="30">
                  <c:v>-4</c:v>
                </c:pt>
                <c:pt idx="31">
                  <c:v>-4</c:v>
                </c:pt>
                <c:pt idx="32">
                  <c:v>-4</c:v>
                </c:pt>
                <c:pt idx="33">
                  <c:v>-4</c:v>
                </c:pt>
                <c:pt idx="34">
                  <c:v>-4</c:v>
                </c:pt>
                <c:pt idx="35">
                  <c:v>-4</c:v>
                </c:pt>
                <c:pt idx="36">
                  <c:v>-3</c:v>
                </c:pt>
                <c:pt idx="37">
                  <c:v>-3</c:v>
                </c:pt>
                <c:pt idx="38">
                  <c:v>-3</c:v>
                </c:pt>
                <c:pt idx="39">
                  <c:v>-3</c:v>
                </c:pt>
                <c:pt idx="40">
                  <c:v>-3</c:v>
                </c:pt>
                <c:pt idx="41">
                  <c:v>-3</c:v>
                </c:pt>
                <c:pt idx="42">
                  <c:v>-3</c:v>
                </c:pt>
                <c:pt idx="43">
                  <c:v>-3</c:v>
                </c:pt>
                <c:pt idx="44">
                  <c:v>-3</c:v>
                </c:pt>
                <c:pt idx="45">
                  <c:v>-3</c:v>
                </c:pt>
                <c:pt idx="46">
                  <c:v>-3</c:v>
                </c:pt>
                <c:pt idx="47">
                  <c:v>-3</c:v>
                </c:pt>
                <c:pt idx="48">
                  <c:v>-2</c:v>
                </c:pt>
                <c:pt idx="49">
                  <c:v>-2</c:v>
                </c:pt>
                <c:pt idx="50">
                  <c:v>-2</c:v>
                </c:pt>
                <c:pt idx="51">
                  <c:v>-2</c:v>
                </c:pt>
                <c:pt idx="52">
                  <c:v>-2</c:v>
                </c:pt>
                <c:pt idx="53">
                  <c:v>-2</c:v>
                </c:pt>
                <c:pt idx="54">
                  <c:v>-2</c:v>
                </c:pt>
                <c:pt idx="55">
                  <c:v>-2</c:v>
                </c:pt>
                <c:pt idx="56">
                  <c:v>-2</c:v>
                </c:pt>
                <c:pt idx="57">
                  <c:v>-2</c:v>
                </c:pt>
                <c:pt idx="58">
                  <c:v>-2</c:v>
                </c:pt>
                <c:pt idx="59">
                  <c:v>-2</c:v>
                </c:pt>
                <c:pt idx="60">
                  <c:v>-1</c:v>
                </c:pt>
                <c:pt idx="61">
                  <c:v>-1</c:v>
                </c:pt>
                <c:pt idx="62">
                  <c:v>-1</c:v>
                </c:pt>
                <c:pt idx="63">
                  <c:v>-1</c:v>
                </c:pt>
                <c:pt idx="64">
                  <c:v>-1</c:v>
                </c:pt>
                <c:pt idx="65">
                  <c:v>-1</c:v>
                </c:pt>
                <c:pt idx="66">
                  <c:v>-1</c:v>
                </c:pt>
                <c:pt idx="67">
                  <c:v>-1</c:v>
                </c:pt>
                <c:pt idx="68">
                  <c:v>-1</c:v>
                </c:pt>
                <c:pt idx="69">
                  <c:v>-1</c:v>
                </c:pt>
                <c:pt idx="70">
                  <c:v>-1</c:v>
                </c:pt>
                <c:pt idx="71">
                  <c:v>-1</c:v>
                </c:pt>
                <c:pt idx="72">
                  <c:v>0</c:v>
                </c:pt>
                <c:pt idx="73">
                  <c:v>0</c:v>
                </c:pt>
                <c:pt idx="74">
                  <c:v>0</c:v>
                </c:pt>
                <c:pt idx="75">
                  <c:v>0</c:v>
                </c:pt>
                <c:pt idx="76">
                  <c:v>0</c:v>
                </c:pt>
                <c:pt idx="77">
                  <c:v>0</c:v>
                </c:pt>
                <c:pt idx="78">
                  <c:v>0</c:v>
                </c:pt>
                <c:pt idx="79">
                  <c:v>0</c:v>
                </c:pt>
                <c:pt idx="80">
                  <c:v>0</c:v>
                </c:pt>
                <c:pt idx="81">
                  <c:v>0</c:v>
                </c:pt>
                <c:pt idx="82">
                  <c:v>0</c:v>
                </c:pt>
                <c:pt idx="83">
                  <c:v>0</c:v>
                </c:pt>
                <c:pt idx="84">
                  <c:v>1</c:v>
                </c:pt>
                <c:pt idx="85">
                  <c:v>1</c:v>
                </c:pt>
                <c:pt idx="86">
                  <c:v>1</c:v>
                </c:pt>
                <c:pt idx="87">
                  <c:v>1</c:v>
                </c:pt>
                <c:pt idx="88">
                  <c:v>1</c:v>
                </c:pt>
                <c:pt idx="89">
                  <c:v>1</c:v>
                </c:pt>
                <c:pt idx="90">
                  <c:v>1</c:v>
                </c:pt>
                <c:pt idx="91">
                  <c:v>1</c:v>
                </c:pt>
                <c:pt idx="92">
                  <c:v>1</c:v>
                </c:pt>
                <c:pt idx="93">
                  <c:v>1</c:v>
                </c:pt>
                <c:pt idx="94">
                  <c:v>1</c:v>
                </c:pt>
                <c:pt idx="95">
                  <c:v>1</c:v>
                </c:pt>
                <c:pt idx="96">
                  <c:v>2</c:v>
                </c:pt>
                <c:pt idx="97">
                  <c:v>2</c:v>
                </c:pt>
                <c:pt idx="98">
                  <c:v>2</c:v>
                </c:pt>
                <c:pt idx="99">
                  <c:v>2</c:v>
                </c:pt>
                <c:pt idx="100">
                  <c:v>2</c:v>
                </c:pt>
                <c:pt idx="101">
                  <c:v>2</c:v>
                </c:pt>
                <c:pt idx="102">
                  <c:v>2</c:v>
                </c:pt>
                <c:pt idx="103">
                  <c:v>2</c:v>
                </c:pt>
                <c:pt idx="104">
                  <c:v>2</c:v>
                </c:pt>
                <c:pt idx="105">
                  <c:v>2</c:v>
                </c:pt>
                <c:pt idx="106">
                  <c:v>2</c:v>
                </c:pt>
                <c:pt idx="107">
                  <c:v>2</c:v>
                </c:pt>
                <c:pt idx="108">
                  <c:v>3</c:v>
                </c:pt>
                <c:pt idx="109">
                  <c:v>3</c:v>
                </c:pt>
                <c:pt idx="110">
                  <c:v>3</c:v>
                </c:pt>
                <c:pt idx="111">
                  <c:v>3</c:v>
                </c:pt>
                <c:pt idx="112">
                  <c:v>3</c:v>
                </c:pt>
                <c:pt idx="113">
                  <c:v>3</c:v>
                </c:pt>
                <c:pt idx="114">
                  <c:v>3</c:v>
                </c:pt>
                <c:pt idx="115">
                  <c:v>3</c:v>
                </c:pt>
                <c:pt idx="116">
                  <c:v>3</c:v>
                </c:pt>
                <c:pt idx="117">
                  <c:v>3</c:v>
                </c:pt>
                <c:pt idx="118">
                  <c:v>3</c:v>
                </c:pt>
                <c:pt idx="119">
                  <c:v>3</c:v>
                </c:pt>
                <c:pt idx="120">
                  <c:v>4</c:v>
                </c:pt>
                <c:pt idx="121">
                  <c:v>4</c:v>
                </c:pt>
                <c:pt idx="122">
                  <c:v>4</c:v>
                </c:pt>
                <c:pt idx="123">
                  <c:v>4</c:v>
                </c:pt>
                <c:pt idx="124">
                  <c:v>4</c:v>
                </c:pt>
                <c:pt idx="125">
                  <c:v>4</c:v>
                </c:pt>
                <c:pt idx="126">
                  <c:v>4</c:v>
                </c:pt>
                <c:pt idx="127">
                  <c:v>4</c:v>
                </c:pt>
                <c:pt idx="128">
                  <c:v>4</c:v>
                </c:pt>
                <c:pt idx="129">
                  <c:v>4</c:v>
                </c:pt>
                <c:pt idx="130">
                  <c:v>4</c:v>
                </c:pt>
                <c:pt idx="131">
                  <c:v>4</c:v>
                </c:pt>
                <c:pt idx="132">
                  <c:v>5</c:v>
                </c:pt>
                <c:pt idx="133">
                  <c:v>5</c:v>
                </c:pt>
                <c:pt idx="134">
                  <c:v>5</c:v>
                </c:pt>
                <c:pt idx="135">
                  <c:v>5</c:v>
                </c:pt>
                <c:pt idx="136">
                  <c:v>5</c:v>
                </c:pt>
                <c:pt idx="137">
                  <c:v>5</c:v>
                </c:pt>
                <c:pt idx="138">
                  <c:v>5</c:v>
                </c:pt>
                <c:pt idx="139">
                  <c:v>5</c:v>
                </c:pt>
                <c:pt idx="140">
                  <c:v>5</c:v>
                </c:pt>
                <c:pt idx="141">
                  <c:v>5</c:v>
                </c:pt>
                <c:pt idx="142">
                  <c:v>5</c:v>
                </c:pt>
                <c:pt idx="143">
                  <c:v>5</c:v>
                </c:pt>
              </c:numCache>
            </c:numRef>
          </c:cat>
          <c:val>
            <c:numRef>
              <c:f>'Simulation of changes in soil C'!$E$19:$E$162</c:f>
              <c:numCache>
                <c:formatCode>0.00</c:formatCode>
                <c:ptCount val="144"/>
                <c:pt idx="0">
                  <c:v>-999</c:v>
                </c:pt>
                <c:pt idx="1">
                  <c:v>-999</c:v>
                </c:pt>
                <c:pt idx="2">
                  <c:v>-999</c:v>
                </c:pt>
                <c:pt idx="3">
                  <c:v>-999</c:v>
                </c:pt>
                <c:pt idx="4">
                  <c:v>-999</c:v>
                </c:pt>
                <c:pt idx="5">
                  <c:v>-999</c:v>
                </c:pt>
                <c:pt idx="6">
                  <c:v>-999</c:v>
                </c:pt>
                <c:pt idx="7">
                  <c:v>62.474999999999994</c:v>
                </c:pt>
                <c:pt idx="8">
                  <c:v>-999</c:v>
                </c:pt>
                <c:pt idx="9">
                  <c:v>-999</c:v>
                </c:pt>
                <c:pt idx="10">
                  <c:v>-999</c:v>
                </c:pt>
                <c:pt idx="11">
                  <c:v>-999</c:v>
                </c:pt>
                <c:pt idx="12">
                  <c:v>-999</c:v>
                </c:pt>
                <c:pt idx="13">
                  <c:v>-999</c:v>
                </c:pt>
                <c:pt idx="14">
                  <c:v>-999</c:v>
                </c:pt>
                <c:pt idx="15">
                  <c:v>-999</c:v>
                </c:pt>
                <c:pt idx="16">
                  <c:v>-999</c:v>
                </c:pt>
                <c:pt idx="17">
                  <c:v>-999</c:v>
                </c:pt>
                <c:pt idx="18">
                  <c:v>-999</c:v>
                </c:pt>
                <c:pt idx="19">
                  <c:v>62.474999999999994</c:v>
                </c:pt>
                <c:pt idx="20">
                  <c:v>-999</c:v>
                </c:pt>
                <c:pt idx="21">
                  <c:v>-999</c:v>
                </c:pt>
                <c:pt idx="22">
                  <c:v>-999</c:v>
                </c:pt>
                <c:pt idx="23">
                  <c:v>-999</c:v>
                </c:pt>
                <c:pt idx="24">
                  <c:v>-999</c:v>
                </c:pt>
                <c:pt idx="25">
                  <c:v>-999</c:v>
                </c:pt>
                <c:pt idx="26">
                  <c:v>-999</c:v>
                </c:pt>
                <c:pt idx="27">
                  <c:v>-999</c:v>
                </c:pt>
                <c:pt idx="28">
                  <c:v>-999</c:v>
                </c:pt>
                <c:pt idx="29">
                  <c:v>-999</c:v>
                </c:pt>
                <c:pt idx="30">
                  <c:v>-999</c:v>
                </c:pt>
                <c:pt idx="31">
                  <c:v>62.474999999999994</c:v>
                </c:pt>
                <c:pt idx="32">
                  <c:v>-999</c:v>
                </c:pt>
                <c:pt idx="33">
                  <c:v>-999</c:v>
                </c:pt>
                <c:pt idx="34">
                  <c:v>-999</c:v>
                </c:pt>
                <c:pt idx="35">
                  <c:v>-999</c:v>
                </c:pt>
                <c:pt idx="36">
                  <c:v>-999</c:v>
                </c:pt>
                <c:pt idx="37">
                  <c:v>-999</c:v>
                </c:pt>
                <c:pt idx="38">
                  <c:v>-999</c:v>
                </c:pt>
                <c:pt idx="39">
                  <c:v>-999</c:v>
                </c:pt>
                <c:pt idx="40">
                  <c:v>-999</c:v>
                </c:pt>
                <c:pt idx="41">
                  <c:v>-999</c:v>
                </c:pt>
                <c:pt idx="42">
                  <c:v>-999</c:v>
                </c:pt>
                <c:pt idx="43">
                  <c:v>62.474999999999994</c:v>
                </c:pt>
                <c:pt idx="44">
                  <c:v>-999</c:v>
                </c:pt>
                <c:pt idx="45">
                  <c:v>-999</c:v>
                </c:pt>
                <c:pt idx="46">
                  <c:v>-999</c:v>
                </c:pt>
                <c:pt idx="47">
                  <c:v>-999</c:v>
                </c:pt>
                <c:pt idx="48">
                  <c:v>-999</c:v>
                </c:pt>
                <c:pt idx="49">
                  <c:v>-999</c:v>
                </c:pt>
                <c:pt idx="50">
                  <c:v>-999</c:v>
                </c:pt>
                <c:pt idx="51">
                  <c:v>-999</c:v>
                </c:pt>
                <c:pt idx="52">
                  <c:v>-999</c:v>
                </c:pt>
                <c:pt idx="53">
                  <c:v>-999</c:v>
                </c:pt>
                <c:pt idx="54">
                  <c:v>-999</c:v>
                </c:pt>
                <c:pt idx="55">
                  <c:v>62.474999999999994</c:v>
                </c:pt>
                <c:pt idx="56">
                  <c:v>-999</c:v>
                </c:pt>
                <c:pt idx="57">
                  <c:v>-999</c:v>
                </c:pt>
                <c:pt idx="58">
                  <c:v>-999</c:v>
                </c:pt>
                <c:pt idx="59">
                  <c:v>-999</c:v>
                </c:pt>
                <c:pt idx="60">
                  <c:v>-999</c:v>
                </c:pt>
                <c:pt idx="61">
                  <c:v>-999</c:v>
                </c:pt>
                <c:pt idx="62">
                  <c:v>-999</c:v>
                </c:pt>
                <c:pt idx="63">
                  <c:v>-999</c:v>
                </c:pt>
                <c:pt idx="64">
                  <c:v>-999</c:v>
                </c:pt>
                <c:pt idx="65">
                  <c:v>-999</c:v>
                </c:pt>
                <c:pt idx="66">
                  <c:v>-999</c:v>
                </c:pt>
                <c:pt idx="67">
                  <c:v>62.474999999999994</c:v>
                </c:pt>
                <c:pt idx="68">
                  <c:v>-999</c:v>
                </c:pt>
                <c:pt idx="69">
                  <c:v>-999</c:v>
                </c:pt>
                <c:pt idx="70">
                  <c:v>-999</c:v>
                </c:pt>
                <c:pt idx="71">
                  <c:v>-999</c:v>
                </c:pt>
              </c:numCache>
            </c:numRef>
          </c:val>
          <c:smooth val="0"/>
          <c:extLst>
            <c:ext xmlns:c16="http://schemas.microsoft.com/office/drawing/2014/chart" uri="{C3380CC4-5D6E-409C-BE32-E72D297353CC}">
              <c16:uniqueId val="{00000001-2047-4CCD-9024-BFF22A20A82F}"/>
            </c:ext>
          </c:extLst>
        </c:ser>
        <c:dLbls>
          <c:showLegendKey val="0"/>
          <c:showVal val="0"/>
          <c:showCatName val="0"/>
          <c:showSerName val="0"/>
          <c:showPercent val="0"/>
          <c:showBubbleSize val="0"/>
        </c:dLbls>
        <c:smooth val="0"/>
        <c:axId val="499834368"/>
        <c:axId val="499825744"/>
      </c:lineChart>
      <c:catAx>
        <c:axId val="499834368"/>
        <c:scaling>
          <c:orientation val="minMax"/>
        </c:scaling>
        <c:delete val="0"/>
        <c:axPos val="b"/>
        <c:title>
          <c:tx>
            <c:rich>
              <a:bodyPr/>
              <a:lstStyle/>
              <a:p>
                <a:pPr>
                  <a:defRPr/>
                </a:pPr>
                <a:r>
                  <a:rPr lang="en-GB"/>
                  <a:t>Year</a:t>
                </a:r>
              </a:p>
            </c:rich>
          </c:tx>
          <c:layout>
            <c:manualLayout>
              <c:xMode val="edge"/>
              <c:yMode val="edge"/>
              <c:x val="0.47705821390476766"/>
              <c:y val="0.87945921854107856"/>
            </c:manualLayout>
          </c:layout>
          <c:overlay val="0"/>
        </c:title>
        <c:numFmt formatCode="General" sourceLinked="1"/>
        <c:majorTickMark val="out"/>
        <c:minorTickMark val="none"/>
        <c:tickLblPos val="nextTo"/>
        <c:crossAx val="499825744"/>
        <c:crosses val="autoZero"/>
        <c:auto val="1"/>
        <c:lblAlgn val="ctr"/>
        <c:lblOffset val="100"/>
        <c:tickLblSkip val="24"/>
        <c:tickMarkSkip val="12"/>
        <c:noMultiLvlLbl val="0"/>
      </c:catAx>
      <c:valAx>
        <c:axId val="499825744"/>
        <c:scaling>
          <c:orientation val="minMax"/>
          <c:min val="5"/>
        </c:scaling>
        <c:delete val="0"/>
        <c:axPos val="l"/>
        <c:majorGridlines/>
        <c:title>
          <c:tx>
            <c:rich>
              <a:bodyPr rot="-5400000" vert="horz"/>
              <a:lstStyle/>
              <a:p>
                <a:pPr>
                  <a:defRPr/>
                </a:pPr>
                <a:r>
                  <a:rPr lang="en-US"/>
                  <a:t>Carbon (t ha</a:t>
                </a:r>
                <a:r>
                  <a:rPr lang="en-US" baseline="30000"/>
                  <a:t>-1</a:t>
                </a:r>
                <a:r>
                  <a:rPr lang="en-US"/>
                  <a:t>)</a:t>
                </a:r>
              </a:p>
            </c:rich>
          </c:tx>
          <c:layout>
            <c:manualLayout>
              <c:xMode val="edge"/>
              <c:yMode val="edge"/>
              <c:x val="8.2931399209277452E-3"/>
              <c:y val="0.26571848330279468"/>
            </c:manualLayout>
          </c:layout>
          <c:overlay val="0"/>
        </c:title>
        <c:numFmt formatCode="0" sourceLinked="0"/>
        <c:majorTickMark val="out"/>
        <c:minorTickMark val="none"/>
        <c:tickLblPos val="nextTo"/>
        <c:crossAx val="499834368"/>
        <c:crosses val="autoZero"/>
        <c:crossBetween val="between"/>
      </c:valAx>
      <c:spPr>
        <a:noFill/>
        <a:ln w="25400">
          <a:noFill/>
        </a:ln>
      </c:spPr>
    </c:plotArea>
    <c:legend>
      <c:legendPos val="b"/>
      <c:layout>
        <c:manualLayout>
          <c:xMode val="edge"/>
          <c:yMode val="edge"/>
          <c:x val="0.56584662033717503"/>
          <c:y val="0.91406367259225385"/>
          <c:w val="0.43415330151834047"/>
          <c:h val="8.5936327407746135E-2"/>
        </c:manualLayout>
      </c:layout>
      <c:overlay val="0"/>
    </c:legend>
    <c:plotVisOnly val="1"/>
    <c:dispBlanksAs val="gap"/>
    <c:showDLblsOverMax val="0"/>
  </c:chart>
  <c:spPr>
    <a:solidFill>
      <a:schemeClr val="bg1"/>
    </a:solidFill>
    <a:ln>
      <a:solidFill>
        <a:schemeClr val="tx1"/>
      </a:solidFill>
    </a:ln>
  </c:spPr>
  <c:txPr>
    <a:bodyPr/>
    <a:lstStyle/>
    <a:p>
      <a:pPr>
        <a:defRPr sz="1100" baseline="0">
          <a:latin typeface="Calibri" pitchFamily="34" charset="0"/>
        </a:defRPr>
      </a:pPr>
      <a:endParaRPr lang="en-US"/>
    </a:p>
  </c:txPr>
  <c:printSettings>
    <c:headerFooter/>
    <c:pageMargins b="0.75000000000000244" l="0.70000000000000062" r="0.70000000000000062" t="0.75000000000000244" header="0.30000000000000032" footer="0.30000000000000032"/>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'H2 Uptake'!$D$1</c:f>
              <c:strCache>
                <c:ptCount val="1"/>
                <c:pt idx="0">
                  <c:v>Measured H2</c:v>
                </c:pt>
              </c:strCache>
            </c:strRef>
          </c:tx>
          <c:spPr>
            <a:ln w="28575" cap="rnd">
              <a:solidFill>
                <a:schemeClr val="tx1"/>
              </a:solidFill>
              <a:round/>
            </a:ln>
            <a:effectLst/>
          </c:spPr>
          <c:marker>
            <c:symbol val="none"/>
          </c:marker>
          <c:cat>
            <c:numRef>
              <c:f>'H2 Uptake'!$A$2:$A$16</c:f>
              <c:numCache>
                <c:formatCode>mmm\-yy</c:formatCode>
                <c:ptCount val="15"/>
                <c:pt idx="0">
                  <c:v>40513</c:v>
                </c:pt>
                <c:pt idx="1">
                  <c:v>40544</c:v>
                </c:pt>
                <c:pt idx="2">
                  <c:v>40575</c:v>
                </c:pt>
                <c:pt idx="3">
                  <c:v>40603</c:v>
                </c:pt>
                <c:pt idx="4">
                  <c:v>40634</c:v>
                </c:pt>
                <c:pt idx="5">
                  <c:v>40664</c:v>
                </c:pt>
                <c:pt idx="6">
                  <c:v>40695</c:v>
                </c:pt>
                <c:pt idx="7">
                  <c:v>40725</c:v>
                </c:pt>
                <c:pt idx="8">
                  <c:v>40756</c:v>
                </c:pt>
                <c:pt idx="9">
                  <c:v>40787</c:v>
                </c:pt>
                <c:pt idx="10">
                  <c:v>40817</c:v>
                </c:pt>
                <c:pt idx="11">
                  <c:v>40848</c:v>
                </c:pt>
                <c:pt idx="12">
                  <c:v>40878</c:v>
                </c:pt>
                <c:pt idx="13">
                  <c:v>40909</c:v>
                </c:pt>
                <c:pt idx="14">
                  <c:v>40940</c:v>
                </c:pt>
              </c:numCache>
            </c:numRef>
          </c:cat>
          <c:val>
            <c:numRef>
              <c:f>'H2 Uptake'!$D$2:$D$16</c:f>
              <c:numCache>
                <c:formatCode>0.0000</c:formatCode>
                <c:ptCount val="15"/>
                <c:pt idx="0">
                  <c:v>1.188733251336898E-2</c:v>
                </c:pt>
                <c:pt idx="1">
                  <c:v>5.9403650338983073E-3</c:v>
                </c:pt>
                <c:pt idx="2">
                  <c:v>3.0168735159235671E-3</c:v>
                </c:pt>
                <c:pt idx="3">
                  <c:v>5.0912326475095757E-3</c:v>
                </c:pt>
                <c:pt idx="4">
                  <c:v>9.9116633320312526E-3</c:v>
                </c:pt>
                <c:pt idx="5">
                  <c:v>1.2806890154639178E-2</c:v>
                </c:pt>
                <c:pt idx="6">
                  <c:v>2.5162375333333362E-2</c:v>
                </c:pt>
                <c:pt idx="7">
                  <c:v>4.1956499143126137E-2</c:v>
                </c:pt>
                <c:pt idx="8">
                  <c:v>3.7147251514469411E-2</c:v>
                </c:pt>
                <c:pt idx="9">
                  <c:v>3.2283902696793022E-2</c:v>
                </c:pt>
                <c:pt idx="10">
                  <c:v>2.712073870292887E-2</c:v>
                </c:pt>
                <c:pt idx="11">
                  <c:v>1.6002617991452976E-2</c:v>
                </c:pt>
                <c:pt idx="12">
                  <c:v>1.1305754110921506E-2</c:v>
                </c:pt>
                <c:pt idx="13">
                  <c:v>7.630475498098855E-3</c:v>
                </c:pt>
                <c:pt idx="14">
                  <c:v>4.9927471086956589E-3</c:v>
                </c:pt>
              </c:numCache>
            </c:numRef>
          </c:val>
          <c:smooth val="0"/>
          <c:extLst>
            <c:ext xmlns:c16="http://schemas.microsoft.com/office/drawing/2014/chart" uri="{C3380CC4-5D6E-409C-BE32-E72D297353CC}">
              <c16:uniqueId val="{00000000-D999-4CA6-A693-847FF0FB4F9D}"/>
            </c:ext>
          </c:extLst>
        </c:ser>
        <c:ser>
          <c:idx val="1"/>
          <c:order val="1"/>
          <c:tx>
            <c:strRef>
              <c:f>'H2 Uptake'!$E$1</c:f>
              <c:strCache>
                <c:ptCount val="1"/>
                <c:pt idx="0">
                  <c:v>HORUS</c:v>
                </c:pt>
              </c:strCache>
            </c:strRef>
          </c:tx>
          <c:spPr>
            <a:ln w="34925" cap="rnd">
              <a:solidFill>
                <a:srgbClr val="92D050"/>
              </a:solidFill>
              <a:round/>
            </a:ln>
            <a:effectLst/>
          </c:spPr>
          <c:marker>
            <c:symbol val="none"/>
          </c:marker>
          <c:cat>
            <c:numRef>
              <c:f>'H2 Uptake'!$A$2:$A$16</c:f>
              <c:numCache>
                <c:formatCode>mmm\-yy</c:formatCode>
                <c:ptCount val="15"/>
                <c:pt idx="0">
                  <c:v>40513</c:v>
                </c:pt>
                <c:pt idx="1">
                  <c:v>40544</c:v>
                </c:pt>
                <c:pt idx="2">
                  <c:v>40575</c:v>
                </c:pt>
                <c:pt idx="3">
                  <c:v>40603</c:v>
                </c:pt>
                <c:pt idx="4">
                  <c:v>40634</c:v>
                </c:pt>
                <c:pt idx="5">
                  <c:v>40664</c:v>
                </c:pt>
                <c:pt idx="6">
                  <c:v>40695</c:v>
                </c:pt>
                <c:pt idx="7">
                  <c:v>40725</c:v>
                </c:pt>
                <c:pt idx="8">
                  <c:v>40756</c:v>
                </c:pt>
                <c:pt idx="9">
                  <c:v>40787</c:v>
                </c:pt>
                <c:pt idx="10">
                  <c:v>40817</c:v>
                </c:pt>
                <c:pt idx="11">
                  <c:v>40848</c:v>
                </c:pt>
                <c:pt idx="12">
                  <c:v>40878</c:v>
                </c:pt>
                <c:pt idx="13">
                  <c:v>40909</c:v>
                </c:pt>
                <c:pt idx="14">
                  <c:v>40940</c:v>
                </c:pt>
              </c:numCache>
            </c:numRef>
          </c:cat>
          <c:val>
            <c:numRef>
              <c:f>'H2 Uptake'!$E$2:$E$16</c:f>
              <c:numCache>
                <c:formatCode>General</c:formatCode>
                <c:ptCount val="15"/>
                <c:pt idx="0">
                  <c:v>1.0939189005237937E-2</c:v>
                </c:pt>
                <c:pt idx="1">
                  <c:v>1.0913213013580281E-2</c:v>
                </c:pt>
                <c:pt idx="2">
                  <c:v>1.2035022153891184E-2</c:v>
                </c:pt>
                <c:pt idx="3">
                  <c:v>1.1351591150603468E-2</c:v>
                </c:pt>
                <c:pt idx="4">
                  <c:v>1.6076461244234341E-2</c:v>
                </c:pt>
                <c:pt idx="5">
                  <c:v>2.3803197699200362E-2</c:v>
                </c:pt>
                <c:pt idx="6">
                  <c:v>3.1469770201466574E-2</c:v>
                </c:pt>
                <c:pt idx="7">
                  <c:v>4.0529948002009375E-2</c:v>
                </c:pt>
                <c:pt idx="8">
                  <c:v>4.3783167991721106E-2</c:v>
                </c:pt>
                <c:pt idx="9">
                  <c:v>3.3443848387063602E-2</c:v>
                </c:pt>
                <c:pt idx="10">
                  <c:v>3.0988506118351244E-2</c:v>
                </c:pt>
                <c:pt idx="11">
                  <c:v>2.477702036401519E-2</c:v>
                </c:pt>
                <c:pt idx="12" formatCode="0.00">
                  <c:v>2.2812950449356828E-2</c:v>
                </c:pt>
                <c:pt idx="13" formatCode="0.00">
                  <c:v>2.0114710190043406E-2</c:v>
                </c:pt>
                <c:pt idx="14" formatCode="0.00">
                  <c:v>1.8793037942167468E-2</c:v>
                </c:pt>
              </c:numCache>
            </c:numRef>
          </c:val>
          <c:smooth val="0"/>
          <c:extLst>
            <c:ext xmlns:c16="http://schemas.microsoft.com/office/drawing/2014/chart" uri="{C3380CC4-5D6E-409C-BE32-E72D297353CC}">
              <c16:uniqueId val="{00000001-D999-4CA6-A693-847FF0FB4F9D}"/>
            </c:ext>
          </c:extLst>
        </c:ser>
        <c:dLbls>
          <c:showLegendKey val="0"/>
          <c:showVal val="0"/>
          <c:showCatName val="0"/>
          <c:showSerName val="0"/>
          <c:showPercent val="0"/>
          <c:showBubbleSize val="0"/>
        </c:dLbls>
        <c:smooth val="0"/>
        <c:axId val="158544192"/>
        <c:axId val="158555232"/>
      </c:lineChart>
      <c:dateAx>
        <c:axId val="1585441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555232"/>
        <c:crosses val="autoZero"/>
        <c:auto val="1"/>
        <c:lblOffset val="100"/>
        <c:baseTimeUnit val="months"/>
      </c:dateAx>
      <c:valAx>
        <c:axId val="1585552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H</a:t>
                </a:r>
                <a:r>
                  <a:rPr lang="en-GB" baseline="-25000"/>
                  <a:t>2</a:t>
                </a:r>
                <a:r>
                  <a:rPr lang="en-GB"/>
                  <a:t> Deposition</a:t>
                </a:r>
                <a:r>
                  <a:rPr lang="en-GB" baseline="0"/>
                  <a:t> velocity (cm s</a:t>
                </a:r>
                <a:r>
                  <a:rPr lang="en-GB" baseline="30000"/>
                  <a:t>-1</a:t>
                </a:r>
                <a:r>
                  <a:rPr lang="en-GB" baseline="0"/>
                  <a:t>)</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544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'H2 Uptake'!$D$1</c:f>
              <c:strCache>
                <c:ptCount val="1"/>
                <c:pt idx="0">
                  <c:v>Measured H2</c:v>
                </c:pt>
              </c:strCache>
            </c:strRef>
          </c:tx>
          <c:spPr>
            <a:ln w="28575" cap="rnd">
              <a:solidFill>
                <a:schemeClr val="tx1"/>
              </a:solidFill>
              <a:round/>
            </a:ln>
            <a:effectLst/>
          </c:spPr>
          <c:marker>
            <c:symbol val="none"/>
          </c:marker>
          <c:cat>
            <c:numRef>
              <c:f>'H2 Uptake'!$A$2:$A$16</c:f>
              <c:numCache>
                <c:formatCode>mmm\-yy</c:formatCode>
                <c:ptCount val="15"/>
                <c:pt idx="0">
                  <c:v>40513</c:v>
                </c:pt>
                <c:pt idx="1">
                  <c:v>40544</c:v>
                </c:pt>
                <c:pt idx="2">
                  <c:v>40575</c:v>
                </c:pt>
                <c:pt idx="3">
                  <c:v>40603</c:v>
                </c:pt>
                <c:pt idx="4">
                  <c:v>40634</c:v>
                </c:pt>
                <c:pt idx="5">
                  <c:v>40664</c:v>
                </c:pt>
                <c:pt idx="6">
                  <c:v>40695</c:v>
                </c:pt>
                <c:pt idx="7">
                  <c:v>40725</c:v>
                </c:pt>
                <c:pt idx="8">
                  <c:v>40756</c:v>
                </c:pt>
                <c:pt idx="9">
                  <c:v>40787</c:v>
                </c:pt>
                <c:pt idx="10">
                  <c:v>40817</c:v>
                </c:pt>
                <c:pt idx="11">
                  <c:v>40848</c:v>
                </c:pt>
                <c:pt idx="12">
                  <c:v>40878</c:v>
                </c:pt>
                <c:pt idx="13">
                  <c:v>40909</c:v>
                </c:pt>
                <c:pt idx="14">
                  <c:v>40940</c:v>
                </c:pt>
              </c:numCache>
            </c:numRef>
          </c:cat>
          <c:val>
            <c:numRef>
              <c:f>'H2 Uptake'!$D$2:$D$16</c:f>
              <c:numCache>
                <c:formatCode>0.0000</c:formatCode>
                <c:ptCount val="15"/>
                <c:pt idx="0">
                  <c:v>1.188733251336898E-2</c:v>
                </c:pt>
                <c:pt idx="1">
                  <c:v>5.9403650338983073E-3</c:v>
                </c:pt>
                <c:pt idx="2">
                  <c:v>3.0168735159235671E-3</c:v>
                </c:pt>
                <c:pt idx="3">
                  <c:v>5.0912326475095757E-3</c:v>
                </c:pt>
                <c:pt idx="4">
                  <c:v>9.9116633320312526E-3</c:v>
                </c:pt>
                <c:pt idx="5">
                  <c:v>1.2806890154639178E-2</c:v>
                </c:pt>
                <c:pt idx="6">
                  <c:v>2.5162375333333362E-2</c:v>
                </c:pt>
                <c:pt idx="7">
                  <c:v>4.1956499143126137E-2</c:v>
                </c:pt>
                <c:pt idx="8">
                  <c:v>3.7147251514469411E-2</c:v>
                </c:pt>
                <c:pt idx="9">
                  <c:v>3.2283902696793022E-2</c:v>
                </c:pt>
                <c:pt idx="10">
                  <c:v>2.712073870292887E-2</c:v>
                </c:pt>
                <c:pt idx="11">
                  <c:v>1.6002617991452976E-2</c:v>
                </c:pt>
                <c:pt idx="12">
                  <c:v>1.1305754110921506E-2</c:v>
                </c:pt>
                <c:pt idx="13">
                  <c:v>7.630475498098855E-3</c:v>
                </c:pt>
                <c:pt idx="14">
                  <c:v>4.9927471086956589E-3</c:v>
                </c:pt>
              </c:numCache>
            </c:numRef>
          </c:val>
          <c:smooth val="0"/>
          <c:extLst>
            <c:ext xmlns:c16="http://schemas.microsoft.com/office/drawing/2014/chart" uri="{C3380CC4-5D6E-409C-BE32-E72D297353CC}">
              <c16:uniqueId val="{00000000-FCB3-4C5E-AE36-FBDD03E8EB2B}"/>
            </c:ext>
          </c:extLst>
        </c:ser>
        <c:ser>
          <c:idx val="1"/>
          <c:order val="1"/>
          <c:tx>
            <c:strRef>
              <c:f>'H2 Uptake'!$E$1</c:f>
              <c:strCache>
                <c:ptCount val="1"/>
                <c:pt idx="0">
                  <c:v>HORUS</c:v>
                </c:pt>
              </c:strCache>
            </c:strRef>
          </c:tx>
          <c:spPr>
            <a:ln w="28575" cap="rnd">
              <a:solidFill>
                <a:srgbClr val="92D050"/>
              </a:solidFill>
              <a:round/>
            </a:ln>
            <a:effectLst/>
          </c:spPr>
          <c:marker>
            <c:symbol val="none"/>
          </c:marker>
          <c:cat>
            <c:numRef>
              <c:f>'H2 Uptake'!$A$2:$A$16</c:f>
              <c:numCache>
                <c:formatCode>mmm\-yy</c:formatCode>
                <c:ptCount val="15"/>
                <c:pt idx="0">
                  <c:v>40513</c:v>
                </c:pt>
                <c:pt idx="1">
                  <c:v>40544</c:v>
                </c:pt>
                <c:pt idx="2">
                  <c:v>40575</c:v>
                </c:pt>
                <c:pt idx="3">
                  <c:v>40603</c:v>
                </c:pt>
                <c:pt idx="4">
                  <c:v>40634</c:v>
                </c:pt>
                <c:pt idx="5">
                  <c:v>40664</c:v>
                </c:pt>
                <c:pt idx="6">
                  <c:v>40695</c:v>
                </c:pt>
                <c:pt idx="7">
                  <c:v>40725</c:v>
                </c:pt>
                <c:pt idx="8">
                  <c:v>40756</c:v>
                </c:pt>
                <c:pt idx="9">
                  <c:v>40787</c:v>
                </c:pt>
                <c:pt idx="10">
                  <c:v>40817</c:v>
                </c:pt>
                <c:pt idx="11">
                  <c:v>40848</c:v>
                </c:pt>
                <c:pt idx="12">
                  <c:v>40878</c:v>
                </c:pt>
                <c:pt idx="13">
                  <c:v>40909</c:v>
                </c:pt>
                <c:pt idx="14">
                  <c:v>40940</c:v>
                </c:pt>
              </c:numCache>
            </c:numRef>
          </c:cat>
          <c:val>
            <c:numRef>
              <c:f>'H2 Uptake'!$E$2:$E$16</c:f>
              <c:numCache>
                <c:formatCode>General</c:formatCode>
                <c:ptCount val="15"/>
                <c:pt idx="0">
                  <c:v>1.0939189005237937E-2</c:v>
                </c:pt>
                <c:pt idx="1">
                  <c:v>1.0913213013580281E-2</c:v>
                </c:pt>
                <c:pt idx="2">
                  <c:v>1.2035022153891184E-2</c:v>
                </c:pt>
                <c:pt idx="3">
                  <c:v>1.1351591150603468E-2</c:v>
                </c:pt>
                <c:pt idx="4">
                  <c:v>1.6076461244234341E-2</c:v>
                </c:pt>
                <c:pt idx="5">
                  <c:v>2.3803197699200362E-2</c:v>
                </c:pt>
                <c:pt idx="6">
                  <c:v>3.1469770201466574E-2</c:v>
                </c:pt>
                <c:pt idx="7">
                  <c:v>4.0529948002009375E-2</c:v>
                </c:pt>
                <c:pt idx="8">
                  <c:v>4.3783167991721106E-2</c:v>
                </c:pt>
                <c:pt idx="9">
                  <c:v>3.3443848387063602E-2</c:v>
                </c:pt>
                <c:pt idx="10">
                  <c:v>3.0988506118351244E-2</c:v>
                </c:pt>
                <c:pt idx="11">
                  <c:v>2.477702036401519E-2</c:v>
                </c:pt>
                <c:pt idx="12" formatCode="0.00">
                  <c:v>2.2812950449356828E-2</c:v>
                </c:pt>
                <c:pt idx="13" formatCode="0.00">
                  <c:v>2.0114710190043406E-2</c:v>
                </c:pt>
                <c:pt idx="14" formatCode="0.00">
                  <c:v>1.8793037942167468E-2</c:v>
                </c:pt>
              </c:numCache>
            </c:numRef>
          </c:val>
          <c:smooth val="0"/>
          <c:extLst>
            <c:ext xmlns:c16="http://schemas.microsoft.com/office/drawing/2014/chart" uri="{C3380CC4-5D6E-409C-BE32-E72D297353CC}">
              <c16:uniqueId val="{00000001-FCB3-4C5E-AE36-FBDD03E8EB2B}"/>
            </c:ext>
          </c:extLst>
        </c:ser>
        <c:dLbls>
          <c:showLegendKey val="0"/>
          <c:showVal val="0"/>
          <c:showCatName val="0"/>
          <c:showSerName val="0"/>
          <c:showPercent val="0"/>
          <c:showBubbleSize val="0"/>
        </c:dLbls>
        <c:smooth val="0"/>
        <c:axId val="158544192"/>
        <c:axId val="158555232"/>
      </c:lineChart>
      <c:dateAx>
        <c:axId val="1585441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555232"/>
        <c:crosses val="autoZero"/>
        <c:auto val="1"/>
        <c:lblOffset val="100"/>
        <c:baseTimeUnit val="months"/>
      </c:dateAx>
      <c:valAx>
        <c:axId val="1585552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H</a:t>
                </a:r>
                <a:r>
                  <a:rPr lang="en-GB" baseline="-25000"/>
                  <a:t>2</a:t>
                </a:r>
                <a:r>
                  <a:rPr lang="en-GB"/>
                  <a:t> Deposition</a:t>
                </a:r>
                <a:r>
                  <a:rPr lang="en-GB" baseline="0"/>
                  <a:t> velocity (cm s</a:t>
                </a:r>
                <a:r>
                  <a:rPr lang="en-GB" baseline="30000"/>
                  <a:t>-1</a:t>
                </a:r>
                <a:r>
                  <a:rPr lang="en-GB" baseline="0"/>
                  <a:t>)</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544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848566801490238"/>
          <c:y val="7.7252941176470594E-2"/>
          <c:w val="0.75551026025734969"/>
          <c:h val="0.69240648354070256"/>
        </c:manualLayout>
      </c:layout>
      <c:lineChart>
        <c:grouping val="standard"/>
        <c:varyColors val="0"/>
        <c:ser>
          <c:idx val="5"/>
          <c:order val="0"/>
          <c:tx>
            <c:v>Rainfall</c:v>
          </c:tx>
          <c:spPr>
            <a:ln>
              <a:solidFill>
                <a:schemeClr val="tx2"/>
              </a:solidFill>
            </a:ln>
          </c:spPr>
          <c:marker>
            <c:symbol val="none"/>
          </c:marker>
          <c:cat>
            <c:numRef>
              <c:f>'[1]A1b. Weather inputs'!$B$11:$B$250</c:f>
              <c:numCache>
                <c:formatCode>General</c:formatCode>
                <c:ptCount val="240"/>
                <c:pt idx="0">
                  <c:v>-10</c:v>
                </c:pt>
                <c:pt idx="1">
                  <c:v>-10</c:v>
                </c:pt>
                <c:pt idx="2">
                  <c:v>-10</c:v>
                </c:pt>
                <c:pt idx="3">
                  <c:v>-10</c:v>
                </c:pt>
                <c:pt idx="4">
                  <c:v>-10</c:v>
                </c:pt>
                <c:pt idx="5">
                  <c:v>-10</c:v>
                </c:pt>
                <c:pt idx="6">
                  <c:v>-10</c:v>
                </c:pt>
                <c:pt idx="7">
                  <c:v>-10</c:v>
                </c:pt>
                <c:pt idx="8">
                  <c:v>-10</c:v>
                </c:pt>
                <c:pt idx="9">
                  <c:v>-10</c:v>
                </c:pt>
                <c:pt idx="10">
                  <c:v>-10</c:v>
                </c:pt>
                <c:pt idx="11">
                  <c:v>-10</c:v>
                </c:pt>
                <c:pt idx="12">
                  <c:v>-9</c:v>
                </c:pt>
                <c:pt idx="13">
                  <c:v>-9</c:v>
                </c:pt>
                <c:pt idx="14">
                  <c:v>-9</c:v>
                </c:pt>
                <c:pt idx="15">
                  <c:v>-9</c:v>
                </c:pt>
                <c:pt idx="16">
                  <c:v>-9</c:v>
                </c:pt>
                <c:pt idx="17">
                  <c:v>-9</c:v>
                </c:pt>
                <c:pt idx="18">
                  <c:v>-9</c:v>
                </c:pt>
                <c:pt idx="19">
                  <c:v>-9</c:v>
                </c:pt>
                <c:pt idx="20">
                  <c:v>-9</c:v>
                </c:pt>
                <c:pt idx="21">
                  <c:v>-9</c:v>
                </c:pt>
                <c:pt idx="22">
                  <c:v>-9</c:v>
                </c:pt>
                <c:pt idx="23">
                  <c:v>-9</c:v>
                </c:pt>
                <c:pt idx="24">
                  <c:v>-8</c:v>
                </c:pt>
                <c:pt idx="25">
                  <c:v>-8</c:v>
                </c:pt>
                <c:pt idx="26">
                  <c:v>-8</c:v>
                </c:pt>
                <c:pt idx="27">
                  <c:v>-8</c:v>
                </c:pt>
                <c:pt idx="28">
                  <c:v>-8</c:v>
                </c:pt>
                <c:pt idx="29">
                  <c:v>-8</c:v>
                </c:pt>
                <c:pt idx="30">
                  <c:v>-8</c:v>
                </c:pt>
                <c:pt idx="31">
                  <c:v>-8</c:v>
                </c:pt>
                <c:pt idx="32">
                  <c:v>-8</c:v>
                </c:pt>
                <c:pt idx="33">
                  <c:v>-8</c:v>
                </c:pt>
                <c:pt idx="34">
                  <c:v>-8</c:v>
                </c:pt>
                <c:pt idx="35">
                  <c:v>-8</c:v>
                </c:pt>
                <c:pt idx="36">
                  <c:v>-7</c:v>
                </c:pt>
                <c:pt idx="37">
                  <c:v>-7</c:v>
                </c:pt>
                <c:pt idx="38">
                  <c:v>-7</c:v>
                </c:pt>
                <c:pt idx="39">
                  <c:v>-7</c:v>
                </c:pt>
                <c:pt idx="40">
                  <c:v>-7</c:v>
                </c:pt>
                <c:pt idx="41">
                  <c:v>-7</c:v>
                </c:pt>
                <c:pt idx="42">
                  <c:v>-7</c:v>
                </c:pt>
                <c:pt idx="43">
                  <c:v>-7</c:v>
                </c:pt>
                <c:pt idx="44">
                  <c:v>-7</c:v>
                </c:pt>
                <c:pt idx="45">
                  <c:v>-7</c:v>
                </c:pt>
                <c:pt idx="46">
                  <c:v>-7</c:v>
                </c:pt>
                <c:pt idx="47">
                  <c:v>-7</c:v>
                </c:pt>
                <c:pt idx="48">
                  <c:v>-6</c:v>
                </c:pt>
                <c:pt idx="49">
                  <c:v>-6</c:v>
                </c:pt>
                <c:pt idx="50">
                  <c:v>-6</c:v>
                </c:pt>
                <c:pt idx="51">
                  <c:v>-6</c:v>
                </c:pt>
                <c:pt idx="52">
                  <c:v>-6</c:v>
                </c:pt>
                <c:pt idx="53">
                  <c:v>-6</c:v>
                </c:pt>
                <c:pt idx="54">
                  <c:v>-6</c:v>
                </c:pt>
                <c:pt idx="55">
                  <c:v>-6</c:v>
                </c:pt>
                <c:pt idx="56">
                  <c:v>-6</c:v>
                </c:pt>
                <c:pt idx="57">
                  <c:v>-6</c:v>
                </c:pt>
                <c:pt idx="58">
                  <c:v>-6</c:v>
                </c:pt>
                <c:pt idx="59">
                  <c:v>-6</c:v>
                </c:pt>
                <c:pt idx="60">
                  <c:v>-5</c:v>
                </c:pt>
                <c:pt idx="61">
                  <c:v>-5</c:v>
                </c:pt>
                <c:pt idx="62">
                  <c:v>-5</c:v>
                </c:pt>
                <c:pt idx="63">
                  <c:v>-5</c:v>
                </c:pt>
                <c:pt idx="64">
                  <c:v>-5</c:v>
                </c:pt>
                <c:pt idx="65">
                  <c:v>-5</c:v>
                </c:pt>
                <c:pt idx="66">
                  <c:v>-5</c:v>
                </c:pt>
                <c:pt idx="67">
                  <c:v>-5</c:v>
                </c:pt>
                <c:pt idx="68">
                  <c:v>-5</c:v>
                </c:pt>
                <c:pt idx="69">
                  <c:v>-5</c:v>
                </c:pt>
                <c:pt idx="70">
                  <c:v>-5</c:v>
                </c:pt>
                <c:pt idx="71">
                  <c:v>-5</c:v>
                </c:pt>
                <c:pt idx="72">
                  <c:v>-4</c:v>
                </c:pt>
                <c:pt idx="73">
                  <c:v>-4</c:v>
                </c:pt>
                <c:pt idx="74">
                  <c:v>-4</c:v>
                </c:pt>
                <c:pt idx="75">
                  <c:v>-4</c:v>
                </c:pt>
                <c:pt idx="76">
                  <c:v>-4</c:v>
                </c:pt>
                <c:pt idx="77">
                  <c:v>-4</c:v>
                </c:pt>
                <c:pt idx="78">
                  <c:v>-4</c:v>
                </c:pt>
                <c:pt idx="79">
                  <c:v>-4</c:v>
                </c:pt>
                <c:pt idx="80">
                  <c:v>-4</c:v>
                </c:pt>
                <c:pt idx="81">
                  <c:v>-4</c:v>
                </c:pt>
                <c:pt idx="82">
                  <c:v>-4</c:v>
                </c:pt>
                <c:pt idx="83">
                  <c:v>-4</c:v>
                </c:pt>
                <c:pt idx="84">
                  <c:v>-3</c:v>
                </c:pt>
                <c:pt idx="85">
                  <c:v>-3</c:v>
                </c:pt>
                <c:pt idx="86">
                  <c:v>-3</c:v>
                </c:pt>
                <c:pt idx="87">
                  <c:v>-3</c:v>
                </c:pt>
                <c:pt idx="88">
                  <c:v>-3</c:v>
                </c:pt>
                <c:pt idx="89">
                  <c:v>-3</c:v>
                </c:pt>
                <c:pt idx="90">
                  <c:v>-3</c:v>
                </c:pt>
                <c:pt idx="91">
                  <c:v>-3</c:v>
                </c:pt>
                <c:pt idx="92">
                  <c:v>-3</c:v>
                </c:pt>
                <c:pt idx="93">
                  <c:v>-3</c:v>
                </c:pt>
                <c:pt idx="94">
                  <c:v>-3</c:v>
                </c:pt>
                <c:pt idx="95">
                  <c:v>-3</c:v>
                </c:pt>
                <c:pt idx="96">
                  <c:v>-2</c:v>
                </c:pt>
                <c:pt idx="97">
                  <c:v>-2</c:v>
                </c:pt>
                <c:pt idx="98">
                  <c:v>-2</c:v>
                </c:pt>
                <c:pt idx="99">
                  <c:v>-2</c:v>
                </c:pt>
                <c:pt idx="100">
                  <c:v>-2</c:v>
                </c:pt>
                <c:pt idx="101">
                  <c:v>-2</c:v>
                </c:pt>
                <c:pt idx="102">
                  <c:v>-2</c:v>
                </c:pt>
                <c:pt idx="103">
                  <c:v>-2</c:v>
                </c:pt>
                <c:pt idx="104">
                  <c:v>-2</c:v>
                </c:pt>
                <c:pt idx="105">
                  <c:v>-2</c:v>
                </c:pt>
                <c:pt idx="106">
                  <c:v>-2</c:v>
                </c:pt>
                <c:pt idx="107">
                  <c:v>-2</c:v>
                </c:pt>
                <c:pt idx="108">
                  <c:v>-1</c:v>
                </c:pt>
                <c:pt idx="109">
                  <c:v>-1</c:v>
                </c:pt>
                <c:pt idx="110">
                  <c:v>-1</c:v>
                </c:pt>
                <c:pt idx="111">
                  <c:v>-1</c:v>
                </c:pt>
                <c:pt idx="112">
                  <c:v>-1</c:v>
                </c:pt>
                <c:pt idx="113">
                  <c:v>-1</c:v>
                </c:pt>
                <c:pt idx="114">
                  <c:v>-1</c:v>
                </c:pt>
                <c:pt idx="115">
                  <c:v>-1</c:v>
                </c:pt>
                <c:pt idx="116">
                  <c:v>-1</c:v>
                </c:pt>
                <c:pt idx="117">
                  <c:v>-1</c:v>
                </c:pt>
                <c:pt idx="118">
                  <c:v>-1</c:v>
                </c:pt>
                <c:pt idx="119">
                  <c:v>-1</c:v>
                </c:pt>
                <c:pt idx="120">
                  <c:v>0</c:v>
                </c:pt>
                <c:pt idx="121">
                  <c:v>0</c:v>
                </c:pt>
                <c:pt idx="122">
                  <c:v>0</c:v>
                </c:pt>
                <c:pt idx="123">
                  <c:v>0</c:v>
                </c:pt>
                <c:pt idx="124">
                  <c:v>0</c:v>
                </c:pt>
                <c:pt idx="125">
                  <c:v>0</c:v>
                </c:pt>
                <c:pt idx="126">
                  <c:v>0</c:v>
                </c:pt>
                <c:pt idx="127">
                  <c:v>0</c:v>
                </c:pt>
                <c:pt idx="128">
                  <c:v>0</c:v>
                </c:pt>
                <c:pt idx="129">
                  <c:v>0</c:v>
                </c:pt>
                <c:pt idx="130">
                  <c:v>0</c:v>
                </c:pt>
                <c:pt idx="131">
                  <c:v>0</c:v>
                </c:pt>
                <c:pt idx="132">
                  <c:v>1</c:v>
                </c:pt>
                <c:pt idx="133">
                  <c:v>1</c:v>
                </c:pt>
                <c:pt idx="134">
                  <c:v>1</c:v>
                </c:pt>
                <c:pt idx="135">
                  <c:v>1</c:v>
                </c:pt>
                <c:pt idx="136">
                  <c:v>1</c:v>
                </c:pt>
                <c:pt idx="137">
                  <c:v>1</c:v>
                </c:pt>
                <c:pt idx="138">
                  <c:v>1</c:v>
                </c:pt>
                <c:pt idx="139">
                  <c:v>1</c:v>
                </c:pt>
                <c:pt idx="140">
                  <c:v>1</c:v>
                </c:pt>
                <c:pt idx="141">
                  <c:v>1</c:v>
                </c:pt>
                <c:pt idx="142">
                  <c:v>1</c:v>
                </c:pt>
                <c:pt idx="143">
                  <c:v>1</c:v>
                </c:pt>
                <c:pt idx="144">
                  <c:v>2</c:v>
                </c:pt>
                <c:pt idx="145">
                  <c:v>2</c:v>
                </c:pt>
                <c:pt idx="146">
                  <c:v>2</c:v>
                </c:pt>
                <c:pt idx="147">
                  <c:v>2</c:v>
                </c:pt>
                <c:pt idx="148">
                  <c:v>2</c:v>
                </c:pt>
                <c:pt idx="149">
                  <c:v>2</c:v>
                </c:pt>
                <c:pt idx="150">
                  <c:v>2</c:v>
                </c:pt>
                <c:pt idx="151">
                  <c:v>2</c:v>
                </c:pt>
                <c:pt idx="152">
                  <c:v>2</c:v>
                </c:pt>
                <c:pt idx="153">
                  <c:v>2</c:v>
                </c:pt>
                <c:pt idx="154">
                  <c:v>2</c:v>
                </c:pt>
                <c:pt idx="155">
                  <c:v>2</c:v>
                </c:pt>
                <c:pt idx="156">
                  <c:v>3</c:v>
                </c:pt>
                <c:pt idx="157">
                  <c:v>3</c:v>
                </c:pt>
                <c:pt idx="158">
                  <c:v>3</c:v>
                </c:pt>
                <c:pt idx="159">
                  <c:v>3</c:v>
                </c:pt>
                <c:pt idx="160">
                  <c:v>3</c:v>
                </c:pt>
                <c:pt idx="161">
                  <c:v>3</c:v>
                </c:pt>
                <c:pt idx="162">
                  <c:v>3</c:v>
                </c:pt>
                <c:pt idx="163">
                  <c:v>3</c:v>
                </c:pt>
                <c:pt idx="164">
                  <c:v>3</c:v>
                </c:pt>
                <c:pt idx="165">
                  <c:v>3</c:v>
                </c:pt>
                <c:pt idx="166">
                  <c:v>3</c:v>
                </c:pt>
                <c:pt idx="167">
                  <c:v>3</c:v>
                </c:pt>
                <c:pt idx="168">
                  <c:v>4</c:v>
                </c:pt>
                <c:pt idx="169">
                  <c:v>4</c:v>
                </c:pt>
                <c:pt idx="170">
                  <c:v>4</c:v>
                </c:pt>
                <c:pt idx="171">
                  <c:v>4</c:v>
                </c:pt>
                <c:pt idx="172">
                  <c:v>4</c:v>
                </c:pt>
                <c:pt idx="173">
                  <c:v>4</c:v>
                </c:pt>
                <c:pt idx="174">
                  <c:v>4</c:v>
                </c:pt>
                <c:pt idx="175">
                  <c:v>4</c:v>
                </c:pt>
                <c:pt idx="176">
                  <c:v>4</c:v>
                </c:pt>
                <c:pt idx="177">
                  <c:v>4</c:v>
                </c:pt>
                <c:pt idx="178">
                  <c:v>4</c:v>
                </c:pt>
                <c:pt idx="179">
                  <c:v>4</c:v>
                </c:pt>
                <c:pt idx="180">
                  <c:v>5</c:v>
                </c:pt>
                <c:pt idx="181">
                  <c:v>5</c:v>
                </c:pt>
                <c:pt idx="182">
                  <c:v>5</c:v>
                </c:pt>
                <c:pt idx="183">
                  <c:v>5</c:v>
                </c:pt>
                <c:pt idx="184">
                  <c:v>5</c:v>
                </c:pt>
                <c:pt idx="185">
                  <c:v>5</c:v>
                </c:pt>
                <c:pt idx="186">
                  <c:v>5</c:v>
                </c:pt>
                <c:pt idx="187">
                  <c:v>5</c:v>
                </c:pt>
                <c:pt idx="188">
                  <c:v>5</c:v>
                </c:pt>
                <c:pt idx="189">
                  <c:v>5</c:v>
                </c:pt>
                <c:pt idx="190">
                  <c:v>5</c:v>
                </c:pt>
                <c:pt idx="191">
                  <c:v>5</c:v>
                </c:pt>
                <c:pt idx="192">
                  <c:v>6</c:v>
                </c:pt>
                <c:pt idx="193">
                  <c:v>6</c:v>
                </c:pt>
                <c:pt idx="194">
                  <c:v>6</c:v>
                </c:pt>
                <c:pt idx="195">
                  <c:v>6</c:v>
                </c:pt>
                <c:pt idx="196">
                  <c:v>6</c:v>
                </c:pt>
                <c:pt idx="197">
                  <c:v>6</c:v>
                </c:pt>
                <c:pt idx="198">
                  <c:v>6</c:v>
                </c:pt>
                <c:pt idx="199">
                  <c:v>6</c:v>
                </c:pt>
                <c:pt idx="200">
                  <c:v>6</c:v>
                </c:pt>
                <c:pt idx="201">
                  <c:v>6</c:v>
                </c:pt>
                <c:pt idx="202">
                  <c:v>6</c:v>
                </c:pt>
                <c:pt idx="203">
                  <c:v>6</c:v>
                </c:pt>
                <c:pt idx="204">
                  <c:v>7</c:v>
                </c:pt>
                <c:pt idx="205">
                  <c:v>7</c:v>
                </c:pt>
                <c:pt idx="206">
                  <c:v>7</c:v>
                </c:pt>
                <c:pt idx="207">
                  <c:v>7</c:v>
                </c:pt>
                <c:pt idx="208">
                  <c:v>7</c:v>
                </c:pt>
                <c:pt idx="209">
                  <c:v>7</c:v>
                </c:pt>
                <c:pt idx="210">
                  <c:v>7</c:v>
                </c:pt>
                <c:pt idx="211">
                  <c:v>7</c:v>
                </c:pt>
                <c:pt idx="212">
                  <c:v>7</c:v>
                </c:pt>
                <c:pt idx="213">
                  <c:v>7</c:v>
                </c:pt>
                <c:pt idx="214">
                  <c:v>7</c:v>
                </c:pt>
                <c:pt idx="215">
                  <c:v>7</c:v>
                </c:pt>
                <c:pt idx="216">
                  <c:v>8</c:v>
                </c:pt>
                <c:pt idx="217">
                  <c:v>8</c:v>
                </c:pt>
                <c:pt idx="218">
                  <c:v>8</c:v>
                </c:pt>
                <c:pt idx="219">
                  <c:v>8</c:v>
                </c:pt>
                <c:pt idx="220">
                  <c:v>8</c:v>
                </c:pt>
                <c:pt idx="221">
                  <c:v>8</c:v>
                </c:pt>
                <c:pt idx="222">
                  <c:v>8</c:v>
                </c:pt>
                <c:pt idx="223">
                  <c:v>8</c:v>
                </c:pt>
                <c:pt idx="224">
                  <c:v>8</c:v>
                </c:pt>
                <c:pt idx="225">
                  <c:v>8</c:v>
                </c:pt>
                <c:pt idx="226">
                  <c:v>8</c:v>
                </c:pt>
                <c:pt idx="227">
                  <c:v>8</c:v>
                </c:pt>
                <c:pt idx="228">
                  <c:v>9</c:v>
                </c:pt>
                <c:pt idx="229">
                  <c:v>9</c:v>
                </c:pt>
                <c:pt idx="230">
                  <c:v>9</c:v>
                </c:pt>
                <c:pt idx="231">
                  <c:v>9</c:v>
                </c:pt>
                <c:pt idx="232">
                  <c:v>9</c:v>
                </c:pt>
                <c:pt idx="233">
                  <c:v>9</c:v>
                </c:pt>
                <c:pt idx="234">
                  <c:v>9</c:v>
                </c:pt>
                <c:pt idx="235">
                  <c:v>9</c:v>
                </c:pt>
                <c:pt idx="236">
                  <c:v>9</c:v>
                </c:pt>
                <c:pt idx="237">
                  <c:v>9</c:v>
                </c:pt>
                <c:pt idx="238">
                  <c:v>9</c:v>
                </c:pt>
                <c:pt idx="239">
                  <c:v>9</c:v>
                </c:pt>
              </c:numCache>
            </c:numRef>
          </c:cat>
          <c:val>
            <c:numRef>
              <c:f>'Calc. Weather'!$E$5:$E$244</c:f>
              <c:numCache>
                <c:formatCode>0</c:formatCode>
                <c:ptCount val="240"/>
                <c:pt idx="0">
                  <c:v>126.56</c:v>
                </c:pt>
                <c:pt idx="1">
                  <c:v>47.46</c:v>
                </c:pt>
                <c:pt idx="2">
                  <c:v>21.09</c:v>
                </c:pt>
                <c:pt idx="3">
                  <c:v>79.099999999999994</c:v>
                </c:pt>
                <c:pt idx="4">
                  <c:v>163.47999999999999</c:v>
                </c:pt>
                <c:pt idx="5">
                  <c:v>189.84</c:v>
                </c:pt>
                <c:pt idx="6">
                  <c:v>73.83</c:v>
                </c:pt>
                <c:pt idx="7">
                  <c:v>100.2</c:v>
                </c:pt>
                <c:pt idx="8">
                  <c:v>68.55</c:v>
                </c:pt>
                <c:pt idx="9">
                  <c:v>163.47999999999999</c:v>
                </c:pt>
                <c:pt idx="10">
                  <c:v>116.02</c:v>
                </c:pt>
                <c:pt idx="11">
                  <c:v>52.73</c:v>
                </c:pt>
                <c:pt idx="12">
                  <c:v>89.65</c:v>
                </c:pt>
                <c:pt idx="13">
                  <c:v>58.01</c:v>
                </c:pt>
                <c:pt idx="14">
                  <c:v>105.47</c:v>
                </c:pt>
                <c:pt idx="15">
                  <c:v>179.3</c:v>
                </c:pt>
                <c:pt idx="16">
                  <c:v>84.38</c:v>
                </c:pt>
                <c:pt idx="17">
                  <c:v>79.099999999999994</c:v>
                </c:pt>
                <c:pt idx="18">
                  <c:v>116.02</c:v>
                </c:pt>
                <c:pt idx="19">
                  <c:v>47.46</c:v>
                </c:pt>
                <c:pt idx="20">
                  <c:v>68.55</c:v>
                </c:pt>
                <c:pt idx="21">
                  <c:v>110.74</c:v>
                </c:pt>
                <c:pt idx="22">
                  <c:v>89.65</c:v>
                </c:pt>
                <c:pt idx="23">
                  <c:v>110.74</c:v>
                </c:pt>
                <c:pt idx="24">
                  <c:v>58.01</c:v>
                </c:pt>
                <c:pt idx="25">
                  <c:v>232.03</c:v>
                </c:pt>
                <c:pt idx="26">
                  <c:v>131.84</c:v>
                </c:pt>
                <c:pt idx="27">
                  <c:v>94.92</c:v>
                </c:pt>
                <c:pt idx="28">
                  <c:v>42.19</c:v>
                </c:pt>
                <c:pt idx="29">
                  <c:v>121.29</c:v>
                </c:pt>
                <c:pt idx="30">
                  <c:v>179.3</c:v>
                </c:pt>
                <c:pt idx="31">
                  <c:v>94.92</c:v>
                </c:pt>
                <c:pt idx="32">
                  <c:v>189.84</c:v>
                </c:pt>
                <c:pt idx="33">
                  <c:v>84.38</c:v>
                </c:pt>
                <c:pt idx="34">
                  <c:v>89.65</c:v>
                </c:pt>
                <c:pt idx="35">
                  <c:v>174.02</c:v>
                </c:pt>
                <c:pt idx="36">
                  <c:v>73.83</c:v>
                </c:pt>
                <c:pt idx="37">
                  <c:v>36.909999999999997</c:v>
                </c:pt>
                <c:pt idx="38">
                  <c:v>63.28</c:v>
                </c:pt>
                <c:pt idx="39">
                  <c:v>79.099999999999994</c:v>
                </c:pt>
                <c:pt idx="40">
                  <c:v>94.92</c:v>
                </c:pt>
                <c:pt idx="41">
                  <c:v>147.66</c:v>
                </c:pt>
                <c:pt idx="42">
                  <c:v>226.76</c:v>
                </c:pt>
                <c:pt idx="43">
                  <c:v>94.92</c:v>
                </c:pt>
                <c:pt idx="44">
                  <c:v>36.909999999999997</c:v>
                </c:pt>
                <c:pt idx="45">
                  <c:v>142.38</c:v>
                </c:pt>
                <c:pt idx="46">
                  <c:v>68.55</c:v>
                </c:pt>
                <c:pt idx="47">
                  <c:v>105.47</c:v>
                </c:pt>
                <c:pt idx="48">
                  <c:v>63.28</c:v>
                </c:pt>
                <c:pt idx="49">
                  <c:v>100.2</c:v>
                </c:pt>
                <c:pt idx="50">
                  <c:v>174.02</c:v>
                </c:pt>
                <c:pt idx="51">
                  <c:v>31.64</c:v>
                </c:pt>
                <c:pt idx="52">
                  <c:v>63.28</c:v>
                </c:pt>
                <c:pt idx="53">
                  <c:v>100.2</c:v>
                </c:pt>
                <c:pt idx="54">
                  <c:v>73.83</c:v>
                </c:pt>
                <c:pt idx="55">
                  <c:v>68.55</c:v>
                </c:pt>
                <c:pt idx="56">
                  <c:v>63.28</c:v>
                </c:pt>
                <c:pt idx="57">
                  <c:v>163.47999999999999</c:v>
                </c:pt>
                <c:pt idx="58">
                  <c:v>84.38</c:v>
                </c:pt>
                <c:pt idx="59">
                  <c:v>100.2</c:v>
                </c:pt>
                <c:pt idx="60">
                  <c:v>63.28</c:v>
                </c:pt>
                <c:pt idx="61">
                  <c:v>100.2</c:v>
                </c:pt>
                <c:pt idx="62">
                  <c:v>116.02</c:v>
                </c:pt>
                <c:pt idx="63">
                  <c:v>126.56</c:v>
                </c:pt>
                <c:pt idx="64">
                  <c:v>84.38</c:v>
                </c:pt>
                <c:pt idx="65">
                  <c:v>168.75</c:v>
                </c:pt>
                <c:pt idx="66">
                  <c:v>52.73</c:v>
                </c:pt>
                <c:pt idx="67">
                  <c:v>258.39999999999998</c:v>
                </c:pt>
                <c:pt idx="68">
                  <c:v>210.94</c:v>
                </c:pt>
                <c:pt idx="69">
                  <c:v>142.38</c:v>
                </c:pt>
                <c:pt idx="70">
                  <c:v>73.83</c:v>
                </c:pt>
                <c:pt idx="71">
                  <c:v>110.74</c:v>
                </c:pt>
                <c:pt idx="72">
                  <c:v>-8.01</c:v>
                </c:pt>
                <c:pt idx="73">
                  <c:v>-6.74</c:v>
                </c:pt>
                <c:pt idx="74">
                  <c:v>-0.57999999999999996</c:v>
                </c:pt>
                <c:pt idx="75">
                  <c:v>7.18</c:v>
                </c:pt>
                <c:pt idx="76">
                  <c:v>14.05</c:v>
                </c:pt>
                <c:pt idx="77">
                  <c:v>17.96</c:v>
                </c:pt>
                <c:pt idx="78">
                  <c:v>21.89</c:v>
                </c:pt>
                <c:pt idx="79">
                  <c:v>20.350000000000001</c:v>
                </c:pt>
                <c:pt idx="80">
                  <c:v>17.38</c:v>
                </c:pt>
                <c:pt idx="81">
                  <c:v>9.61</c:v>
                </c:pt>
                <c:pt idx="82">
                  <c:v>5.71</c:v>
                </c:pt>
                <c:pt idx="83">
                  <c:v>-0.46</c:v>
                </c:pt>
                <c:pt idx="84">
                  <c:v>-3.44</c:v>
                </c:pt>
                <c:pt idx="85">
                  <c:v>-1.65</c:v>
                </c:pt>
                <c:pt idx="86">
                  <c:v>4.68</c:v>
                </c:pt>
                <c:pt idx="87">
                  <c:v>7.69</c:v>
                </c:pt>
                <c:pt idx="88">
                  <c:v>15.52</c:v>
                </c:pt>
                <c:pt idx="89">
                  <c:v>17.8</c:v>
                </c:pt>
                <c:pt idx="90">
                  <c:v>22.99</c:v>
                </c:pt>
                <c:pt idx="91">
                  <c:v>21.76</c:v>
                </c:pt>
                <c:pt idx="92">
                  <c:v>16.16</c:v>
                </c:pt>
                <c:pt idx="93">
                  <c:v>11.21</c:v>
                </c:pt>
                <c:pt idx="94">
                  <c:v>1.8</c:v>
                </c:pt>
                <c:pt idx="95">
                  <c:v>-0.63</c:v>
                </c:pt>
                <c:pt idx="96">
                  <c:v>-5.04</c:v>
                </c:pt>
                <c:pt idx="97">
                  <c:v>-4.4400000000000004</c:v>
                </c:pt>
                <c:pt idx="98">
                  <c:v>-0.82</c:v>
                </c:pt>
                <c:pt idx="99">
                  <c:v>6.18</c:v>
                </c:pt>
                <c:pt idx="100">
                  <c:v>13.58</c:v>
                </c:pt>
                <c:pt idx="101">
                  <c:v>18.37</c:v>
                </c:pt>
                <c:pt idx="102">
                  <c:v>22.71</c:v>
                </c:pt>
                <c:pt idx="103">
                  <c:v>19.329999999999998</c:v>
                </c:pt>
                <c:pt idx="104">
                  <c:v>15.36</c:v>
                </c:pt>
                <c:pt idx="105">
                  <c:v>10.24</c:v>
                </c:pt>
                <c:pt idx="106">
                  <c:v>1.6</c:v>
                </c:pt>
                <c:pt idx="107">
                  <c:v>-3.59</c:v>
                </c:pt>
                <c:pt idx="108">
                  <c:v>-7.32</c:v>
                </c:pt>
                <c:pt idx="109">
                  <c:v>-7.56</c:v>
                </c:pt>
                <c:pt idx="110">
                  <c:v>-3.72</c:v>
                </c:pt>
                <c:pt idx="111">
                  <c:v>5.88</c:v>
                </c:pt>
                <c:pt idx="112">
                  <c:v>13.3</c:v>
                </c:pt>
                <c:pt idx="113">
                  <c:v>18.579999999999998</c:v>
                </c:pt>
                <c:pt idx="114">
                  <c:v>20.88</c:v>
                </c:pt>
                <c:pt idx="115">
                  <c:v>19.38</c:v>
                </c:pt>
                <c:pt idx="116">
                  <c:v>16.57</c:v>
                </c:pt>
                <c:pt idx="117">
                  <c:v>10.87</c:v>
                </c:pt>
                <c:pt idx="118">
                  <c:v>1.4</c:v>
                </c:pt>
                <c:pt idx="119">
                  <c:v>-1.78</c:v>
                </c:pt>
                <c:pt idx="120">
                  <c:v>-8.2799999999999994</c:v>
                </c:pt>
                <c:pt idx="121">
                  <c:v>-13.02</c:v>
                </c:pt>
                <c:pt idx="122">
                  <c:v>-3.52</c:v>
                </c:pt>
                <c:pt idx="123">
                  <c:v>6.08</c:v>
                </c:pt>
                <c:pt idx="124">
                  <c:v>16.079999999999998</c:v>
                </c:pt>
                <c:pt idx="125">
                  <c:v>17.399999999999999</c:v>
                </c:pt>
                <c:pt idx="126">
                  <c:v>21.29</c:v>
                </c:pt>
                <c:pt idx="127">
                  <c:v>21.81</c:v>
                </c:pt>
                <c:pt idx="128">
                  <c:v>19.09</c:v>
                </c:pt>
                <c:pt idx="129">
                  <c:v>9.02</c:v>
                </c:pt>
                <c:pt idx="130">
                  <c:v>5.62</c:v>
                </c:pt>
                <c:pt idx="131">
                  <c:v>3.68</c:v>
                </c:pt>
                <c:pt idx="132">
                  <c:v>-4.54</c:v>
                </c:pt>
                <c:pt idx="133">
                  <c:v>-2.77</c:v>
                </c:pt>
                <c:pt idx="134">
                  <c:v>2.73</c:v>
                </c:pt>
                <c:pt idx="135">
                  <c:v>5.92</c:v>
                </c:pt>
                <c:pt idx="136">
                  <c:v>13.14</c:v>
                </c:pt>
                <c:pt idx="137">
                  <c:v>18.75</c:v>
                </c:pt>
                <c:pt idx="138">
                  <c:v>23.19</c:v>
                </c:pt>
                <c:pt idx="139">
                  <c:v>22.75</c:v>
                </c:pt>
                <c:pt idx="140">
                  <c:v>18.3</c:v>
                </c:pt>
                <c:pt idx="141">
                  <c:v>10.44</c:v>
                </c:pt>
                <c:pt idx="142">
                  <c:v>4.28</c:v>
                </c:pt>
                <c:pt idx="143">
                  <c:v>-2.87</c:v>
                </c:pt>
                <c:pt idx="144" formatCode="0.0">
                  <c:v>-8.01</c:v>
                </c:pt>
                <c:pt idx="145">
                  <c:v>-6.74</c:v>
                </c:pt>
                <c:pt idx="146">
                  <c:v>-0.57999999999999996</c:v>
                </c:pt>
                <c:pt idx="147">
                  <c:v>7.18</c:v>
                </c:pt>
                <c:pt idx="148">
                  <c:v>14.05</c:v>
                </c:pt>
                <c:pt idx="149">
                  <c:v>17.96</c:v>
                </c:pt>
                <c:pt idx="150">
                  <c:v>21.89</c:v>
                </c:pt>
                <c:pt idx="151">
                  <c:v>20.350000000000001</c:v>
                </c:pt>
                <c:pt idx="152">
                  <c:v>17.38</c:v>
                </c:pt>
                <c:pt idx="153">
                  <c:v>9.61</c:v>
                </c:pt>
                <c:pt idx="154">
                  <c:v>5.71</c:v>
                </c:pt>
                <c:pt idx="155">
                  <c:v>-0.46</c:v>
                </c:pt>
                <c:pt idx="156">
                  <c:v>-3.44</c:v>
                </c:pt>
                <c:pt idx="157">
                  <c:v>-1.65</c:v>
                </c:pt>
                <c:pt idx="158">
                  <c:v>4.68</c:v>
                </c:pt>
                <c:pt idx="159">
                  <c:v>7.69</c:v>
                </c:pt>
                <c:pt idx="160">
                  <c:v>15.52</c:v>
                </c:pt>
                <c:pt idx="161">
                  <c:v>17.8</c:v>
                </c:pt>
                <c:pt idx="162">
                  <c:v>22.99</c:v>
                </c:pt>
                <c:pt idx="163">
                  <c:v>21.76</c:v>
                </c:pt>
                <c:pt idx="164">
                  <c:v>16.16</c:v>
                </c:pt>
                <c:pt idx="165">
                  <c:v>11.21</c:v>
                </c:pt>
                <c:pt idx="166">
                  <c:v>1.8</c:v>
                </c:pt>
                <c:pt idx="167">
                  <c:v>-0.63</c:v>
                </c:pt>
                <c:pt idx="168">
                  <c:v>-5.04</c:v>
                </c:pt>
                <c:pt idx="169">
                  <c:v>-4.4400000000000004</c:v>
                </c:pt>
                <c:pt idx="170">
                  <c:v>-0.82</c:v>
                </c:pt>
                <c:pt idx="171">
                  <c:v>6.18</c:v>
                </c:pt>
                <c:pt idx="172">
                  <c:v>13.58</c:v>
                </c:pt>
                <c:pt idx="173">
                  <c:v>18.37</c:v>
                </c:pt>
                <c:pt idx="174">
                  <c:v>22.71</c:v>
                </c:pt>
                <c:pt idx="175">
                  <c:v>19.329999999999998</c:v>
                </c:pt>
                <c:pt idx="176">
                  <c:v>15.36</c:v>
                </c:pt>
                <c:pt idx="177">
                  <c:v>10.24</c:v>
                </c:pt>
                <c:pt idx="178">
                  <c:v>1.6</c:v>
                </c:pt>
                <c:pt idx="179">
                  <c:v>-3.59</c:v>
                </c:pt>
                <c:pt idx="180">
                  <c:v>-7.32</c:v>
                </c:pt>
                <c:pt idx="181">
                  <c:v>-7.56</c:v>
                </c:pt>
                <c:pt idx="182">
                  <c:v>-3.72</c:v>
                </c:pt>
                <c:pt idx="183">
                  <c:v>5.88</c:v>
                </c:pt>
                <c:pt idx="184">
                  <c:v>13.3</c:v>
                </c:pt>
                <c:pt idx="185">
                  <c:v>18.579999999999998</c:v>
                </c:pt>
                <c:pt idx="186">
                  <c:v>20.88</c:v>
                </c:pt>
                <c:pt idx="187">
                  <c:v>19.38</c:v>
                </c:pt>
                <c:pt idx="188">
                  <c:v>16.57</c:v>
                </c:pt>
                <c:pt idx="189">
                  <c:v>10.87</c:v>
                </c:pt>
                <c:pt idx="190">
                  <c:v>1.4</c:v>
                </c:pt>
                <c:pt idx="191">
                  <c:v>-1.78</c:v>
                </c:pt>
                <c:pt idx="192">
                  <c:v>-8.2799999999999994</c:v>
                </c:pt>
                <c:pt idx="193">
                  <c:v>-13.02</c:v>
                </c:pt>
                <c:pt idx="194">
                  <c:v>-3.52</c:v>
                </c:pt>
                <c:pt idx="195">
                  <c:v>6.08</c:v>
                </c:pt>
                <c:pt idx="196">
                  <c:v>16.079999999999998</c:v>
                </c:pt>
                <c:pt idx="197">
                  <c:v>17.399999999999999</c:v>
                </c:pt>
                <c:pt idx="198">
                  <c:v>21.29</c:v>
                </c:pt>
                <c:pt idx="199">
                  <c:v>21.81</c:v>
                </c:pt>
                <c:pt idx="200">
                  <c:v>19.09</c:v>
                </c:pt>
                <c:pt idx="201">
                  <c:v>9.02</c:v>
                </c:pt>
                <c:pt idx="202">
                  <c:v>5.62</c:v>
                </c:pt>
                <c:pt idx="203">
                  <c:v>3.68</c:v>
                </c:pt>
                <c:pt idx="204">
                  <c:v>-4.54</c:v>
                </c:pt>
                <c:pt idx="205">
                  <c:v>-2.77</c:v>
                </c:pt>
                <c:pt idx="206">
                  <c:v>2.73</c:v>
                </c:pt>
                <c:pt idx="207">
                  <c:v>5.92</c:v>
                </c:pt>
                <c:pt idx="208">
                  <c:v>13.14</c:v>
                </c:pt>
                <c:pt idx="209">
                  <c:v>18.75</c:v>
                </c:pt>
                <c:pt idx="210">
                  <c:v>23.19</c:v>
                </c:pt>
                <c:pt idx="211">
                  <c:v>22.75</c:v>
                </c:pt>
                <c:pt idx="212">
                  <c:v>18.3</c:v>
                </c:pt>
                <c:pt idx="213">
                  <c:v>10.44</c:v>
                </c:pt>
                <c:pt idx="214">
                  <c:v>4.28</c:v>
                </c:pt>
                <c:pt idx="215">
                  <c:v>-2.87</c:v>
                </c:pt>
                <c:pt idx="216">
                  <c:v>-8.01</c:v>
                </c:pt>
                <c:pt idx="217">
                  <c:v>-6.74</c:v>
                </c:pt>
                <c:pt idx="218">
                  <c:v>-0.57999999999999996</c:v>
                </c:pt>
                <c:pt idx="219">
                  <c:v>7.18</c:v>
                </c:pt>
                <c:pt idx="220">
                  <c:v>14.05</c:v>
                </c:pt>
                <c:pt idx="221">
                  <c:v>17.96</c:v>
                </c:pt>
                <c:pt idx="222">
                  <c:v>21.89</c:v>
                </c:pt>
                <c:pt idx="223">
                  <c:v>20.350000000000001</c:v>
                </c:pt>
                <c:pt idx="224">
                  <c:v>17.38</c:v>
                </c:pt>
                <c:pt idx="225">
                  <c:v>9.61</c:v>
                </c:pt>
                <c:pt idx="226">
                  <c:v>5.71</c:v>
                </c:pt>
                <c:pt idx="227">
                  <c:v>-0.46</c:v>
                </c:pt>
                <c:pt idx="228">
                  <c:v>-3.44</c:v>
                </c:pt>
                <c:pt idx="229">
                  <c:v>-1.65</c:v>
                </c:pt>
                <c:pt idx="230">
                  <c:v>4.68</c:v>
                </c:pt>
                <c:pt idx="231">
                  <c:v>7.69</c:v>
                </c:pt>
                <c:pt idx="232">
                  <c:v>15.52</c:v>
                </c:pt>
                <c:pt idx="233">
                  <c:v>17.8</c:v>
                </c:pt>
                <c:pt idx="234">
                  <c:v>22.99</c:v>
                </c:pt>
                <c:pt idx="235">
                  <c:v>21.76</c:v>
                </c:pt>
                <c:pt idx="236">
                  <c:v>16.16</c:v>
                </c:pt>
                <c:pt idx="237">
                  <c:v>11.21</c:v>
                </c:pt>
                <c:pt idx="238">
                  <c:v>1.8</c:v>
                </c:pt>
                <c:pt idx="239">
                  <c:v>-0.63</c:v>
                </c:pt>
              </c:numCache>
            </c:numRef>
          </c:val>
          <c:smooth val="0"/>
          <c:extLst>
            <c:ext xmlns:c16="http://schemas.microsoft.com/office/drawing/2014/chart" uri="{C3380CC4-5D6E-409C-BE32-E72D297353CC}">
              <c16:uniqueId val="{00000000-8B25-4F30-80C5-8F6EAA28701A}"/>
            </c:ext>
          </c:extLst>
        </c:ser>
        <c:ser>
          <c:idx val="6"/>
          <c:order val="1"/>
          <c:tx>
            <c:v>Total PET</c:v>
          </c:tx>
          <c:marker>
            <c:symbol val="none"/>
          </c:marker>
          <c:cat>
            <c:numRef>
              <c:f>'[1]A1b. Weather inputs'!$B$11:$B$250</c:f>
              <c:numCache>
                <c:formatCode>General</c:formatCode>
                <c:ptCount val="240"/>
                <c:pt idx="0">
                  <c:v>-10</c:v>
                </c:pt>
                <c:pt idx="1">
                  <c:v>-10</c:v>
                </c:pt>
                <c:pt idx="2">
                  <c:v>-10</c:v>
                </c:pt>
                <c:pt idx="3">
                  <c:v>-10</c:v>
                </c:pt>
                <c:pt idx="4">
                  <c:v>-10</c:v>
                </c:pt>
                <c:pt idx="5">
                  <c:v>-10</c:v>
                </c:pt>
                <c:pt idx="6">
                  <c:v>-10</c:v>
                </c:pt>
                <c:pt idx="7">
                  <c:v>-10</c:v>
                </c:pt>
                <c:pt idx="8">
                  <c:v>-10</c:v>
                </c:pt>
                <c:pt idx="9">
                  <c:v>-10</c:v>
                </c:pt>
                <c:pt idx="10">
                  <c:v>-10</c:v>
                </c:pt>
                <c:pt idx="11">
                  <c:v>-10</c:v>
                </c:pt>
                <c:pt idx="12">
                  <c:v>-9</c:v>
                </c:pt>
                <c:pt idx="13">
                  <c:v>-9</c:v>
                </c:pt>
                <c:pt idx="14">
                  <c:v>-9</c:v>
                </c:pt>
                <c:pt idx="15">
                  <c:v>-9</c:v>
                </c:pt>
                <c:pt idx="16">
                  <c:v>-9</c:v>
                </c:pt>
                <c:pt idx="17">
                  <c:v>-9</c:v>
                </c:pt>
                <c:pt idx="18">
                  <c:v>-9</c:v>
                </c:pt>
                <c:pt idx="19">
                  <c:v>-9</c:v>
                </c:pt>
                <c:pt idx="20">
                  <c:v>-9</c:v>
                </c:pt>
                <c:pt idx="21">
                  <c:v>-9</c:v>
                </c:pt>
                <c:pt idx="22">
                  <c:v>-9</c:v>
                </c:pt>
                <c:pt idx="23">
                  <c:v>-9</c:v>
                </c:pt>
                <c:pt idx="24">
                  <c:v>-8</c:v>
                </c:pt>
                <c:pt idx="25">
                  <c:v>-8</c:v>
                </c:pt>
                <c:pt idx="26">
                  <c:v>-8</c:v>
                </c:pt>
                <c:pt idx="27">
                  <c:v>-8</c:v>
                </c:pt>
                <c:pt idx="28">
                  <c:v>-8</c:v>
                </c:pt>
                <c:pt idx="29">
                  <c:v>-8</c:v>
                </c:pt>
                <c:pt idx="30">
                  <c:v>-8</c:v>
                </c:pt>
                <c:pt idx="31">
                  <c:v>-8</c:v>
                </c:pt>
                <c:pt idx="32">
                  <c:v>-8</c:v>
                </c:pt>
                <c:pt idx="33">
                  <c:v>-8</c:v>
                </c:pt>
                <c:pt idx="34">
                  <c:v>-8</c:v>
                </c:pt>
                <c:pt idx="35">
                  <c:v>-8</c:v>
                </c:pt>
                <c:pt idx="36">
                  <c:v>-7</c:v>
                </c:pt>
                <c:pt idx="37">
                  <c:v>-7</c:v>
                </c:pt>
                <c:pt idx="38">
                  <c:v>-7</c:v>
                </c:pt>
                <c:pt idx="39">
                  <c:v>-7</c:v>
                </c:pt>
                <c:pt idx="40">
                  <c:v>-7</c:v>
                </c:pt>
                <c:pt idx="41">
                  <c:v>-7</c:v>
                </c:pt>
                <c:pt idx="42">
                  <c:v>-7</c:v>
                </c:pt>
                <c:pt idx="43">
                  <c:v>-7</c:v>
                </c:pt>
                <c:pt idx="44">
                  <c:v>-7</c:v>
                </c:pt>
                <c:pt idx="45">
                  <c:v>-7</c:v>
                </c:pt>
                <c:pt idx="46">
                  <c:v>-7</c:v>
                </c:pt>
                <c:pt idx="47">
                  <c:v>-7</c:v>
                </c:pt>
                <c:pt idx="48">
                  <c:v>-6</c:v>
                </c:pt>
                <c:pt idx="49">
                  <c:v>-6</c:v>
                </c:pt>
                <c:pt idx="50">
                  <c:v>-6</c:v>
                </c:pt>
                <c:pt idx="51">
                  <c:v>-6</c:v>
                </c:pt>
                <c:pt idx="52">
                  <c:v>-6</c:v>
                </c:pt>
                <c:pt idx="53">
                  <c:v>-6</c:v>
                </c:pt>
                <c:pt idx="54">
                  <c:v>-6</c:v>
                </c:pt>
                <c:pt idx="55">
                  <c:v>-6</c:v>
                </c:pt>
                <c:pt idx="56">
                  <c:v>-6</c:v>
                </c:pt>
                <c:pt idx="57">
                  <c:v>-6</c:v>
                </c:pt>
                <c:pt idx="58">
                  <c:v>-6</c:v>
                </c:pt>
                <c:pt idx="59">
                  <c:v>-6</c:v>
                </c:pt>
                <c:pt idx="60">
                  <c:v>-5</c:v>
                </c:pt>
                <c:pt idx="61">
                  <c:v>-5</c:v>
                </c:pt>
                <c:pt idx="62">
                  <c:v>-5</c:v>
                </c:pt>
                <c:pt idx="63">
                  <c:v>-5</c:v>
                </c:pt>
                <c:pt idx="64">
                  <c:v>-5</c:v>
                </c:pt>
                <c:pt idx="65">
                  <c:v>-5</c:v>
                </c:pt>
                <c:pt idx="66">
                  <c:v>-5</c:v>
                </c:pt>
                <c:pt idx="67">
                  <c:v>-5</c:v>
                </c:pt>
                <c:pt idx="68">
                  <c:v>-5</c:v>
                </c:pt>
                <c:pt idx="69">
                  <c:v>-5</c:v>
                </c:pt>
                <c:pt idx="70">
                  <c:v>-5</c:v>
                </c:pt>
                <c:pt idx="71">
                  <c:v>-5</c:v>
                </c:pt>
                <c:pt idx="72">
                  <c:v>-4</c:v>
                </c:pt>
                <c:pt idx="73">
                  <c:v>-4</c:v>
                </c:pt>
                <c:pt idx="74">
                  <c:v>-4</c:v>
                </c:pt>
                <c:pt idx="75">
                  <c:v>-4</c:v>
                </c:pt>
                <c:pt idx="76">
                  <c:v>-4</c:v>
                </c:pt>
                <c:pt idx="77">
                  <c:v>-4</c:v>
                </c:pt>
                <c:pt idx="78">
                  <c:v>-4</c:v>
                </c:pt>
                <c:pt idx="79">
                  <c:v>-4</c:v>
                </c:pt>
                <c:pt idx="80">
                  <c:v>-4</c:v>
                </c:pt>
                <c:pt idx="81">
                  <c:v>-4</c:v>
                </c:pt>
                <c:pt idx="82">
                  <c:v>-4</c:v>
                </c:pt>
                <c:pt idx="83">
                  <c:v>-4</c:v>
                </c:pt>
                <c:pt idx="84">
                  <c:v>-3</c:v>
                </c:pt>
                <c:pt idx="85">
                  <c:v>-3</c:v>
                </c:pt>
                <c:pt idx="86">
                  <c:v>-3</c:v>
                </c:pt>
                <c:pt idx="87">
                  <c:v>-3</c:v>
                </c:pt>
                <c:pt idx="88">
                  <c:v>-3</c:v>
                </c:pt>
                <c:pt idx="89">
                  <c:v>-3</c:v>
                </c:pt>
                <c:pt idx="90">
                  <c:v>-3</c:v>
                </c:pt>
                <c:pt idx="91">
                  <c:v>-3</c:v>
                </c:pt>
                <c:pt idx="92">
                  <c:v>-3</c:v>
                </c:pt>
                <c:pt idx="93">
                  <c:v>-3</c:v>
                </c:pt>
                <c:pt idx="94">
                  <c:v>-3</c:v>
                </c:pt>
                <c:pt idx="95">
                  <c:v>-3</c:v>
                </c:pt>
                <c:pt idx="96">
                  <c:v>-2</c:v>
                </c:pt>
                <c:pt idx="97">
                  <c:v>-2</c:v>
                </c:pt>
                <c:pt idx="98">
                  <c:v>-2</c:v>
                </c:pt>
                <c:pt idx="99">
                  <c:v>-2</c:v>
                </c:pt>
                <c:pt idx="100">
                  <c:v>-2</c:v>
                </c:pt>
                <c:pt idx="101">
                  <c:v>-2</c:v>
                </c:pt>
                <c:pt idx="102">
                  <c:v>-2</c:v>
                </c:pt>
                <c:pt idx="103">
                  <c:v>-2</c:v>
                </c:pt>
                <c:pt idx="104">
                  <c:v>-2</c:v>
                </c:pt>
                <c:pt idx="105">
                  <c:v>-2</c:v>
                </c:pt>
                <c:pt idx="106">
                  <c:v>-2</c:v>
                </c:pt>
                <c:pt idx="107">
                  <c:v>-2</c:v>
                </c:pt>
                <c:pt idx="108">
                  <c:v>-1</c:v>
                </c:pt>
                <c:pt idx="109">
                  <c:v>-1</c:v>
                </c:pt>
                <c:pt idx="110">
                  <c:v>-1</c:v>
                </c:pt>
                <c:pt idx="111">
                  <c:v>-1</c:v>
                </c:pt>
                <c:pt idx="112">
                  <c:v>-1</c:v>
                </c:pt>
                <c:pt idx="113">
                  <c:v>-1</c:v>
                </c:pt>
                <c:pt idx="114">
                  <c:v>-1</c:v>
                </c:pt>
                <c:pt idx="115">
                  <c:v>-1</c:v>
                </c:pt>
                <c:pt idx="116">
                  <c:v>-1</c:v>
                </c:pt>
                <c:pt idx="117">
                  <c:v>-1</c:v>
                </c:pt>
                <c:pt idx="118">
                  <c:v>-1</c:v>
                </c:pt>
                <c:pt idx="119">
                  <c:v>-1</c:v>
                </c:pt>
                <c:pt idx="120">
                  <c:v>0</c:v>
                </c:pt>
                <c:pt idx="121">
                  <c:v>0</c:v>
                </c:pt>
                <c:pt idx="122">
                  <c:v>0</c:v>
                </c:pt>
                <c:pt idx="123">
                  <c:v>0</c:v>
                </c:pt>
                <c:pt idx="124">
                  <c:v>0</c:v>
                </c:pt>
                <c:pt idx="125">
                  <c:v>0</c:v>
                </c:pt>
                <c:pt idx="126">
                  <c:v>0</c:v>
                </c:pt>
                <c:pt idx="127">
                  <c:v>0</c:v>
                </c:pt>
                <c:pt idx="128">
                  <c:v>0</c:v>
                </c:pt>
                <c:pt idx="129">
                  <c:v>0</c:v>
                </c:pt>
                <c:pt idx="130">
                  <c:v>0</c:v>
                </c:pt>
                <c:pt idx="131">
                  <c:v>0</c:v>
                </c:pt>
                <c:pt idx="132">
                  <c:v>1</c:v>
                </c:pt>
                <c:pt idx="133">
                  <c:v>1</c:v>
                </c:pt>
                <c:pt idx="134">
                  <c:v>1</c:v>
                </c:pt>
                <c:pt idx="135">
                  <c:v>1</c:v>
                </c:pt>
                <c:pt idx="136">
                  <c:v>1</c:v>
                </c:pt>
                <c:pt idx="137">
                  <c:v>1</c:v>
                </c:pt>
                <c:pt idx="138">
                  <c:v>1</c:v>
                </c:pt>
                <c:pt idx="139">
                  <c:v>1</c:v>
                </c:pt>
                <c:pt idx="140">
                  <c:v>1</c:v>
                </c:pt>
                <c:pt idx="141">
                  <c:v>1</c:v>
                </c:pt>
                <c:pt idx="142">
                  <c:v>1</c:v>
                </c:pt>
                <c:pt idx="143">
                  <c:v>1</c:v>
                </c:pt>
                <c:pt idx="144">
                  <c:v>2</c:v>
                </c:pt>
                <c:pt idx="145">
                  <c:v>2</c:v>
                </c:pt>
                <c:pt idx="146">
                  <c:v>2</c:v>
                </c:pt>
                <c:pt idx="147">
                  <c:v>2</c:v>
                </c:pt>
                <c:pt idx="148">
                  <c:v>2</c:v>
                </c:pt>
                <c:pt idx="149">
                  <c:v>2</c:v>
                </c:pt>
                <c:pt idx="150">
                  <c:v>2</c:v>
                </c:pt>
                <c:pt idx="151">
                  <c:v>2</c:v>
                </c:pt>
                <c:pt idx="152">
                  <c:v>2</c:v>
                </c:pt>
                <c:pt idx="153">
                  <c:v>2</c:v>
                </c:pt>
                <c:pt idx="154">
                  <c:v>2</c:v>
                </c:pt>
                <c:pt idx="155">
                  <c:v>2</c:v>
                </c:pt>
                <c:pt idx="156">
                  <c:v>3</c:v>
                </c:pt>
                <c:pt idx="157">
                  <c:v>3</c:v>
                </c:pt>
                <c:pt idx="158">
                  <c:v>3</c:v>
                </c:pt>
                <c:pt idx="159">
                  <c:v>3</c:v>
                </c:pt>
                <c:pt idx="160">
                  <c:v>3</c:v>
                </c:pt>
                <c:pt idx="161">
                  <c:v>3</c:v>
                </c:pt>
                <c:pt idx="162">
                  <c:v>3</c:v>
                </c:pt>
                <c:pt idx="163">
                  <c:v>3</c:v>
                </c:pt>
                <c:pt idx="164">
                  <c:v>3</c:v>
                </c:pt>
                <c:pt idx="165">
                  <c:v>3</c:v>
                </c:pt>
                <c:pt idx="166">
                  <c:v>3</c:v>
                </c:pt>
                <c:pt idx="167">
                  <c:v>3</c:v>
                </c:pt>
                <c:pt idx="168">
                  <c:v>4</c:v>
                </c:pt>
                <c:pt idx="169">
                  <c:v>4</c:v>
                </c:pt>
                <c:pt idx="170">
                  <c:v>4</c:v>
                </c:pt>
                <c:pt idx="171">
                  <c:v>4</c:v>
                </c:pt>
                <c:pt idx="172">
                  <c:v>4</c:v>
                </c:pt>
                <c:pt idx="173">
                  <c:v>4</c:v>
                </c:pt>
                <c:pt idx="174">
                  <c:v>4</c:v>
                </c:pt>
                <c:pt idx="175">
                  <c:v>4</c:v>
                </c:pt>
                <c:pt idx="176">
                  <c:v>4</c:v>
                </c:pt>
                <c:pt idx="177">
                  <c:v>4</c:v>
                </c:pt>
                <c:pt idx="178">
                  <c:v>4</c:v>
                </c:pt>
                <c:pt idx="179">
                  <c:v>4</c:v>
                </c:pt>
                <c:pt idx="180">
                  <c:v>5</c:v>
                </c:pt>
                <c:pt idx="181">
                  <c:v>5</c:v>
                </c:pt>
                <c:pt idx="182">
                  <c:v>5</c:v>
                </c:pt>
                <c:pt idx="183">
                  <c:v>5</c:v>
                </c:pt>
                <c:pt idx="184">
                  <c:v>5</c:v>
                </c:pt>
                <c:pt idx="185">
                  <c:v>5</c:v>
                </c:pt>
                <c:pt idx="186">
                  <c:v>5</c:v>
                </c:pt>
                <c:pt idx="187">
                  <c:v>5</c:v>
                </c:pt>
                <c:pt idx="188">
                  <c:v>5</c:v>
                </c:pt>
                <c:pt idx="189">
                  <c:v>5</c:v>
                </c:pt>
                <c:pt idx="190">
                  <c:v>5</c:v>
                </c:pt>
                <c:pt idx="191">
                  <c:v>5</c:v>
                </c:pt>
                <c:pt idx="192">
                  <c:v>6</c:v>
                </c:pt>
                <c:pt idx="193">
                  <c:v>6</c:v>
                </c:pt>
                <c:pt idx="194">
                  <c:v>6</c:v>
                </c:pt>
                <c:pt idx="195">
                  <c:v>6</c:v>
                </c:pt>
                <c:pt idx="196">
                  <c:v>6</c:v>
                </c:pt>
                <c:pt idx="197">
                  <c:v>6</c:v>
                </c:pt>
                <c:pt idx="198">
                  <c:v>6</c:v>
                </c:pt>
                <c:pt idx="199">
                  <c:v>6</c:v>
                </c:pt>
                <c:pt idx="200">
                  <c:v>6</c:v>
                </c:pt>
                <c:pt idx="201">
                  <c:v>6</c:v>
                </c:pt>
                <c:pt idx="202">
                  <c:v>6</c:v>
                </c:pt>
                <c:pt idx="203">
                  <c:v>6</c:v>
                </c:pt>
                <c:pt idx="204">
                  <c:v>7</c:v>
                </c:pt>
                <c:pt idx="205">
                  <c:v>7</c:v>
                </c:pt>
                <c:pt idx="206">
                  <c:v>7</c:v>
                </c:pt>
                <c:pt idx="207">
                  <c:v>7</c:v>
                </c:pt>
                <c:pt idx="208">
                  <c:v>7</c:v>
                </c:pt>
                <c:pt idx="209">
                  <c:v>7</c:v>
                </c:pt>
                <c:pt idx="210">
                  <c:v>7</c:v>
                </c:pt>
                <c:pt idx="211">
                  <c:v>7</c:v>
                </c:pt>
                <c:pt idx="212">
                  <c:v>7</c:v>
                </c:pt>
                <c:pt idx="213">
                  <c:v>7</c:v>
                </c:pt>
                <c:pt idx="214">
                  <c:v>7</c:v>
                </c:pt>
                <c:pt idx="215">
                  <c:v>7</c:v>
                </c:pt>
                <c:pt idx="216">
                  <c:v>8</c:v>
                </c:pt>
                <c:pt idx="217">
                  <c:v>8</c:v>
                </c:pt>
                <c:pt idx="218">
                  <c:v>8</c:v>
                </c:pt>
                <c:pt idx="219">
                  <c:v>8</c:v>
                </c:pt>
                <c:pt idx="220">
                  <c:v>8</c:v>
                </c:pt>
                <c:pt idx="221">
                  <c:v>8</c:v>
                </c:pt>
                <c:pt idx="222">
                  <c:v>8</c:v>
                </c:pt>
                <c:pt idx="223">
                  <c:v>8</c:v>
                </c:pt>
                <c:pt idx="224">
                  <c:v>8</c:v>
                </c:pt>
                <c:pt idx="225">
                  <c:v>8</c:v>
                </c:pt>
                <c:pt idx="226">
                  <c:v>8</c:v>
                </c:pt>
                <c:pt idx="227">
                  <c:v>8</c:v>
                </c:pt>
                <c:pt idx="228">
                  <c:v>9</c:v>
                </c:pt>
                <c:pt idx="229">
                  <c:v>9</c:v>
                </c:pt>
                <c:pt idx="230">
                  <c:v>9</c:v>
                </c:pt>
                <c:pt idx="231">
                  <c:v>9</c:v>
                </c:pt>
                <c:pt idx="232">
                  <c:v>9</c:v>
                </c:pt>
                <c:pt idx="233">
                  <c:v>9</c:v>
                </c:pt>
                <c:pt idx="234">
                  <c:v>9</c:v>
                </c:pt>
                <c:pt idx="235">
                  <c:v>9</c:v>
                </c:pt>
                <c:pt idx="236">
                  <c:v>9</c:v>
                </c:pt>
                <c:pt idx="237">
                  <c:v>9</c:v>
                </c:pt>
                <c:pt idx="238">
                  <c:v>9</c:v>
                </c:pt>
                <c:pt idx="239">
                  <c:v>9</c:v>
                </c:pt>
              </c:numCache>
            </c:numRef>
          </c:cat>
          <c:val>
            <c:numRef>
              <c:f>'Calc. Weather'!$M$5:$M$244</c:f>
              <c:numCache>
                <c:formatCode>0</c:formatCode>
                <c:ptCount val="240"/>
                <c:pt idx="0">
                  <c:v>0</c:v>
                </c:pt>
                <c:pt idx="1">
                  <c:v>0</c:v>
                </c:pt>
                <c:pt idx="2">
                  <c:v>0</c:v>
                </c:pt>
                <c:pt idx="3">
                  <c:v>35.053471041987549</c:v>
                </c:pt>
                <c:pt idx="4">
                  <c:v>72.814836627264711</c:v>
                </c:pt>
                <c:pt idx="5">
                  <c:v>111.92855946108594</c:v>
                </c:pt>
                <c:pt idx="6">
                  <c:v>141.32478911488704</c:v>
                </c:pt>
                <c:pt idx="7">
                  <c:v>116.65778594736385</c:v>
                </c:pt>
                <c:pt idx="8">
                  <c:v>75.610463679396176</c:v>
                </c:pt>
                <c:pt idx="9">
                  <c:v>38.12004750506788</c:v>
                </c:pt>
                <c:pt idx="10">
                  <c:v>20.012116742832166</c:v>
                </c:pt>
                <c:pt idx="11">
                  <c:v>2.6125612540950649</c:v>
                </c:pt>
                <c:pt idx="12">
                  <c:v>0</c:v>
                </c:pt>
                <c:pt idx="13">
                  <c:v>0</c:v>
                </c:pt>
                <c:pt idx="14">
                  <c:v>0</c:v>
                </c:pt>
                <c:pt idx="15">
                  <c:v>20.649460845796945</c:v>
                </c:pt>
                <c:pt idx="16">
                  <c:v>80.764955446756559</c:v>
                </c:pt>
                <c:pt idx="17">
                  <c:v>111.94829364326033</c:v>
                </c:pt>
                <c:pt idx="18">
                  <c:v>129.29666038474068</c:v>
                </c:pt>
                <c:pt idx="19">
                  <c:v>125.6879562574406</c:v>
                </c:pt>
                <c:pt idx="20">
                  <c:v>88.318809246870529</c:v>
                </c:pt>
                <c:pt idx="21">
                  <c:v>55.4617541278703</c:v>
                </c:pt>
                <c:pt idx="22">
                  <c:v>6.1943237941804092</c:v>
                </c:pt>
                <c:pt idx="23">
                  <c:v>0</c:v>
                </c:pt>
                <c:pt idx="24">
                  <c:v>0</c:v>
                </c:pt>
                <c:pt idx="25">
                  <c:v>0</c:v>
                </c:pt>
                <c:pt idx="26">
                  <c:v>0</c:v>
                </c:pt>
                <c:pt idx="27">
                  <c:v>38.953156840403736</c:v>
                </c:pt>
                <c:pt idx="28">
                  <c:v>67.853598729514104</c:v>
                </c:pt>
                <c:pt idx="29">
                  <c:v>120.0097998790901</c:v>
                </c:pt>
                <c:pt idx="30">
                  <c:v>139.48551019993738</c:v>
                </c:pt>
                <c:pt idx="31">
                  <c:v>111.47905316413279</c:v>
                </c:pt>
                <c:pt idx="32">
                  <c:v>82.138726209396708</c:v>
                </c:pt>
                <c:pt idx="33">
                  <c:v>36.395243230281594</c:v>
                </c:pt>
                <c:pt idx="34">
                  <c:v>8.5213850204680845</c:v>
                </c:pt>
                <c:pt idx="35">
                  <c:v>0</c:v>
                </c:pt>
                <c:pt idx="36">
                  <c:v>0</c:v>
                </c:pt>
                <c:pt idx="37">
                  <c:v>0</c:v>
                </c:pt>
                <c:pt idx="38">
                  <c:v>1.2501214428215039</c:v>
                </c:pt>
                <c:pt idx="39">
                  <c:v>38.174816888199359</c:v>
                </c:pt>
                <c:pt idx="40">
                  <c:v>79.729345910322465</c:v>
                </c:pt>
                <c:pt idx="41">
                  <c:v>105.16383582075093</c:v>
                </c:pt>
                <c:pt idx="42">
                  <c:v>120.83835967549408</c:v>
                </c:pt>
                <c:pt idx="43">
                  <c:v>123.87203824073036</c:v>
                </c:pt>
                <c:pt idx="44">
                  <c:v>75.486123393012008</c:v>
                </c:pt>
                <c:pt idx="45">
                  <c:v>34.855991865277076</c:v>
                </c:pt>
                <c:pt idx="46">
                  <c:v>20.241796471937</c:v>
                </c:pt>
                <c:pt idx="47">
                  <c:v>0</c:v>
                </c:pt>
                <c:pt idx="48">
                  <c:v>0</c:v>
                </c:pt>
                <c:pt idx="49">
                  <c:v>0</c:v>
                </c:pt>
                <c:pt idx="50">
                  <c:v>10.344205003091091</c:v>
                </c:pt>
                <c:pt idx="51">
                  <c:v>41.062892771145435</c:v>
                </c:pt>
                <c:pt idx="52">
                  <c:v>86.245275459332561</c:v>
                </c:pt>
                <c:pt idx="53">
                  <c:v>115.843156342048</c:v>
                </c:pt>
                <c:pt idx="54">
                  <c:v>149.05307037815226</c:v>
                </c:pt>
                <c:pt idx="55">
                  <c:v>125.96684270998136</c:v>
                </c:pt>
                <c:pt idx="56">
                  <c:v>88.88743931122373</c:v>
                </c:pt>
                <c:pt idx="57">
                  <c:v>36.383729274284093</c:v>
                </c:pt>
                <c:pt idx="58">
                  <c:v>7.4356579272152938</c:v>
                </c:pt>
                <c:pt idx="59">
                  <c:v>0</c:v>
                </c:pt>
                <c:pt idx="60">
                  <c:v>0</c:v>
                </c:pt>
                <c:pt idx="61">
                  <c:v>0</c:v>
                </c:pt>
                <c:pt idx="62">
                  <c:v>0</c:v>
                </c:pt>
                <c:pt idx="63">
                  <c:v>33.391564704021405</c:v>
                </c:pt>
                <c:pt idx="64">
                  <c:v>81.847946431392785</c:v>
                </c:pt>
                <c:pt idx="65">
                  <c:v>109.50568616025745</c:v>
                </c:pt>
                <c:pt idx="66">
                  <c:v>140.02942220648777</c:v>
                </c:pt>
                <c:pt idx="67">
                  <c:v>119.98551598897782</c:v>
                </c:pt>
                <c:pt idx="68">
                  <c:v>86.205925852555339</c:v>
                </c:pt>
                <c:pt idx="69">
                  <c:v>39.306758212629511</c:v>
                </c:pt>
                <c:pt idx="70">
                  <c:v>18.42945906677128</c:v>
                </c:pt>
                <c:pt idx="71">
                  <c:v>0</c:v>
                </c:pt>
                <c:pt idx="72">
                  <c:v>0</c:v>
                </c:pt>
                <c:pt idx="73">
                  <c:v>0</c:v>
                </c:pt>
                <c:pt idx="74">
                  <c:v>10.344205003091091</c:v>
                </c:pt>
                <c:pt idx="75">
                  <c:v>41.062892771145435</c:v>
                </c:pt>
                <c:pt idx="76">
                  <c:v>86.245275459332561</c:v>
                </c:pt>
                <c:pt idx="77">
                  <c:v>115.843156342048</c:v>
                </c:pt>
                <c:pt idx="78">
                  <c:v>149.05307037815226</c:v>
                </c:pt>
                <c:pt idx="79">
                  <c:v>125.96684270998136</c:v>
                </c:pt>
                <c:pt idx="80">
                  <c:v>88.88743931122373</c:v>
                </c:pt>
                <c:pt idx="81">
                  <c:v>36.383729274284093</c:v>
                </c:pt>
                <c:pt idx="82">
                  <c:v>7.4356579272152938</c:v>
                </c:pt>
                <c:pt idx="83">
                  <c:v>0</c:v>
                </c:pt>
                <c:pt idx="84">
                  <c:v>0</c:v>
                </c:pt>
                <c:pt idx="85">
                  <c:v>0</c:v>
                </c:pt>
                <c:pt idx="86">
                  <c:v>0</c:v>
                </c:pt>
                <c:pt idx="87">
                  <c:v>33.391564704021405</c:v>
                </c:pt>
                <c:pt idx="88">
                  <c:v>81.847946431392785</c:v>
                </c:pt>
                <c:pt idx="89">
                  <c:v>109.50568616025745</c:v>
                </c:pt>
                <c:pt idx="90">
                  <c:v>140.02942220648777</c:v>
                </c:pt>
                <c:pt idx="91">
                  <c:v>119.98551598897782</c:v>
                </c:pt>
                <c:pt idx="92">
                  <c:v>86.205925852555339</c:v>
                </c:pt>
                <c:pt idx="93">
                  <c:v>39.306758212629511</c:v>
                </c:pt>
                <c:pt idx="94">
                  <c:v>18.42945906677128</c:v>
                </c:pt>
                <c:pt idx="95">
                  <c:v>0</c:v>
                </c:pt>
                <c:pt idx="96">
                  <c:v>0</c:v>
                </c:pt>
                <c:pt idx="97">
                  <c:v>0</c:v>
                </c:pt>
                <c:pt idx="98">
                  <c:v>17.384577001965777</c:v>
                </c:pt>
                <c:pt idx="99">
                  <c:v>34.568608660195082</c:v>
                </c:pt>
                <c:pt idx="100">
                  <c:v>90.06139106270345</c:v>
                </c:pt>
                <c:pt idx="101">
                  <c:v>106.84533858709305</c:v>
                </c:pt>
                <c:pt idx="102">
                  <c:v>147.43746454006248</c:v>
                </c:pt>
                <c:pt idx="103">
                  <c:v>128.72386632301649</c:v>
                </c:pt>
                <c:pt idx="104">
                  <c:v>77.865858403484552</c:v>
                </c:pt>
                <c:pt idx="105">
                  <c:v>45.521173159611457</c:v>
                </c:pt>
                <c:pt idx="106">
                  <c:v>4.4134778332509157</c:v>
                </c:pt>
                <c:pt idx="107">
                  <c:v>0</c:v>
                </c:pt>
                <c:pt idx="108">
                  <c:v>0</c:v>
                </c:pt>
                <c:pt idx="109">
                  <c:v>0</c:v>
                </c:pt>
                <c:pt idx="110">
                  <c:v>0</c:v>
                </c:pt>
                <c:pt idx="111">
                  <c:v>29.549208174313272</c:v>
                </c:pt>
                <c:pt idx="112">
                  <c:v>80.544516830746517</c:v>
                </c:pt>
                <c:pt idx="113">
                  <c:v>113.82211030651411</c:v>
                </c:pt>
                <c:pt idx="114">
                  <c:v>146.85728452078237</c:v>
                </c:pt>
                <c:pt idx="115">
                  <c:v>114.30226351653141</c:v>
                </c:pt>
                <c:pt idx="116">
                  <c:v>76.17528199079841</c:v>
                </c:pt>
                <c:pt idx="117">
                  <c:v>43.719815248971166</c:v>
                </c:pt>
                <c:pt idx="118">
                  <c:v>4.6831093614077881</c:v>
                </c:pt>
                <c:pt idx="119">
                  <c:v>0</c:v>
                </c:pt>
                <c:pt idx="120">
                  <c:v>0</c:v>
                </c:pt>
                <c:pt idx="121">
                  <c:v>0</c:v>
                </c:pt>
                <c:pt idx="122">
                  <c:v>0</c:v>
                </c:pt>
                <c:pt idx="123">
                  <c:v>28.171580754167064</c:v>
                </c:pt>
                <c:pt idx="124">
                  <c:v>78.972847121647405</c:v>
                </c:pt>
                <c:pt idx="125">
                  <c:v>115.49059643321731</c:v>
                </c:pt>
                <c:pt idx="126">
                  <c:v>133.8424298870529</c:v>
                </c:pt>
                <c:pt idx="127">
                  <c:v>114.81775651555186</c:v>
                </c:pt>
                <c:pt idx="128">
                  <c:v>83.123565634398503</c:v>
                </c:pt>
                <c:pt idx="129">
                  <c:v>46.959706335750617</c:v>
                </c:pt>
                <c:pt idx="130">
                  <c:v>4.0963568100579426</c:v>
                </c:pt>
                <c:pt idx="131">
                  <c:v>0</c:v>
                </c:pt>
                <c:pt idx="132">
                  <c:v>0</c:v>
                </c:pt>
                <c:pt idx="133">
                  <c:v>0</c:v>
                </c:pt>
                <c:pt idx="134">
                  <c:v>0</c:v>
                </c:pt>
                <c:pt idx="135">
                  <c:v>26.20975488258048</c:v>
                </c:pt>
                <c:pt idx="136">
                  <c:v>94.030815279918357</c:v>
                </c:pt>
                <c:pt idx="137">
                  <c:v>104.07639088090619</c:v>
                </c:pt>
                <c:pt idx="138">
                  <c:v>134.61034199042075</c:v>
                </c:pt>
                <c:pt idx="139">
                  <c:v>129.1233537485391</c:v>
                </c:pt>
                <c:pt idx="140">
                  <c:v>95.004272510959325</c:v>
                </c:pt>
                <c:pt idx="141">
                  <c:v>35.21636579916354</c:v>
                </c:pt>
                <c:pt idx="142">
                  <c:v>17.161586547773737</c:v>
                </c:pt>
                <c:pt idx="143">
                  <c:v>10.097300672281303</c:v>
                </c:pt>
                <c:pt idx="144">
                  <c:v>0</c:v>
                </c:pt>
                <c:pt idx="145">
                  <c:v>0</c:v>
                </c:pt>
                <c:pt idx="146">
                  <c:v>10.344205003091091</c:v>
                </c:pt>
                <c:pt idx="147">
                  <c:v>41.062892771145435</c:v>
                </c:pt>
                <c:pt idx="148">
                  <c:v>86.245275459332561</c:v>
                </c:pt>
                <c:pt idx="149">
                  <c:v>115.843156342048</c:v>
                </c:pt>
                <c:pt idx="150">
                  <c:v>149.05307037815226</c:v>
                </c:pt>
                <c:pt idx="151">
                  <c:v>125.96684270998136</c:v>
                </c:pt>
                <c:pt idx="152">
                  <c:v>88.88743931122373</c:v>
                </c:pt>
                <c:pt idx="153">
                  <c:v>36.383729274284093</c:v>
                </c:pt>
                <c:pt idx="154">
                  <c:v>7.4356579272152938</c:v>
                </c:pt>
                <c:pt idx="155">
                  <c:v>0</c:v>
                </c:pt>
                <c:pt idx="156">
                  <c:v>0</c:v>
                </c:pt>
                <c:pt idx="157">
                  <c:v>0</c:v>
                </c:pt>
                <c:pt idx="158">
                  <c:v>0</c:v>
                </c:pt>
                <c:pt idx="159">
                  <c:v>33.391564704021405</c:v>
                </c:pt>
                <c:pt idx="160">
                  <c:v>81.847946431392785</c:v>
                </c:pt>
                <c:pt idx="161">
                  <c:v>109.50568616025745</c:v>
                </c:pt>
                <c:pt idx="162">
                  <c:v>140.02942220648777</c:v>
                </c:pt>
                <c:pt idx="163">
                  <c:v>119.98551598897782</c:v>
                </c:pt>
                <c:pt idx="164">
                  <c:v>86.205925852555339</c:v>
                </c:pt>
                <c:pt idx="165">
                  <c:v>39.306758212629511</c:v>
                </c:pt>
                <c:pt idx="166">
                  <c:v>18.42945906677128</c:v>
                </c:pt>
                <c:pt idx="167">
                  <c:v>0</c:v>
                </c:pt>
                <c:pt idx="168">
                  <c:v>0</c:v>
                </c:pt>
                <c:pt idx="169">
                  <c:v>0</c:v>
                </c:pt>
                <c:pt idx="170">
                  <c:v>17.384577001965777</c:v>
                </c:pt>
                <c:pt idx="171">
                  <c:v>34.568608660195082</c:v>
                </c:pt>
                <c:pt idx="172">
                  <c:v>90.06139106270345</c:v>
                </c:pt>
                <c:pt idx="173">
                  <c:v>106.84533858709305</c:v>
                </c:pt>
                <c:pt idx="174">
                  <c:v>147.43746454006248</c:v>
                </c:pt>
                <c:pt idx="175">
                  <c:v>128.72386632301649</c:v>
                </c:pt>
                <c:pt idx="176">
                  <c:v>77.865858403484552</c:v>
                </c:pt>
                <c:pt idx="177">
                  <c:v>45.521173159611457</c:v>
                </c:pt>
                <c:pt idx="178">
                  <c:v>4.4134778332509157</c:v>
                </c:pt>
                <c:pt idx="179">
                  <c:v>0</c:v>
                </c:pt>
                <c:pt idx="180">
                  <c:v>0</c:v>
                </c:pt>
                <c:pt idx="181">
                  <c:v>0</c:v>
                </c:pt>
                <c:pt idx="182">
                  <c:v>0</c:v>
                </c:pt>
                <c:pt idx="183">
                  <c:v>29.549208174313272</c:v>
                </c:pt>
                <c:pt idx="184">
                  <c:v>80.544516830746517</c:v>
                </c:pt>
                <c:pt idx="185">
                  <c:v>113.82211030651411</c:v>
                </c:pt>
                <c:pt idx="186">
                  <c:v>146.85728452078237</c:v>
                </c:pt>
                <c:pt idx="187">
                  <c:v>114.30226351653141</c:v>
                </c:pt>
                <c:pt idx="188">
                  <c:v>76.17528199079841</c:v>
                </c:pt>
                <c:pt idx="189">
                  <c:v>43.719815248971166</c:v>
                </c:pt>
                <c:pt idx="190">
                  <c:v>4.6831093614077881</c:v>
                </c:pt>
                <c:pt idx="191">
                  <c:v>0</c:v>
                </c:pt>
                <c:pt idx="192">
                  <c:v>0</c:v>
                </c:pt>
                <c:pt idx="193">
                  <c:v>0</c:v>
                </c:pt>
                <c:pt idx="194">
                  <c:v>0</c:v>
                </c:pt>
                <c:pt idx="195">
                  <c:v>28.171580754167064</c:v>
                </c:pt>
                <c:pt idx="196">
                  <c:v>78.972847121647405</c:v>
                </c:pt>
                <c:pt idx="197">
                  <c:v>115.49059643321731</c:v>
                </c:pt>
                <c:pt idx="198">
                  <c:v>133.8424298870529</c:v>
                </c:pt>
                <c:pt idx="199">
                  <c:v>114.81775651555186</c:v>
                </c:pt>
                <c:pt idx="200">
                  <c:v>83.123565634398503</c:v>
                </c:pt>
                <c:pt idx="201">
                  <c:v>46.959706335750617</c:v>
                </c:pt>
                <c:pt idx="202">
                  <c:v>4.0963568100579426</c:v>
                </c:pt>
                <c:pt idx="203">
                  <c:v>0</c:v>
                </c:pt>
                <c:pt idx="204">
                  <c:v>0</c:v>
                </c:pt>
                <c:pt idx="205">
                  <c:v>0</c:v>
                </c:pt>
                <c:pt idx="206">
                  <c:v>0</c:v>
                </c:pt>
                <c:pt idx="207">
                  <c:v>26.20975488258048</c:v>
                </c:pt>
                <c:pt idx="208">
                  <c:v>94.030815279918357</c:v>
                </c:pt>
                <c:pt idx="209">
                  <c:v>104.07639088090619</c:v>
                </c:pt>
                <c:pt idx="210">
                  <c:v>134.61034199042075</c:v>
                </c:pt>
                <c:pt idx="211">
                  <c:v>129.1233537485391</c:v>
                </c:pt>
                <c:pt idx="212">
                  <c:v>95.004272510959325</c:v>
                </c:pt>
                <c:pt idx="213">
                  <c:v>35.21636579916354</c:v>
                </c:pt>
                <c:pt idx="214">
                  <c:v>17.161586547773737</c:v>
                </c:pt>
                <c:pt idx="215">
                  <c:v>10.097300672281303</c:v>
                </c:pt>
                <c:pt idx="216">
                  <c:v>0</c:v>
                </c:pt>
                <c:pt idx="217">
                  <c:v>0</c:v>
                </c:pt>
                <c:pt idx="218">
                  <c:v>10.344205003091091</c:v>
                </c:pt>
                <c:pt idx="219">
                  <c:v>41.062892771145435</c:v>
                </c:pt>
                <c:pt idx="220">
                  <c:v>86.245275459332561</c:v>
                </c:pt>
                <c:pt idx="221">
                  <c:v>115.843156342048</c:v>
                </c:pt>
                <c:pt idx="222">
                  <c:v>149.05307037815226</c:v>
                </c:pt>
                <c:pt idx="223">
                  <c:v>125.96684270998136</c:v>
                </c:pt>
                <c:pt idx="224">
                  <c:v>88.88743931122373</c:v>
                </c:pt>
                <c:pt idx="225">
                  <c:v>36.383729274284093</c:v>
                </c:pt>
                <c:pt idx="226">
                  <c:v>7.4356579272152938</c:v>
                </c:pt>
                <c:pt idx="227">
                  <c:v>0</c:v>
                </c:pt>
                <c:pt idx="228">
                  <c:v>0</c:v>
                </c:pt>
                <c:pt idx="229">
                  <c:v>0</c:v>
                </c:pt>
                <c:pt idx="230">
                  <c:v>0</c:v>
                </c:pt>
                <c:pt idx="231">
                  <c:v>33.391564704021405</c:v>
                </c:pt>
                <c:pt idx="232">
                  <c:v>81.847946431392785</c:v>
                </c:pt>
                <c:pt idx="233">
                  <c:v>109.50568616025745</c:v>
                </c:pt>
                <c:pt idx="234">
                  <c:v>140.02942220648777</c:v>
                </c:pt>
                <c:pt idx="235">
                  <c:v>119.98551598897782</c:v>
                </c:pt>
                <c:pt idx="236">
                  <c:v>86.205925852555339</c:v>
                </c:pt>
                <c:pt idx="237">
                  <c:v>39.306758212629511</c:v>
                </c:pt>
                <c:pt idx="238">
                  <c:v>18.42945906677128</c:v>
                </c:pt>
                <c:pt idx="239">
                  <c:v>0</c:v>
                </c:pt>
              </c:numCache>
            </c:numRef>
          </c:val>
          <c:smooth val="0"/>
          <c:extLst>
            <c:ext xmlns:c16="http://schemas.microsoft.com/office/drawing/2014/chart" uri="{C3380CC4-5D6E-409C-BE32-E72D297353CC}">
              <c16:uniqueId val="{00000001-8B25-4F30-80C5-8F6EAA28701A}"/>
            </c:ext>
          </c:extLst>
        </c:ser>
        <c:dLbls>
          <c:showLegendKey val="0"/>
          <c:showVal val="0"/>
          <c:showCatName val="0"/>
          <c:showSerName val="0"/>
          <c:showPercent val="0"/>
          <c:showBubbleSize val="0"/>
        </c:dLbls>
        <c:marker val="1"/>
        <c:smooth val="0"/>
        <c:axId val="550481832"/>
        <c:axId val="550479872"/>
      </c:lineChart>
      <c:lineChart>
        <c:grouping val="standard"/>
        <c:varyColors val="0"/>
        <c:ser>
          <c:idx val="0"/>
          <c:order val="2"/>
          <c:tx>
            <c:v>Air temperature</c:v>
          </c:tx>
          <c:spPr>
            <a:ln>
              <a:solidFill>
                <a:schemeClr val="accent6">
                  <a:lumMod val="75000"/>
                </a:schemeClr>
              </a:solidFill>
            </a:ln>
          </c:spPr>
          <c:marker>
            <c:symbol val="none"/>
          </c:marker>
          <c:val>
            <c:numRef>
              <c:f>'Calc. Weather'!$D$5:$D$244</c:f>
              <c:numCache>
                <c:formatCode>0.0</c:formatCode>
                <c:ptCount val="240"/>
                <c:pt idx="0">
                  <c:v>-1.95</c:v>
                </c:pt>
                <c:pt idx="1">
                  <c:v>-3.96</c:v>
                </c:pt>
                <c:pt idx="2">
                  <c:v>-0.17</c:v>
                </c:pt>
                <c:pt idx="3">
                  <c:v>7.19</c:v>
                </c:pt>
                <c:pt idx="4">
                  <c:v>12.4</c:v>
                </c:pt>
                <c:pt idx="5">
                  <c:v>18.09</c:v>
                </c:pt>
                <c:pt idx="6">
                  <c:v>21.94</c:v>
                </c:pt>
                <c:pt idx="7">
                  <c:v>19.68</c:v>
                </c:pt>
                <c:pt idx="8">
                  <c:v>15.25</c:v>
                </c:pt>
                <c:pt idx="9">
                  <c:v>9.0500000000000007</c:v>
                </c:pt>
                <c:pt idx="10">
                  <c:v>5.85</c:v>
                </c:pt>
                <c:pt idx="11">
                  <c:v>0.97</c:v>
                </c:pt>
                <c:pt idx="12">
                  <c:v>-4.0999999999999996</c:v>
                </c:pt>
                <c:pt idx="13">
                  <c:v>-8.4600000000000009</c:v>
                </c:pt>
                <c:pt idx="14">
                  <c:v>-1.99</c:v>
                </c:pt>
                <c:pt idx="15">
                  <c:v>4.6900000000000004</c:v>
                </c:pt>
                <c:pt idx="16">
                  <c:v>13.84</c:v>
                </c:pt>
                <c:pt idx="17">
                  <c:v>18.27</c:v>
                </c:pt>
                <c:pt idx="18">
                  <c:v>20.399999999999999</c:v>
                </c:pt>
                <c:pt idx="19">
                  <c:v>21.16</c:v>
                </c:pt>
                <c:pt idx="20">
                  <c:v>17.71</c:v>
                </c:pt>
                <c:pt idx="21">
                  <c:v>12.9</c:v>
                </c:pt>
                <c:pt idx="22">
                  <c:v>2.19</c:v>
                </c:pt>
                <c:pt idx="23">
                  <c:v>-4.0199999999999996</c:v>
                </c:pt>
                <c:pt idx="24">
                  <c:v>-4.2</c:v>
                </c:pt>
                <c:pt idx="25">
                  <c:v>-4.58</c:v>
                </c:pt>
                <c:pt idx="26">
                  <c:v>-0.72</c:v>
                </c:pt>
                <c:pt idx="27">
                  <c:v>7.8</c:v>
                </c:pt>
                <c:pt idx="28">
                  <c:v>11.54</c:v>
                </c:pt>
                <c:pt idx="29">
                  <c:v>19.190000000000001</c:v>
                </c:pt>
                <c:pt idx="30">
                  <c:v>21.64</c:v>
                </c:pt>
                <c:pt idx="31">
                  <c:v>18.829999999999998</c:v>
                </c:pt>
                <c:pt idx="32">
                  <c:v>16.34</c:v>
                </c:pt>
                <c:pt idx="33">
                  <c:v>8.58</c:v>
                </c:pt>
                <c:pt idx="34">
                  <c:v>2.66</c:v>
                </c:pt>
                <c:pt idx="35">
                  <c:v>-3.03</c:v>
                </c:pt>
                <c:pt idx="36">
                  <c:v>-9.67</c:v>
                </c:pt>
                <c:pt idx="37">
                  <c:v>-4.32</c:v>
                </c:pt>
                <c:pt idx="38">
                  <c:v>0.35</c:v>
                </c:pt>
                <c:pt idx="39">
                  <c:v>7.48</c:v>
                </c:pt>
                <c:pt idx="40">
                  <c:v>13.18</c:v>
                </c:pt>
                <c:pt idx="41">
                  <c:v>16.89</c:v>
                </c:pt>
                <c:pt idx="42">
                  <c:v>18.89</c:v>
                </c:pt>
                <c:pt idx="43">
                  <c:v>20.62</c:v>
                </c:pt>
                <c:pt idx="44">
                  <c:v>14.98</c:v>
                </c:pt>
                <c:pt idx="45">
                  <c:v>8.07</c:v>
                </c:pt>
                <c:pt idx="46">
                  <c:v>5.65</c:v>
                </c:pt>
                <c:pt idx="47">
                  <c:v>-3.93</c:v>
                </c:pt>
                <c:pt idx="48">
                  <c:v>-6.12</c:v>
                </c:pt>
                <c:pt idx="49">
                  <c:v>-4.25</c:v>
                </c:pt>
                <c:pt idx="50">
                  <c:v>3.13</c:v>
                </c:pt>
                <c:pt idx="51">
                  <c:v>9.0399999999999991</c:v>
                </c:pt>
                <c:pt idx="52">
                  <c:v>15.1</c:v>
                </c:pt>
                <c:pt idx="53">
                  <c:v>19.149999999999999</c:v>
                </c:pt>
                <c:pt idx="54">
                  <c:v>23.25</c:v>
                </c:pt>
                <c:pt idx="55">
                  <c:v>21.44</c:v>
                </c:pt>
                <c:pt idx="56">
                  <c:v>18.170000000000002</c:v>
                </c:pt>
                <c:pt idx="57">
                  <c:v>9.44</c:v>
                </c:pt>
                <c:pt idx="58">
                  <c:v>2.89</c:v>
                </c:pt>
                <c:pt idx="59">
                  <c:v>-4.5199999999999996</c:v>
                </c:pt>
                <c:pt idx="60">
                  <c:v>-8.01</c:v>
                </c:pt>
                <c:pt idx="61">
                  <c:v>-6.74</c:v>
                </c:pt>
                <c:pt idx="62">
                  <c:v>-0.57999999999999996</c:v>
                </c:pt>
                <c:pt idx="63">
                  <c:v>7.18</c:v>
                </c:pt>
                <c:pt idx="64">
                  <c:v>14.05</c:v>
                </c:pt>
                <c:pt idx="65">
                  <c:v>17.96</c:v>
                </c:pt>
                <c:pt idx="66">
                  <c:v>21.89</c:v>
                </c:pt>
                <c:pt idx="67">
                  <c:v>20.350000000000001</c:v>
                </c:pt>
                <c:pt idx="68">
                  <c:v>17.38</c:v>
                </c:pt>
                <c:pt idx="69">
                  <c:v>9.61</c:v>
                </c:pt>
                <c:pt idx="70">
                  <c:v>5.71</c:v>
                </c:pt>
                <c:pt idx="71">
                  <c:v>-0.46</c:v>
                </c:pt>
                <c:pt idx="72">
                  <c:v>-6.12</c:v>
                </c:pt>
                <c:pt idx="73">
                  <c:v>-4.25</c:v>
                </c:pt>
                <c:pt idx="74">
                  <c:v>3.13</c:v>
                </c:pt>
                <c:pt idx="75">
                  <c:v>9.0399999999999991</c:v>
                </c:pt>
                <c:pt idx="76">
                  <c:v>15.1</c:v>
                </c:pt>
                <c:pt idx="77">
                  <c:v>19.149999999999999</c:v>
                </c:pt>
                <c:pt idx="78">
                  <c:v>23.25</c:v>
                </c:pt>
                <c:pt idx="79">
                  <c:v>21.44</c:v>
                </c:pt>
                <c:pt idx="80">
                  <c:v>18.170000000000002</c:v>
                </c:pt>
                <c:pt idx="81">
                  <c:v>9.44</c:v>
                </c:pt>
                <c:pt idx="82">
                  <c:v>2.89</c:v>
                </c:pt>
                <c:pt idx="83">
                  <c:v>-4.5199999999999996</c:v>
                </c:pt>
                <c:pt idx="84">
                  <c:v>-8.01</c:v>
                </c:pt>
                <c:pt idx="85">
                  <c:v>-6.74</c:v>
                </c:pt>
                <c:pt idx="86">
                  <c:v>-0.57999999999999996</c:v>
                </c:pt>
                <c:pt idx="87">
                  <c:v>7.18</c:v>
                </c:pt>
                <c:pt idx="88">
                  <c:v>14.05</c:v>
                </c:pt>
                <c:pt idx="89">
                  <c:v>17.96</c:v>
                </c:pt>
                <c:pt idx="90">
                  <c:v>21.89</c:v>
                </c:pt>
                <c:pt idx="91">
                  <c:v>20.350000000000001</c:v>
                </c:pt>
                <c:pt idx="92">
                  <c:v>17.38</c:v>
                </c:pt>
                <c:pt idx="93">
                  <c:v>9.61</c:v>
                </c:pt>
                <c:pt idx="94">
                  <c:v>5.71</c:v>
                </c:pt>
                <c:pt idx="95">
                  <c:v>-0.46</c:v>
                </c:pt>
                <c:pt idx="96">
                  <c:v>-3.44</c:v>
                </c:pt>
                <c:pt idx="97">
                  <c:v>-1.65</c:v>
                </c:pt>
                <c:pt idx="98">
                  <c:v>4.68</c:v>
                </c:pt>
                <c:pt idx="99">
                  <c:v>7.69</c:v>
                </c:pt>
                <c:pt idx="100">
                  <c:v>15.52</c:v>
                </c:pt>
                <c:pt idx="101">
                  <c:v>17.8</c:v>
                </c:pt>
                <c:pt idx="102">
                  <c:v>22.99</c:v>
                </c:pt>
                <c:pt idx="103">
                  <c:v>21.76</c:v>
                </c:pt>
                <c:pt idx="104">
                  <c:v>16.16</c:v>
                </c:pt>
                <c:pt idx="105">
                  <c:v>11.21</c:v>
                </c:pt>
                <c:pt idx="106">
                  <c:v>1.8</c:v>
                </c:pt>
                <c:pt idx="107">
                  <c:v>-0.63</c:v>
                </c:pt>
                <c:pt idx="108">
                  <c:v>-5.04</c:v>
                </c:pt>
                <c:pt idx="109">
                  <c:v>-4.4400000000000004</c:v>
                </c:pt>
                <c:pt idx="110">
                  <c:v>-0.82</c:v>
                </c:pt>
                <c:pt idx="111">
                  <c:v>6.18</c:v>
                </c:pt>
                <c:pt idx="112">
                  <c:v>13.58</c:v>
                </c:pt>
                <c:pt idx="113">
                  <c:v>18.37</c:v>
                </c:pt>
                <c:pt idx="114">
                  <c:v>22.71</c:v>
                </c:pt>
                <c:pt idx="115">
                  <c:v>19.329999999999998</c:v>
                </c:pt>
                <c:pt idx="116">
                  <c:v>15.36</c:v>
                </c:pt>
                <c:pt idx="117">
                  <c:v>10.24</c:v>
                </c:pt>
                <c:pt idx="118">
                  <c:v>1.6</c:v>
                </c:pt>
                <c:pt idx="119">
                  <c:v>-3.59</c:v>
                </c:pt>
                <c:pt idx="120">
                  <c:v>-7.32</c:v>
                </c:pt>
                <c:pt idx="121">
                  <c:v>-7.56</c:v>
                </c:pt>
                <c:pt idx="122">
                  <c:v>-3.72</c:v>
                </c:pt>
                <c:pt idx="123">
                  <c:v>5.88</c:v>
                </c:pt>
                <c:pt idx="124">
                  <c:v>13.3</c:v>
                </c:pt>
                <c:pt idx="125">
                  <c:v>18.579999999999998</c:v>
                </c:pt>
                <c:pt idx="126">
                  <c:v>20.88</c:v>
                </c:pt>
                <c:pt idx="127">
                  <c:v>19.38</c:v>
                </c:pt>
                <c:pt idx="128">
                  <c:v>16.57</c:v>
                </c:pt>
                <c:pt idx="129">
                  <c:v>10.87</c:v>
                </c:pt>
                <c:pt idx="130">
                  <c:v>1.4</c:v>
                </c:pt>
                <c:pt idx="131">
                  <c:v>-1.78</c:v>
                </c:pt>
                <c:pt idx="132">
                  <c:v>-8.2799999999999994</c:v>
                </c:pt>
                <c:pt idx="133">
                  <c:v>-13.02</c:v>
                </c:pt>
                <c:pt idx="134">
                  <c:v>-3.52</c:v>
                </c:pt>
                <c:pt idx="135">
                  <c:v>6.08</c:v>
                </c:pt>
                <c:pt idx="136">
                  <c:v>16.079999999999998</c:v>
                </c:pt>
                <c:pt idx="137">
                  <c:v>17.399999999999999</c:v>
                </c:pt>
                <c:pt idx="138">
                  <c:v>21.29</c:v>
                </c:pt>
                <c:pt idx="139">
                  <c:v>21.81</c:v>
                </c:pt>
                <c:pt idx="140">
                  <c:v>19.09</c:v>
                </c:pt>
                <c:pt idx="141">
                  <c:v>9.02</c:v>
                </c:pt>
                <c:pt idx="142">
                  <c:v>5.62</c:v>
                </c:pt>
                <c:pt idx="143">
                  <c:v>3.68</c:v>
                </c:pt>
                <c:pt idx="144">
                  <c:v>-6.12</c:v>
                </c:pt>
                <c:pt idx="145">
                  <c:v>-4.25</c:v>
                </c:pt>
                <c:pt idx="146">
                  <c:v>3.13</c:v>
                </c:pt>
                <c:pt idx="147">
                  <c:v>9.0399999999999991</c:v>
                </c:pt>
                <c:pt idx="148">
                  <c:v>15.1</c:v>
                </c:pt>
                <c:pt idx="149">
                  <c:v>19.149999999999999</c:v>
                </c:pt>
                <c:pt idx="150">
                  <c:v>23.25</c:v>
                </c:pt>
                <c:pt idx="151">
                  <c:v>21.44</c:v>
                </c:pt>
                <c:pt idx="152">
                  <c:v>18.170000000000002</c:v>
                </c:pt>
                <c:pt idx="153">
                  <c:v>9.44</c:v>
                </c:pt>
                <c:pt idx="154">
                  <c:v>2.89</c:v>
                </c:pt>
                <c:pt idx="155">
                  <c:v>-4.5199999999999996</c:v>
                </c:pt>
                <c:pt idx="156">
                  <c:v>-8.01</c:v>
                </c:pt>
                <c:pt idx="157">
                  <c:v>-6.74</c:v>
                </c:pt>
                <c:pt idx="158">
                  <c:v>-0.57999999999999996</c:v>
                </c:pt>
                <c:pt idx="159">
                  <c:v>7.18</c:v>
                </c:pt>
                <c:pt idx="160">
                  <c:v>14.05</c:v>
                </c:pt>
                <c:pt idx="161">
                  <c:v>17.96</c:v>
                </c:pt>
                <c:pt idx="162">
                  <c:v>21.89</c:v>
                </c:pt>
                <c:pt idx="163">
                  <c:v>20.350000000000001</c:v>
                </c:pt>
                <c:pt idx="164">
                  <c:v>17.38</c:v>
                </c:pt>
                <c:pt idx="165">
                  <c:v>9.61</c:v>
                </c:pt>
                <c:pt idx="166">
                  <c:v>5.71</c:v>
                </c:pt>
                <c:pt idx="167">
                  <c:v>-0.46</c:v>
                </c:pt>
                <c:pt idx="168">
                  <c:v>-3.44</c:v>
                </c:pt>
                <c:pt idx="169">
                  <c:v>-1.65</c:v>
                </c:pt>
                <c:pt idx="170">
                  <c:v>4.68</c:v>
                </c:pt>
                <c:pt idx="171">
                  <c:v>7.69</c:v>
                </c:pt>
                <c:pt idx="172">
                  <c:v>15.52</c:v>
                </c:pt>
                <c:pt idx="173">
                  <c:v>17.8</c:v>
                </c:pt>
                <c:pt idx="174">
                  <c:v>22.99</c:v>
                </c:pt>
                <c:pt idx="175">
                  <c:v>21.76</c:v>
                </c:pt>
                <c:pt idx="176">
                  <c:v>16.16</c:v>
                </c:pt>
                <c:pt idx="177">
                  <c:v>11.21</c:v>
                </c:pt>
                <c:pt idx="178">
                  <c:v>1.8</c:v>
                </c:pt>
                <c:pt idx="179">
                  <c:v>-0.63</c:v>
                </c:pt>
                <c:pt idx="180">
                  <c:v>-5.04</c:v>
                </c:pt>
                <c:pt idx="181">
                  <c:v>-4.4400000000000004</c:v>
                </c:pt>
                <c:pt idx="182">
                  <c:v>-0.82</c:v>
                </c:pt>
                <c:pt idx="183">
                  <c:v>6.18</c:v>
                </c:pt>
                <c:pt idx="184">
                  <c:v>13.58</c:v>
                </c:pt>
                <c:pt idx="185">
                  <c:v>18.37</c:v>
                </c:pt>
                <c:pt idx="186">
                  <c:v>22.71</c:v>
                </c:pt>
                <c:pt idx="187">
                  <c:v>19.329999999999998</c:v>
                </c:pt>
                <c:pt idx="188">
                  <c:v>15.36</c:v>
                </c:pt>
                <c:pt idx="189">
                  <c:v>10.24</c:v>
                </c:pt>
                <c:pt idx="190">
                  <c:v>1.6</c:v>
                </c:pt>
                <c:pt idx="191">
                  <c:v>-3.59</c:v>
                </c:pt>
                <c:pt idx="192">
                  <c:v>-7.32</c:v>
                </c:pt>
                <c:pt idx="193">
                  <c:v>-7.56</c:v>
                </c:pt>
                <c:pt idx="194">
                  <c:v>-3.72</c:v>
                </c:pt>
                <c:pt idx="195">
                  <c:v>5.88</c:v>
                </c:pt>
                <c:pt idx="196">
                  <c:v>13.3</c:v>
                </c:pt>
                <c:pt idx="197">
                  <c:v>18.579999999999998</c:v>
                </c:pt>
                <c:pt idx="198">
                  <c:v>20.88</c:v>
                </c:pt>
                <c:pt idx="199">
                  <c:v>19.38</c:v>
                </c:pt>
                <c:pt idx="200">
                  <c:v>16.57</c:v>
                </c:pt>
                <c:pt idx="201">
                  <c:v>10.87</c:v>
                </c:pt>
                <c:pt idx="202">
                  <c:v>1.4</c:v>
                </c:pt>
                <c:pt idx="203">
                  <c:v>-1.78</c:v>
                </c:pt>
                <c:pt idx="204">
                  <c:v>-8.2799999999999994</c:v>
                </c:pt>
                <c:pt idx="205">
                  <c:v>-13.02</c:v>
                </c:pt>
                <c:pt idx="206">
                  <c:v>-3.52</c:v>
                </c:pt>
                <c:pt idx="207">
                  <c:v>6.08</c:v>
                </c:pt>
                <c:pt idx="208">
                  <c:v>16.079999999999998</c:v>
                </c:pt>
                <c:pt idx="209">
                  <c:v>17.399999999999999</c:v>
                </c:pt>
                <c:pt idx="210">
                  <c:v>21.29</c:v>
                </c:pt>
                <c:pt idx="211">
                  <c:v>21.81</c:v>
                </c:pt>
                <c:pt idx="212">
                  <c:v>19.09</c:v>
                </c:pt>
                <c:pt idx="213">
                  <c:v>9.02</c:v>
                </c:pt>
                <c:pt idx="214">
                  <c:v>5.62</c:v>
                </c:pt>
                <c:pt idx="215">
                  <c:v>3.68</c:v>
                </c:pt>
                <c:pt idx="216">
                  <c:v>-6.12</c:v>
                </c:pt>
                <c:pt idx="217">
                  <c:v>-4.25</c:v>
                </c:pt>
                <c:pt idx="218">
                  <c:v>3.13</c:v>
                </c:pt>
                <c:pt idx="219">
                  <c:v>9.0399999999999991</c:v>
                </c:pt>
                <c:pt idx="220">
                  <c:v>15.1</c:v>
                </c:pt>
                <c:pt idx="221">
                  <c:v>19.149999999999999</c:v>
                </c:pt>
                <c:pt idx="222">
                  <c:v>23.25</c:v>
                </c:pt>
                <c:pt idx="223">
                  <c:v>21.44</c:v>
                </c:pt>
                <c:pt idx="224">
                  <c:v>18.170000000000002</c:v>
                </c:pt>
                <c:pt idx="225">
                  <c:v>9.44</c:v>
                </c:pt>
                <c:pt idx="226">
                  <c:v>2.89</c:v>
                </c:pt>
                <c:pt idx="227">
                  <c:v>-4.5199999999999996</c:v>
                </c:pt>
                <c:pt idx="228">
                  <c:v>-8.01</c:v>
                </c:pt>
                <c:pt idx="229">
                  <c:v>-6.74</c:v>
                </c:pt>
                <c:pt idx="230">
                  <c:v>-0.57999999999999996</c:v>
                </c:pt>
                <c:pt idx="231">
                  <c:v>7.18</c:v>
                </c:pt>
                <c:pt idx="232">
                  <c:v>14.05</c:v>
                </c:pt>
                <c:pt idx="233">
                  <c:v>17.96</c:v>
                </c:pt>
                <c:pt idx="234">
                  <c:v>21.89</c:v>
                </c:pt>
                <c:pt idx="235">
                  <c:v>20.350000000000001</c:v>
                </c:pt>
                <c:pt idx="236">
                  <c:v>17.38</c:v>
                </c:pt>
                <c:pt idx="237">
                  <c:v>9.61</c:v>
                </c:pt>
                <c:pt idx="238">
                  <c:v>5.71</c:v>
                </c:pt>
                <c:pt idx="239">
                  <c:v>-0.46</c:v>
                </c:pt>
              </c:numCache>
            </c:numRef>
          </c:val>
          <c:smooth val="0"/>
          <c:extLst>
            <c:ext xmlns:c16="http://schemas.microsoft.com/office/drawing/2014/chart" uri="{C3380CC4-5D6E-409C-BE32-E72D297353CC}">
              <c16:uniqueId val="{00000002-8B25-4F30-80C5-8F6EAA28701A}"/>
            </c:ext>
          </c:extLst>
        </c:ser>
        <c:dLbls>
          <c:showLegendKey val="0"/>
          <c:showVal val="0"/>
          <c:showCatName val="0"/>
          <c:showSerName val="0"/>
          <c:showPercent val="0"/>
          <c:showBubbleSize val="0"/>
        </c:dLbls>
        <c:marker val="1"/>
        <c:smooth val="0"/>
        <c:axId val="550479480"/>
        <c:axId val="550487712"/>
      </c:lineChart>
      <c:catAx>
        <c:axId val="550481832"/>
        <c:scaling>
          <c:orientation val="minMax"/>
        </c:scaling>
        <c:delete val="0"/>
        <c:axPos val="b"/>
        <c:title>
          <c:tx>
            <c:rich>
              <a:bodyPr/>
              <a:lstStyle/>
              <a:p>
                <a:pPr>
                  <a:defRPr/>
                </a:pPr>
                <a:r>
                  <a:rPr lang="en-US"/>
                  <a:t>Year</a:t>
                </a:r>
              </a:p>
            </c:rich>
          </c:tx>
          <c:layout>
            <c:manualLayout>
              <c:xMode val="edge"/>
              <c:yMode val="edge"/>
              <c:x val="0.4758123107580533"/>
              <c:y val="0.83568471879946304"/>
            </c:manualLayout>
          </c:layout>
          <c:overlay val="0"/>
        </c:title>
        <c:numFmt formatCode="General" sourceLinked="1"/>
        <c:majorTickMark val="out"/>
        <c:minorTickMark val="none"/>
        <c:tickLblPos val="nextTo"/>
        <c:crossAx val="550479872"/>
        <c:crosses val="autoZero"/>
        <c:auto val="1"/>
        <c:lblAlgn val="ctr"/>
        <c:lblOffset val="100"/>
        <c:tickLblSkip val="12"/>
        <c:tickMarkSkip val="12"/>
        <c:noMultiLvlLbl val="0"/>
      </c:catAx>
      <c:valAx>
        <c:axId val="550479872"/>
        <c:scaling>
          <c:orientation val="minMax"/>
        </c:scaling>
        <c:delete val="0"/>
        <c:axPos val="l"/>
        <c:majorGridlines/>
        <c:title>
          <c:tx>
            <c:rich>
              <a:bodyPr rot="-5400000" vert="horz"/>
              <a:lstStyle/>
              <a:p>
                <a:pPr>
                  <a:defRPr/>
                </a:pPr>
                <a:r>
                  <a:rPr lang="en-US"/>
                  <a:t>Amount of water (mm)</a:t>
                </a:r>
              </a:p>
            </c:rich>
          </c:tx>
          <c:overlay val="0"/>
        </c:title>
        <c:numFmt formatCode="0" sourceLinked="1"/>
        <c:majorTickMark val="out"/>
        <c:minorTickMark val="none"/>
        <c:tickLblPos val="nextTo"/>
        <c:crossAx val="550481832"/>
        <c:crosses val="autoZero"/>
        <c:crossBetween val="between"/>
      </c:valAx>
      <c:valAx>
        <c:axId val="550487712"/>
        <c:scaling>
          <c:orientation val="minMax"/>
        </c:scaling>
        <c:delete val="0"/>
        <c:axPos val="r"/>
        <c:title>
          <c:tx>
            <c:rich>
              <a:bodyPr rot="5400000" vert="horz"/>
              <a:lstStyle/>
              <a:p>
                <a:pPr>
                  <a:defRPr/>
                </a:pPr>
                <a:r>
                  <a:rPr lang="en-US"/>
                  <a:t>Temperature (°C)</a:t>
                </a:r>
              </a:p>
            </c:rich>
          </c:tx>
          <c:overlay val="0"/>
        </c:title>
        <c:numFmt formatCode="0" sourceLinked="0"/>
        <c:majorTickMark val="out"/>
        <c:minorTickMark val="none"/>
        <c:tickLblPos val="nextTo"/>
        <c:crossAx val="550479480"/>
        <c:crosses val="max"/>
        <c:crossBetween val="between"/>
      </c:valAx>
      <c:catAx>
        <c:axId val="550479480"/>
        <c:scaling>
          <c:orientation val="minMax"/>
        </c:scaling>
        <c:delete val="1"/>
        <c:axPos val="b"/>
        <c:majorTickMark val="out"/>
        <c:minorTickMark val="none"/>
        <c:tickLblPos val="nextTo"/>
        <c:crossAx val="550487712"/>
        <c:crosses val="autoZero"/>
        <c:auto val="1"/>
        <c:lblAlgn val="ctr"/>
        <c:lblOffset val="100"/>
        <c:noMultiLvlLbl val="0"/>
      </c:catAx>
    </c:plotArea>
    <c:legend>
      <c:legendPos val="b"/>
      <c:layout>
        <c:manualLayout>
          <c:xMode val="edge"/>
          <c:yMode val="edge"/>
          <c:x val="0.20849703609796191"/>
          <c:y val="0.90797499549197569"/>
          <c:w val="0.60762414853239355"/>
          <c:h val="9.2025004508024283E-2"/>
        </c:manualLayout>
      </c:layout>
      <c:overlay val="0"/>
    </c:legend>
    <c:plotVisOnly val="1"/>
    <c:dispBlanksAs val="gap"/>
    <c:showDLblsOverMax val="0"/>
  </c:chart>
  <c:printSettings>
    <c:headerFooter/>
    <c:pageMargins b="0.75" l="0.7" r="0.7" t="0.75" header="0.3" footer="0.3"/>
    <c:pageSetup orientation="portrait"/>
  </c:printSettings>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1</xdr:col>
      <xdr:colOff>11430</xdr:colOff>
      <xdr:row>5</xdr:row>
      <xdr:rowOff>0</xdr:rowOff>
    </xdr:from>
    <xdr:to>
      <xdr:col>2</xdr:col>
      <xdr:colOff>210390</xdr:colOff>
      <xdr:row>16</xdr:row>
      <xdr:rowOff>182880</xdr:rowOff>
    </xdr:to>
    <xdr:graphicFrame macro="">
      <xdr:nvGraphicFramePr>
        <xdr:cNvPr id="2" name="Chart 1">
          <a:extLst>
            <a:ext uri="{FF2B5EF4-FFF2-40B4-BE49-F238E27FC236}">
              <a16:creationId xmlns:a16="http://schemas.microsoft.com/office/drawing/2014/main" id="{1D517CDC-27CF-4A05-9917-247CE39C6E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19</xdr:row>
      <xdr:rowOff>0</xdr:rowOff>
    </xdr:from>
    <xdr:to>
      <xdr:col>2</xdr:col>
      <xdr:colOff>198960</xdr:colOff>
      <xdr:row>30</xdr:row>
      <xdr:rowOff>182880</xdr:rowOff>
    </xdr:to>
    <xdr:graphicFrame macro="">
      <xdr:nvGraphicFramePr>
        <xdr:cNvPr id="3" name="Chart 2">
          <a:extLst>
            <a:ext uri="{FF2B5EF4-FFF2-40B4-BE49-F238E27FC236}">
              <a16:creationId xmlns:a16="http://schemas.microsoft.com/office/drawing/2014/main" id="{843CBD00-72B6-4679-A54F-BFCDE521C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11430</xdr:colOff>
      <xdr:row>34</xdr:row>
      <xdr:rowOff>0</xdr:rowOff>
    </xdr:from>
    <xdr:to>
      <xdr:col>2</xdr:col>
      <xdr:colOff>210390</xdr:colOff>
      <xdr:row>45</xdr:row>
      <xdr:rowOff>182880</xdr:rowOff>
    </xdr:to>
    <xdr:graphicFrame macro="">
      <xdr:nvGraphicFramePr>
        <xdr:cNvPr id="4" name="Chart 3">
          <a:extLst>
            <a:ext uri="{FF2B5EF4-FFF2-40B4-BE49-F238E27FC236}">
              <a16:creationId xmlns:a16="http://schemas.microsoft.com/office/drawing/2014/main" id="{7C293FDE-B1D0-4E27-83C5-6EF28296D5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9525</xdr:colOff>
      <xdr:row>48</xdr:row>
      <xdr:rowOff>0</xdr:rowOff>
    </xdr:from>
    <xdr:to>
      <xdr:col>2</xdr:col>
      <xdr:colOff>208485</xdr:colOff>
      <xdr:row>59</xdr:row>
      <xdr:rowOff>182880</xdr:rowOff>
    </xdr:to>
    <xdr:graphicFrame macro="">
      <xdr:nvGraphicFramePr>
        <xdr:cNvPr id="5" name="Chart 4">
          <a:extLst>
            <a:ext uri="{FF2B5EF4-FFF2-40B4-BE49-F238E27FC236}">
              <a16:creationId xmlns:a16="http://schemas.microsoft.com/office/drawing/2014/main" id="{54F8BBEF-67B9-4485-A381-31ED9639B6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cdr:x>
      <cdr:y>0</cdr:y>
    </cdr:from>
    <cdr:to>
      <cdr:x>0</cdr:x>
      <cdr:y>0</cdr:y>
    </cdr:to>
    <cdr:grpSp>
      <cdr:nvGrpSpPr>
        <cdr:cNvPr id="7" name="Group 6">
          <a:extLst xmlns:a="http://schemas.openxmlformats.org/drawingml/2006/main">
            <a:ext uri="{FF2B5EF4-FFF2-40B4-BE49-F238E27FC236}">
              <a16:creationId xmlns:a16="http://schemas.microsoft.com/office/drawing/2014/main" id="{CC705F45-7458-4B85-834D-45C58E401C79}"/>
            </a:ext>
          </a:extLst>
        </cdr:cNvPr>
        <cdr:cNvGrpSpPr/>
      </cdr:nvGrpSpPr>
      <cdr:grpSpPr>
        <a:xfrm xmlns:a="http://schemas.openxmlformats.org/drawingml/2006/main">
          <a:off x="0" y="0"/>
          <a:ext cx="0" cy="0"/>
          <a:chOff x="0" y="0"/>
          <a:chExt cx="0" cy="0"/>
        </a:xfrm>
      </cdr:grpSpPr>
    </cdr:grpSp>
  </cdr:relSizeAnchor>
  <cdr:relSizeAnchor xmlns:cdr="http://schemas.openxmlformats.org/drawingml/2006/chartDrawing">
    <cdr:from>
      <cdr:x>0</cdr:x>
      <cdr:y>0.84866</cdr:y>
    </cdr:from>
    <cdr:to>
      <cdr:x>0.29458</cdr:x>
      <cdr:y>1</cdr:y>
    </cdr:to>
    <cdr:sp macro="" textlink="">
      <cdr:nvSpPr>
        <cdr:cNvPr id="8" name="TextBox 7"/>
        <cdr:cNvSpPr txBox="1"/>
      </cdr:nvSpPr>
      <cdr:spPr>
        <a:xfrm xmlns:a="http://schemas.openxmlformats.org/drawingml/2006/main">
          <a:off x="0" y="1933575"/>
          <a:ext cx="914400" cy="34480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GB" sz="1100"/>
            <a:t>Year</a:t>
          </a:r>
        </a:p>
      </cdr:txBody>
    </cdr:sp>
  </cdr:relSizeAnchor>
</c:userShapes>
</file>

<file path=xl/drawings/drawing3.xml><?xml version="1.0" encoding="utf-8"?>
<c:userShapes xmlns:c="http://schemas.openxmlformats.org/drawingml/2006/chart">
  <cdr:relSizeAnchor xmlns:cdr="http://schemas.openxmlformats.org/drawingml/2006/chartDrawing">
    <cdr:from>
      <cdr:x>0</cdr:x>
      <cdr:y>0</cdr:y>
    </cdr:from>
    <cdr:to>
      <cdr:x>0</cdr:x>
      <cdr:y>0</cdr:y>
    </cdr:to>
    <cdr:grpSp>
      <cdr:nvGrpSpPr>
        <cdr:cNvPr id="7" name="Group 6">
          <a:extLst xmlns:a="http://schemas.openxmlformats.org/drawingml/2006/main">
            <a:ext uri="{FF2B5EF4-FFF2-40B4-BE49-F238E27FC236}">
              <a16:creationId xmlns:a16="http://schemas.microsoft.com/office/drawing/2014/main" id="{35B5F9C7-BAB4-46D9-A74B-B6F0BE6A2C4F}"/>
            </a:ext>
          </a:extLst>
        </cdr:cNvPr>
        <cdr:cNvGrpSpPr/>
      </cdr:nvGrpSpPr>
      <cdr:grpSpPr>
        <a:xfrm xmlns:a="http://schemas.openxmlformats.org/drawingml/2006/main">
          <a:off x="0" y="0"/>
          <a:ext cx="0" cy="0"/>
          <a:chOff x="0" y="0"/>
          <a:chExt cx="0" cy="0"/>
        </a:xfrm>
      </cdr:grpSpPr>
    </cdr:grpSp>
  </cdr:relSizeAnchor>
  <cdr:relSizeAnchor xmlns:cdr="http://schemas.openxmlformats.org/drawingml/2006/chartDrawing">
    <cdr:from>
      <cdr:x>0</cdr:x>
      <cdr:y>0.84866</cdr:y>
    </cdr:from>
    <cdr:to>
      <cdr:x>0.29458</cdr:x>
      <cdr:y>1</cdr:y>
    </cdr:to>
    <cdr:sp macro="" textlink="">
      <cdr:nvSpPr>
        <cdr:cNvPr id="8" name="TextBox 7"/>
        <cdr:cNvSpPr txBox="1"/>
      </cdr:nvSpPr>
      <cdr:spPr>
        <a:xfrm xmlns:a="http://schemas.openxmlformats.org/drawingml/2006/main">
          <a:off x="0" y="1933575"/>
          <a:ext cx="914400" cy="34480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GB" sz="1100"/>
            <a:t>Year</a:t>
          </a:r>
        </a:p>
      </cdr:txBody>
    </cdr:sp>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0</cdr:x>
      <cdr:y>0</cdr:y>
    </cdr:to>
    <cdr:grpSp>
      <cdr:nvGrpSpPr>
        <cdr:cNvPr id="7" name="Group 6">
          <a:extLst xmlns:a="http://schemas.openxmlformats.org/drawingml/2006/main">
            <a:ext uri="{FF2B5EF4-FFF2-40B4-BE49-F238E27FC236}">
              <a16:creationId xmlns:a16="http://schemas.microsoft.com/office/drawing/2014/main" id="{D610F1BF-DC22-4C49-AAC4-C59FDB5FCD98}"/>
            </a:ext>
          </a:extLst>
        </cdr:cNvPr>
        <cdr:cNvGrpSpPr/>
      </cdr:nvGrpSpPr>
      <cdr:grpSpPr>
        <a:xfrm xmlns:a="http://schemas.openxmlformats.org/drawingml/2006/main">
          <a:off x="0" y="0"/>
          <a:ext cx="0" cy="0"/>
          <a:chOff x="0" y="0"/>
          <a:chExt cx="0" cy="0"/>
        </a:xfrm>
      </cdr:grpSpPr>
    </cdr:grpSp>
  </cdr:relSizeAnchor>
  <cdr:relSizeAnchor xmlns:cdr="http://schemas.openxmlformats.org/drawingml/2006/chartDrawing">
    <cdr:from>
      <cdr:x>0</cdr:x>
      <cdr:y>0.84866</cdr:y>
    </cdr:from>
    <cdr:to>
      <cdr:x>0.29458</cdr:x>
      <cdr:y>1</cdr:y>
    </cdr:to>
    <cdr:sp macro="" textlink="">
      <cdr:nvSpPr>
        <cdr:cNvPr id="8" name="TextBox 7"/>
        <cdr:cNvSpPr txBox="1"/>
      </cdr:nvSpPr>
      <cdr:spPr>
        <a:xfrm xmlns:a="http://schemas.openxmlformats.org/drawingml/2006/main">
          <a:off x="0" y="1933575"/>
          <a:ext cx="914400" cy="34480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GB" sz="1100"/>
            <a:t>Year</a:t>
          </a:r>
        </a:p>
      </cdr:txBody>
    </cdr:sp>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0</cdr:x>
      <cdr:y>0</cdr:y>
    </cdr:to>
    <cdr:grpSp>
      <cdr:nvGrpSpPr>
        <cdr:cNvPr id="7" name="Group 6">
          <a:extLst xmlns:a="http://schemas.openxmlformats.org/drawingml/2006/main">
            <a:ext uri="{FF2B5EF4-FFF2-40B4-BE49-F238E27FC236}">
              <a16:creationId xmlns:a16="http://schemas.microsoft.com/office/drawing/2014/main" id="{26197D0F-7358-4055-A84F-8A89BB7759B4}"/>
            </a:ext>
          </a:extLst>
        </cdr:cNvPr>
        <cdr:cNvGrpSpPr/>
      </cdr:nvGrpSpPr>
      <cdr:grpSpPr>
        <a:xfrm xmlns:a="http://schemas.openxmlformats.org/drawingml/2006/main">
          <a:off x="0" y="0"/>
          <a:ext cx="0" cy="0"/>
          <a:chOff x="0" y="0"/>
          <a:chExt cx="0" cy="0"/>
        </a:xfrm>
      </cdr:grpSpPr>
    </cdr:grpSp>
  </cdr:relSizeAnchor>
  <cdr:relSizeAnchor xmlns:cdr="http://schemas.openxmlformats.org/drawingml/2006/chartDrawing">
    <cdr:from>
      <cdr:x>0</cdr:x>
      <cdr:y>0.84866</cdr:y>
    </cdr:from>
    <cdr:to>
      <cdr:x>0.29458</cdr:x>
      <cdr:y>1</cdr:y>
    </cdr:to>
    <cdr:sp macro="" textlink="">
      <cdr:nvSpPr>
        <cdr:cNvPr id="8" name="TextBox 7"/>
        <cdr:cNvSpPr txBox="1"/>
      </cdr:nvSpPr>
      <cdr:spPr>
        <a:xfrm xmlns:a="http://schemas.openxmlformats.org/drawingml/2006/main">
          <a:off x="0" y="1933575"/>
          <a:ext cx="914400" cy="34480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GB" sz="1100"/>
            <a:t>Year</a:t>
          </a:r>
        </a:p>
      </cdr:txBody>
    </cdr:sp>
  </cdr:relSizeAnchor>
</c:userShapes>
</file>

<file path=xl/drawings/drawing6.xml><?xml version="1.0" encoding="utf-8"?>
<xdr:wsDr xmlns:xdr="http://schemas.openxmlformats.org/drawingml/2006/spreadsheetDrawing" xmlns:a="http://schemas.openxmlformats.org/drawingml/2006/main">
  <xdr:twoCellAnchor>
    <xdr:from>
      <xdr:col>2</xdr:col>
      <xdr:colOff>33339</xdr:colOff>
      <xdr:row>2</xdr:row>
      <xdr:rowOff>7143</xdr:rowOff>
    </xdr:from>
    <xdr:to>
      <xdr:col>10</xdr:col>
      <xdr:colOff>381000</xdr:colOff>
      <xdr:row>2</xdr:row>
      <xdr:rowOff>3083372</xdr:rowOff>
    </xdr:to>
    <xdr:grpSp>
      <xdr:nvGrpSpPr>
        <xdr:cNvPr id="2" name="Group 1">
          <a:extLst>
            <a:ext uri="{FF2B5EF4-FFF2-40B4-BE49-F238E27FC236}">
              <a16:creationId xmlns:a16="http://schemas.microsoft.com/office/drawing/2014/main" id="{24342299-988D-4938-B4B8-C85632C5A512}"/>
            </a:ext>
          </a:extLst>
        </xdr:cNvPr>
        <xdr:cNvGrpSpPr/>
      </xdr:nvGrpSpPr>
      <xdr:grpSpPr>
        <a:xfrm>
          <a:off x="307183" y="697706"/>
          <a:ext cx="5491161" cy="3076229"/>
          <a:chOff x="243901" y="2047195"/>
          <a:chExt cx="3727750" cy="3262919"/>
        </a:xfrm>
      </xdr:grpSpPr>
      <xdr:graphicFrame macro="">
        <xdr:nvGraphicFramePr>
          <xdr:cNvPr id="3" name="Chart 2">
            <a:extLst>
              <a:ext uri="{FF2B5EF4-FFF2-40B4-BE49-F238E27FC236}">
                <a16:creationId xmlns:a16="http://schemas.microsoft.com/office/drawing/2014/main" id="{4B87B8B9-254A-4097-8638-F5C050C3D208}"/>
              </a:ext>
            </a:extLst>
          </xdr:cNvPr>
          <xdr:cNvGraphicFramePr>
            <a:graphicFrameLocks/>
          </xdr:cNvGraphicFramePr>
        </xdr:nvGraphicFramePr>
        <xdr:xfrm>
          <a:off x="243901" y="2281164"/>
          <a:ext cx="3727750" cy="3028950"/>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4" name="TextBox 3">
            <a:extLst>
              <a:ext uri="{FF2B5EF4-FFF2-40B4-BE49-F238E27FC236}">
                <a16:creationId xmlns:a16="http://schemas.microsoft.com/office/drawing/2014/main" id="{25364A44-5529-4683-A00C-3CD0CD404231}"/>
              </a:ext>
            </a:extLst>
          </xdr:cNvPr>
          <xdr:cNvSpPr txBox="1"/>
        </xdr:nvSpPr>
        <xdr:spPr>
          <a:xfrm>
            <a:off x="1827178" y="2047195"/>
            <a:ext cx="983604" cy="2026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a:solidFill>
                  <a:schemeClr val="bg1"/>
                </a:solidFill>
              </a:rPr>
              <a:t>ACTIVE POOLS</a:t>
            </a:r>
          </a:p>
        </xdr:txBody>
      </xdr:sp>
    </xdr:grpSp>
    <xdr:clientData/>
  </xdr:twoCellAnchor>
  <xdr:twoCellAnchor>
    <xdr:from>
      <xdr:col>10</xdr:col>
      <xdr:colOff>345281</xdr:colOff>
      <xdr:row>1</xdr:row>
      <xdr:rowOff>31483</xdr:rowOff>
    </xdr:from>
    <xdr:to>
      <xdr:col>19</xdr:col>
      <xdr:colOff>47625</xdr:colOff>
      <xdr:row>2</xdr:row>
      <xdr:rowOff>3081436</xdr:rowOff>
    </xdr:to>
    <xdr:grpSp>
      <xdr:nvGrpSpPr>
        <xdr:cNvPr id="5" name="Group 4">
          <a:extLst>
            <a:ext uri="{FF2B5EF4-FFF2-40B4-BE49-F238E27FC236}">
              <a16:creationId xmlns:a16="http://schemas.microsoft.com/office/drawing/2014/main" id="{BC269CA3-4E09-460D-9896-05CD95C51934}"/>
            </a:ext>
          </a:extLst>
        </xdr:cNvPr>
        <xdr:cNvGrpSpPr/>
      </xdr:nvGrpSpPr>
      <xdr:grpSpPr>
        <a:xfrm>
          <a:off x="5762625" y="662514"/>
          <a:ext cx="5488781" cy="3109485"/>
          <a:chOff x="-689458" y="2026306"/>
          <a:chExt cx="4869006" cy="3298193"/>
        </a:xfrm>
      </xdr:grpSpPr>
      <xdr:graphicFrame macro="">
        <xdr:nvGraphicFramePr>
          <xdr:cNvPr id="6" name="Chart 5">
            <a:extLst>
              <a:ext uri="{FF2B5EF4-FFF2-40B4-BE49-F238E27FC236}">
                <a16:creationId xmlns:a16="http://schemas.microsoft.com/office/drawing/2014/main" id="{3153CCBD-9E22-4461-BD0C-F9214F9388C5}"/>
              </a:ext>
            </a:extLst>
          </xdr:cNvPr>
          <xdr:cNvGraphicFramePr>
            <a:graphicFrameLocks/>
          </xdr:cNvGraphicFramePr>
        </xdr:nvGraphicFramePr>
        <xdr:xfrm>
          <a:off x="-689458" y="2299854"/>
          <a:ext cx="4869006" cy="3024645"/>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7" name="TextBox 6">
            <a:extLst>
              <a:ext uri="{FF2B5EF4-FFF2-40B4-BE49-F238E27FC236}">
                <a16:creationId xmlns:a16="http://schemas.microsoft.com/office/drawing/2014/main" id="{315DFBD1-9AA7-408B-8705-D2DD0C154967}"/>
              </a:ext>
            </a:extLst>
          </xdr:cNvPr>
          <xdr:cNvSpPr txBox="1"/>
        </xdr:nvSpPr>
        <xdr:spPr>
          <a:xfrm>
            <a:off x="1389714" y="2026306"/>
            <a:ext cx="1186748" cy="2026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GB" sz="1100">
                <a:solidFill>
                  <a:schemeClr val="bg1"/>
                </a:solidFill>
              </a:rPr>
              <a:t>RESISTANT POOLS</a:t>
            </a:r>
          </a:p>
        </xdr:txBody>
      </xdr:sp>
    </xdr:grpSp>
    <xdr:clientData/>
  </xdr:twoCellAnchor>
  <xdr:twoCellAnchor>
    <xdr:from>
      <xdr:col>1</xdr:col>
      <xdr:colOff>28575</xdr:colOff>
      <xdr:row>17</xdr:row>
      <xdr:rowOff>19050</xdr:rowOff>
    </xdr:from>
    <xdr:to>
      <xdr:col>3</xdr:col>
      <xdr:colOff>514350</xdr:colOff>
      <xdr:row>17</xdr:row>
      <xdr:rowOff>285750</xdr:rowOff>
    </xdr:to>
    <xdr:sp macro="" textlink="">
      <xdr:nvSpPr>
        <xdr:cNvPr id="8" name="TextBox 7">
          <a:extLst>
            <a:ext uri="{FF2B5EF4-FFF2-40B4-BE49-F238E27FC236}">
              <a16:creationId xmlns:a16="http://schemas.microsoft.com/office/drawing/2014/main" id="{59FD7F23-25DE-461A-9F0E-366155D5EAC3}"/>
            </a:ext>
          </a:extLst>
        </xdr:cNvPr>
        <xdr:cNvSpPr txBox="1"/>
      </xdr:nvSpPr>
      <xdr:spPr>
        <a:xfrm>
          <a:off x="247650" y="9877425"/>
          <a:ext cx="11906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bg1"/>
              </a:solidFill>
            </a:rPr>
            <a:t>Steady state</a:t>
          </a:r>
        </a:p>
      </xdr:txBody>
    </xdr:sp>
    <xdr:clientData/>
  </xdr:twoCellAnchor>
  <xdr:twoCellAnchor>
    <xdr:from>
      <xdr:col>29</xdr:col>
      <xdr:colOff>80962</xdr:colOff>
      <xdr:row>2</xdr:row>
      <xdr:rowOff>357187</xdr:rowOff>
    </xdr:from>
    <xdr:to>
      <xdr:col>35</xdr:col>
      <xdr:colOff>452438</xdr:colOff>
      <xdr:row>2</xdr:row>
      <xdr:rowOff>3039706</xdr:rowOff>
    </xdr:to>
    <xdr:graphicFrame macro="">
      <xdr:nvGraphicFramePr>
        <xdr:cNvPr id="9" name="Chart 8">
          <a:extLst>
            <a:ext uri="{FF2B5EF4-FFF2-40B4-BE49-F238E27FC236}">
              <a16:creationId xmlns:a16="http://schemas.microsoft.com/office/drawing/2014/main" id="{38B07828-5895-4BE8-B0B3-F93E2F6706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31</xdr:col>
      <xdr:colOff>269080</xdr:colOff>
      <xdr:row>2</xdr:row>
      <xdr:rowOff>11906</xdr:rowOff>
    </xdr:from>
    <xdr:to>
      <xdr:col>34</xdr:col>
      <xdr:colOff>571499</xdr:colOff>
      <xdr:row>2</xdr:row>
      <xdr:rowOff>190499</xdr:rowOff>
    </xdr:to>
    <xdr:sp macro="" textlink="">
      <xdr:nvSpPr>
        <xdr:cNvPr id="10" name="TextBox 9">
          <a:extLst>
            <a:ext uri="{FF2B5EF4-FFF2-40B4-BE49-F238E27FC236}">
              <a16:creationId xmlns:a16="http://schemas.microsoft.com/office/drawing/2014/main" id="{F87550FE-DAFA-47C8-80BD-2CDCE4B1FE88}"/>
            </a:ext>
          </a:extLst>
        </xdr:cNvPr>
        <xdr:cNvSpPr txBox="1"/>
      </xdr:nvSpPr>
      <xdr:spPr>
        <a:xfrm>
          <a:off x="19188111" y="702469"/>
          <a:ext cx="2231232" cy="1785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a:solidFill>
                <a:schemeClr val="bg1"/>
              </a:solidFill>
              <a:effectLst/>
              <a:latin typeface="+mn-lt"/>
              <a:ea typeface="+mn-ea"/>
              <a:cs typeface="+mn-cs"/>
            </a:rPr>
            <a:t>Measured H</a:t>
          </a:r>
          <a:r>
            <a:rPr lang="en-GB" sz="1100" baseline="-25000">
              <a:solidFill>
                <a:schemeClr val="bg1"/>
              </a:solidFill>
              <a:effectLst/>
              <a:latin typeface="+mn-lt"/>
              <a:ea typeface="+mn-ea"/>
              <a:cs typeface="+mn-cs"/>
            </a:rPr>
            <a:t>2 </a:t>
          </a:r>
          <a:r>
            <a:rPr lang="en-GB" sz="1100">
              <a:solidFill>
                <a:schemeClr val="bg1"/>
              </a:solidFill>
              <a:effectLst/>
              <a:latin typeface="+mn-lt"/>
              <a:ea typeface="+mn-ea"/>
              <a:cs typeface="+mn-cs"/>
            </a:rPr>
            <a:t>vs HORUS</a:t>
          </a:r>
          <a:endParaRPr lang="en-GB">
            <a:solidFill>
              <a:schemeClr val="bg1"/>
            </a:solidFill>
            <a:effectLst/>
          </a:endParaRPr>
        </a:p>
      </xdr:txBody>
    </xdr:sp>
    <xdr:clientData/>
  </xdr:twoCellAnchor>
  <xdr:twoCellAnchor>
    <xdr:from>
      <xdr:col>28</xdr:col>
      <xdr:colOff>0</xdr:colOff>
      <xdr:row>7</xdr:row>
      <xdr:rowOff>9525</xdr:rowOff>
    </xdr:from>
    <xdr:to>
      <xdr:col>29</xdr:col>
      <xdr:colOff>581025</xdr:colOff>
      <xdr:row>8</xdr:row>
      <xdr:rowOff>21840</xdr:rowOff>
    </xdr:to>
    <xdr:sp macro="[0]!Initialise" textlink="">
      <xdr:nvSpPr>
        <xdr:cNvPr id="11" name="Rectangle 10">
          <a:extLst>
            <a:ext uri="{FF2B5EF4-FFF2-40B4-BE49-F238E27FC236}">
              <a16:creationId xmlns:a16="http://schemas.microsoft.com/office/drawing/2014/main" id="{2E6B0EF2-69ED-4B1F-B1B2-980FF5417FFF}"/>
            </a:ext>
          </a:extLst>
        </xdr:cNvPr>
        <xdr:cNvSpPr/>
      </xdr:nvSpPr>
      <xdr:spPr>
        <a:xfrm>
          <a:off x="12963525" y="4171950"/>
          <a:ext cx="1495425" cy="545715"/>
        </a:xfrm>
        <a:prstGeom prst="rect">
          <a:avLst/>
        </a:prstGeom>
        <a:solidFill>
          <a:srgbClr val="FFFF00"/>
        </a:solidFill>
        <a:ln w="9525">
          <a:noFill/>
        </a:ln>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100" b="1" baseline="0">
              <a:solidFill>
                <a:sysClr val="windowText" lastClr="000000"/>
              </a:solidFill>
            </a:rPr>
            <a:t>Initialise soil C  pools and plant inputs </a:t>
          </a:r>
        </a:p>
      </xdr:txBody>
    </xdr:sp>
    <xdr:clientData/>
  </xdr:twoCellAnchor>
  <xdr:twoCellAnchor>
    <xdr:from>
      <xdr:col>19</xdr:col>
      <xdr:colOff>71438</xdr:colOff>
      <xdr:row>2</xdr:row>
      <xdr:rowOff>23813</xdr:rowOff>
    </xdr:from>
    <xdr:to>
      <xdr:col>27</xdr:col>
      <xdr:colOff>59531</xdr:colOff>
      <xdr:row>2</xdr:row>
      <xdr:rowOff>3099964</xdr:rowOff>
    </xdr:to>
    <xdr:grpSp>
      <xdr:nvGrpSpPr>
        <xdr:cNvPr id="12" name="Group 11">
          <a:extLst>
            <a:ext uri="{FF2B5EF4-FFF2-40B4-BE49-F238E27FC236}">
              <a16:creationId xmlns:a16="http://schemas.microsoft.com/office/drawing/2014/main" id="{BF02F5AC-A816-416F-A9B7-9901BAECA1AA}"/>
            </a:ext>
          </a:extLst>
        </xdr:cNvPr>
        <xdr:cNvGrpSpPr/>
      </xdr:nvGrpSpPr>
      <xdr:grpSpPr>
        <a:xfrm>
          <a:off x="11275219" y="714376"/>
          <a:ext cx="5131593" cy="3076151"/>
          <a:chOff x="158922" y="2061665"/>
          <a:chExt cx="4869006" cy="3262834"/>
        </a:xfrm>
      </xdr:grpSpPr>
      <xdr:graphicFrame macro="">
        <xdr:nvGraphicFramePr>
          <xdr:cNvPr id="13" name="Chart 12">
            <a:extLst>
              <a:ext uri="{FF2B5EF4-FFF2-40B4-BE49-F238E27FC236}">
                <a16:creationId xmlns:a16="http://schemas.microsoft.com/office/drawing/2014/main" id="{C57D7648-A1E9-4FBA-A2C5-68E770488EF6}"/>
              </a:ext>
            </a:extLst>
          </xdr:cNvPr>
          <xdr:cNvGraphicFramePr>
            <a:graphicFrameLocks/>
          </xdr:cNvGraphicFramePr>
        </xdr:nvGraphicFramePr>
        <xdr:xfrm>
          <a:off x="158922" y="2299854"/>
          <a:ext cx="4869006" cy="3024645"/>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14" name="TextBox 13">
            <a:extLst>
              <a:ext uri="{FF2B5EF4-FFF2-40B4-BE49-F238E27FC236}">
                <a16:creationId xmlns:a16="http://schemas.microsoft.com/office/drawing/2014/main" id="{5B687502-C2D7-4313-B2EB-F34DB63C6B9C}"/>
              </a:ext>
            </a:extLst>
          </xdr:cNvPr>
          <xdr:cNvSpPr txBox="1"/>
        </xdr:nvSpPr>
        <xdr:spPr>
          <a:xfrm>
            <a:off x="1737672" y="2061665"/>
            <a:ext cx="2106025" cy="1925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GB" sz="1100">
                <a:solidFill>
                  <a:schemeClr val="bg1"/>
                </a:solidFill>
              </a:rPr>
              <a:t>Measured vs simulated carbon</a:t>
            </a:r>
          </a:p>
        </xdr:txBody>
      </xdr:sp>
    </xdr:grpSp>
    <xdr:clientData/>
  </xdr:twoCellAnchor>
  <xdr:twoCellAnchor>
    <xdr:from>
      <xdr:col>34</xdr:col>
      <xdr:colOff>63500</xdr:colOff>
      <xdr:row>8</xdr:row>
      <xdr:rowOff>103180</xdr:rowOff>
    </xdr:from>
    <xdr:to>
      <xdr:col>35</xdr:col>
      <xdr:colOff>636696</xdr:colOff>
      <xdr:row>8</xdr:row>
      <xdr:rowOff>465131</xdr:rowOff>
    </xdr:to>
    <xdr:sp macro="" textlink="">
      <xdr:nvSpPr>
        <xdr:cNvPr id="19" name="Rectangle 18">
          <a:extLst>
            <a:ext uri="{FF2B5EF4-FFF2-40B4-BE49-F238E27FC236}">
              <a16:creationId xmlns:a16="http://schemas.microsoft.com/office/drawing/2014/main" id="{C1532B67-AD00-4754-ADA6-A3EB5DAA3A57}"/>
            </a:ext>
          </a:extLst>
        </xdr:cNvPr>
        <xdr:cNvSpPr/>
      </xdr:nvSpPr>
      <xdr:spPr>
        <a:xfrm>
          <a:off x="22193250" y="5199055"/>
          <a:ext cx="1255821" cy="361951"/>
        </a:xfrm>
        <a:prstGeom prst="rect">
          <a:avLst/>
        </a:prstGeom>
        <a:noFill/>
        <a:ln w="25400">
          <a:solidFill>
            <a:srgbClr val="92D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28</xdr:col>
      <xdr:colOff>0</xdr:colOff>
      <xdr:row>8</xdr:row>
      <xdr:rowOff>71437</xdr:rowOff>
    </xdr:from>
    <xdr:to>
      <xdr:col>29</xdr:col>
      <xdr:colOff>581025</xdr:colOff>
      <xdr:row>8</xdr:row>
      <xdr:rowOff>619533</xdr:rowOff>
    </xdr:to>
    <xdr:sp macro="[0]!Continue" textlink="">
      <xdr:nvSpPr>
        <xdr:cNvPr id="24" name="Rectangle 23">
          <a:extLst>
            <a:ext uri="{FF2B5EF4-FFF2-40B4-BE49-F238E27FC236}">
              <a16:creationId xmlns:a16="http://schemas.microsoft.com/office/drawing/2014/main" id="{D1B6F86B-D8D9-4C7C-9AF8-AC4AE30F190D}"/>
            </a:ext>
          </a:extLst>
        </xdr:cNvPr>
        <xdr:cNvSpPr/>
      </xdr:nvSpPr>
      <xdr:spPr>
        <a:xfrm>
          <a:off x="12870656" y="5203031"/>
          <a:ext cx="1485900" cy="548096"/>
        </a:xfrm>
        <a:prstGeom prst="rect">
          <a:avLst/>
        </a:prstGeom>
        <a:solidFill>
          <a:srgbClr val="FFFF00"/>
        </a:solidFill>
        <a:ln w="9525">
          <a:noFill/>
        </a:ln>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100" b="1" baseline="0">
              <a:solidFill>
                <a:sysClr val="windowText" lastClr="000000"/>
              </a:solidFill>
            </a:rPr>
            <a:t>Continue initialisation</a:t>
          </a:r>
        </a:p>
      </xdr:txBody>
    </xdr:sp>
    <xdr:clientData/>
  </xdr:twoCellAnchor>
  <xdr:twoCellAnchor>
    <xdr:from>
      <xdr:col>27</xdr:col>
      <xdr:colOff>95251</xdr:colOff>
      <xdr:row>2</xdr:row>
      <xdr:rowOff>250031</xdr:rowOff>
    </xdr:from>
    <xdr:to>
      <xdr:col>35</xdr:col>
      <xdr:colOff>559594</xdr:colOff>
      <xdr:row>2</xdr:row>
      <xdr:rowOff>3111080</xdr:rowOff>
    </xdr:to>
    <xdr:graphicFrame macro="">
      <xdr:nvGraphicFramePr>
        <xdr:cNvPr id="17" name="Chart 16">
          <a:extLst>
            <a:ext uri="{FF2B5EF4-FFF2-40B4-BE49-F238E27FC236}">
              <a16:creationId xmlns:a16="http://schemas.microsoft.com/office/drawing/2014/main" id="{73884AF1-4E02-4B2F-A541-DD770BC7A5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0.2436</cdr:x>
      <cdr:y>0.04728</cdr:y>
    </cdr:from>
    <cdr:to>
      <cdr:x>0.45183</cdr:x>
      <cdr:y>0.12783</cdr:y>
    </cdr:to>
    <cdr:sp macro="" textlink="">
      <cdr:nvSpPr>
        <cdr:cNvPr id="7" name="TextBox 3"/>
        <cdr:cNvSpPr txBox="1"/>
      </cdr:nvSpPr>
      <cdr:spPr>
        <a:xfrm xmlns:a="http://schemas.openxmlformats.org/drawingml/2006/main">
          <a:off x="1181042" y="143221"/>
          <a:ext cx="1009551" cy="243966"/>
        </a:xfrm>
        <a:prstGeom xmlns:a="http://schemas.openxmlformats.org/drawingml/2006/main" prst="rect">
          <a:avLst/>
        </a:prstGeom>
        <a:solidFill xmlns:a="http://schemas.openxmlformats.org/drawingml/2006/main">
          <a:schemeClr val="bg1"/>
        </a:solidFill>
      </cdr:spPr>
      <cdr:txBody>
        <a:bodyPr xmlns:a="http://schemas.openxmlformats.org/drawingml/2006/main" wrap="none" lIns="0"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1100">
              <a:latin typeface="+mn-lt"/>
            </a:rPr>
            <a:t>Steady state</a:t>
          </a:r>
        </a:p>
      </cdr:txBody>
    </cdr:sp>
  </cdr:relSizeAnchor>
  <cdr:relSizeAnchor xmlns:cdr="http://schemas.openxmlformats.org/drawingml/2006/chartDrawing">
    <cdr:from>
      <cdr:x>0.5258</cdr:x>
      <cdr:y>0.00651</cdr:y>
    </cdr:from>
    <cdr:to>
      <cdr:x>0.52801</cdr:x>
      <cdr:y>0.81584</cdr:y>
    </cdr:to>
    <cdr:cxnSp macro="">
      <cdr:nvCxnSpPr>
        <cdr:cNvPr id="8" name="Straight Connector 7">
          <a:extLst xmlns:a="http://schemas.openxmlformats.org/drawingml/2006/main">
            <a:ext uri="{FF2B5EF4-FFF2-40B4-BE49-F238E27FC236}">
              <a16:creationId xmlns:a16="http://schemas.microsoft.com/office/drawing/2014/main" id="{6FB50DD1-CDD9-4EC6-B1C7-17EFEE9C7153}"/>
            </a:ext>
          </a:extLst>
        </cdr:cNvPr>
        <cdr:cNvCxnSpPr/>
      </cdr:nvCxnSpPr>
      <cdr:spPr>
        <a:xfrm xmlns:a="http://schemas.openxmlformats.org/drawingml/2006/main" flipV="1">
          <a:off x="2569592" y="19738"/>
          <a:ext cx="10800" cy="2454283"/>
        </a:xfrm>
        <a:prstGeom xmlns:a="http://schemas.openxmlformats.org/drawingml/2006/main" prst="line">
          <a:avLst/>
        </a:prstGeom>
        <a:ln xmlns:a="http://schemas.openxmlformats.org/drawingml/2006/main">
          <a:solidFill>
            <a:schemeClr val="tx1"/>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0.58291</cdr:x>
      <cdr:y>0.05358</cdr:y>
    </cdr:from>
    <cdr:to>
      <cdr:x>0.79959</cdr:x>
      <cdr:y>0.11207</cdr:y>
    </cdr:to>
    <cdr:sp macro="" textlink="">
      <cdr:nvSpPr>
        <cdr:cNvPr id="5" name="TextBox 3"/>
        <cdr:cNvSpPr txBox="1"/>
      </cdr:nvSpPr>
      <cdr:spPr>
        <a:xfrm xmlns:a="http://schemas.openxmlformats.org/drawingml/2006/main">
          <a:off x="2848675" y="162475"/>
          <a:ext cx="1058921" cy="177370"/>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1100">
              <a:latin typeface="+mn-lt"/>
            </a:rPr>
            <a:t>Non-steady state</a:t>
          </a:r>
        </a:p>
      </cdr:txBody>
    </cdr:sp>
  </cdr:relSizeAnchor>
</c:userShapes>
</file>

<file path=xl/drawings/drawing8.xml><?xml version="1.0" encoding="utf-8"?>
<c:userShapes xmlns:c="http://schemas.openxmlformats.org/drawingml/2006/chart">
  <cdr:relSizeAnchor xmlns:cdr="http://schemas.openxmlformats.org/drawingml/2006/chartDrawing">
    <cdr:from>
      <cdr:x>0.2436</cdr:x>
      <cdr:y>0.04728</cdr:y>
    </cdr:from>
    <cdr:to>
      <cdr:x>0.45183</cdr:x>
      <cdr:y>0.12783</cdr:y>
    </cdr:to>
    <cdr:sp macro="" textlink="">
      <cdr:nvSpPr>
        <cdr:cNvPr id="7" name="TextBox 3"/>
        <cdr:cNvSpPr txBox="1"/>
      </cdr:nvSpPr>
      <cdr:spPr>
        <a:xfrm xmlns:a="http://schemas.openxmlformats.org/drawingml/2006/main">
          <a:off x="1181042" y="143221"/>
          <a:ext cx="1009551" cy="243966"/>
        </a:xfrm>
        <a:prstGeom xmlns:a="http://schemas.openxmlformats.org/drawingml/2006/main" prst="rect">
          <a:avLst/>
        </a:prstGeom>
        <a:solidFill xmlns:a="http://schemas.openxmlformats.org/drawingml/2006/main">
          <a:schemeClr val="bg1"/>
        </a:solidFill>
      </cdr:spPr>
      <cdr:txBody>
        <a:bodyPr xmlns:a="http://schemas.openxmlformats.org/drawingml/2006/main" wrap="none" lIns="0"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1100">
              <a:latin typeface="+mn-lt"/>
            </a:rPr>
            <a:t>Steady state</a:t>
          </a:r>
        </a:p>
      </cdr:txBody>
    </cdr:sp>
  </cdr:relSizeAnchor>
  <cdr:relSizeAnchor xmlns:cdr="http://schemas.openxmlformats.org/drawingml/2006/chartDrawing">
    <cdr:from>
      <cdr:x>0.52379</cdr:x>
      <cdr:y>0.00019</cdr:y>
    </cdr:from>
    <cdr:to>
      <cdr:x>0.526</cdr:x>
      <cdr:y>0.80952</cdr:y>
    </cdr:to>
    <cdr:cxnSp macro="">
      <cdr:nvCxnSpPr>
        <cdr:cNvPr id="8" name="Straight Connector 7">
          <a:extLst xmlns:a="http://schemas.openxmlformats.org/drawingml/2006/main">
            <a:ext uri="{FF2B5EF4-FFF2-40B4-BE49-F238E27FC236}">
              <a16:creationId xmlns:a16="http://schemas.microsoft.com/office/drawing/2014/main" id="{B3B7A3FC-0D33-4707-9F01-41D6621D9513}"/>
            </a:ext>
          </a:extLst>
        </cdr:cNvPr>
        <cdr:cNvCxnSpPr/>
      </cdr:nvCxnSpPr>
      <cdr:spPr>
        <a:xfrm xmlns:a="http://schemas.openxmlformats.org/drawingml/2006/main" flipV="1">
          <a:off x="2563738" y="589"/>
          <a:ext cx="10817" cy="2450795"/>
        </a:xfrm>
        <a:prstGeom xmlns:a="http://schemas.openxmlformats.org/drawingml/2006/main" prst="line">
          <a:avLst/>
        </a:prstGeom>
        <a:ln xmlns:a="http://schemas.openxmlformats.org/drawingml/2006/main">
          <a:solidFill>
            <a:schemeClr val="tx1"/>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0.58688</cdr:x>
      <cdr:y>0.05357</cdr:y>
    </cdr:from>
    <cdr:to>
      <cdr:x>0.80356</cdr:x>
      <cdr:y>0.11206</cdr:y>
    </cdr:to>
    <cdr:sp macro="" textlink="">
      <cdr:nvSpPr>
        <cdr:cNvPr id="5" name="TextBox 3"/>
        <cdr:cNvSpPr txBox="1"/>
      </cdr:nvSpPr>
      <cdr:spPr>
        <a:xfrm xmlns:a="http://schemas.openxmlformats.org/drawingml/2006/main">
          <a:off x="2872531" y="162217"/>
          <a:ext cx="1060559" cy="177118"/>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1100">
              <a:latin typeface="+mn-lt"/>
            </a:rPr>
            <a:t>Non steady state</a:t>
          </a:r>
        </a:p>
      </cdr:txBody>
    </cdr:sp>
  </cdr:relSizeAnchor>
</c:userShapes>
</file>

<file path=xl/drawings/drawing9.xml><?xml version="1.0" encoding="utf-8"?>
<c:userShapes xmlns:c="http://schemas.openxmlformats.org/drawingml/2006/chart">
  <cdr:relSizeAnchor xmlns:cdr="http://schemas.openxmlformats.org/drawingml/2006/chartDrawing">
    <cdr:from>
      <cdr:x>0.2436</cdr:x>
      <cdr:y>0.04728</cdr:y>
    </cdr:from>
    <cdr:to>
      <cdr:x>0.45183</cdr:x>
      <cdr:y>0.12783</cdr:y>
    </cdr:to>
    <cdr:sp macro="" textlink="">
      <cdr:nvSpPr>
        <cdr:cNvPr id="7" name="TextBox 3"/>
        <cdr:cNvSpPr txBox="1"/>
      </cdr:nvSpPr>
      <cdr:spPr>
        <a:xfrm xmlns:a="http://schemas.openxmlformats.org/drawingml/2006/main">
          <a:off x="1181042" y="143221"/>
          <a:ext cx="1009551" cy="243966"/>
        </a:xfrm>
        <a:prstGeom xmlns:a="http://schemas.openxmlformats.org/drawingml/2006/main" prst="rect">
          <a:avLst/>
        </a:prstGeom>
        <a:solidFill xmlns:a="http://schemas.openxmlformats.org/drawingml/2006/main">
          <a:schemeClr val="bg1"/>
        </a:solidFill>
      </cdr:spPr>
      <cdr:txBody>
        <a:bodyPr xmlns:a="http://schemas.openxmlformats.org/drawingml/2006/main" wrap="none" lIns="0"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1100">
              <a:latin typeface="+mn-lt"/>
            </a:rPr>
            <a:t>Steady state</a:t>
          </a:r>
        </a:p>
      </cdr:txBody>
    </cdr:sp>
  </cdr:relSizeAnchor>
  <cdr:relSizeAnchor xmlns:cdr="http://schemas.openxmlformats.org/drawingml/2006/chartDrawing">
    <cdr:from>
      <cdr:x>0.52379</cdr:x>
      <cdr:y>0.00019</cdr:y>
    </cdr:from>
    <cdr:to>
      <cdr:x>0.526</cdr:x>
      <cdr:y>0.80952</cdr:y>
    </cdr:to>
    <cdr:cxnSp macro="">
      <cdr:nvCxnSpPr>
        <cdr:cNvPr id="8" name="Straight Connector 7">
          <a:extLst xmlns:a="http://schemas.openxmlformats.org/drawingml/2006/main">
            <a:ext uri="{FF2B5EF4-FFF2-40B4-BE49-F238E27FC236}">
              <a16:creationId xmlns:a16="http://schemas.microsoft.com/office/drawing/2014/main" id="{B3B7A3FC-0D33-4707-9F01-41D6621D9513}"/>
            </a:ext>
          </a:extLst>
        </cdr:cNvPr>
        <cdr:cNvCxnSpPr/>
      </cdr:nvCxnSpPr>
      <cdr:spPr>
        <a:xfrm xmlns:a="http://schemas.openxmlformats.org/drawingml/2006/main" flipV="1">
          <a:off x="2563738" y="589"/>
          <a:ext cx="10817" cy="2450795"/>
        </a:xfrm>
        <a:prstGeom xmlns:a="http://schemas.openxmlformats.org/drawingml/2006/main" prst="line">
          <a:avLst/>
        </a:prstGeom>
        <a:ln xmlns:a="http://schemas.openxmlformats.org/drawingml/2006/main">
          <a:solidFill>
            <a:schemeClr val="tx1"/>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0.58688</cdr:x>
      <cdr:y>0.05357</cdr:y>
    </cdr:from>
    <cdr:to>
      <cdr:x>0.80356</cdr:x>
      <cdr:y>0.11206</cdr:y>
    </cdr:to>
    <cdr:sp macro="" textlink="">
      <cdr:nvSpPr>
        <cdr:cNvPr id="5" name="TextBox 3"/>
        <cdr:cNvSpPr txBox="1"/>
      </cdr:nvSpPr>
      <cdr:spPr>
        <a:xfrm xmlns:a="http://schemas.openxmlformats.org/drawingml/2006/main">
          <a:off x="2872531" y="162217"/>
          <a:ext cx="1060559" cy="177118"/>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1100">
              <a:latin typeface="+mn-lt"/>
            </a:rPr>
            <a:t>Non steady state</a:t>
          </a:r>
        </a:p>
      </cdr:txBody>
    </cdr:sp>
  </cdr:relSizeAnchor>
</c:userShapes>
</file>

<file path=xl/drawings/drawing10.xml><?xml version="1.0" encoding="utf-8"?>
<c:userShapes xmlns:c="http://schemas.openxmlformats.org/drawingml/2006/chart">
  <cdr:relSizeAnchor xmlns:cdr="http://schemas.openxmlformats.org/drawingml/2006/chartDrawing">
    <cdr:from>
      <cdr:x>0.2436</cdr:x>
      <cdr:y>0.04728</cdr:y>
    </cdr:from>
    <cdr:to>
      <cdr:x>0.45183</cdr:x>
      <cdr:y>0.12783</cdr:y>
    </cdr:to>
    <cdr:sp macro="" textlink="">
      <cdr:nvSpPr>
        <cdr:cNvPr id="7" name="TextBox 3"/>
        <cdr:cNvSpPr txBox="1"/>
      </cdr:nvSpPr>
      <cdr:spPr>
        <a:xfrm xmlns:a="http://schemas.openxmlformats.org/drawingml/2006/main">
          <a:off x="1181042" y="143221"/>
          <a:ext cx="1009551" cy="243966"/>
        </a:xfrm>
        <a:prstGeom xmlns:a="http://schemas.openxmlformats.org/drawingml/2006/main" prst="rect">
          <a:avLst/>
        </a:prstGeom>
        <a:solidFill xmlns:a="http://schemas.openxmlformats.org/drawingml/2006/main">
          <a:schemeClr val="bg1"/>
        </a:solidFill>
      </cdr:spPr>
      <cdr:txBody>
        <a:bodyPr xmlns:a="http://schemas.openxmlformats.org/drawingml/2006/main" wrap="none" lIns="0"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1100">
              <a:latin typeface="+mn-lt"/>
            </a:rPr>
            <a:t>Steady state</a:t>
          </a:r>
        </a:p>
      </cdr:txBody>
    </cdr:sp>
  </cdr:relSizeAnchor>
  <cdr:relSizeAnchor xmlns:cdr="http://schemas.openxmlformats.org/drawingml/2006/chartDrawing">
    <cdr:from>
      <cdr:x>0.52379</cdr:x>
      <cdr:y>0.00019</cdr:y>
    </cdr:from>
    <cdr:to>
      <cdr:x>0.526</cdr:x>
      <cdr:y>0.80952</cdr:y>
    </cdr:to>
    <cdr:cxnSp macro="">
      <cdr:nvCxnSpPr>
        <cdr:cNvPr id="8" name="Straight Connector 7">
          <a:extLst xmlns:a="http://schemas.openxmlformats.org/drawingml/2006/main">
            <a:ext uri="{FF2B5EF4-FFF2-40B4-BE49-F238E27FC236}">
              <a16:creationId xmlns:a16="http://schemas.microsoft.com/office/drawing/2014/main" id="{B3B7A3FC-0D33-4707-9F01-41D6621D9513}"/>
            </a:ext>
          </a:extLst>
        </cdr:cNvPr>
        <cdr:cNvCxnSpPr/>
      </cdr:nvCxnSpPr>
      <cdr:spPr>
        <a:xfrm xmlns:a="http://schemas.openxmlformats.org/drawingml/2006/main" flipV="1">
          <a:off x="2563738" y="589"/>
          <a:ext cx="10817" cy="2450795"/>
        </a:xfrm>
        <a:prstGeom xmlns:a="http://schemas.openxmlformats.org/drawingml/2006/main" prst="line">
          <a:avLst/>
        </a:prstGeom>
        <a:ln xmlns:a="http://schemas.openxmlformats.org/drawingml/2006/main">
          <a:solidFill>
            <a:schemeClr val="tx1"/>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0.58688</cdr:x>
      <cdr:y>0.05357</cdr:y>
    </cdr:from>
    <cdr:to>
      <cdr:x>0.80356</cdr:x>
      <cdr:y>0.11206</cdr:y>
    </cdr:to>
    <cdr:sp macro="" textlink="">
      <cdr:nvSpPr>
        <cdr:cNvPr id="5" name="TextBox 3"/>
        <cdr:cNvSpPr txBox="1"/>
      </cdr:nvSpPr>
      <cdr:spPr>
        <a:xfrm xmlns:a="http://schemas.openxmlformats.org/drawingml/2006/main">
          <a:off x="2872531" y="162217"/>
          <a:ext cx="1060559" cy="177118"/>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1100">
              <a:latin typeface="+mn-lt"/>
            </a:rPr>
            <a:t>Non steady state</a:t>
          </a:r>
        </a:p>
      </cdr:txBody>
    </cdr:sp>
  </cdr:relSizeAnchor>
</c:userShapes>
</file>

<file path=xl/drawings/drawing11.xml><?xml version="1.0" encoding="utf-8"?>
<xdr:wsDr xmlns:xdr="http://schemas.openxmlformats.org/drawingml/2006/spreadsheetDrawing" xmlns:a="http://schemas.openxmlformats.org/drawingml/2006/main">
  <xdr:twoCellAnchor>
    <xdr:from>
      <xdr:col>7</xdr:col>
      <xdr:colOff>354853</xdr:colOff>
      <xdr:row>4</xdr:row>
      <xdr:rowOff>145862</xdr:rowOff>
    </xdr:from>
    <xdr:to>
      <xdr:col>16</xdr:col>
      <xdr:colOff>315632</xdr:colOff>
      <xdr:row>20</xdr:row>
      <xdr:rowOff>18676</xdr:rowOff>
    </xdr:to>
    <xdr:graphicFrame macro="">
      <xdr:nvGraphicFramePr>
        <xdr:cNvPr id="10" name="Chart 9">
          <a:extLst>
            <a:ext uri="{FF2B5EF4-FFF2-40B4-BE49-F238E27FC236}">
              <a16:creationId xmlns:a16="http://schemas.microsoft.com/office/drawing/2014/main" id="{CC09AE2E-90C8-0B03-F2FB-E5217C1263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15240</xdr:colOff>
      <xdr:row>1</xdr:row>
      <xdr:rowOff>60958</xdr:rowOff>
    </xdr:from>
    <xdr:to>
      <xdr:col>13</xdr:col>
      <xdr:colOff>8283</xdr:colOff>
      <xdr:row>1</xdr:row>
      <xdr:rowOff>3120958</xdr:rowOff>
    </xdr:to>
    <xdr:graphicFrame macro="">
      <xdr:nvGraphicFramePr>
        <xdr:cNvPr id="4" name="Chart 3">
          <a:extLst>
            <a:ext uri="{FF2B5EF4-FFF2-40B4-BE49-F238E27FC236}">
              <a16:creationId xmlns:a16="http://schemas.microsoft.com/office/drawing/2014/main" id="{69A7C07D-521C-4936-A04E-15662910BB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c:userShapes xmlns:c="http://schemas.openxmlformats.org/drawingml/2006/chart">
  <cdr:relSizeAnchor xmlns:cdr="http://schemas.openxmlformats.org/drawingml/2006/chartDrawing">
    <cdr:from>
      <cdr:x>0.50595</cdr:x>
      <cdr:y>0</cdr:y>
    </cdr:from>
    <cdr:to>
      <cdr:x>0.50893</cdr:x>
      <cdr:y>0.77647</cdr:y>
    </cdr:to>
    <cdr:cxnSp macro="">
      <cdr:nvCxnSpPr>
        <cdr:cNvPr id="2" name="Straight Connector 1">
          <a:extLst xmlns:a="http://schemas.openxmlformats.org/drawingml/2006/main">
            <a:ext uri="{FF2B5EF4-FFF2-40B4-BE49-F238E27FC236}">
              <a16:creationId xmlns:a16="http://schemas.microsoft.com/office/drawing/2014/main" id="{35CD6043-BD85-4D35-8AB5-FF0F337AFBCE}"/>
            </a:ext>
          </a:extLst>
        </cdr:cNvPr>
        <cdr:cNvCxnSpPr/>
      </cdr:nvCxnSpPr>
      <cdr:spPr>
        <a:xfrm xmlns:a="http://schemas.openxmlformats.org/drawingml/2006/main" flipV="1">
          <a:off x="2536825" y="0"/>
          <a:ext cx="14905" cy="2376000"/>
        </a:xfrm>
        <a:prstGeom xmlns:a="http://schemas.openxmlformats.org/drawingml/2006/main" prst="line">
          <a:avLst/>
        </a:prstGeom>
        <a:ln xmlns:a="http://schemas.openxmlformats.org/drawingml/2006/main">
          <a:solidFill>
            <a:schemeClr val="tx1"/>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0.1887</cdr:x>
      <cdr:y>0</cdr:y>
    </cdr:from>
    <cdr:to>
      <cdr:x>0.4688</cdr:x>
      <cdr:y>0.07983</cdr:y>
    </cdr:to>
    <cdr:sp macro="" textlink="">
      <cdr:nvSpPr>
        <cdr:cNvPr id="3" name="TextBox 3"/>
        <cdr:cNvSpPr txBox="1"/>
      </cdr:nvSpPr>
      <cdr:spPr>
        <a:xfrm xmlns:a="http://schemas.openxmlformats.org/drawingml/2006/main">
          <a:off x="946150" y="0"/>
          <a:ext cx="1404386" cy="244267"/>
        </a:xfrm>
        <a:prstGeom xmlns:a="http://schemas.openxmlformats.org/drawingml/2006/main" prst="rect">
          <a:avLst/>
        </a:prstGeom>
        <a:noFill xmlns:a="http://schemas.openxmlformats.org/drawingml/2006/main"/>
      </cdr:spPr>
      <cdr:txBody>
        <a:bodyPr xmlns:a="http://schemas.openxmlformats.org/drawingml/2006/main" wrap="none" lIns="0"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1100">
              <a:latin typeface="+mn-lt"/>
            </a:rPr>
            <a:t>Steady state</a:t>
          </a:r>
        </a:p>
      </cdr:txBody>
    </cdr:sp>
  </cdr:relSizeAnchor>
  <cdr:relSizeAnchor xmlns:cdr="http://schemas.openxmlformats.org/drawingml/2006/chartDrawing">
    <cdr:from>
      <cdr:x>0.58384</cdr:x>
      <cdr:y>0</cdr:y>
    </cdr:from>
    <cdr:to>
      <cdr:x>0.86394</cdr:x>
      <cdr:y>0.07983</cdr:y>
    </cdr:to>
    <cdr:sp macro="" textlink="">
      <cdr:nvSpPr>
        <cdr:cNvPr id="4" name="TextBox 3"/>
        <cdr:cNvSpPr txBox="1"/>
      </cdr:nvSpPr>
      <cdr:spPr>
        <a:xfrm xmlns:a="http://schemas.openxmlformats.org/drawingml/2006/main">
          <a:off x="2927350" y="0"/>
          <a:ext cx="1404386" cy="244267"/>
        </a:xfrm>
        <a:prstGeom xmlns:a="http://schemas.openxmlformats.org/drawingml/2006/main" prst="rect">
          <a:avLst/>
        </a:prstGeom>
        <a:noFill xmlns:a="http://schemas.openxmlformats.org/drawingml/2006/main"/>
      </cdr:spPr>
      <cdr:txBody>
        <a:bodyPr xmlns:a="http://schemas.openxmlformats.org/drawingml/2006/main" wrap="none" lIns="0"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1100">
              <a:latin typeface="+mn-lt"/>
            </a:rPr>
            <a:t>Non steady state</a:t>
          </a: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soi450\Documents\Courses\A-BI4016%20-%20Honours%20Projects\2021\A-Petar%20Georgiov%20-%20Livestock\ORATOR%20V1.0.35%20-%20cutdow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amp; Questions"/>
      <sheetName val="Inputs1- Farm location"/>
      <sheetName val="Inputs2- Weather"/>
      <sheetName val="Inputs3- Soils &amp; Crops"/>
      <sheetName val="Inputs3b- Soils &amp; Rotations"/>
      <sheetName val="Inputs3c- Changes in management"/>
      <sheetName val="Inputs3d- Changes in rotations"/>
      <sheetName val="A1. SOM change"/>
      <sheetName val="A1a. Soils and land use data"/>
      <sheetName val="A1b. Weather inputs"/>
      <sheetName val="A1c. Parameters for SOM calcs"/>
      <sheetName val="A2. Mineral N"/>
      <sheetName val="A2a. Soil N supply"/>
      <sheetName val="A2b. Crop N uptake"/>
      <sheetName val="A2c - Leached N loss"/>
      <sheetName val="A2d - Denitrified N loss"/>
      <sheetName val="A2e - Volatilised N loss"/>
      <sheetName val="A2f - Nitrification"/>
      <sheetName val="A3 - Soil water"/>
      <sheetName val="B1. Change in crop production"/>
      <sheetName val="B1a. Change from temp &amp; rain"/>
      <sheetName val="B1b. NPP - ddays &amp; water stress"/>
      <sheetName val="B1c. Nitrogen limitation"/>
      <sheetName val="Model structure"/>
      <sheetName val="Assumptions &amp; boundaries "/>
      <sheetName val="Limitations"/>
      <sheetName val="References"/>
      <sheetName val="R1. Impact organic waste (%)"/>
      <sheetName val="R2. Impact extra organic waste"/>
    </sheetNames>
    <sheetDataSet>
      <sheetData sheetId="0"/>
      <sheetData sheetId="1"/>
      <sheetData sheetId="2">
        <row r="30">
          <cell r="K30">
            <v>2.85</v>
          </cell>
        </row>
        <row r="31">
          <cell r="K31">
            <v>2.85</v>
          </cell>
        </row>
        <row r="32">
          <cell r="K32">
            <v>4.4000000000000004</v>
          </cell>
        </row>
        <row r="33">
          <cell r="K33">
            <v>6.55</v>
          </cell>
        </row>
        <row r="34">
          <cell r="K34">
            <v>9.35</v>
          </cell>
        </row>
        <row r="35">
          <cell r="K35">
            <v>11.8</v>
          </cell>
        </row>
        <row r="36">
          <cell r="K36">
            <v>13.8</v>
          </cell>
        </row>
        <row r="37">
          <cell r="K37">
            <v>13.35</v>
          </cell>
        </row>
        <row r="38">
          <cell r="K38">
            <v>11.100000000000001</v>
          </cell>
        </row>
        <row r="39">
          <cell r="K39">
            <v>8.15</v>
          </cell>
        </row>
        <row r="40">
          <cell r="K40">
            <v>5.1999999999999993</v>
          </cell>
        </row>
        <row r="41">
          <cell r="K41">
            <v>2.7</v>
          </cell>
        </row>
      </sheetData>
      <sheetData sheetId="3"/>
      <sheetData sheetId="4"/>
      <sheetData sheetId="5"/>
      <sheetData sheetId="6"/>
      <sheetData sheetId="7"/>
      <sheetData sheetId="8"/>
      <sheetData sheetId="9">
        <row r="11">
          <cell r="B11">
            <v>-10</v>
          </cell>
        </row>
        <row r="12">
          <cell r="B12">
            <v>-10</v>
          </cell>
        </row>
        <row r="13">
          <cell r="B13">
            <v>-10</v>
          </cell>
        </row>
        <row r="14">
          <cell r="B14">
            <v>-10</v>
          </cell>
        </row>
        <row r="15">
          <cell r="B15">
            <v>-10</v>
          </cell>
        </row>
        <row r="16">
          <cell r="B16">
            <v>-10</v>
          </cell>
        </row>
        <row r="17">
          <cell r="B17">
            <v>-10</v>
          </cell>
        </row>
        <row r="18">
          <cell r="B18">
            <v>-10</v>
          </cell>
        </row>
        <row r="19">
          <cell r="B19">
            <v>-10</v>
          </cell>
        </row>
        <row r="20">
          <cell r="B20">
            <v>-10</v>
          </cell>
        </row>
        <row r="21">
          <cell r="B21">
            <v>-10</v>
          </cell>
        </row>
        <row r="22">
          <cell r="B22">
            <v>-10</v>
          </cell>
        </row>
        <row r="23">
          <cell r="B23">
            <v>-9</v>
          </cell>
        </row>
        <row r="24">
          <cell r="B24">
            <v>-9</v>
          </cell>
        </row>
        <row r="25">
          <cell r="B25">
            <v>-9</v>
          </cell>
        </row>
        <row r="26">
          <cell r="B26">
            <v>-9</v>
          </cell>
        </row>
        <row r="27">
          <cell r="B27">
            <v>-9</v>
          </cell>
        </row>
        <row r="28">
          <cell r="B28">
            <v>-9</v>
          </cell>
        </row>
        <row r="29">
          <cell r="B29">
            <v>-9</v>
          </cell>
        </row>
        <row r="30">
          <cell r="B30">
            <v>-9</v>
          </cell>
        </row>
        <row r="31">
          <cell r="B31">
            <v>-9</v>
          </cell>
        </row>
        <row r="32">
          <cell r="B32">
            <v>-9</v>
          </cell>
        </row>
        <row r="33">
          <cell r="B33">
            <v>-9</v>
          </cell>
        </row>
        <row r="34">
          <cell r="B34">
            <v>-9</v>
          </cell>
        </row>
        <row r="35">
          <cell r="B35">
            <v>-8</v>
          </cell>
        </row>
        <row r="36">
          <cell r="B36">
            <v>-8</v>
          </cell>
        </row>
        <row r="37">
          <cell r="B37">
            <v>-8</v>
          </cell>
        </row>
        <row r="38">
          <cell r="B38">
            <v>-8</v>
          </cell>
        </row>
        <row r="39">
          <cell r="B39">
            <v>-8</v>
          </cell>
        </row>
        <row r="40">
          <cell r="B40">
            <v>-8</v>
          </cell>
        </row>
        <row r="41">
          <cell r="B41">
            <v>-8</v>
          </cell>
        </row>
        <row r="42">
          <cell r="B42">
            <v>-8</v>
          </cell>
        </row>
        <row r="43">
          <cell r="B43">
            <v>-8</v>
          </cell>
        </row>
        <row r="44">
          <cell r="B44">
            <v>-8</v>
          </cell>
        </row>
        <row r="45">
          <cell r="B45">
            <v>-8</v>
          </cell>
        </row>
        <row r="46">
          <cell r="B46">
            <v>-8</v>
          </cell>
        </row>
        <row r="47">
          <cell r="B47">
            <v>-7</v>
          </cell>
        </row>
        <row r="48">
          <cell r="B48">
            <v>-7</v>
          </cell>
        </row>
        <row r="49">
          <cell r="B49">
            <v>-7</v>
          </cell>
        </row>
        <row r="50">
          <cell r="B50">
            <v>-7</v>
          </cell>
        </row>
        <row r="51">
          <cell r="B51">
            <v>-7</v>
          </cell>
        </row>
        <row r="52">
          <cell r="B52">
            <v>-7</v>
          </cell>
        </row>
        <row r="53">
          <cell r="B53">
            <v>-7</v>
          </cell>
        </row>
        <row r="54">
          <cell r="B54">
            <v>-7</v>
          </cell>
        </row>
        <row r="55">
          <cell r="B55">
            <v>-7</v>
          </cell>
        </row>
        <row r="56">
          <cell r="B56">
            <v>-7</v>
          </cell>
        </row>
        <row r="57">
          <cell r="B57">
            <v>-7</v>
          </cell>
        </row>
        <row r="58">
          <cell r="B58">
            <v>-7</v>
          </cell>
        </row>
        <row r="59">
          <cell r="B59">
            <v>-6</v>
          </cell>
        </row>
        <row r="60">
          <cell r="B60">
            <v>-6</v>
          </cell>
        </row>
        <row r="61">
          <cell r="B61">
            <v>-6</v>
          </cell>
        </row>
        <row r="62">
          <cell r="B62">
            <v>-6</v>
          </cell>
        </row>
        <row r="63">
          <cell r="B63">
            <v>-6</v>
          </cell>
        </row>
        <row r="64">
          <cell r="B64">
            <v>-6</v>
          </cell>
        </row>
        <row r="65">
          <cell r="B65">
            <v>-6</v>
          </cell>
        </row>
        <row r="66">
          <cell r="B66">
            <v>-6</v>
          </cell>
        </row>
        <row r="67">
          <cell r="B67">
            <v>-6</v>
          </cell>
        </row>
        <row r="68">
          <cell r="B68">
            <v>-6</v>
          </cell>
        </row>
        <row r="69">
          <cell r="B69">
            <v>-6</v>
          </cell>
        </row>
        <row r="70">
          <cell r="B70">
            <v>-6</v>
          </cell>
        </row>
        <row r="71">
          <cell r="B71">
            <v>-5</v>
          </cell>
        </row>
        <row r="72">
          <cell r="B72">
            <v>-5</v>
          </cell>
        </row>
        <row r="73">
          <cell r="B73">
            <v>-5</v>
          </cell>
        </row>
        <row r="74">
          <cell r="B74">
            <v>-5</v>
          </cell>
        </row>
        <row r="75">
          <cell r="B75">
            <v>-5</v>
          </cell>
        </row>
        <row r="76">
          <cell r="B76">
            <v>-5</v>
          </cell>
        </row>
        <row r="77">
          <cell r="B77">
            <v>-5</v>
          </cell>
        </row>
        <row r="78">
          <cell r="B78">
            <v>-5</v>
          </cell>
        </row>
        <row r="79">
          <cell r="B79">
            <v>-5</v>
          </cell>
        </row>
        <row r="80">
          <cell r="B80">
            <v>-5</v>
          </cell>
        </row>
        <row r="81">
          <cell r="B81">
            <v>-5</v>
          </cell>
        </row>
        <row r="82">
          <cell r="B82">
            <v>-5</v>
          </cell>
        </row>
        <row r="83">
          <cell r="B83">
            <v>-4</v>
          </cell>
        </row>
        <row r="84">
          <cell r="B84">
            <v>-4</v>
          </cell>
        </row>
        <row r="85">
          <cell r="B85">
            <v>-4</v>
          </cell>
        </row>
        <row r="86">
          <cell r="B86">
            <v>-4</v>
          </cell>
        </row>
        <row r="87">
          <cell r="B87">
            <v>-4</v>
          </cell>
        </row>
        <row r="88">
          <cell r="B88">
            <v>-4</v>
          </cell>
        </row>
        <row r="89">
          <cell r="B89">
            <v>-4</v>
          </cell>
        </row>
        <row r="90">
          <cell r="B90">
            <v>-4</v>
          </cell>
        </row>
        <row r="91">
          <cell r="B91">
            <v>-4</v>
          </cell>
        </row>
        <row r="92">
          <cell r="B92">
            <v>-4</v>
          </cell>
        </row>
        <row r="93">
          <cell r="B93">
            <v>-4</v>
          </cell>
        </row>
        <row r="94">
          <cell r="B94">
            <v>-4</v>
          </cell>
        </row>
        <row r="95">
          <cell r="B95">
            <v>-3</v>
          </cell>
        </row>
        <row r="96">
          <cell r="B96">
            <v>-3</v>
          </cell>
        </row>
        <row r="97">
          <cell r="B97">
            <v>-3</v>
          </cell>
        </row>
        <row r="98">
          <cell r="B98">
            <v>-3</v>
          </cell>
        </row>
        <row r="99">
          <cell r="B99">
            <v>-3</v>
          </cell>
        </row>
        <row r="100">
          <cell r="B100">
            <v>-3</v>
          </cell>
        </row>
        <row r="101">
          <cell r="B101">
            <v>-3</v>
          </cell>
        </row>
        <row r="102">
          <cell r="B102">
            <v>-3</v>
          </cell>
        </row>
        <row r="103">
          <cell r="B103">
            <v>-3</v>
          </cell>
        </row>
        <row r="104">
          <cell r="B104">
            <v>-3</v>
          </cell>
        </row>
        <row r="105">
          <cell r="B105">
            <v>-3</v>
          </cell>
        </row>
        <row r="106">
          <cell r="B106">
            <v>-3</v>
          </cell>
        </row>
        <row r="107">
          <cell r="B107">
            <v>-2</v>
          </cell>
        </row>
        <row r="108">
          <cell r="B108">
            <v>-2</v>
          </cell>
        </row>
        <row r="109">
          <cell r="B109">
            <v>-2</v>
          </cell>
        </row>
        <row r="110">
          <cell r="B110">
            <v>-2</v>
          </cell>
        </row>
        <row r="111">
          <cell r="B111">
            <v>-2</v>
          </cell>
        </row>
        <row r="112">
          <cell r="B112">
            <v>-2</v>
          </cell>
        </row>
        <row r="113">
          <cell r="B113">
            <v>-2</v>
          </cell>
        </row>
        <row r="114">
          <cell r="B114">
            <v>-2</v>
          </cell>
        </row>
        <row r="115">
          <cell r="B115">
            <v>-2</v>
          </cell>
        </row>
        <row r="116">
          <cell r="B116">
            <v>-2</v>
          </cell>
        </row>
        <row r="117">
          <cell r="B117">
            <v>-2</v>
          </cell>
        </row>
        <row r="118">
          <cell r="B118">
            <v>-2</v>
          </cell>
        </row>
        <row r="119">
          <cell r="B119">
            <v>-1</v>
          </cell>
        </row>
        <row r="120">
          <cell r="B120">
            <v>-1</v>
          </cell>
        </row>
        <row r="121">
          <cell r="B121">
            <v>-1</v>
          </cell>
        </row>
        <row r="122">
          <cell r="B122">
            <v>-1</v>
          </cell>
        </row>
        <row r="123">
          <cell r="B123">
            <v>-1</v>
          </cell>
        </row>
        <row r="124">
          <cell r="B124">
            <v>-1</v>
          </cell>
        </row>
        <row r="125">
          <cell r="B125">
            <v>-1</v>
          </cell>
        </row>
        <row r="126">
          <cell r="B126">
            <v>-1</v>
          </cell>
        </row>
        <row r="127">
          <cell r="B127">
            <v>-1</v>
          </cell>
        </row>
        <row r="128">
          <cell r="B128">
            <v>-1</v>
          </cell>
        </row>
        <row r="129">
          <cell r="B129">
            <v>-1</v>
          </cell>
        </row>
        <row r="130">
          <cell r="B130">
            <v>-1</v>
          </cell>
        </row>
        <row r="131">
          <cell r="B131">
            <v>0</v>
          </cell>
        </row>
        <row r="132">
          <cell r="B132">
            <v>0</v>
          </cell>
        </row>
        <row r="133">
          <cell r="B133">
            <v>0</v>
          </cell>
        </row>
        <row r="134">
          <cell r="B134">
            <v>0</v>
          </cell>
        </row>
        <row r="135">
          <cell r="B135">
            <v>0</v>
          </cell>
        </row>
        <row r="136">
          <cell r="B136">
            <v>0</v>
          </cell>
        </row>
        <row r="137">
          <cell r="B137">
            <v>0</v>
          </cell>
        </row>
        <row r="138">
          <cell r="B138">
            <v>0</v>
          </cell>
        </row>
        <row r="139">
          <cell r="B139">
            <v>0</v>
          </cell>
        </row>
        <row r="140">
          <cell r="B140">
            <v>0</v>
          </cell>
        </row>
        <row r="141">
          <cell r="B141">
            <v>0</v>
          </cell>
        </row>
        <row r="142">
          <cell r="B142">
            <v>0</v>
          </cell>
        </row>
        <row r="143">
          <cell r="B143">
            <v>1</v>
          </cell>
        </row>
        <row r="144">
          <cell r="B144">
            <v>1</v>
          </cell>
        </row>
        <row r="145">
          <cell r="B145">
            <v>1</v>
          </cell>
        </row>
        <row r="146">
          <cell r="B146">
            <v>1</v>
          </cell>
        </row>
        <row r="147">
          <cell r="B147">
            <v>1</v>
          </cell>
        </row>
        <row r="148">
          <cell r="B148">
            <v>1</v>
          </cell>
        </row>
        <row r="149">
          <cell r="B149">
            <v>1</v>
          </cell>
        </row>
        <row r="150">
          <cell r="B150">
            <v>1</v>
          </cell>
        </row>
        <row r="151">
          <cell r="B151">
            <v>1</v>
          </cell>
        </row>
        <row r="152">
          <cell r="B152">
            <v>1</v>
          </cell>
        </row>
        <row r="153">
          <cell r="B153">
            <v>1</v>
          </cell>
        </row>
        <row r="154">
          <cell r="B154">
            <v>1</v>
          </cell>
        </row>
        <row r="155">
          <cell r="B155">
            <v>2</v>
          </cell>
        </row>
        <row r="156">
          <cell r="B156">
            <v>2</v>
          </cell>
        </row>
        <row r="157">
          <cell r="B157">
            <v>2</v>
          </cell>
        </row>
        <row r="158">
          <cell r="B158">
            <v>2</v>
          </cell>
        </row>
        <row r="159">
          <cell r="B159">
            <v>2</v>
          </cell>
        </row>
        <row r="160">
          <cell r="B160">
            <v>2</v>
          </cell>
        </row>
        <row r="161">
          <cell r="B161">
            <v>2</v>
          </cell>
        </row>
        <row r="162">
          <cell r="B162">
            <v>2</v>
          </cell>
        </row>
        <row r="163">
          <cell r="B163">
            <v>2</v>
          </cell>
        </row>
        <row r="164">
          <cell r="B164">
            <v>2</v>
          </cell>
        </row>
        <row r="165">
          <cell r="B165">
            <v>2</v>
          </cell>
        </row>
        <row r="166">
          <cell r="B166">
            <v>2</v>
          </cell>
        </row>
        <row r="167">
          <cell r="B167">
            <v>3</v>
          </cell>
        </row>
        <row r="168">
          <cell r="B168">
            <v>3</v>
          </cell>
        </row>
        <row r="169">
          <cell r="B169">
            <v>3</v>
          </cell>
        </row>
        <row r="170">
          <cell r="B170">
            <v>3</v>
          </cell>
        </row>
        <row r="171">
          <cell r="B171">
            <v>3</v>
          </cell>
        </row>
        <row r="172">
          <cell r="B172">
            <v>3</v>
          </cell>
        </row>
        <row r="173">
          <cell r="B173">
            <v>3</v>
          </cell>
        </row>
        <row r="174">
          <cell r="B174">
            <v>3</v>
          </cell>
        </row>
        <row r="175">
          <cell r="B175">
            <v>3</v>
          </cell>
        </row>
        <row r="176">
          <cell r="B176">
            <v>3</v>
          </cell>
        </row>
        <row r="177">
          <cell r="B177">
            <v>3</v>
          </cell>
        </row>
        <row r="178">
          <cell r="B178">
            <v>3</v>
          </cell>
        </row>
        <row r="179">
          <cell r="B179">
            <v>4</v>
          </cell>
        </row>
        <row r="180">
          <cell r="B180">
            <v>4</v>
          </cell>
        </row>
        <row r="181">
          <cell r="B181">
            <v>4</v>
          </cell>
        </row>
        <row r="182">
          <cell r="B182">
            <v>4</v>
          </cell>
        </row>
        <row r="183">
          <cell r="B183">
            <v>4</v>
          </cell>
        </row>
        <row r="184">
          <cell r="B184">
            <v>4</v>
          </cell>
        </row>
        <row r="185">
          <cell r="B185">
            <v>4</v>
          </cell>
        </row>
        <row r="186">
          <cell r="B186">
            <v>4</v>
          </cell>
        </row>
        <row r="187">
          <cell r="B187">
            <v>4</v>
          </cell>
        </row>
        <row r="188">
          <cell r="B188">
            <v>4</v>
          </cell>
        </row>
        <row r="189">
          <cell r="B189">
            <v>4</v>
          </cell>
        </row>
        <row r="190">
          <cell r="B190">
            <v>4</v>
          </cell>
        </row>
        <row r="191">
          <cell r="B191">
            <v>5</v>
          </cell>
        </row>
        <row r="192">
          <cell r="B192">
            <v>5</v>
          </cell>
        </row>
        <row r="193">
          <cell r="B193">
            <v>5</v>
          </cell>
        </row>
        <row r="194">
          <cell r="B194">
            <v>5</v>
          </cell>
        </row>
        <row r="195">
          <cell r="B195">
            <v>5</v>
          </cell>
        </row>
        <row r="196">
          <cell r="B196">
            <v>5</v>
          </cell>
        </row>
        <row r="197">
          <cell r="B197">
            <v>5</v>
          </cell>
        </row>
        <row r="198">
          <cell r="B198">
            <v>5</v>
          </cell>
        </row>
        <row r="199">
          <cell r="B199">
            <v>5</v>
          </cell>
        </row>
        <row r="200">
          <cell r="B200">
            <v>5</v>
          </cell>
        </row>
        <row r="201">
          <cell r="B201">
            <v>5</v>
          </cell>
        </row>
        <row r="202">
          <cell r="B202">
            <v>5</v>
          </cell>
        </row>
        <row r="203">
          <cell r="B203">
            <v>6</v>
          </cell>
        </row>
        <row r="204">
          <cell r="B204">
            <v>6</v>
          </cell>
        </row>
        <row r="205">
          <cell r="B205">
            <v>6</v>
          </cell>
        </row>
        <row r="206">
          <cell r="B206">
            <v>6</v>
          </cell>
        </row>
        <row r="207">
          <cell r="B207">
            <v>6</v>
          </cell>
        </row>
        <row r="208">
          <cell r="B208">
            <v>6</v>
          </cell>
        </row>
        <row r="209">
          <cell r="B209">
            <v>6</v>
          </cell>
        </row>
        <row r="210">
          <cell r="B210">
            <v>6</v>
          </cell>
        </row>
        <row r="211">
          <cell r="B211">
            <v>6</v>
          </cell>
        </row>
        <row r="212">
          <cell r="B212">
            <v>6</v>
          </cell>
        </row>
        <row r="213">
          <cell r="B213">
            <v>6</v>
          </cell>
        </row>
        <row r="214">
          <cell r="B214">
            <v>6</v>
          </cell>
        </row>
        <row r="215">
          <cell r="B215">
            <v>7</v>
          </cell>
        </row>
        <row r="216">
          <cell r="B216">
            <v>7</v>
          </cell>
        </row>
        <row r="217">
          <cell r="B217">
            <v>7</v>
          </cell>
        </row>
        <row r="218">
          <cell r="B218">
            <v>7</v>
          </cell>
        </row>
        <row r="219">
          <cell r="B219">
            <v>7</v>
          </cell>
        </row>
        <row r="220">
          <cell r="B220">
            <v>7</v>
          </cell>
        </row>
        <row r="221">
          <cell r="B221">
            <v>7</v>
          </cell>
        </row>
        <row r="222">
          <cell r="B222">
            <v>7</v>
          </cell>
        </row>
        <row r="223">
          <cell r="B223">
            <v>7</v>
          </cell>
        </row>
        <row r="224">
          <cell r="B224">
            <v>7</v>
          </cell>
        </row>
        <row r="225">
          <cell r="B225">
            <v>7</v>
          </cell>
        </row>
        <row r="226">
          <cell r="B226">
            <v>7</v>
          </cell>
        </row>
        <row r="227">
          <cell r="B227">
            <v>8</v>
          </cell>
        </row>
        <row r="228">
          <cell r="B228">
            <v>8</v>
          </cell>
        </row>
        <row r="229">
          <cell r="B229">
            <v>8</v>
          </cell>
        </row>
        <row r="230">
          <cell r="B230">
            <v>8</v>
          </cell>
        </row>
        <row r="231">
          <cell r="B231">
            <v>8</v>
          </cell>
        </row>
        <row r="232">
          <cell r="B232">
            <v>8</v>
          </cell>
        </row>
        <row r="233">
          <cell r="B233">
            <v>8</v>
          </cell>
        </row>
        <row r="234">
          <cell r="B234">
            <v>8</v>
          </cell>
        </row>
        <row r="235">
          <cell r="B235">
            <v>8</v>
          </cell>
        </row>
        <row r="236">
          <cell r="B236">
            <v>8</v>
          </cell>
        </row>
        <row r="237">
          <cell r="B237">
            <v>8</v>
          </cell>
        </row>
        <row r="238">
          <cell r="B238">
            <v>8</v>
          </cell>
        </row>
        <row r="239">
          <cell r="B239">
            <v>9</v>
          </cell>
        </row>
        <row r="240">
          <cell r="B240">
            <v>9</v>
          </cell>
        </row>
        <row r="241">
          <cell r="B241">
            <v>9</v>
          </cell>
        </row>
        <row r="242">
          <cell r="B242">
            <v>9</v>
          </cell>
        </row>
        <row r="243">
          <cell r="B243">
            <v>9</v>
          </cell>
        </row>
        <row r="244">
          <cell r="B244">
            <v>9</v>
          </cell>
        </row>
        <row r="245">
          <cell r="B245">
            <v>9</v>
          </cell>
        </row>
        <row r="246">
          <cell r="B246">
            <v>9</v>
          </cell>
        </row>
        <row r="247">
          <cell r="B247">
            <v>9</v>
          </cell>
        </row>
        <row r="248">
          <cell r="B248">
            <v>9</v>
          </cell>
        </row>
        <row r="249">
          <cell r="B249">
            <v>9</v>
          </cell>
        </row>
        <row r="250">
          <cell r="B250">
            <v>9</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persons/person.xml><?xml version="1.0" encoding="utf-8"?>
<personList xmlns="http://schemas.microsoft.com/office/spreadsheetml/2018/threadedcomments" xmlns:x="http://schemas.openxmlformats.org/spreadsheetml/2006/main">
  <person displayName="Karbin, Saeed" id="{DAEB4EFB-4380-4DA1-ABCD-C317BB38A7C2}" userId="S::s03sk3@abdn.ac.uk::5d8f5389-1d76-4ca2-9a71-3d96bb856338"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L7" dT="2024-07-03T07:55:49.98" personId="{DAEB4EFB-4380-4DA1-ABCD-C317BB38A7C2}" id="{B25336A7-AE56-464D-B82B-89882963AE59}">
    <text>Upper soil moisture thresholds for microbial activity.</text>
  </threadedComment>
  <threadedComment ref="M7" dT="2024-07-02T12:50:05.43" personId="{DAEB4EFB-4380-4DA1-ABCD-C317BB38A7C2}" id="{DCAB6CF2-306E-4C22-B9B3-87BBD8339274}">
    <text xml:space="preserve">It is calculated as Bertagni et al (2021).    Bertagni, M.B., Paulot, F., Porporato, A., 2021. Moisture Fluctuations Modulate Abiotic and Biotic Limitations of H2 Soil Uptake. Glob. Biogeochem. Cycles 35. https://doi.org/10.1029/2021GB006987
</text>
  </threadedComment>
  <threadedComment ref="N7" dT="2024-07-02T12:50:05.43" personId="{DAEB4EFB-4380-4DA1-ABCD-C317BB38A7C2}" id="{18BB13F5-DAD4-4614-A47F-31078587B04C}">
    <text xml:space="preserve">It is calculated as Bertagni et al (2021).    Bertagni, M.B., Paulot, F., Porporato, A., 2021. Moisture Fluctuations Modulate Abiotic and Biotic Limitations of H2 Soil Uptake. Glob. Biogeochem. Cycles 35. https://doi.org/10.1029/2021GB006987
</text>
  </threadedComment>
  <threadedComment ref="J8" dT="2024-07-03T12:31:35.10" personId="{DAEB4EFB-4380-4DA1-ABCD-C317BB38A7C2}" id="{CFA81FAA-677C-49E9-AD88-F56FC650A7A8}">
    <text xml:space="preserve">Lower soil moisture thresholds for microbial activity in peat soils calculated by pedotransfer function presented by Hollis et al. (2008).
Hollis, J.M. 2008. Unpublished internal report prepared by Cranfield University for the Defra PS2225 project.
</text>
  </threadedComment>
  <threadedComment ref="K8" dT="2024-07-03T12:31:51.28" personId="{DAEB4EFB-4380-4DA1-ABCD-C317BB38A7C2}" id="{01C66C58-7A1B-4C98-BC3A-53805ADF3247}">
    <text xml:space="preserve">Optimum soil moisture thresholds for microbial activity calculated by pedotransfer function presented by Hollis et al. (2008).
Hollis, J.M. 2008. Unpublished internal report prepared by Cranfield University for the Defra PS2225 project.
</text>
  </threadedComment>
  <threadedComment ref="J9" dT="2024-07-03T12:22:01.59" personId="{DAEB4EFB-4380-4DA1-ABCD-C317BB38A7C2}" id="{AB3F7980-C1F8-4165-890E-F980F8253D9E}">
    <text xml:space="preserve">Lower soil moisture thresholds for microbial activity calculated by pedotransfer function presented by Brand et al. (2020).
Brand, A., Lilly, A., Smith, J., 2020. A simple approach to modelling the soil water budget in cool temperate mineral topsoils. Environmental Modelling and Software 127. https://doi.org/10.1016/j.envsoft.2020.104700
</text>
  </threadedComment>
  <threadedComment ref="K9" dT="2024-07-03T12:21:42.79" personId="{DAEB4EFB-4380-4DA1-ABCD-C317BB38A7C2}" id="{1AFF448D-A02C-4771-B5A1-37A176EEAFAA}">
    <text xml:space="preserve">Optimum soil moisture thresholds for microbial activity calculated by pedotransfer function presented by Brand et al. (2020).
Brand, A., Lilly, A., Smith, J., 2020. A simple approach to modelling the soil water budget in cool temperate mineral topsoils. Environmental Modelling and Software 127. https://doi.org/10.1016/j.envsoft.2020.104700
</text>
  </threadedComment>
  <threadedComment ref="AI9" dT="2024-07-02T13:13:38.32" personId="{DAEB4EFB-4380-4DA1-ABCD-C317BB38A7C2}" id="{D69DF955-F898-4F37-9A6E-49E28124DFE7}">
    <text xml:space="preserve">Conversion factor of the overall decomposability of SOC to soil H₂ uptake </text>
  </threadedComment>
  <threadedComment ref="K17" dT="2024-07-02T12:49:44.18" personId="{DAEB4EFB-4380-4DA1-ABCD-C317BB38A7C2}" id="{D004C031-F082-4229-8B88-0DD7AE31276A}">
    <text xml:space="preserve">It is calculated as Bertagni et al (2021).    Bertagni, M.B., Paulot, F., Porporato, A., 2021. Moisture Fluctuations Modulate Abiotic and Biotic Limitations of H2 Soil Uptake. Glob. Biogeochem. Cycles 35. https://doi.org/10.1029/2021GB006987
</text>
  </threadedComment>
  <threadedComment ref="L17" dT="2024-07-02T12:55:27.09" personId="{DAEB4EFB-4380-4DA1-ABCD-C317BB38A7C2}" id="{03A46DC9-90CC-4848-A459-7895FDECE13F}">
    <text xml:space="preserve">Temperature response function as calculated by Ehhalt, D.H., Rohrer, F., 2011. The dependence of soil H&amp;lt;sub&amp;gt;2&amp;lt;/sub&amp;gt; uptake on temperature and moisture: a reanalysis of laboratory data. Tellus B Chem. Phys. Meteorol. 63, 1040. https://doi.org/10.1111/j.1600-0889.2011.00581.x
 </text>
  </threadedComment>
  <threadedComment ref="AI17" dT="2024-07-02T13:10:17.59" personId="{DAEB4EFB-4380-4DA1-ABCD-C317BB38A7C2}" id="{DA57ECB9-3894-497B-BC5B-4C81FFCA0CF4}">
    <text xml:space="preserve">Weighted rate constant of active C pools </text>
  </threadedComment>
  <threadedComment ref="G92" dT="2024-07-03T08:09:03.76" personId="{DAEB4EFB-4380-4DA1-ABCD-C317BB38A7C2}" id="{973417D3-8A41-42DF-828F-A59B5310489D}">
    <text>Measured soil mositure</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microsoft.com/office/2017/10/relationships/threadedComment" Target="../threadedComments/threadedComment1.xml"/><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B7D26E-EA7D-47A4-B4DB-A59E885A0A55}">
  <sheetPr codeName="Sheet1">
    <tabColor theme="4"/>
  </sheetPr>
  <dimension ref="B1:E17"/>
  <sheetViews>
    <sheetView zoomScaleNormal="100" workbookViewId="0">
      <selection activeCell="E5" sqref="E5"/>
    </sheetView>
  </sheetViews>
  <sheetFormatPr defaultColWidth="9.140625" defaultRowHeight="15" x14ac:dyDescent="0.25"/>
  <cols>
    <col min="1" max="1" width="9.140625" style="47"/>
    <col min="2" max="2" width="5.28515625" style="47" customWidth="1"/>
    <col min="3" max="3" width="3.42578125" style="47" customWidth="1"/>
    <col min="4" max="4" width="20.140625" style="47" customWidth="1"/>
    <col min="5" max="5" width="11.85546875" style="47" customWidth="1"/>
    <col min="6" max="16384" width="9.140625" style="47"/>
  </cols>
  <sheetData>
    <row r="1" spans="2:5" ht="15.75" thickBot="1" x14ac:dyDescent="0.3"/>
    <row r="2" spans="2:5" ht="15.75" thickBot="1" x14ac:dyDescent="0.3">
      <c r="B2" s="48" t="s">
        <v>22</v>
      </c>
      <c r="C2" s="49"/>
      <c r="D2" s="53"/>
      <c r="E2" s="60"/>
    </row>
    <row r="3" spans="2:5" ht="15.75" thickBot="1" x14ac:dyDescent="0.3">
      <c r="B3" s="50"/>
      <c r="C3" s="59"/>
      <c r="D3" s="58" t="s">
        <v>29</v>
      </c>
      <c r="E3" s="64" t="s">
        <v>165</v>
      </c>
    </row>
    <row r="4" spans="2:5" x14ac:dyDescent="0.25">
      <c r="B4" s="411" t="s">
        <v>23</v>
      </c>
      <c r="C4" s="412"/>
      <c r="D4" s="413"/>
      <c r="E4" s="414"/>
    </row>
    <row r="5" spans="2:5" x14ac:dyDescent="0.25">
      <c r="B5" s="51"/>
      <c r="C5" s="54"/>
      <c r="D5" s="409" t="s">
        <v>134</v>
      </c>
      <c r="E5" s="370">
        <v>15</v>
      </c>
    </row>
    <row r="6" spans="2:5" x14ac:dyDescent="0.25">
      <c r="B6" s="51"/>
      <c r="C6" s="54"/>
      <c r="D6" s="409" t="s">
        <v>24</v>
      </c>
      <c r="E6" s="370">
        <v>7.5</v>
      </c>
    </row>
    <row r="7" spans="2:5" x14ac:dyDescent="0.25">
      <c r="B7" s="51"/>
      <c r="C7" s="54"/>
      <c r="D7" s="409" t="s">
        <v>25</v>
      </c>
      <c r="E7" s="370">
        <v>28.6</v>
      </c>
    </row>
    <row r="8" spans="2:5" x14ac:dyDescent="0.25">
      <c r="B8" s="51"/>
      <c r="C8" s="54"/>
      <c r="D8" s="409" t="s">
        <v>26</v>
      </c>
      <c r="E8" s="370">
        <v>63.9</v>
      </c>
    </row>
    <row r="9" spans="2:5" x14ac:dyDescent="0.25">
      <c r="B9" s="51"/>
      <c r="C9" s="54"/>
      <c r="D9" s="409" t="s">
        <v>27</v>
      </c>
      <c r="E9" s="370">
        <v>3.5</v>
      </c>
    </row>
    <row r="10" spans="2:5" x14ac:dyDescent="0.25">
      <c r="B10" s="51"/>
      <c r="C10" s="54"/>
      <c r="D10" s="409" t="s">
        <v>28</v>
      </c>
      <c r="E10" s="370">
        <v>1.19</v>
      </c>
    </row>
    <row r="11" spans="2:5" x14ac:dyDescent="0.25">
      <c r="B11" s="52"/>
      <c r="C11" s="55"/>
      <c r="D11" s="407" t="s">
        <v>11</v>
      </c>
      <c r="E11" s="370">
        <v>5.3</v>
      </c>
    </row>
    <row r="12" spans="2:5" x14ac:dyDescent="0.25">
      <c r="B12" s="52"/>
      <c r="C12" s="55"/>
      <c r="D12" s="407" t="s">
        <v>142</v>
      </c>
      <c r="E12" s="370">
        <v>48.3</v>
      </c>
    </row>
    <row r="13" spans="2:5" x14ac:dyDescent="0.25">
      <c r="B13" s="52"/>
      <c r="C13" s="55"/>
      <c r="D13" s="407" t="s">
        <v>150</v>
      </c>
      <c r="E13" s="406">
        <f>(1-(BulkDensity/2.65))*100</f>
        <v>55.094339622641506</v>
      </c>
    </row>
    <row r="14" spans="2:5" ht="17.25" x14ac:dyDescent="0.25">
      <c r="B14" s="52"/>
      <c r="C14" s="55"/>
      <c r="D14" s="407" t="s">
        <v>144</v>
      </c>
      <c r="E14" s="406">
        <f>1.449*POWER(2.71828,(-0.03*E9))</f>
        <v>1.3045703253673873</v>
      </c>
    </row>
    <row r="15" spans="2:5" x14ac:dyDescent="0.25">
      <c r="B15" s="52"/>
      <c r="C15" s="55"/>
      <c r="D15" s="407" t="s">
        <v>145</v>
      </c>
      <c r="E15" s="370">
        <v>982.7</v>
      </c>
    </row>
    <row r="16" spans="2:5" x14ac:dyDescent="0.25">
      <c r="B16" s="52"/>
      <c r="C16" s="55"/>
      <c r="D16" s="407" t="s">
        <v>155</v>
      </c>
      <c r="E16" s="370" t="s">
        <v>156</v>
      </c>
    </row>
    <row r="17" spans="2:5" ht="15.75" thickBot="1" x14ac:dyDescent="0.3">
      <c r="B17" s="56"/>
      <c r="C17" s="57"/>
      <c r="D17" s="410" t="s">
        <v>143</v>
      </c>
      <c r="E17" s="408">
        <v>0</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A5E8C-5CDC-43D0-9B73-38D2302E149A}">
  <sheetPr codeName="Sheet2"/>
  <dimension ref="B1:K60"/>
  <sheetViews>
    <sheetView topLeftCell="A4" workbookViewId="0">
      <selection activeCell="O47" sqref="O47"/>
    </sheetView>
  </sheetViews>
  <sheetFormatPr defaultColWidth="9.140625" defaultRowHeight="15" x14ac:dyDescent="0.25"/>
  <cols>
    <col min="1" max="1" width="9.140625" style="47"/>
    <col min="2" max="2" width="43.85546875" style="47" customWidth="1"/>
    <col min="3" max="4" width="9.140625" style="47"/>
    <col min="5" max="5" width="9.140625" style="304"/>
    <col min="6" max="16384" width="9.140625" style="47"/>
  </cols>
  <sheetData>
    <row r="1" spans="2:11" ht="15.75" thickBot="1" x14ac:dyDescent="0.3"/>
    <row r="2" spans="2:11" ht="15.75" thickBot="1" x14ac:dyDescent="0.3">
      <c r="B2" s="114" t="s">
        <v>68</v>
      </c>
      <c r="C2" s="170">
        <v>50.05</v>
      </c>
    </row>
    <row r="3" spans="2:11" ht="15.75" thickBot="1" x14ac:dyDescent="0.3"/>
    <row r="4" spans="2:11" ht="17.25" x14ac:dyDescent="0.25">
      <c r="B4" s="114" t="s">
        <v>63</v>
      </c>
      <c r="C4" s="115"/>
      <c r="D4" s="115"/>
      <c r="E4" s="116" t="s">
        <v>49</v>
      </c>
      <c r="F4" s="116">
        <v>2006</v>
      </c>
      <c r="G4" s="117">
        <f>F4+1</f>
        <v>2007</v>
      </c>
      <c r="H4" s="117">
        <f>G4+1</f>
        <v>2008</v>
      </c>
      <c r="I4" s="117">
        <f>H4+1</f>
        <v>2009</v>
      </c>
      <c r="J4" s="117">
        <f>I4+1</f>
        <v>2010</v>
      </c>
      <c r="K4" s="128">
        <f>J4+1</f>
        <v>2011</v>
      </c>
    </row>
    <row r="5" spans="2:11" x14ac:dyDescent="0.25">
      <c r="B5" s="118"/>
      <c r="C5" s="119"/>
      <c r="D5" s="119"/>
      <c r="E5" s="303" t="s">
        <v>41</v>
      </c>
      <c r="F5" s="232" t="s">
        <v>133</v>
      </c>
      <c r="G5" s="120"/>
      <c r="H5" s="120"/>
      <c r="I5" s="120"/>
      <c r="J5" s="120"/>
      <c r="K5" s="129"/>
    </row>
    <row r="6" spans="2:11" x14ac:dyDescent="0.25">
      <c r="B6" s="121"/>
      <c r="C6" s="61"/>
      <c r="D6" s="122"/>
      <c r="E6" s="305">
        <v>1</v>
      </c>
      <c r="F6">
        <v>126.56</v>
      </c>
      <c r="G6">
        <v>89.65</v>
      </c>
      <c r="H6">
        <v>58.01</v>
      </c>
      <c r="I6">
        <v>73.83</v>
      </c>
      <c r="J6">
        <v>63.28</v>
      </c>
      <c r="K6">
        <v>63.28</v>
      </c>
    </row>
    <row r="7" spans="2:11" x14ac:dyDescent="0.25">
      <c r="B7" s="121"/>
      <c r="C7" s="61"/>
      <c r="D7" s="122"/>
      <c r="E7" s="305">
        <f>E6+1</f>
        <v>2</v>
      </c>
      <c r="F7">
        <v>47.46</v>
      </c>
      <c r="G7">
        <v>58.01</v>
      </c>
      <c r="H7">
        <v>232.03</v>
      </c>
      <c r="I7">
        <v>36.909999999999997</v>
      </c>
      <c r="J7">
        <v>100.2</v>
      </c>
      <c r="K7">
        <v>100.2</v>
      </c>
    </row>
    <row r="8" spans="2:11" x14ac:dyDescent="0.25">
      <c r="B8" s="121"/>
      <c r="C8" s="61"/>
      <c r="D8" s="122"/>
      <c r="E8" s="305">
        <f t="shared" ref="E8:E17" si="0">E7+1</f>
        <v>3</v>
      </c>
      <c r="F8">
        <v>21.09</v>
      </c>
      <c r="G8">
        <v>105.47</v>
      </c>
      <c r="H8">
        <v>131.84</v>
      </c>
      <c r="I8">
        <v>63.28</v>
      </c>
      <c r="J8">
        <v>174.02</v>
      </c>
      <c r="K8">
        <v>116.02</v>
      </c>
    </row>
    <row r="9" spans="2:11" x14ac:dyDescent="0.25">
      <c r="B9" s="121"/>
      <c r="C9" s="61"/>
      <c r="D9" s="122"/>
      <c r="E9" s="305">
        <f t="shared" si="0"/>
        <v>4</v>
      </c>
      <c r="F9">
        <v>79.099999999999994</v>
      </c>
      <c r="G9">
        <v>179.3</v>
      </c>
      <c r="H9">
        <v>94.92</v>
      </c>
      <c r="I9">
        <v>79.099999999999994</v>
      </c>
      <c r="J9">
        <v>31.64</v>
      </c>
      <c r="K9">
        <v>126.56</v>
      </c>
    </row>
    <row r="10" spans="2:11" x14ac:dyDescent="0.25">
      <c r="B10" s="121"/>
      <c r="C10" s="61"/>
      <c r="D10" s="122"/>
      <c r="E10" s="305">
        <f t="shared" si="0"/>
        <v>5</v>
      </c>
      <c r="F10">
        <v>163.47999999999999</v>
      </c>
      <c r="G10">
        <v>84.38</v>
      </c>
      <c r="H10">
        <v>42.19</v>
      </c>
      <c r="I10">
        <v>94.92</v>
      </c>
      <c r="J10">
        <v>63.28</v>
      </c>
      <c r="K10">
        <v>84.38</v>
      </c>
    </row>
    <row r="11" spans="2:11" x14ac:dyDescent="0.25">
      <c r="B11" s="121"/>
      <c r="C11" s="61"/>
      <c r="D11" s="122"/>
      <c r="E11" s="305">
        <f t="shared" si="0"/>
        <v>6</v>
      </c>
      <c r="F11">
        <v>189.84</v>
      </c>
      <c r="G11">
        <v>79.099999999999994</v>
      </c>
      <c r="H11">
        <v>121.29</v>
      </c>
      <c r="I11">
        <v>147.66</v>
      </c>
      <c r="J11">
        <v>100.2</v>
      </c>
      <c r="K11">
        <v>168.75</v>
      </c>
    </row>
    <row r="12" spans="2:11" x14ac:dyDescent="0.25">
      <c r="B12" s="121"/>
      <c r="C12" s="61"/>
      <c r="D12" s="122"/>
      <c r="E12" s="305">
        <f t="shared" si="0"/>
        <v>7</v>
      </c>
      <c r="F12">
        <v>73.83</v>
      </c>
      <c r="G12">
        <v>116.02</v>
      </c>
      <c r="H12">
        <v>179.3</v>
      </c>
      <c r="I12">
        <v>226.76</v>
      </c>
      <c r="J12">
        <v>73.83</v>
      </c>
      <c r="K12">
        <v>52.73</v>
      </c>
    </row>
    <row r="13" spans="2:11" x14ac:dyDescent="0.25">
      <c r="B13" s="121"/>
      <c r="C13" s="61"/>
      <c r="D13" s="122"/>
      <c r="E13" s="305">
        <f t="shared" si="0"/>
        <v>8</v>
      </c>
      <c r="F13">
        <v>100.2</v>
      </c>
      <c r="G13">
        <v>47.46</v>
      </c>
      <c r="H13">
        <v>94.92</v>
      </c>
      <c r="I13">
        <v>94.92</v>
      </c>
      <c r="J13">
        <v>68.55</v>
      </c>
      <c r="K13">
        <v>258.39999999999998</v>
      </c>
    </row>
    <row r="14" spans="2:11" x14ac:dyDescent="0.25">
      <c r="B14" s="121"/>
      <c r="C14" s="61"/>
      <c r="D14" s="122"/>
      <c r="E14" s="305">
        <f t="shared" si="0"/>
        <v>9</v>
      </c>
      <c r="F14">
        <v>68.55</v>
      </c>
      <c r="G14">
        <v>68.55</v>
      </c>
      <c r="H14">
        <v>189.84</v>
      </c>
      <c r="I14">
        <v>36.909999999999997</v>
      </c>
      <c r="J14">
        <v>63.28</v>
      </c>
      <c r="K14">
        <v>210.94</v>
      </c>
    </row>
    <row r="15" spans="2:11" x14ac:dyDescent="0.25">
      <c r="B15" s="123"/>
      <c r="C15" s="61"/>
      <c r="D15" s="122"/>
      <c r="E15" s="305">
        <f t="shared" si="0"/>
        <v>10</v>
      </c>
      <c r="F15">
        <v>163.47999999999999</v>
      </c>
      <c r="G15">
        <v>110.74</v>
      </c>
      <c r="H15">
        <v>84.38</v>
      </c>
      <c r="I15">
        <v>142.38</v>
      </c>
      <c r="J15">
        <v>163.47999999999999</v>
      </c>
      <c r="K15">
        <v>142.38</v>
      </c>
    </row>
    <row r="16" spans="2:11" x14ac:dyDescent="0.25">
      <c r="B16" s="124"/>
      <c r="C16" s="62"/>
      <c r="D16" s="122"/>
      <c r="E16" s="305">
        <f t="shared" si="0"/>
        <v>11</v>
      </c>
      <c r="F16">
        <v>116.02</v>
      </c>
      <c r="G16">
        <v>89.65</v>
      </c>
      <c r="H16">
        <v>89.65</v>
      </c>
      <c r="I16">
        <v>68.55</v>
      </c>
      <c r="J16">
        <v>84.38</v>
      </c>
      <c r="K16">
        <v>73.83</v>
      </c>
    </row>
    <row r="17" spans="2:11" ht="15.75" thickBot="1" x14ac:dyDescent="0.3">
      <c r="B17" s="125"/>
      <c r="C17" s="63"/>
      <c r="D17" s="122"/>
      <c r="E17" s="305">
        <f t="shared" si="0"/>
        <v>12</v>
      </c>
      <c r="F17">
        <v>52.73</v>
      </c>
      <c r="G17">
        <v>110.74</v>
      </c>
      <c r="H17">
        <v>174.02</v>
      </c>
      <c r="I17">
        <v>105.47</v>
      </c>
      <c r="J17">
        <v>100.2</v>
      </c>
      <c r="K17">
        <v>110.74</v>
      </c>
    </row>
    <row r="18" spans="2:11" x14ac:dyDescent="0.25">
      <c r="B18" s="114" t="s">
        <v>65</v>
      </c>
      <c r="C18" s="115"/>
      <c r="D18" s="115"/>
      <c r="E18" s="116" t="s">
        <v>49</v>
      </c>
      <c r="F18" s="117">
        <f>F4</f>
        <v>2006</v>
      </c>
      <c r="G18" s="117">
        <f>F18+1</f>
        <v>2007</v>
      </c>
      <c r="H18" s="117">
        <f>G18+1</f>
        <v>2008</v>
      </c>
      <c r="I18" s="117">
        <f>H18+1</f>
        <v>2009</v>
      </c>
      <c r="J18" s="117">
        <f>I18+1</f>
        <v>2010</v>
      </c>
      <c r="K18" s="128">
        <f>J18+1</f>
        <v>2011</v>
      </c>
    </row>
    <row r="19" spans="2:11" x14ac:dyDescent="0.25">
      <c r="B19" s="118" t="s">
        <v>64</v>
      </c>
      <c r="C19" s="119">
        <v>1</v>
      </c>
      <c r="D19" s="119"/>
      <c r="E19" s="303" t="s">
        <v>41</v>
      </c>
      <c r="F19" s="232" t="s">
        <v>133</v>
      </c>
      <c r="G19" s="120"/>
      <c r="H19" s="120"/>
      <c r="I19" s="120"/>
      <c r="J19" s="120"/>
      <c r="K19" s="129"/>
    </row>
    <row r="20" spans="2:11" x14ac:dyDescent="0.25">
      <c r="B20" s="121"/>
      <c r="C20" s="61"/>
      <c r="D20" s="122"/>
      <c r="E20" s="305">
        <v>1</v>
      </c>
      <c r="F20">
        <v>-1.95</v>
      </c>
      <c r="G20">
        <v>-4.0999999999999996</v>
      </c>
      <c r="H20">
        <v>-4.2</v>
      </c>
      <c r="I20">
        <v>-9.67</v>
      </c>
      <c r="J20">
        <v>-6.12</v>
      </c>
      <c r="K20">
        <v>-8.01</v>
      </c>
    </row>
    <row r="21" spans="2:11" x14ac:dyDescent="0.25">
      <c r="B21" s="121"/>
      <c r="C21" s="61"/>
      <c r="D21" s="122"/>
      <c r="E21" s="305">
        <f>E20+1</f>
        <v>2</v>
      </c>
      <c r="F21">
        <v>-3.96</v>
      </c>
      <c r="G21">
        <v>-8.4600000000000009</v>
      </c>
      <c r="H21">
        <v>-4.58</v>
      </c>
      <c r="I21">
        <v>-4.32</v>
      </c>
      <c r="J21">
        <v>-4.25</v>
      </c>
      <c r="K21">
        <v>-6.74</v>
      </c>
    </row>
    <row r="22" spans="2:11" x14ac:dyDescent="0.25">
      <c r="B22" s="121"/>
      <c r="C22" s="61"/>
      <c r="D22" s="122"/>
      <c r="E22" s="305">
        <f t="shared" ref="E22:E31" si="1">E21+1</f>
        <v>3</v>
      </c>
      <c r="F22">
        <v>-0.17</v>
      </c>
      <c r="G22">
        <v>-1.99</v>
      </c>
      <c r="H22">
        <v>-0.72</v>
      </c>
      <c r="I22">
        <v>0.35</v>
      </c>
      <c r="J22">
        <v>3.13</v>
      </c>
      <c r="K22">
        <v>-0.57999999999999996</v>
      </c>
    </row>
    <row r="23" spans="2:11" x14ac:dyDescent="0.25">
      <c r="B23" s="121"/>
      <c r="C23" s="61"/>
      <c r="D23" s="122"/>
      <c r="E23" s="305">
        <f t="shared" si="1"/>
        <v>4</v>
      </c>
      <c r="F23">
        <v>7.19</v>
      </c>
      <c r="G23">
        <v>4.6900000000000004</v>
      </c>
      <c r="H23">
        <v>7.8</v>
      </c>
      <c r="I23">
        <v>7.48</v>
      </c>
      <c r="J23">
        <v>9.0399999999999991</v>
      </c>
      <c r="K23">
        <v>7.18</v>
      </c>
    </row>
    <row r="24" spans="2:11" x14ac:dyDescent="0.25">
      <c r="B24" s="121"/>
      <c r="C24" s="61"/>
      <c r="D24" s="122"/>
      <c r="E24" s="305">
        <f t="shared" si="1"/>
        <v>5</v>
      </c>
      <c r="F24">
        <v>12.4</v>
      </c>
      <c r="G24">
        <v>13.84</v>
      </c>
      <c r="H24">
        <v>11.54</v>
      </c>
      <c r="I24">
        <v>13.18</v>
      </c>
      <c r="J24">
        <v>15.1</v>
      </c>
      <c r="K24">
        <v>14.05</v>
      </c>
    </row>
    <row r="25" spans="2:11" x14ac:dyDescent="0.25">
      <c r="B25" s="121"/>
      <c r="C25" s="61"/>
      <c r="D25" s="122"/>
      <c r="E25" s="305">
        <f t="shared" si="1"/>
        <v>6</v>
      </c>
      <c r="F25">
        <v>18.09</v>
      </c>
      <c r="G25">
        <v>18.27</v>
      </c>
      <c r="H25">
        <v>19.190000000000001</v>
      </c>
      <c r="I25">
        <v>16.89</v>
      </c>
      <c r="J25">
        <v>19.149999999999999</v>
      </c>
      <c r="K25">
        <v>17.96</v>
      </c>
    </row>
    <row r="26" spans="2:11" x14ac:dyDescent="0.25">
      <c r="B26" s="121"/>
      <c r="C26" s="61"/>
      <c r="D26" s="122"/>
      <c r="E26" s="305">
        <f t="shared" si="1"/>
        <v>7</v>
      </c>
      <c r="F26">
        <v>21.94</v>
      </c>
      <c r="G26">
        <v>20.399999999999999</v>
      </c>
      <c r="H26">
        <v>21.64</v>
      </c>
      <c r="I26">
        <v>18.89</v>
      </c>
      <c r="J26">
        <v>23.25</v>
      </c>
      <c r="K26">
        <v>21.89</v>
      </c>
    </row>
    <row r="27" spans="2:11" x14ac:dyDescent="0.25">
      <c r="B27" s="121"/>
      <c r="C27" s="61"/>
      <c r="D27" s="122"/>
      <c r="E27" s="305">
        <f t="shared" si="1"/>
        <v>8</v>
      </c>
      <c r="F27">
        <v>19.68</v>
      </c>
      <c r="G27">
        <v>21.16</v>
      </c>
      <c r="H27">
        <v>18.829999999999998</v>
      </c>
      <c r="I27">
        <v>20.62</v>
      </c>
      <c r="J27">
        <v>21.44</v>
      </c>
      <c r="K27">
        <v>20.350000000000001</v>
      </c>
    </row>
    <row r="28" spans="2:11" x14ac:dyDescent="0.25">
      <c r="B28" s="121"/>
      <c r="C28" s="61"/>
      <c r="D28" s="122"/>
      <c r="E28" s="305">
        <f t="shared" si="1"/>
        <v>9</v>
      </c>
      <c r="F28">
        <v>15.25</v>
      </c>
      <c r="G28">
        <v>17.71</v>
      </c>
      <c r="H28">
        <v>16.34</v>
      </c>
      <c r="I28">
        <v>14.98</v>
      </c>
      <c r="J28">
        <v>18.170000000000002</v>
      </c>
      <c r="K28">
        <v>17.38</v>
      </c>
    </row>
    <row r="29" spans="2:11" x14ac:dyDescent="0.25">
      <c r="B29" s="123"/>
      <c r="C29" s="61"/>
      <c r="D29" s="122"/>
      <c r="E29" s="305">
        <f t="shared" si="1"/>
        <v>10</v>
      </c>
      <c r="F29">
        <v>9.0500000000000007</v>
      </c>
      <c r="G29">
        <v>12.9</v>
      </c>
      <c r="H29">
        <v>8.58</v>
      </c>
      <c r="I29">
        <v>8.07</v>
      </c>
      <c r="J29">
        <v>9.44</v>
      </c>
      <c r="K29">
        <v>9.61</v>
      </c>
    </row>
    <row r="30" spans="2:11" x14ac:dyDescent="0.25">
      <c r="B30" s="124"/>
      <c r="C30" s="62"/>
      <c r="D30" s="122"/>
      <c r="E30" s="305">
        <f t="shared" si="1"/>
        <v>11</v>
      </c>
      <c r="F30">
        <v>5.85</v>
      </c>
      <c r="G30">
        <v>2.19</v>
      </c>
      <c r="H30">
        <v>2.66</v>
      </c>
      <c r="I30">
        <v>5.65</v>
      </c>
      <c r="J30">
        <v>2.89</v>
      </c>
      <c r="K30">
        <v>5.71</v>
      </c>
    </row>
    <row r="31" spans="2:11" ht="15.75" thickBot="1" x14ac:dyDescent="0.3">
      <c r="B31" s="125"/>
      <c r="C31" s="63"/>
      <c r="D31" s="126"/>
      <c r="E31" s="306">
        <f t="shared" si="1"/>
        <v>12</v>
      </c>
      <c r="F31">
        <v>0.97</v>
      </c>
      <c r="G31">
        <v>-4.0199999999999996</v>
      </c>
      <c r="H31">
        <v>-3.03</v>
      </c>
      <c r="I31">
        <v>-3.93</v>
      </c>
      <c r="J31">
        <v>-4.5199999999999996</v>
      </c>
      <c r="K31">
        <v>-0.46</v>
      </c>
    </row>
    <row r="32" spans="2:11" ht="15.75" thickBot="1" x14ac:dyDescent="0.3">
      <c r="B32" s="127"/>
      <c r="C32" s="127"/>
      <c r="D32" s="127"/>
      <c r="E32" s="307"/>
      <c r="F32" s="127"/>
      <c r="G32" s="127"/>
      <c r="H32" s="127"/>
      <c r="I32" s="127"/>
      <c r="J32" s="127"/>
      <c r="K32" s="127"/>
    </row>
    <row r="33" spans="2:11" ht="17.25" x14ac:dyDescent="0.25">
      <c r="B33" s="114" t="s">
        <v>66</v>
      </c>
      <c r="C33" s="115"/>
      <c r="D33" s="130"/>
      <c r="E33" s="116" t="s">
        <v>49</v>
      </c>
      <c r="F33" s="117">
        <v>2011</v>
      </c>
      <c r="G33" s="117">
        <f>F33+1</f>
        <v>2012</v>
      </c>
      <c r="H33" s="117">
        <f t="shared" ref="H33:K33" si="2">G33+1</f>
        <v>2013</v>
      </c>
      <c r="I33" s="117">
        <f t="shared" si="2"/>
        <v>2014</v>
      </c>
      <c r="J33" s="128">
        <f t="shared" si="2"/>
        <v>2015</v>
      </c>
      <c r="K33" s="128">
        <f t="shared" si="2"/>
        <v>2016</v>
      </c>
    </row>
    <row r="34" spans="2:11" x14ac:dyDescent="0.25">
      <c r="B34" s="118" t="s">
        <v>64</v>
      </c>
      <c r="C34" s="119">
        <v>1</v>
      </c>
      <c r="D34" s="131"/>
      <c r="E34" s="308" t="s">
        <v>41</v>
      </c>
      <c r="F34" s="232" t="s">
        <v>133</v>
      </c>
      <c r="G34" s="120"/>
      <c r="H34" s="120"/>
      <c r="I34" s="120"/>
      <c r="J34" s="120"/>
      <c r="K34" s="129"/>
    </row>
    <row r="35" spans="2:11" x14ac:dyDescent="0.25">
      <c r="B35" s="121"/>
      <c r="C35" s="61"/>
      <c r="D35" s="122"/>
      <c r="E35" s="305">
        <v>1</v>
      </c>
      <c r="F35">
        <v>-8.01</v>
      </c>
      <c r="G35">
        <v>-3.44</v>
      </c>
      <c r="H35">
        <v>-5.04</v>
      </c>
      <c r="I35">
        <v>-7.32</v>
      </c>
      <c r="J35">
        <v>-8.2799999999999994</v>
      </c>
      <c r="K35">
        <v>-4.54</v>
      </c>
    </row>
    <row r="36" spans="2:11" x14ac:dyDescent="0.25">
      <c r="B36" s="121"/>
      <c r="C36" s="61"/>
      <c r="D36" s="122"/>
      <c r="E36" s="305">
        <f>E35+1</f>
        <v>2</v>
      </c>
      <c r="F36">
        <v>-6.74</v>
      </c>
      <c r="G36">
        <v>-1.65</v>
      </c>
      <c r="H36">
        <v>-4.4400000000000004</v>
      </c>
      <c r="I36">
        <v>-7.56</v>
      </c>
      <c r="J36">
        <v>-13.02</v>
      </c>
      <c r="K36">
        <v>-2.77</v>
      </c>
    </row>
    <row r="37" spans="2:11" x14ac:dyDescent="0.25">
      <c r="B37" s="121"/>
      <c r="C37" s="61"/>
      <c r="D37" s="122"/>
      <c r="E37" s="305">
        <f t="shared" ref="E37:E46" si="3">E36+1</f>
        <v>3</v>
      </c>
      <c r="F37">
        <v>-0.57999999999999996</v>
      </c>
      <c r="G37">
        <v>4.68</v>
      </c>
      <c r="H37">
        <v>-0.82</v>
      </c>
      <c r="I37">
        <v>-3.72</v>
      </c>
      <c r="J37">
        <v>-3.52</v>
      </c>
      <c r="K37">
        <v>2.73</v>
      </c>
    </row>
    <row r="38" spans="2:11" x14ac:dyDescent="0.25">
      <c r="B38" s="121"/>
      <c r="C38" s="61"/>
      <c r="D38" s="122"/>
      <c r="E38" s="305">
        <f t="shared" si="3"/>
        <v>4</v>
      </c>
      <c r="F38">
        <v>7.18</v>
      </c>
      <c r="G38">
        <v>7.69</v>
      </c>
      <c r="H38">
        <v>6.18</v>
      </c>
      <c r="I38">
        <v>5.88</v>
      </c>
      <c r="J38">
        <v>6.08</v>
      </c>
      <c r="K38">
        <v>5.92</v>
      </c>
    </row>
    <row r="39" spans="2:11" x14ac:dyDescent="0.25">
      <c r="B39" s="121"/>
      <c r="C39" s="61"/>
      <c r="D39" s="122"/>
      <c r="E39" s="305">
        <f t="shared" si="3"/>
        <v>5</v>
      </c>
      <c r="F39">
        <v>14.05</v>
      </c>
      <c r="G39">
        <v>15.52</v>
      </c>
      <c r="H39">
        <v>13.58</v>
      </c>
      <c r="I39">
        <v>13.3</v>
      </c>
      <c r="J39">
        <v>16.079999999999998</v>
      </c>
      <c r="K39">
        <v>13.14</v>
      </c>
    </row>
    <row r="40" spans="2:11" x14ac:dyDescent="0.25">
      <c r="B40" s="121"/>
      <c r="C40" s="61"/>
      <c r="D40" s="122"/>
      <c r="E40" s="305">
        <f t="shared" si="3"/>
        <v>6</v>
      </c>
      <c r="F40">
        <v>17.96</v>
      </c>
      <c r="G40">
        <v>17.8</v>
      </c>
      <c r="H40">
        <v>18.37</v>
      </c>
      <c r="I40">
        <v>18.579999999999998</v>
      </c>
      <c r="J40">
        <v>17.399999999999999</v>
      </c>
      <c r="K40">
        <v>18.75</v>
      </c>
    </row>
    <row r="41" spans="2:11" x14ac:dyDescent="0.25">
      <c r="B41" s="121"/>
      <c r="C41" s="61"/>
      <c r="D41" s="122"/>
      <c r="E41" s="305">
        <f t="shared" si="3"/>
        <v>7</v>
      </c>
      <c r="F41">
        <v>21.89</v>
      </c>
      <c r="G41">
        <v>22.99</v>
      </c>
      <c r="H41">
        <v>22.71</v>
      </c>
      <c r="I41">
        <v>20.88</v>
      </c>
      <c r="J41">
        <v>21.29</v>
      </c>
      <c r="K41">
        <v>23.19</v>
      </c>
    </row>
    <row r="42" spans="2:11" x14ac:dyDescent="0.25">
      <c r="B42" s="121"/>
      <c r="C42" s="61"/>
      <c r="D42" s="122"/>
      <c r="E42" s="305">
        <f t="shared" si="3"/>
        <v>8</v>
      </c>
      <c r="F42">
        <v>20.350000000000001</v>
      </c>
      <c r="G42">
        <v>21.76</v>
      </c>
      <c r="H42">
        <v>19.329999999999998</v>
      </c>
      <c r="I42">
        <v>19.38</v>
      </c>
      <c r="J42">
        <v>21.81</v>
      </c>
      <c r="K42">
        <v>22.75</v>
      </c>
    </row>
    <row r="43" spans="2:11" x14ac:dyDescent="0.25">
      <c r="B43" s="121"/>
      <c r="C43" s="61"/>
      <c r="D43" s="122"/>
      <c r="E43" s="305">
        <f t="shared" si="3"/>
        <v>9</v>
      </c>
      <c r="F43">
        <v>17.38</v>
      </c>
      <c r="G43">
        <v>16.16</v>
      </c>
      <c r="H43">
        <v>15.36</v>
      </c>
      <c r="I43">
        <v>16.57</v>
      </c>
      <c r="J43">
        <v>19.09</v>
      </c>
      <c r="K43">
        <v>18.3</v>
      </c>
    </row>
    <row r="44" spans="2:11" x14ac:dyDescent="0.25">
      <c r="B44" s="123"/>
      <c r="C44" s="61"/>
      <c r="D44" s="122"/>
      <c r="E44" s="305">
        <f t="shared" si="3"/>
        <v>10</v>
      </c>
      <c r="F44">
        <v>9.61</v>
      </c>
      <c r="G44">
        <v>11.21</v>
      </c>
      <c r="H44">
        <v>10.24</v>
      </c>
      <c r="I44">
        <v>10.87</v>
      </c>
      <c r="J44">
        <v>9.02</v>
      </c>
      <c r="K44">
        <v>10.44</v>
      </c>
    </row>
    <row r="45" spans="2:11" x14ac:dyDescent="0.25">
      <c r="B45" s="124"/>
      <c r="C45" s="62"/>
      <c r="D45" s="122"/>
      <c r="E45" s="305">
        <f t="shared" si="3"/>
        <v>11</v>
      </c>
      <c r="F45">
        <v>5.71</v>
      </c>
      <c r="G45">
        <v>1.8</v>
      </c>
      <c r="H45">
        <v>1.6</v>
      </c>
      <c r="I45">
        <v>1.4</v>
      </c>
      <c r="J45">
        <v>5.62</v>
      </c>
      <c r="K45">
        <v>4.28</v>
      </c>
    </row>
    <row r="46" spans="2:11" ht="15.75" thickBot="1" x14ac:dyDescent="0.3">
      <c r="B46" s="125"/>
      <c r="C46" s="63"/>
      <c r="D46" s="126"/>
      <c r="E46" s="305">
        <f t="shared" si="3"/>
        <v>12</v>
      </c>
      <c r="F46">
        <v>-0.46</v>
      </c>
      <c r="G46">
        <v>-0.63</v>
      </c>
      <c r="H46">
        <v>-3.59</v>
      </c>
      <c r="I46">
        <v>-1.78</v>
      </c>
      <c r="J46">
        <v>3.68</v>
      </c>
      <c r="K46">
        <v>-2.87</v>
      </c>
    </row>
    <row r="47" spans="2:11" x14ac:dyDescent="0.25">
      <c r="B47" s="114" t="s">
        <v>67</v>
      </c>
      <c r="C47" s="115"/>
      <c r="D47" s="115"/>
      <c r="E47" s="116" t="s">
        <v>49</v>
      </c>
      <c r="F47" s="117">
        <f>F33</f>
        <v>2011</v>
      </c>
      <c r="G47" s="117">
        <f>F47+1</f>
        <v>2012</v>
      </c>
      <c r="H47" s="117">
        <f t="shared" ref="H47:K47" si="4">G47+1</f>
        <v>2013</v>
      </c>
      <c r="I47" s="117">
        <f t="shared" si="4"/>
        <v>2014</v>
      </c>
      <c r="J47" s="128">
        <f t="shared" si="4"/>
        <v>2015</v>
      </c>
      <c r="K47" s="128">
        <f t="shared" si="4"/>
        <v>2016</v>
      </c>
    </row>
    <row r="48" spans="2:11" x14ac:dyDescent="0.25">
      <c r="B48" s="118" t="s">
        <v>64</v>
      </c>
      <c r="C48" s="119">
        <v>1</v>
      </c>
      <c r="D48" s="131"/>
      <c r="E48" s="308" t="s">
        <v>41</v>
      </c>
      <c r="F48" s="232" t="s">
        <v>133</v>
      </c>
      <c r="G48" s="120"/>
      <c r="H48" s="120"/>
      <c r="I48" s="120"/>
      <c r="J48" s="120"/>
      <c r="K48" s="129"/>
    </row>
    <row r="49" spans="2:11" x14ac:dyDescent="0.25">
      <c r="B49" s="121"/>
      <c r="C49" s="61"/>
      <c r="D49" s="122"/>
      <c r="E49" s="305">
        <v>1</v>
      </c>
      <c r="F49">
        <v>-6.12</v>
      </c>
      <c r="G49">
        <v>-8.01</v>
      </c>
      <c r="H49">
        <v>-3.44</v>
      </c>
      <c r="I49">
        <v>-5.04</v>
      </c>
      <c r="J49">
        <v>-7.32</v>
      </c>
      <c r="K49">
        <v>-8.2799999999999994</v>
      </c>
    </row>
    <row r="50" spans="2:11" x14ac:dyDescent="0.25">
      <c r="B50" s="121"/>
      <c r="C50" s="61"/>
      <c r="D50" s="122"/>
      <c r="E50" s="305">
        <f>E49+1</f>
        <v>2</v>
      </c>
      <c r="F50">
        <v>-4.25</v>
      </c>
      <c r="G50">
        <v>-6.74</v>
      </c>
      <c r="H50">
        <v>-1.65</v>
      </c>
      <c r="I50">
        <v>-4.4400000000000004</v>
      </c>
      <c r="J50">
        <v>-7.56</v>
      </c>
      <c r="K50">
        <v>-13.02</v>
      </c>
    </row>
    <row r="51" spans="2:11" x14ac:dyDescent="0.25">
      <c r="B51" s="121"/>
      <c r="C51" s="61"/>
      <c r="D51" s="122"/>
      <c r="E51" s="305">
        <f t="shared" ref="E51:E60" si="5">E50+1</f>
        <v>3</v>
      </c>
      <c r="F51">
        <v>3.13</v>
      </c>
      <c r="G51">
        <v>-0.57999999999999996</v>
      </c>
      <c r="H51">
        <v>4.68</v>
      </c>
      <c r="I51">
        <v>-0.82</v>
      </c>
      <c r="J51">
        <v>-3.72</v>
      </c>
      <c r="K51">
        <v>-3.52</v>
      </c>
    </row>
    <row r="52" spans="2:11" x14ac:dyDescent="0.25">
      <c r="B52" s="121"/>
      <c r="C52" s="61"/>
      <c r="D52" s="122"/>
      <c r="E52" s="305">
        <f t="shared" si="5"/>
        <v>4</v>
      </c>
      <c r="F52">
        <v>9.0399999999999991</v>
      </c>
      <c r="G52">
        <v>7.18</v>
      </c>
      <c r="H52">
        <v>7.69</v>
      </c>
      <c r="I52">
        <v>6.18</v>
      </c>
      <c r="J52">
        <v>5.88</v>
      </c>
      <c r="K52">
        <v>6.08</v>
      </c>
    </row>
    <row r="53" spans="2:11" x14ac:dyDescent="0.25">
      <c r="B53" s="121"/>
      <c r="C53" s="61"/>
      <c r="D53" s="122"/>
      <c r="E53" s="305">
        <f t="shared" si="5"/>
        <v>5</v>
      </c>
      <c r="F53">
        <v>15.1</v>
      </c>
      <c r="G53">
        <v>14.05</v>
      </c>
      <c r="H53">
        <v>15.52</v>
      </c>
      <c r="I53">
        <v>13.58</v>
      </c>
      <c r="J53">
        <v>13.3</v>
      </c>
      <c r="K53">
        <v>16.079999999999998</v>
      </c>
    </row>
    <row r="54" spans="2:11" x14ac:dyDescent="0.25">
      <c r="B54" s="121"/>
      <c r="C54" s="61"/>
      <c r="D54" s="122"/>
      <c r="E54" s="305">
        <f t="shared" si="5"/>
        <v>6</v>
      </c>
      <c r="F54">
        <v>19.149999999999999</v>
      </c>
      <c r="G54">
        <v>17.96</v>
      </c>
      <c r="H54">
        <v>17.8</v>
      </c>
      <c r="I54">
        <v>18.37</v>
      </c>
      <c r="J54">
        <v>18.579999999999998</v>
      </c>
      <c r="K54">
        <v>17.399999999999999</v>
      </c>
    </row>
    <row r="55" spans="2:11" x14ac:dyDescent="0.25">
      <c r="B55" s="121"/>
      <c r="C55" s="61"/>
      <c r="D55" s="122"/>
      <c r="E55" s="305">
        <f t="shared" si="5"/>
        <v>7</v>
      </c>
      <c r="F55">
        <v>23.25</v>
      </c>
      <c r="G55">
        <v>21.89</v>
      </c>
      <c r="H55">
        <v>22.99</v>
      </c>
      <c r="I55">
        <v>22.71</v>
      </c>
      <c r="J55">
        <v>20.88</v>
      </c>
      <c r="K55">
        <v>21.29</v>
      </c>
    </row>
    <row r="56" spans="2:11" x14ac:dyDescent="0.25">
      <c r="B56" s="121"/>
      <c r="C56" s="61"/>
      <c r="D56" s="122"/>
      <c r="E56" s="305">
        <f t="shared" si="5"/>
        <v>8</v>
      </c>
      <c r="F56">
        <v>21.44</v>
      </c>
      <c r="G56">
        <v>20.350000000000001</v>
      </c>
      <c r="H56">
        <v>21.76</v>
      </c>
      <c r="I56">
        <v>19.329999999999998</v>
      </c>
      <c r="J56">
        <v>19.38</v>
      </c>
      <c r="K56">
        <v>21.81</v>
      </c>
    </row>
    <row r="57" spans="2:11" x14ac:dyDescent="0.25">
      <c r="B57" s="121"/>
      <c r="C57" s="61"/>
      <c r="D57" s="122"/>
      <c r="E57" s="305">
        <f t="shared" si="5"/>
        <v>9</v>
      </c>
      <c r="F57">
        <v>18.170000000000002</v>
      </c>
      <c r="G57">
        <v>17.38</v>
      </c>
      <c r="H57">
        <v>16.16</v>
      </c>
      <c r="I57">
        <v>15.36</v>
      </c>
      <c r="J57">
        <v>16.57</v>
      </c>
      <c r="K57">
        <v>19.09</v>
      </c>
    </row>
    <row r="58" spans="2:11" x14ac:dyDescent="0.25">
      <c r="B58" s="123"/>
      <c r="C58" s="61"/>
      <c r="D58" s="122"/>
      <c r="E58" s="305">
        <f t="shared" si="5"/>
        <v>10</v>
      </c>
      <c r="F58">
        <v>9.44</v>
      </c>
      <c r="G58">
        <v>9.61</v>
      </c>
      <c r="H58">
        <v>11.21</v>
      </c>
      <c r="I58">
        <v>10.24</v>
      </c>
      <c r="J58">
        <v>10.87</v>
      </c>
      <c r="K58">
        <v>9.02</v>
      </c>
    </row>
    <row r="59" spans="2:11" x14ac:dyDescent="0.25">
      <c r="B59" s="124"/>
      <c r="C59" s="62"/>
      <c r="D59" s="122"/>
      <c r="E59" s="305">
        <f t="shared" si="5"/>
        <v>11</v>
      </c>
      <c r="F59">
        <v>2.89</v>
      </c>
      <c r="G59">
        <v>5.71</v>
      </c>
      <c r="H59">
        <v>1.8</v>
      </c>
      <c r="I59">
        <v>1.6</v>
      </c>
      <c r="J59">
        <v>1.4</v>
      </c>
      <c r="K59">
        <v>5.62</v>
      </c>
    </row>
    <row r="60" spans="2:11" ht="15.75" thickBot="1" x14ac:dyDescent="0.3">
      <c r="B60" s="125"/>
      <c r="C60" s="63"/>
      <c r="D60" s="126"/>
      <c r="E60" s="306">
        <f t="shared" si="5"/>
        <v>12</v>
      </c>
      <c r="F60">
        <v>-4.5199999999999996</v>
      </c>
      <c r="G60">
        <v>-0.46</v>
      </c>
      <c r="H60">
        <v>-0.63</v>
      </c>
      <c r="I60">
        <v>-3.59</v>
      </c>
      <c r="J60">
        <v>-1.78</v>
      </c>
      <c r="K60">
        <v>3.68</v>
      </c>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44923-6F72-42D8-95B1-9DDF756B25E4}">
  <sheetPr codeName="Sheet3">
    <tabColor theme="4"/>
  </sheetPr>
  <dimension ref="B1:M16"/>
  <sheetViews>
    <sheetView workbookViewId="0">
      <selection activeCell="E21" sqref="E21"/>
    </sheetView>
  </sheetViews>
  <sheetFormatPr defaultColWidth="9.140625" defaultRowHeight="15" x14ac:dyDescent="0.25"/>
  <cols>
    <col min="1" max="1" width="9.140625" style="47" customWidth="1"/>
    <col min="2" max="2" width="4" style="47" customWidth="1"/>
    <col min="3" max="3" width="14.85546875" style="47" bestFit="1" customWidth="1"/>
    <col min="4" max="13" width="15.7109375" style="47" customWidth="1"/>
    <col min="14" max="16384" width="9.140625" style="47"/>
  </cols>
  <sheetData>
    <row r="1" spans="2:13" ht="15.75" thickBot="1" x14ac:dyDescent="0.3"/>
    <row r="2" spans="2:13" ht="16.5" thickTop="1" thickBot="1" x14ac:dyDescent="0.3">
      <c r="B2" s="331"/>
      <c r="C2" s="332"/>
      <c r="D2" s="332"/>
      <c r="E2" s="332"/>
      <c r="F2" s="332"/>
      <c r="G2" s="332"/>
      <c r="H2" s="335" t="s">
        <v>135</v>
      </c>
      <c r="I2" s="333"/>
      <c r="J2" s="336"/>
      <c r="K2" s="333" t="s">
        <v>136</v>
      </c>
      <c r="L2" s="332"/>
      <c r="M2" s="334"/>
    </row>
    <row r="3" spans="2:13" ht="30.75" customHeight="1" thickTop="1" thickBot="1" x14ac:dyDescent="0.3">
      <c r="B3" s="225"/>
      <c r="C3" s="226" t="s">
        <v>85</v>
      </c>
      <c r="D3" s="227" t="s">
        <v>83</v>
      </c>
      <c r="E3" s="228" t="s">
        <v>81</v>
      </c>
      <c r="F3" s="229" t="s">
        <v>82</v>
      </c>
      <c r="G3" s="230" t="s">
        <v>84</v>
      </c>
      <c r="H3" s="235" t="s">
        <v>114</v>
      </c>
      <c r="I3" s="236" t="s">
        <v>115</v>
      </c>
      <c r="J3" s="231" t="s">
        <v>116</v>
      </c>
      <c r="K3" s="235" t="s">
        <v>114</v>
      </c>
      <c r="L3" s="236" t="s">
        <v>115</v>
      </c>
      <c r="M3" s="231" t="s">
        <v>116</v>
      </c>
    </row>
    <row r="4" spans="2:13" s="172" customFormat="1" ht="50.1" customHeight="1" thickTop="1" x14ac:dyDescent="0.25">
      <c r="B4" s="427" t="s">
        <v>118</v>
      </c>
      <c r="C4" s="212">
        <f>'Inputs - Weather'!F4</f>
        <v>2006</v>
      </c>
      <c r="D4" s="213" t="s">
        <v>147</v>
      </c>
      <c r="E4" s="214"/>
      <c r="F4" s="215"/>
      <c r="G4" s="216"/>
      <c r="H4" s="178"/>
      <c r="I4" s="173"/>
      <c r="J4" s="217"/>
      <c r="K4" s="178"/>
      <c r="L4" s="173"/>
      <c r="M4" s="217"/>
    </row>
    <row r="5" spans="2:13" s="172" customFormat="1" ht="50.1" customHeight="1" thickBot="1" x14ac:dyDescent="0.3">
      <c r="B5" s="428"/>
      <c r="C5" s="181">
        <f>'Inputs - Weather'!G4</f>
        <v>2007</v>
      </c>
      <c r="D5" s="180" t="s">
        <v>147</v>
      </c>
      <c r="E5" s="179"/>
      <c r="F5" s="174"/>
      <c r="G5" s="175"/>
      <c r="H5" s="179"/>
      <c r="I5" s="174"/>
      <c r="J5" s="218"/>
      <c r="K5" s="179"/>
      <c r="L5" s="174"/>
      <c r="M5" s="218"/>
    </row>
    <row r="6" spans="2:13" s="172" customFormat="1" ht="50.1" customHeight="1" thickTop="1" x14ac:dyDescent="0.25">
      <c r="B6" s="428"/>
      <c r="C6" s="181">
        <f>'Inputs - Weather'!H4</f>
        <v>2008</v>
      </c>
      <c r="D6" s="213" t="s">
        <v>147</v>
      </c>
      <c r="E6" s="179"/>
      <c r="F6" s="174"/>
      <c r="G6" s="175"/>
      <c r="H6" s="179"/>
      <c r="I6" s="174"/>
      <c r="J6" s="218"/>
      <c r="K6" s="179"/>
      <c r="L6" s="174"/>
      <c r="M6" s="218"/>
    </row>
    <row r="7" spans="2:13" s="172" customFormat="1" ht="50.1" customHeight="1" x14ac:dyDescent="0.25">
      <c r="B7" s="428"/>
      <c r="C7" s="181">
        <f>'Inputs - Weather'!I4</f>
        <v>2009</v>
      </c>
      <c r="D7" s="180" t="s">
        <v>147</v>
      </c>
      <c r="E7" s="179"/>
      <c r="F7" s="174"/>
      <c r="G7" s="175"/>
      <c r="H7" s="179"/>
      <c r="I7" s="174"/>
      <c r="J7" s="218"/>
      <c r="K7" s="179"/>
      <c r="L7" s="174"/>
      <c r="M7" s="218"/>
    </row>
    <row r="8" spans="2:13" s="172" customFormat="1" ht="50.1" customHeight="1" x14ac:dyDescent="0.25">
      <c r="B8" s="428"/>
      <c r="C8" s="181">
        <f>'Inputs - Weather'!J4</f>
        <v>2010</v>
      </c>
      <c r="D8" s="180" t="s">
        <v>147</v>
      </c>
      <c r="E8" s="179"/>
      <c r="F8" s="174"/>
      <c r="G8" s="175"/>
      <c r="H8" s="179"/>
      <c r="I8" s="174"/>
      <c r="J8" s="218"/>
      <c r="K8" s="179"/>
      <c r="L8" s="174"/>
      <c r="M8" s="218"/>
    </row>
    <row r="9" spans="2:13" s="172" customFormat="1" ht="50.1" customHeight="1" thickBot="1" x14ac:dyDescent="0.3">
      <c r="B9" s="429"/>
      <c r="C9" s="219">
        <f>'Inputs - Weather'!K4</f>
        <v>2011</v>
      </c>
      <c r="D9" s="220" t="s">
        <v>147</v>
      </c>
      <c r="E9" s="221"/>
      <c r="F9" s="222"/>
      <c r="G9" s="223"/>
      <c r="H9" s="221"/>
      <c r="I9" s="222"/>
      <c r="J9" s="224"/>
      <c r="K9" s="221"/>
      <c r="L9" s="222"/>
      <c r="M9" s="224"/>
    </row>
    <row r="10" spans="2:13" ht="50.1" customHeight="1" thickTop="1" x14ac:dyDescent="0.25">
      <c r="B10" s="427" t="s">
        <v>122</v>
      </c>
      <c r="C10" s="212">
        <f>'Inputs - Weather'!F33</f>
        <v>2011</v>
      </c>
      <c r="D10" s="213" t="s">
        <v>147</v>
      </c>
      <c r="E10" s="214"/>
      <c r="F10" s="215"/>
      <c r="G10" s="216"/>
      <c r="H10" s="179"/>
      <c r="I10" s="174"/>
      <c r="J10" s="218"/>
      <c r="K10" s="179"/>
      <c r="L10" s="174"/>
      <c r="M10" s="218"/>
    </row>
    <row r="11" spans="2:13" ht="50.1" customHeight="1" x14ac:dyDescent="0.25">
      <c r="B11" s="428"/>
      <c r="C11" s="181">
        <f>'Inputs - Weather'!G33</f>
        <v>2012</v>
      </c>
      <c r="D11" s="180" t="s">
        <v>147</v>
      </c>
      <c r="E11" s="179"/>
      <c r="F11" s="174"/>
      <c r="G11" s="175"/>
      <c r="H11" s="179"/>
      <c r="I11" s="174"/>
      <c r="J11" s="218"/>
      <c r="K11" s="179"/>
      <c r="L11" s="174"/>
      <c r="M11" s="218"/>
    </row>
    <row r="12" spans="2:13" ht="50.1" customHeight="1" x14ac:dyDescent="0.25">
      <c r="B12" s="428"/>
      <c r="C12" s="181">
        <f>'Inputs - Weather'!H33</f>
        <v>2013</v>
      </c>
      <c r="D12" s="180" t="s">
        <v>147</v>
      </c>
      <c r="E12" s="179"/>
      <c r="F12" s="174"/>
      <c r="G12" s="175"/>
      <c r="H12" s="179"/>
      <c r="I12" s="174"/>
      <c r="J12" s="218"/>
      <c r="K12" s="179"/>
      <c r="L12" s="174"/>
      <c r="M12" s="218"/>
    </row>
    <row r="13" spans="2:13" ht="50.1" customHeight="1" x14ac:dyDescent="0.25">
      <c r="B13" s="428"/>
      <c r="C13" s="181">
        <f>'Inputs - Weather'!I33</f>
        <v>2014</v>
      </c>
      <c r="D13" s="180" t="s">
        <v>147</v>
      </c>
      <c r="E13" s="179"/>
      <c r="F13" s="174"/>
      <c r="G13" s="175"/>
      <c r="H13" s="179"/>
      <c r="I13" s="174"/>
      <c r="J13" s="218"/>
      <c r="K13" s="179"/>
      <c r="L13" s="174"/>
      <c r="M13" s="218"/>
    </row>
    <row r="14" spans="2:13" ht="50.1" customHeight="1" x14ac:dyDescent="0.25">
      <c r="B14" s="428"/>
      <c r="C14" s="181">
        <f>'Inputs - Weather'!J33</f>
        <v>2015</v>
      </c>
      <c r="D14" s="180" t="s">
        <v>147</v>
      </c>
      <c r="E14" s="179"/>
      <c r="F14" s="174"/>
      <c r="G14" s="175"/>
      <c r="H14" s="316"/>
      <c r="I14" s="317"/>
      <c r="J14" s="318"/>
      <c r="K14" s="316"/>
      <c r="L14" s="317"/>
      <c r="M14" s="318"/>
    </row>
    <row r="15" spans="2:13" ht="50.1" customHeight="1" thickBot="1" x14ac:dyDescent="0.3">
      <c r="B15" s="429"/>
      <c r="C15" s="219">
        <f>'Inputs - Weather'!K33</f>
        <v>2016</v>
      </c>
      <c r="D15" s="220" t="s">
        <v>147</v>
      </c>
      <c r="E15" s="221"/>
      <c r="F15" s="222"/>
      <c r="G15" s="223"/>
      <c r="H15" s="322"/>
      <c r="I15" s="321"/>
      <c r="J15" s="320"/>
      <c r="K15" s="319"/>
      <c r="L15" s="222"/>
      <c r="M15" s="224"/>
    </row>
    <row r="16" spans="2:13" ht="15.75" thickTop="1" x14ac:dyDescent="0.25"/>
  </sheetData>
  <mergeCells count="2">
    <mergeCell ref="B4:B9"/>
    <mergeCell ref="B10:B15"/>
  </mergeCells>
  <dataValidations count="2">
    <dataValidation type="list" allowBlank="1" showInputMessage="1" showErrorMessage="1" sqref="D4:D15" xr:uid="{38F045D8-3E48-4E83-8CD4-577EDAE3CC8D}">
      <formula1>LandUseTypes</formula1>
    </dataValidation>
    <dataValidation type="list" allowBlank="1" showInputMessage="1" showErrorMessage="1" sqref="H4:H15 K4:K15" xr:uid="{5E530B14-66EF-4693-B3EE-21FE55DF5EF1}">
      <formula1>OrgWasteTypes</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D5069-A1BC-4A8A-9FD4-5796E8937FF7}">
  <sheetPr codeName="Sheet7">
    <tabColor theme="4"/>
  </sheetPr>
  <dimension ref="B1:J16"/>
  <sheetViews>
    <sheetView workbookViewId="0">
      <selection activeCell="H2" sqref="H2"/>
    </sheetView>
  </sheetViews>
  <sheetFormatPr defaultColWidth="9.140625" defaultRowHeight="15" x14ac:dyDescent="0.25"/>
  <cols>
    <col min="1" max="1" width="9.140625" style="47" customWidth="1"/>
    <col min="2" max="2" width="4" style="47" customWidth="1"/>
    <col min="3" max="3" width="14.85546875" style="47" bestFit="1" customWidth="1"/>
    <col min="4" max="4" width="14.85546875" style="47" customWidth="1"/>
    <col min="5" max="10" width="15.7109375" style="47" customWidth="1"/>
    <col min="11" max="16384" width="9.140625" style="47"/>
  </cols>
  <sheetData>
    <row r="1" spans="2:10" ht="15.75" thickBot="1" x14ac:dyDescent="0.3"/>
    <row r="2" spans="2:10" ht="60.75" thickTop="1" x14ac:dyDescent="0.25">
      <c r="B2" s="248"/>
      <c r="C2" s="249" t="s">
        <v>85</v>
      </c>
      <c r="D2" s="265" t="s">
        <v>41</v>
      </c>
      <c r="E2" s="257" t="s">
        <v>83</v>
      </c>
      <c r="F2" s="258" t="str">
        <f>CONCATENATE("Bulk density to ",SoilDepth," cm depth")</f>
        <v>Bulk density to 15 cm depth</v>
      </c>
      <c r="G2" s="259" t="str">
        <f>CONCATENATE("Percent carbon to ",SoilDepth," cm depth")</f>
        <v>Percent carbon to 15 cm depth</v>
      </c>
      <c r="H2" s="259" t="s">
        <v>129</v>
      </c>
      <c r="I2" s="259" t="str">
        <f>CONCATENATE("Equivalent depth to ",SoilDepth," cm")</f>
        <v>Equivalent depth to 15 cm</v>
      </c>
      <c r="J2" s="259" t="str">
        <f>CONCATENATE("Carbon content to ",SoilDepth," cm equivalent depth")</f>
        <v>Carbon content to 15 cm equivalent depth</v>
      </c>
    </row>
    <row r="3" spans="2:10" ht="18" thickBot="1" x14ac:dyDescent="0.3">
      <c r="B3" s="251"/>
      <c r="C3" s="252"/>
      <c r="D3" s="266"/>
      <c r="E3" s="253"/>
      <c r="F3" s="254" t="s">
        <v>126</v>
      </c>
      <c r="G3" s="255" t="s">
        <v>127</v>
      </c>
      <c r="H3" s="255" t="s">
        <v>128</v>
      </c>
      <c r="I3" s="255" t="s">
        <v>130</v>
      </c>
      <c r="J3" s="256" t="s">
        <v>128</v>
      </c>
    </row>
    <row r="4" spans="2:10" s="172" customFormat="1" ht="50.1" customHeight="1" thickTop="1" x14ac:dyDescent="0.25">
      <c r="B4" s="428" t="s">
        <v>118</v>
      </c>
      <c r="C4" s="267">
        <v>1</v>
      </c>
      <c r="D4" s="268">
        <v>8</v>
      </c>
      <c r="E4" s="250" t="str">
        <f>'Inputs - Crops and manures'!D4</f>
        <v>Forest</v>
      </c>
      <c r="F4" s="267">
        <v>1.19</v>
      </c>
      <c r="G4" s="345">
        <v>3.5000000000000003E-2</v>
      </c>
      <c r="H4" s="276">
        <f t="shared" ref="H4:H15" si="0">F4*G4*SoilDepth*100</f>
        <v>62.475000000000001</v>
      </c>
      <c r="I4" s="275">
        <f t="shared" ref="I4:I15" si="1">IF(F4&gt;0,BulkDensity*SoilDepth/F4,"")</f>
        <v>14.999999999999998</v>
      </c>
      <c r="J4" s="260">
        <f t="shared" ref="J4:J15" si="2">IF(H4&gt;0,H4*I4/SoilDepth,"")</f>
        <v>62.474999999999994</v>
      </c>
    </row>
    <row r="5" spans="2:10" s="172" customFormat="1" ht="50.1" customHeight="1" x14ac:dyDescent="0.25">
      <c r="B5" s="428"/>
      <c r="C5" s="269">
        <v>2</v>
      </c>
      <c r="D5" s="270">
        <v>8</v>
      </c>
      <c r="E5" s="246" t="str">
        <f>'Inputs - Crops and manures'!D5</f>
        <v>Forest</v>
      </c>
      <c r="F5" s="267">
        <v>1.19</v>
      </c>
      <c r="G5" s="345">
        <v>3.5000000000000003E-2</v>
      </c>
      <c r="H5" s="276">
        <f t="shared" si="0"/>
        <v>62.475000000000001</v>
      </c>
      <c r="I5" s="275">
        <f t="shared" si="1"/>
        <v>14.999999999999998</v>
      </c>
      <c r="J5" s="260">
        <f t="shared" si="2"/>
        <v>62.474999999999994</v>
      </c>
    </row>
    <row r="6" spans="2:10" s="172" customFormat="1" ht="50.1" customHeight="1" x14ac:dyDescent="0.25">
      <c r="B6" s="428"/>
      <c r="C6" s="269">
        <v>3</v>
      </c>
      <c r="D6" s="270">
        <f>D5</f>
        <v>8</v>
      </c>
      <c r="E6" s="246" t="str">
        <f>'Inputs - Crops and manures'!D6</f>
        <v>Forest</v>
      </c>
      <c r="F6" s="267">
        <v>1.19</v>
      </c>
      <c r="G6" s="345">
        <v>3.5000000000000003E-2</v>
      </c>
      <c r="H6" s="276">
        <f t="shared" si="0"/>
        <v>62.475000000000001</v>
      </c>
      <c r="I6" s="275">
        <f t="shared" si="1"/>
        <v>14.999999999999998</v>
      </c>
      <c r="J6" s="260">
        <f t="shared" si="2"/>
        <v>62.474999999999994</v>
      </c>
    </row>
    <row r="7" spans="2:10" s="172" customFormat="1" ht="50.1" customHeight="1" x14ac:dyDescent="0.25">
      <c r="B7" s="428"/>
      <c r="C7" s="269">
        <v>4</v>
      </c>
      <c r="D7" s="270">
        <f t="shared" ref="D7:D15" si="3">D6</f>
        <v>8</v>
      </c>
      <c r="E7" s="246" t="str">
        <f>'Inputs - Crops and manures'!D7</f>
        <v>Forest</v>
      </c>
      <c r="F7" s="267">
        <v>1.19</v>
      </c>
      <c r="G7" s="345">
        <v>3.5000000000000003E-2</v>
      </c>
      <c r="H7" s="276">
        <f t="shared" si="0"/>
        <v>62.475000000000001</v>
      </c>
      <c r="I7" s="275">
        <f t="shared" si="1"/>
        <v>14.999999999999998</v>
      </c>
      <c r="J7" s="260">
        <f t="shared" si="2"/>
        <v>62.474999999999994</v>
      </c>
    </row>
    <row r="8" spans="2:10" s="172" customFormat="1" ht="50.1" customHeight="1" x14ac:dyDescent="0.25">
      <c r="B8" s="428"/>
      <c r="C8" s="269">
        <v>5</v>
      </c>
      <c r="D8" s="270">
        <f t="shared" si="3"/>
        <v>8</v>
      </c>
      <c r="E8" s="246" t="str">
        <f>'Inputs - Crops and manures'!D8</f>
        <v>Forest</v>
      </c>
      <c r="F8" s="267">
        <v>1.19</v>
      </c>
      <c r="G8" s="345">
        <v>3.5000000000000003E-2</v>
      </c>
      <c r="H8" s="276">
        <f t="shared" si="0"/>
        <v>62.475000000000001</v>
      </c>
      <c r="I8" s="275">
        <f t="shared" si="1"/>
        <v>14.999999999999998</v>
      </c>
      <c r="J8" s="260">
        <f t="shared" si="2"/>
        <v>62.474999999999994</v>
      </c>
    </row>
    <row r="9" spans="2:10" s="172" customFormat="1" ht="50.1" customHeight="1" thickBot="1" x14ac:dyDescent="0.3">
      <c r="B9" s="428"/>
      <c r="C9" s="271">
        <v>6</v>
      </c>
      <c r="D9" s="272">
        <v>8</v>
      </c>
      <c r="E9" s="325" t="str">
        <f>'Inputs - Crops and manures'!D9</f>
        <v>Forest</v>
      </c>
      <c r="F9" s="267">
        <v>1.19</v>
      </c>
      <c r="G9" s="345">
        <v>3.5000000000000003E-2</v>
      </c>
      <c r="H9" s="326">
        <f t="shared" si="0"/>
        <v>62.475000000000001</v>
      </c>
      <c r="I9" s="327">
        <f t="shared" si="1"/>
        <v>14.999999999999998</v>
      </c>
      <c r="J9" s="328">
        <f t="shared" si="2"/>
        <v>62.474999999999994</v>
      </c>
    </row>
    <row r="10" spans="2:10" ht="50.1" customHeight="1" thickTop="1" x14ac:dyDescent="0.25">
      <c r="B10" s="427" t="s">
        <v>122</v>
      </c>
      <c r="C10" s="273">
        <v>1</v>
      </c>
      <c r="D10" s="274">
        <v>11</v>
      </c>
      <c r="E10" s="245" t="str">
        <f>'Inputs - Crops and manures'!D10</f>
        <v>Forest</v>
      </c>
      <c r="F10" s="267">
        <v>1.19</v>
      </c>
      <c r="G10" s="345">
        <v>3.5000000000000003E-2</v>
      </c>
      <c r="H10" s="329">
        <f t="shared" si="0"/>
        <v>62.475000000000001</v>
      </c>
      <c r="I10" s="329">
        <f t="shared" si="1"/>
        <v>14.999999999999998</v>
      </c>
      <c r="J10" s="330">
        <f t="shared" si="2"/>
        <v>62.474999999999994</v>
      </c>
    </row>
    <row r="11" spans="2:10" ht="50.1" customHeight="1" x14ac:dyDescent="0.25">
      <c r="B11" s="428"/>
      <c r="C11" s="269">
        <v>2</v>
      </c>
      <c r="D11" s="270">
        <f t="shared" si="3"/>
        <v>11</v>
      </c>
      <c r="E11" s="246" t="str">
        <f>'Inputs - Crops and manures'!D11</f>
        <v>Forest</v>
      </c>
      <c r="F11" s="267">
        <v>1.19</v>
      </c>
      <c r="G11" s="345">
        <v>3.5000000000000003E-2</v>
      </c>
      <c r="H11" s="276">
        <f t="shared" si="0"/>
        <v>62.475000000000001</v>
      </c>
      <c r="I11" s="275">
        <f t="shared" si="1"/>
        <v>14.999999999999998</v>
      </c>
      <c r="J11" s="260">
        <f t="shared" si="2"/>
        <v>62.474999999999994</v>
      </c>
    </row>
    <row r="12" spans="2:10" ht="50.1" customHeight="1" x14ac:dyDescent="0.25">
      <c r="B12" s="428"/>
      <c r="C12" s="269">
        <v>3</v>
      </c>
      <c r="D12" s="270">
        <f t="shared" si="3"/>
        <v>11</v>
      </c>
      <c r="E12" s="246" t="str">
        <f>'Inputs - Crops and manures'!D12</f>
        <v>Forest</v>
      </c>
      <c r="F12" s="267">
        <v>1.19</v>
      </c>
      <c r="G12" s="345">
        <v>3.5000000000000003E-2</v>
      </c>
      <c r="H12" s="276">
        <f t="shared" si="0"/>
        <v>62.475000000000001</v>
      </c>
      <c r="I12" s="275">
        <f t="shared" si="1"/>
        <v>14.999999999999998</v>
      </c>
      <c r="J12" s="260">
        <f t="shared" si="2"/>
        <v>62.474999999999994</v>
      </c>
    </row>
    <row r="13" spans="2:10" ht="50.1" customHeight="1" x14ac:dyDescent="0.25">
      <c r="B13" s="428"/>
      <c r="C13" s="269">
        <v>4</v>
      </c>
      <c r="D13" s="270">
        <f t="shared" si="3"/>
        <v>11</v>
      </c>
      <c r="E13" s="246" t="str">
        <f>'Inputs - Crops and manures'!D13</f>
        <v>Forest</v>
      </c>
      <c r="F13" s="267">
        <v>1.19</v>
      </c>
      <c r="G13" s="345">
        <v>3.5000000000000003E-2</v>
      </c>
      <c r="H13" s="276">
        <f t="shared" si="0"/>
        <v>62.475000000000001</v>
      </c>
      <c r="I13" s="275">
        <f t="shared" si="1"/>
        <v>14.999999999999998</v>
      </c>
      <c r="J13" s="260">
        <f t="shared" si="2"/>
        <v>62.474999999999994</v>
      </c>
    </row>
    <row r="14" spans="2:10" ht="50.1" customHeight="1" x14ac:dyDescent="0.25">
      <c r="B14" s="428"/>
      <c r="C14" s="269">
        <v>5</v>
      </c>
      <c r="D14" s="270">
        <f t="shared" si="3"/>
        <v>11</v>
      </c>
      <c r="E14" s="246" t="str">
        <f>'Inputs - Crops and manures'!D14</f>
        <v>Forest</v>
      </c>
      <c r="F14" s="267">
        <v>1.19</v>
      </c>
      <c r="G14" s="345">
        <v>3.5000000000000003E-2</v>
      </c>
      <c r="H14" s="276">
        <f t="shared" si="0"/>
        <v>62.475000000000001</v>
      </c>
      <c r="I14" s="275">
        <f t="shared" si="1"/>
        <v>14.999999999999998</v>
      </c>
      <c r="J14" s="260">
        <f t="shared" si="2"/>
        <v>62.474999999999994</v>
      </c>
    </row>
    <row r="15" spans="2:10" ht="50.1" customHeight="1" thickBot="1" x14ac:dyDescent="0.3">
      <c r="B15" s="429"/>
      <c r="C15" s="271">
        <v>6</v>
      </c>
      <c r="D15" s="272">
        <f t="shared" si="3"/>
        <v>11</v>
      </c>
      <c r="E15" s="247" t="str">
        <f>'Inputs - Crops and manures'!D15</f>
        <v>Forest</v>
      </c>
      <c r="F15" s="267">
        <v>1.19</v>
      </c>
      <c r="G15" s="345">
        <v>3.5000000000000003E-2</v>
      </c>
      <c r="H15" s="276">
        <f t="shared" si="0"/>
        <v>62.475000000000001</v>
      </c>
      <c r="I15" s="275">
        <f t="shared" si="1"/>
        <v>14.999999999999998</v>
      </c>
      <c r="J15" s="260">
        <f t="shared" si="2"/>
        <v>62.474999999999994</v>
      </c>
    </row>
    <row r="16" spans="2:10" ht="15.75" thickTop="1" x14ac:dyDescent="0.25"/>
  </sheetData>
  <mergeCells count="2">
    <mergeCell ref="B4:B9"/>
    <mergeCell ref="B10:B15"/>
  </mergeCell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60A09-D045-4619-A009-DD3F6075C2A7}">
  <sheetPr codeName="Sheet8">
    <tabColor rgb="FF996633"/>
  </sheetPr>
  <dimension ref="A1:AU1302"/>
  <sheetViews>
    <sheetView tabSelected="1" topLeftCell="A3" zoomScale="80" zoomScaleNormal="80" workbookViewId="0">
      <selection activeCell="J18" sqref="J18"/>
    </sheetView>
  </sheetViews>
  <sheetFormatPr defaultColWidth="9.140625" defaultRowHeight="15" x14ac:dyDescent="0.25"/>
  <cols>
    <col min="1" max="1" width="3.28515625" style="1" customWidth="1"/>
    <col min="2" max="2" width="0.85546875" style="1" customWidth="1"/>
    <col min="3" max="41" width="9.7109375" style="1" customWidth="1"/>
    <col min="42" max="42" width="12" style="1" customWidth="1"/>
    <col min="43" max="43" width="9.7109375" style="1" customWidth="1"/>
    <col min="44" max="44" width="9.42578125" style="1" customWidth="1"/>
    <col min="45" max="45" width="0.5703125" style="1" hidden="1" customWidth="1"/>
    <col min="46" max="46" width="9.7109375" style="1" customWidth="1"/>
    <col min="47" max="47" width="9.7109375" style="369" customWidth="1"/>
    <col min="48" max="48" width="0.85546875" style="1" customWidth="1"/>
    <col min="49" max="16384" width="9.140625" style="1"/>
  </cols>
  <sheetData>
    <row r="1" spans="1:47" ht="49.5" customHeight="1" thickBot="1" x14ac:dyDescent="0.45">
      <c r="A1" s="1" t="s">
        <v>138</v>
      </c>
      <c r="C1" s="438" t="s">
        <v>161</v>
      </c>
      <c r="D1" s="438"/>
      <c r="E1" s="438"/>
      <c r="F1" s="438"/>
      <c r="G1" s="438"/>
      <c r="H1" s="438"/>
      <c r="I1" s="438"/>
      <c r="J1" s="438"/>
      <c r="K1" s="438"/>
      <c r="L1" s="438"/>
      <c r="M1" s="438"/>
      <c r="N1" s="438"/>
      <c r="O1" s="438"/>
      <c r="P1" s="438"/>
      <c r="Q1" s="438"/>
      <c r="R1" s="438"/>
      <c r="S1" s="438"/>
      <c r="T1" s="438"/>
      <c r="U1" s="438"/>
      <c r="V1" s="438"/>
      <c r="W1" s="438"/>
      <c r="X1" s="438"/>
      <c r="Y1" s="438"/>
      <c r="Z1" s="438"/>
      <c r="AA1" s="438"/>
      <c r="AB1" s="438"/>
      <c r="AC1" s="438"/>
      <c r="AD1" s="438"/>
      <c r="AE1" s="438"/>
      <c r="AF1" s="438"/>
      <c r="AG1" s="438"/>
      <c r="AH1" s="438"/>
      <c r="AI1" s="438"/>
      <c r="AJ1" s="438"/>
      <c r="AK1" s="416"/>
      <c r="AL1" s="354"/>
      <c r="AM1" s="376"/>
      <c r="AU1" s="1"/>
    </row>
    <row r="2" spans="1:47" ht="5.0999999999999996" customHeight="1" thickBot="1" x14ac:dyDescent="0.3">
      <c r="B2" s="2"/>
      <c r="C2" s="3"/>
      <c r="D2" s="3"/>
      <c r="E2" s="3"/>
      <c r="F2" s="4"/>
      <c r="G2" s="4"/>
      <c r="H2" s="4"/>
      <c r="I2" s="4"/>
      <c r="J2" s="4"/>
      <c r="K2" s="4"/>
      <c r="L2" s="4"/>
      <c r="M2" s="4"/>
      <c r="N2" s="4"/>
      <c r="O2" s="4"/>
      <c r="P2" s="4"/>
      <c r="Q2" s="4"/>
      <c r="R2" s="4"/>
      <c r="S2" s="4"/>
      <c r="T2" s="4"/>
      <c r="U2" s="3"/>
      <c r="V2" s="3"/>
      <c r="W2" s="3"/>
      <c r="X2" s="3"/>
      <c r="Y2" s="3"/>
      <c r="Z2" s="3"/>
      <c r="AA2" s="3"/>
      <c r="AB2" s="3"/>
      <c r="AC2" s="5"/>
      <c r="AD2" s="5"/>
      <c r="AE2" s="5"/>
      <c r="AF2" s="5"/>
      <c r="AG2" s="5"/>
      <c r="AH2" s="5"/>
      <c r="AI2" s="5"/>
      <c r="AJ2" s="5"/>
      <c r="AK2" s="415"/>
      <c r="AU2" s="1"/>
    </row>
    <row r="3" spans="1:47" ht="245.25" customHeight="1" x14ac:dyDescent="0.25">
      <c r="B3" s="6"/>
      <c r="C3" s="7"/>
      <c r="D3" s="8"/>
      <c r="E3" s="8"/>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415"/>
      <c r="AU3" s="1"/>
    </row>
    <row r="4" spans="1:47" ht="17.25" x14ac:dyDescent="0.25">
      <c r="B4" s="10"/>
      <c r="C4" s="11" t="s">
        <v>0</v>
      </c>
      <c r="D4" s="12"/>
      <c r="E4" s="13" t="s">
        <v>1</v>
      </c>
      <c r="F4" s="14"/>
      <c r="G4" s="14"/>
      <c r="H4" s="14"/>
      <c r="I4" s="14"/>
      <c r="J4" s="14"/>
      <c r="K4" s="14"/>
      <c r="L4" s="14"/>
      <c r="M4" s="14"/>
      <c r="N4" s="14"/>
      <c r="O4" s="14"/>
      <c r="P4" s="14"/>
      <c r="Q4" s="14"/>
      <c r="R4" s="15"/>
      <c r="S4" s="14"/>
      <c r="T4" s="14"/>
      <c r="U4" s="14"/>
      <c r="V4" s="14"/>
      <c r="W4" s="14"/>
      <c r="X4" s="14"/>
      <c r="Y4" s="14"/>
      <c r="Z4" s="15"/>
      <c r="AA4" s="14"/>
      <c r="AB4" s="14"/>
      <c r="AC4" s="14"/>
      <c r="AD4" s="14"/>
      <c r="AE4" s="14"/>
      <c r="AF4" s="14"/>
      <c r="AG4" s="14"/>
      <c r="AH4" s="12"/>
      <c r="AI4" s="12"/>
      <c r="AJ4" s="16"/>
      <c r="AK4" s="415"/>
      <c r="AU4" s="1"/>
    </row>
    <row r="5" spans="1:47" x14ac:dyDescent="0.25">
      <c r="B5" s="10"/>
      <c r="C5" s="434" t="s">
        <v>2</v>
      </c>
      <c r="D5" s="435"/>
      <c r="E5" s="17">
        <v>0</v>
      </c>
      <c r="F5" s="18"/>
      <c r="G5" s="18"/>
      <c r="H5" s="18"/>
      <c r="I5" s="18"/>
      <c r="J5" s="18"/>
      <c r="K5" s="18"/>
      <c r="L5" s="18"/>
      <c r="M5" s="18"/>
      <c r="N5" s="18"/>
      <c r="O5" s="18"/>
      <c r="P5" s="18"/>
      <c r="Q5" s="18"/>
      <c r="R5" s="17"/>
      <c r="S5" s="18"/>
      <c r="T5" s="18"/>
      <c r="U5" s="18"/>
      <c r="V5" s="18"/>
      <c r="W5" s="18"/>
      <c r="X5" s="18"/>
      <c r="Y5" s="205"/>
      <c r="Z5" s="28"/>
      <c r="AA5" s="29" t="s">
        <v>31</v>
      </c>
      <c r="AB5" s="28"/>
      <c r="AC5" s="28"/>
      <c r="AD5" s="28"/>
      <c r="AE5" s="28"/>
      <c r="AF5" s="28"/>
      <c r="AG5" s="28"/>
      <c r="AH5" s="19"/>
      <c r="AI5" s="19"/>
      <c r="AJ5" s="20"/>
      <c r="AK5" s="415"/>
      <c r="AU5" s="1"/>
    </row>
    <row r="6" spans="1:47" x14ac:dyDescent="0.25">
      <c r="B6" s="10"/>
      <c r="C6" s="21"/>
      <c r="D6" s="261"/>
      <c r="E6" s="22">
        <f ca="1">AG15-AG14</f>
        <v>1.7398275705460264E-4</v>
      </c>
      <c r="F6" s="233"/>
      <c r="G6" s="233"/>
      <c r="H6" s="233"/>
      <c r="I6" s="419"/>
      <c r="J6" s="419"/>
      <c r="K6" s="419"/>
      <c r="L6" s="419"/>
      <c r="M6" s="419"/>
      <c r="N6" s="419"/>
      <c r="O6" s="233"/>
      <c r="P6" s="233"/>
      <c r="Q6" s="233"/>
      <c r="R6" s="262"/>
      <c r="S6" s="233"/>
      <c r="T6" s="233"/>
      <c r="U6" s="233"/>
      <c r="V6" s="233"/>
      <c r="W6" s="233"/>
      <c r="X6" s="233"/>
      <c r="Y6" s="234"/>
      <c r="Z6" s="24"/>
      <c r="AA6" s="25" t="s">
        <v>30</v>
      </c>
      <c r="AB6" s="24"/>
      <c r="AC6" s="24"/>
      <c r="AD6" s="24"/>
      <c r="AE6" s="24"/>
      <c r="AF6" s="24"/>
      <c r="AG6" s="24"/>
      <c r="AH6" s="26"/>
      <c r="AI6" s="26"/>
      <c r="AJ6" s="27"/>
      <c r="AK6" s="415"/>
      <c r="AU6" s="1"/>
    </row>
    <row r="7" spans="1:47" ht="15.75" thickBot="1" x14ac:dyDescent="0.3">
      <c r="B7" s="10"/>
      <c r="C7" s="30" t="s">
        <v>3</v>
      </c>
      <c r="D7" s="31"/>
      <c r="E7" s="31"/>
      <c r="F7" s="31"/>
      <c r="G7" s="31"/>
      <c r="H7" s="31"/>
      <c r="I7" s="425" t="s">
        <v>172</v>
      </c>
      <c r="J7" s="424" t="s">
        <v>158</v>
      </c>
      <c r="K7" s="424" t="s">
        <v>162</v>
      </c>
      <c r="L7" s="424" t="s">
        <v>152</v>
      </c>
      <c r="M7" s="424" t="s">
        <v>169</v>
      </c>
      <c r="N7" s="424" t="s">
        <v>153</v>
      </c>
      <c r="O7" s="31"/>
      <c r="P7" s="31"/>
      <c r="Q7" s="31"/>
      <c r="R7" s="31"/>
      <c r="S7" s="31"/>
      <c r="T7" s="32"/>
      <c r="U7" s="33"/>
      <c r="V7" s="34"/>
      <c r="W7" s="33"/>
      <c r="X7" s="35"/>
      <c r="Y7" s="33"/>
      <c r="Z7" s="32"/>
      <c r="AA7" s="35"/>
      <c r="AB7" s="363"/>
      <c r="AC7" s="239"/>
      <c r="AD7" s="239"/>
      <c r="AE7" s="36"/>
      <c r="AF7" s="36"/>
      <c r="AG7" s="36"/>
      <c r="AH7" s="36"/>
      <c r="AI7" s="36"/>
      <c r="AJ7" s="36"/>
      <c r="AK7" s="415"/>
      <c r="AU7" s="1"/>
    </row>
    <row r="8" spans="1:47" ht="50.25" customHeight="1" thickBot="1" x14ac:dyDescent="0.3">
      <c r="B8" s="10"/>
      <c r="C8" s="37"/>
      <c r="D8" s="31"/>
      <c r="E8" s="31"/>
      <c r="F8" s="38" t="s">
        <v>4</v>
      </c>
      <c r="G8" s="31"/>
      <c r="H8" s="31"/>
      <c r="I8" s="425" t="s">
        <v>170</v>
      </c>
      <c r="J8" s="426">
        <f>(39.4-(23.324*BulkDensity))/100</f>
        <v>0.11644439999999999</v>
      </c>
      <c r="K8" s="426">
        <f>(35.8+(0.446*BulkDensity))/100</f>
        <v>0.3633074</v>
      </c>
      <c r="L8" s="426">
        <v>1</v>
      </c>
      <c r="M8" s="426">
        <v>0.4</v>
      </c>
      <c r="N8" s="426">
        <f>M8*(1-K8)/(K8-J8)</f>
        <v>1.0316533461879664</v>
      </c>
      <c r="O8" s="31"/>
      <c r="P8" s="31">
        <v>100</v>
      </c>
      <c r="Q8" s="31"/>
      <c r="R8" s="31"/>
      <c r="S8" s="33"/>
      <c r="T8" s="39" t="s">
        <v>5</v>
      </c>
      <c r="U8" s="33">
        <v>15</v>
      </c>
      <c r="V8" s="40" t="s">
        <v>6</v>
      </c>
      <c r="W8" s="20"/>
      <c r="X8" s="20"/>
      <c r="Y8" s="41"/>
      <c r="Z8" s="38">
        <v>100</v>
      </c>
      <c r="AA8" s="20"/>
      <c r="AB8" s="41">
        <v>100</v>
      </c>
      <c r="AC8" s="240"/>
      <c r="AD8" s="240"/>
      <c r="AE8" s="19"/>
      <c r="AF8" s="397" t="s">
        <v>121</v>
      </c>
      <c r="AG8" s="398"/>
      <c r="AH8" s="399">
        <v>46</v>
      </c>
      <c r="AI8" s="19"/>
      <c r="AJ8" s="19"/>
      <c r="AK8" s="415"/>
      <c r="AU8" s="1"/>
    </row>
    <row r="9" spans="1:47" ht="60" x14ac:dyDescent="0.25">
      <c r="B9" s="10"/>
      <c r="C9" s="436" t="s">
        <v>7</v>
      </c>
      <c r="D9" s="437"/>
      <c r="E9" s="42" t="s">
        <v>8</v>
      </c>
      <c r="F9" s="42" t="s">
        <v>9</v>
      </c>
      <c r="G9" s="42" t="s">
        <v>10</v>
      </c>
      <c r="H9" s="42" t="s">
        <v>168</v>
      </c>
      <c r="I9" s="425" t="s">
        <v>171</v>
      </c>
      <c r="J9" s="426">
        <f>(9.878+(0.2127*PercentClay)-(0.08366*PercentSilt)-(7.67*(1/(1+PercentC)))+(0.003853*PercentSilt*PercentClay)+(0.233*PercentClay*(1/(1+PercentC)))+(0.09498*PercentSilt*(1/(1+PercentC))))/100</f>
        <v>9.1945820555555571E-2</v>
      </c>
      <c r="K9" s="426">
        <f>(24.49-(18.87*(1/(1+PercentC)))+(0.4527*PercentClay)+(0.1535*PercentSilt)+(0.1442*PercentSilt*(1/(1+PercentC)))-(0.00511*PercentSilt*PercentClay)+(0.08676*PercentClay*(1/(1+PercentC))))/100</f>
        <v>0.28046992777777779</v>
      </c>
      <c r="L9" s="426">
        <v>1</v>
      </c>
      <c r="M9" s="426">
        <v>0.4</v>
      </c>
      <c r="N9" s="426">
        <f>M9*(1-K9)/(K9-J9)</f>
        <v>1.5266590205868542</v>
      </c>
      <c r="O9" s="42" t="s">
        <v>11</v>
      </c>
      <c r="P9" s="42" t="s">
        <v>12</v>
      </c>
      <c r="Q9" s="42" t="s">
        <v>13</v>
      </c>
      <c r="R9" s="42" t="s">
        <v>14</v>
      </c>
      <c r="S9" s="42" t="s">
        <v>15</v>
      </c>
      <c r="T9" s="43" t="s">
        <v>32</v>
      </c>
      <c r="U9" s="42" t="s">
        <v>16</v>
      </c>
      <c r="V9" s="43" t="s">
        <v>17</v>
      </c>
      <c r="W9" s="18" t="s">
        <v>18</v>
      </c>
      <c r="X9" s="18" t="s">
        <v>19</v>
      </c>
      <c r="Y9" s="205" t="s">
        <v>20</v>
      </c>
      <c r="Z9" s="18" t="s">
        <v>19</v>
      </c>
      <c r="AA9" s="42" t="s">
        <v>20</v>
      </c>
      <c r="AB9" s="394" t="s">
        <v>21</v>
      </c>
      <c r="AC9" s="240"/>
      <c r="AD9" s="240"/>
      <c r="AE9" s="19"/>
      <c r="AF9" s="19"/>
      <c r="AG9" s="19"/>
      <c r="AH9" s="19"/>
      <c r="AI9" s="33" t="s">
        <v>151</v>
      </c>
      <c r="AJ9" s="33">
        <v>6.6600000000000001E-3</v>
      </c>
      <c r="AU9" s="1"/>
    </row>
    <row r="10" spans="1:47" x14ac:dyDescent="0.25">
      <c r="B10" s="10"/>
      <c r="C10" s="293"/>
      <c r="D10" s="280">
        <f>((1.963*PercentC) - (0.029*(100-PercentClay-PercentSilt)) + (0.166*PercentClay + 11.746))*SoilDepth/10</f>
        <v>27.012600000000003</v>
      </c>
      <c r="E10" s="281">
        <f>((4.442*PercentC) - (0.061*(100-PercentClay-PercentSilt)) + (0.34*PercentClay + 22.821))*SoilDepth/10</f>
        <v>55.530150000000006</v>
      </c>
      <c r="F10" s="281">
        <f>0.444*(E10-D10)</f>
        <v>12.661792200000002</v>
      </c>
      <c r="G10" s="282">
        <v>0</v>
      </c>
      <c r="H10" s="282">
        <f>(0.397+(0.121*PercentClay)+(0.037*PercentSilt)+(0.008*PercentSand)+(0.442*PercentC))*(SoilDepth)</f>
        <v>66.313500000000005</v>
      </c>
      <c r="I10" s="422"/>
      <c r="J10" s="423"/>
      <c r="K10" s="423"/>
      <c r="L10" s="422"/>
      <c r="M10" s="423"/>
      <c r="N10" s="423"/>
      <c r="O10" s="283">
        <f>SoilpH</f>
        <v>5.3</v>
      </c>
      <c r="P10" s="283">
        <f>SoilSal</f>
        <v>0</v>
      </c>
      <c r="Q10" s="284">
        <f>10^4*(SoilDepth/100)*BulkDensity*(PercentC/100)</f>
        <v>62.475000000000009</v>
      </c>
      <c r="R10" s="284">
        <f>0.049*(POWER(Q10,1.139))</f>
        <v>5.4388303910895042</v>
      </c>
      <c r="S10" s="285">
        <f>SoilDepth</f>
        <v>15</v>
      </c>
      <c r="T10" s="286">
        <f ca="1">OFFSET(DPMtoRPM,0,MATCH('Inputs - Crops and manures'!D4,LandUseTypes,0))</f>
        <v>0.25</v>
      </c>
      <c r="U10" s="287">
        <f ca="1">OFFSET(TotDefPI,0,MATCH('Inputs - Crops and manures'!D4,LandUseTypes,0))</f>
        <v>12</v>
      </c>
      <c r="V10" s="288">
        <f>10/12</f>
        <v>0.83333333333333337</v>
      </c>
      <c r="W10" s="289">
        <f>0.3/12</f>
        <v>2.4999999999999998E-2</v>
      </c>
      <c r="X10" s="290">
        <f>0.66/12</f>
        <v>5.5E-2</v>
      </c>
      <c r="Y10" s="291">
        <f>0.02/12</f>
        <v>1.6666666666666668E-3</v>
      </c>
      <c r="Z10" s="287">
        <f>(1/(1+1.67*(1.85+1.6*EXP(-0.0786*(PercentClay)))))-(AA10)</f>
        <v>8.2467456956722363E-2</v>
      </c>
      <c r="AA10" s="287">
        <f>(1/(1+1.67*(1.85+1.6*EXP(-0.0786*(PercentClay)))))/(1+0.85)</f>
        <v>9.7020537596143958E-2</v>
      </c>
      <c r="AB10" s="292">
        <f>1-Z10-AA10</f>
        <v>0.82051200544713376</v>
      </c>
      <c r="AC10" s="241"/>
      <c r="AD10" s="241"/>
      <c r="AE10" s="26"/>
      <c r="AF10" s="26"/>
      <c r="AG10" s="26"/>
      <c r="AH10" s="26"/>
      <c r="AI10" s="26"/>
      <c r="AJ10" s="26"/>
      <c r="AK10" s="415"/>
      <c r="AU10" s="1"/>
    </row>
    <row r="11" spans="1:47" x14ac:dyDescent="0.25">
      <c r="B11" s="10"/>
      <c r="C11" s="11" t="s">
        <v>54</v>
      </c>
      <c r="D11" s="98"/>
      <c r="E11" s="98"/>
      <c r="F11" s="99"/>
      <c r="G11" s="35"/>
      <c r="H11" s="35"/>
      <c r="I11" s="33"/>
      <c r="J11" s="33"/>
      <c r="K11" s="33"/>
      <c r="L11" s="33"/>
      <c r="M11" s="420"/>
      <c r="N11" s="421"/>
      <c r="O11" s="100"/>
      <c r="P11" s="100"/>
      <c r="Q11" s="364"/>
      <c r="R11" s="101"/>
      <c r="S11" s="101"/>
      <c r="T11" s="365"/>
      <c r="U11" s="35"/>
      <c r="V11" s="35"/>
      <c r="W11" s="366"/>
      <c r="X11" s="385"/>
      <c r="Y11" s="102"/>
      <c r="Z11" s="386"/>
      <c r="AA11" s="103"/>
      <c r="AB11" s="104"/>
      <c r="AC11" s="104"/>
      <c r="AD11" s="367"/>
      <c r="AE11" s="103"/>
      <c r="AF11" s="366"/>
      <c r="AG11" s="440" t="s">
        <v>61</v>
      </c>
      <c r="AH11" s="441"/>
      <c r="AI11" s="442"/>
      <c r="AJ11" s="430" t="s">
        <v>157</v>
      </c>
      <c r="AK11" s="415"/>
      <c r="AU11" s="1"/>
    </row>
    <row r="12" spans="1:47" x14ac:dyDescent="0.25">
      <c r="B12" s="105"/>
      <c r="C12" s="106"/>
      <c r="D12" s="107"/>
      <c r="E12" s="107"/>
      <c r="F12" s="108"/>
      <c r="G12" s="108" t="s">
        <v>55</v>
      </c>
      <c r="H12" s="108"/>
      <c r="I12" s="108"/>
      <c r="J12" s="108"/>
      <c r="K12" s="108"/>
      <c r="L12" s="108"/>
      <c r="M12" s="432" t="s">
        <v>5</v>
      </c>
      <c r="N12" s="439"/>
      <c r="O12" s="439"/>
      <c r="P12" s="439"/>
      <c r="Q12" s="433"/>
      <c r="R12" s="432" t="s">
        <v>56</v>
      </c>
      <c r="S12" s="439"/>
      <c r="T12" s="433"/>
      <c r="U12" s="432" t="s">
        <v>57</v>
      </c>
      <c r="V12" s="439"/>
      <c r="W12" s="433"/>
      <c r="X12" s="432" t="s">
        <v>58</v>
      </c>
      <c r="Y12" s="439"/>
      <c r="Z12" s="433"/>
      <c r="AA12" s="439" t="s">
        <v>59</v>
      </c>
      <c r="AB12" s="439"/>
      <c r="AC12" s="439"/>
      <c r="AD12" s="433"/>
      <c r="AE12" s="432" t="s">
        <v>60</v>
      </c>
      <c r="AF12" s="433"/>
      <c r="AG12" s="432"/>
      <c r="AH12" s="439"/>
      <c r="AI12" s="433"/>
      <c r="AJ12" s="431"/>
      <c r="AK12" s="415"/>
      <c r="AU12" s="1"/>
    </row>
    <row r="13" spans="1:47" x14ac:dyDescent="0.25">
      <c r="B13" s="10"/>
      <c r="C13" s="109"/>
      <c r="D13" s="18"/>
      <c r="E13" s="18"/>
      <c r="F13" s="33"/>
      <c r="G13" s="279" t="s">
        <v>120</v>
      </c>
      <c r="H13" s="279"/>
      <c r="I13" s="279"/>
      <c r="J13" s="279"/>
      <c r="K13" s="279"/>
      <c r="L13" s="279"/>
      <c r="M13" s="110">
        <f ca="1">PI_Def</f>
        <v>12</v>
      </c>
      <c r="N13" s="111"/>
      <c r="O13" s="18"/>
      <c r="P13" s="18"/>
      <c r="Q13" s="18"/>
      <c r="R13" s="17"/>
      <c r="S13" s="111">
        <v>0</v>
      </c>
      <c r="T13" s="205"/>
      <c r="U13" s="18"/>
      <c r="V13" s="111">
        <v>0</v>
      </c>
      <c r="W13" s="205"/>
      <c r="X13" s="17"/>
      <c r="Y13" s="111">
        <v>0</v>
      </c>
      <c r="Z13" s="205"/>
      <c r="AA13" s="111">
        <v>0</v>
      </c>
      <c r="AB13" s="18"/>
      <c r="AC13" s="18"/>
      <c r="AD13" s="205"/>
      <c r="AE13" s="111">
        <f>$R$10</f>
        <v>5.4388303910895042</v>
      </c>
      <c r="AF13" s="112"/>
      <c r="AG13" s="110">
        <f>SUM(R13:AE13)</f>
        <v>5.4388303910895042</v>
      </c>
      <c r="AH13" s="19"/>
      <c r="AI13" s="390"/>
      <c r="AJ13" s="19"/>
      <c r="AK13" s="415"/>
      <c r="AU13" s="1"/>
    </row>
    <row r="14" spans="1:47" ht="23.25" customHeight="1" x14ac:dyDescent="0.25">
      <c r="B14" s="10"/>
      <c r="C14" s="109"/>
      <c r="D14" s="18"/>
      <c r="E14" s="18"/>
      <c r="F14" s="33"/>
      <c r="G14" s="279" t="s">
        <v>62</v>
      </c>
      <c r="H14" s="279"/>
      <c r="I14" s="279">
        <v>0.16991324088206897</v>
      </c>
      <c r="J14" s="279"/>
      <c r="K14" s="279"/>
      <c r="L14" s="279"/>
      <c r="M14" s="110">
        <v>3.0417370542384772</v>
      </c>
      <c r="N14" s="111"/>
      <c r="O14" s="18"/>
      <c r="P14" s="42"/>
      <c r="Q14" s="18"/>
      <c r="R14" s="17"/>
      <c r="S14" s="111">
        <v>0.17230800073270203</v>
      </c>
      <c r="T14" s="205"/>
      <c r="U14" s="18"/>
      <c r="V14" s="111">
        <v>15.688586141751999</v>
      </c>
      <c r="W14" s="205"/>
      <c r="X14" s="17"/>
      <c r="Y14" s="111">
        <v>9.3930279496117087E-6</v>
      </c>
      <c r="Z14" s="205"/>
      <c r="AA14" s="111">
        <v>40.239630716105481</v>
      </c>
      <c r="AB14" s="18"/>
      <c r="AC14" s="18"/>
      <c r="AD14" s="205"/>
      <c r="AE14" s="111">
        <v>6.3847072090583081</v>
      </c>
      <c r="AF14" s="112"/>
      <c r="AG14" s="110">
        <v>62.474754222490681</v>
      </c>
      <c r="AH14" s="19"/>
      <c r="AI14" s="390"/>
      <c r="AJ14" s="19"/>
      <c r="AK14" s="415"/>
      <c r="AU14" s="1"/>
    </row>
    <row r="15" spans="1:47" ht="15.75" thickBot="1" x14ac:dyDescent="0.3">
      <c r="B15" s="113"/>
      <c r="C15" s="294"/>
      <c r="D15" s="295"/>
      <c r="E15" s="295"/>
      <c r="F15" s="301"/>
      <c r="G15" s="299" t="s">
        <v>132</v>
      </c>
      <c r="H15" s="299"/>
      <c r="I15" s="299">
        <f ca="1">MAX(J18:J1302)</f>
        <v>0.30939584494293049</v>
      </c>
      <c r="J15" s="299"/>
      <c r="K15" s="299"/>
      <c r="L15" s="418"/>
      <c r="M15" s="298">
        <f ca="1">M14*Q10/AG18</f>
        <v>3.0417405497328232</v>
      </c>
      <c r="N15" s="296"/>
      <c r="O15" s="296"/>
      <c r="P15" s="296"/>
      <c r="Q15" s="296"/>
      <c r="R15" s="302"/>
      <c r="S15" s="296">
        <f ca="1">R18</f>
        <v>0.17230786588959235</v>
      </c>
      <c r="T15" s="300"/>
      <c r="U15" s="297"/>
      <c r="V15" s="296">
        <f ca="1">U18</f>
        <v>16.705315244579914</v>
      </c>
      <c r="W15" s="300"/>
      <c r="X15" s="387"/>
      <c r="Y15" s="388">
        <f ca="1">X18</f>
        <v>1.809697676743305E-4</v>
      </c>
      <c r="Z15" s="389"/>
      <c r="AA15" s="296">
        <f ca="1">AA18</f>
        <v>39.212416915952254</v>
      </c>
      <c r="AB15" s="296"/>
      <c r="AC15" s="296"/>
      <c r="AD15" s="300"/>
      <c r="AE15" s="298">
        <f ca="1">AE18</f>
        <v>6.3847072090583081</v>
      </c>
      <c r="AF15" s="296"/>
      <c r="AG15" s="391">
        <f ca="1">SUM(S15,V15,Y15,AA15,AE15)</f>
        <v>62.474928205247735</v>
      </c>
      <c r="AH15" s="392"/>
      <c r="AI15" s="393"/>
      <c r="AJ15" s="392"/>
      <c r="AK15" s="415"/>
      <c r="AU15" s="1"/>
    </row>
    <row r="16" spans="1:47" x14ac:dyDescent="0.25">
      <c r="B16" s="10"/>
      <c r="C16" s="347"/>
      <c r="D16" s="348"/>
      <c r="E16" s="349"/>
      <c r="F16" s="350" t="s">
        <v>48</v>
      </c>
      <c r="G16" s="351"/>
      <c r="H16" s="351"/>
      <c r="I16" s="351"/>
      <c r="J16" s="351"/>
      <c r="K16" s="351"/>
      <c r="L16" s="417"/>
      <c r="M16" s="352"/>
      <c r="N16" s="352"/>
      <c r="O16" s="353"/>
      <c r="P16" s="353"/>
      <c r="Q16" s="353"/>
      <c r="R16" s="443" t="s">
        <v>56</v>
      </c>
      <c r="S16" s="445"/>
      <c r="T16" s="444"/>
      <c r="U16" s="443" t="s">
        <v>57</v>
      </c>
      <c r="V16" s="445"/>
      <c r="W16" s="444"/>
      <c r="X16" s="443" t="s">
        <v>58</v>
      </c>
      <c r="Y16" s="445"/>
      <c r="Z16" s="444"/>
      <c r="AA16" s="443" t="s">
        <v>59</v>
      </c>
      <c r="AB16" s="445"/>
      <c r="AC16" s="445"/>
      <c r="AD16" s="444"/>
      <c r="AE16" s="443" t="s">
        <v>60</v>
      </c>
      <c r="AF16" s="444"/>
      <c r="AG16" s="350" t="s">
        <v>61</v>
      </c>
      <c r="AH16" s="351"/>
      <c r="AI16" s="400"/>
      <c r="AJ16" s="381"/>
      <c r="AU16" s="1"/>
    </row>
    <row r="17" spans="2:47" ht="60" x14ac:dyDescent="0.25">
      <c r="B17" s="44"/>
      <c r="C17" s="94" t="s">
        <v>49</v>
      </c>
      <c r="D17" s="20" t="s">
        <v>141</v>
      </c>
      <c r="E17" s="264" t="s">
        <v>131</v>
      </c>
      <c r="F17" s="356" t="s">
        <v>50</v>
      </c>
      <c r="G17" s="18" t="s">
        <v>51</v>
      </c>
      <c r="H17" s="18" t="s">
        <v>154</v>
      </c>
      <c r="I17" s="18" t="s">
        <v>160</v>
      </c>
      <c r="J17" s="18" t="s">
        <v>167</v>
      </c>
      <c r="K17" s="18" t="s">
        <v>166</v>
      </c>
      <c r="L17" s="357" t="s">
        <v>173</v>
      </c>
      <c r="M17" s="18" t="s">
        <v>52</v>
      </c>
      <c r="N17" s="18" t="s">
        <v>123</v>
      </c>
      <c r="O17" s="18" t="s">
        <v>119</v>
      </c>
      <c r="P17" s="18" t="s">
        <v>125</v>
      </c>
      <c r="Q17" s="18" t="s">
        <v>124</v>
      </c>
      <c r="R17" s="17" t="s">
        <v>97</v>
      </c>
      <c r="S17" s="18" t="s">
        <v>98</v>
      </c>
      <c r="T17" s="357" t="s">
        <v>99</v>
      </c>
      <c r="U17" s="18" t="s">
        <v>97</v>
      </c>
      <c r="V17" s="18" t="s">
        <v>98</v>
      </c>
      <c r="W17" s="205" t="s">
        <v>99</v>
      </c>
      <c r="X17" s="18" t="s">
        <v>97</v>
      </c>
      <c r="Y17" s="18" t="s">
        <v>100</v>
      </c>
      <c r="Z17" s="205" t="s">
        <v>99</v>
      </c>
      <c r="AA17" s="18" t="s">
        <v>101</v>
      </c>
      <c r="AB17" s="18" t="s">
        <v>98</v>
      </c>
      <c r="AC17" s="18" t="s">
        <v>53</v>
      </c>
      <c r="AD17" s="205" t="s">
        <v>102</v>
      </c>
      <c r="AE17" s="18" t="s">
        <v>97</v>
      </c>
      <c r="AF17" s="18" t="s">
        <v>103</v>
      </c>
      <c r="AG17" s="17" t="s">
        <v>104</v>
      </c>
      <c r="AH17" s="18" t="s">
        <v>105</v>
      </c>
      <c r="AI17" s="357" t="s">
        <v>140</v>
      </c>
      <c r="AJ17" s="382" t="s">
        <v>159</v>
      </c>
      <c r="AU17" s="1"/>
    </row>
    <row r="18" spans="2:47" ht="18.95" customHeight="1" x14ac:dyDescent="0.25">
      <c r="B18" s="44"/>
      <c r="C18" s="208">
        <v>0</v>
      </c>
      <c r="D18" s="211">
        <v>1</v>
      </c>
      <c r="E18" s="263"/>
      <c r="F18" s="355">
        <f ca="1">OFFSET(Temperature,(C18)*12+D18,0)</f>
        <v>-1.95</v>
      </c>
      <c r="G18" s="371">
        <f ca="1">MIN(MAX(G90+OFFSET(Rainfall,(C18)*12+D18,0)-OFFSET(PET,(C18)*12+D18,0),PWP),FC)</f>
        <v>55.530150000000006</v>
      </c>
      <c r="H18" s="371">
        <f t="shared" ref="H18:H81" ca="1" si="0">FC-G18</f>
        <v>0</v>
      </c>
      <c r="I18" s="210">
        <f ca="1">PRODUCT(47.91/(1+EXP(106.06/(F18+18.27))), IF(IF(H18&lt;=0,1-((1-RM_PWP)*(G18-FC)/(WSAT-FC)),IF(H18&lt;=Wat1bar,1,1-((1-RM_PWP)*(H18-Wat1bar)/(FC-Wat1bar))))&lt;=RM_PWP,RM_PWP,IF(H18&lt;=0,1-((1-RM_PWP)*(G18-FC)/(WSAT-FC)),IF(H18&lt;=Wat1bar,1,1-((1-RM_PWP)*(H18-Wat1bar)/(FC-Wat1bar))))),0.56+(ATAN(3.14*0.45*(SoilpH-5)))/3.14,EXP(-0.09*SoilSal))</f>
        <v>4.9520168240905695E-2</v>
      </c>
      <c r="J18" s="210">
        <f ca="1">POWER(((G18/150)-$J$9),$M$9)*POWER(($L$9-(G18/150)),$N$9)</f>
        <v>0.29595601705647312</v>
      </c>
      <c r="K18" s="210">
        <f ca="1">J18/$I$15</f>
        <v>0.95656105889548582</v>
      </c>
      <c r="L18" s="360">
        <f ca="1">1/(1+EXP(-(F18-3.8)/6.7))+1/(1+EXP((F18-62.2)/7.1))-1</f>
        <v>0.2975945562037734</v>
      </c>
      <c r="M18" s="209">
        <f ca="1">IF(PI_Def&gt;0,PI*OFFSET(PI_Month,D18,MATCH(OFFSET(LandUse,C18+1,0),LandUseTypes,0))/PI_Def,0)</f>
        <v>0.25347808785320641</v>
      </c>
      <c r="N18" s="210">
        <f ca="1">OFFSET(DPMtoRPM,0,MATCH(OFFSET(LandUse,C18+1,0),LandUseTypes,0))</f>
        <v>0.25</v>
      </c>
      <c r="O18" s="210">
        <f ca="1">IF(D18=OFFSET(OWAppDate,C18+1,0),OFFSET(OW_DM,0,MATCH(OFFSET(OWType,C19+1,0),OrgWasteTypes,0))*OFFSET(OW_pC,0,MATCH(OFFSET(OWType,C19+1,0),OrgWasteTypes,0))*OFFSET(OWAmount,C18+1,0),0)+IF(D18=OFFSET(OWAppDate2,C18+1,0),OFFSET(OW_DM,0,MATCH(OFFSET(OWType2,C19+1,0),OrgWasteTypes,0))*OFFSET(OW_pC,0,MATCH(OFFSET(OWType2,C19+1,0),OrgWasteTypes,0))*OFFSET(OWAmount2,C18+1,0),0)</f>
        <v>0</v>
      </c>
      <c r="P18" s="211" t="str">
        <f t="shared" ref="P18:P49" ca="1" si="1">IF(O18&gt;0,OFFSET(OW_DPMtoHUM,0,MATCH(OFFSET(OWType,C18+6+1,0),OW_Types,0)),IF(O18&gt;0,OFFSET(OW_DPMtoHUM,0,MATCH(OFFSET(OWType2,C18+6+1,0),OW_Types,0)),""))</f>
        <v/>
      </c>
      <c r="Q18" s="244" t="str">
        <f t="shared" ref="Q18:Q49" ca="1" si="2">IF(O18&gt;0,OFFSET(OW_pIOM,0,MATCH(OFFSET(OWType,C18+6+1,0),OW_Types,0)),IF(O18&gt;0,OFFSET(OW_pIOM,0,MATCH(OFFSET(OWType2,C18+6+1,0),OW_Types,0)),""))</f>
        <v/>
      </c>
      <c r="R18" s="209">
        <f ca="1">R1242+S18-T1242</f>
        <v>0.17230786588959235</v>
      </c>
      <c r="S18" s="210">
        <f t="shared" ref="S18:S81" ca="1" si="3">M18*N18/(1+N18) +   IF(O18&gt;0,O18*P18*(1-Q18)/(1+P18),0)</f>
        <v>5.0695617570641283E-2</v>
      </c>
      <c r="T18" s="377">
        <f t="shared" ref="T18:T81" ca="1" si="4">R18*(1-EXP(-kDPM*I18))</f>
        <v>6.9658771532238204E-3</v>
      </c>
      <c r="U18" s="210">
        <f ca="1">U1242+V18-W1242</f>
        <v>16.705315244579914</v>
      </c>
      <c r="V18" s="210">
        <f t="shared" ref="V18:V81" ca="1" si="5">M18*1/(1+N18)</f>
        <v>0.20278247028256513</v>
      </c>
      <c r="W18" s="380">
        <f t="shared" ref="W18:W81" ca="1" si="6">U18*(1-EXP(-kRPM*I18))</f>
        <v>2.0668454079382843E-2</v>
      </c>
      <c r="X18" s="210">
        <f ca="1">0.53*(1-(EXP(-$AJ$9*R18*L18)))</f>
        <v>1.809697676743305E-4</v>
      </c>
      <c r="Y18" s="210">
        <f t="shared" ref="Y18:Y81" ca="1" si="7">pBIO*(T18+W18+Z18+AD18)</f>
        <v>2.5458555335480695E-3</v>
      </c>
      <c r="Z18" s="380">
        <f t="shared" ref="Z18:Z81" ca="1" si="8">X18*(1-EXP(-kBIO*I18))</f>
        <v>4.9222032160889794E-7</v>
      </c>
      <c r="AA18" s="210">
        <f ca="1">AA1242+AC1242+AB18-AD1242</f>
        <v>39.212416915952254</v>
      </c>
      <c r="AB18" s="210">
        <f t="shared" ref="AB18:AB81" ca="1" si="9">IF(O18&gt;0,O18*(1-Q18)/(1+P18),0)</f>
        <v>0</v>
      </c>
      <c r="AC18" s="210" cm="1">
        <f t="array" aca="1" ref="AC18" ca="1">pHUM*(T18+W18+Z18+AD18)</f>
        <v>2.9951241571153763E-3</v>
      </c>
      <c r="AD18" s="380">
        <f t="shared" ref="AD18:AD81" ca="1" si="10">AA18*(1-EXP(-kHUM*I18))</f>
        <v>3.2362089215039222E-3</v>
      </c>
      <c r="AE18" s="210">
        <f ca="1">AE1242+AF18</f>
        <v>6.3847072090583081</v>
      </c>
      <c r="AF18" s="210">
        <f t="shared" ref="AF18:AF81" ca="1" si="11">IF(O18&gt;0,O18*Q18,0)</f>
        <v>0</v>
      </c>
      <c r="AG18" s="209">
        <f t="shared" ref="AG18:AG81" ca="1" si="12">R18+U18+X18+AA18+AE18</f>
        <v>62.474928205247735</v>
      </c>
      <c r="AH18" s="210">
        <f t="shared" ref="AH18:AH81" ca="1" si="13">p_CO2*(T18+W18+Z18+AD18)</f>
        <v>2.5330052683768752E-2</v>
      </c>
      <c r="AI18" s="380">
        <f t="shared" ref="AI18:AI81" ca="1" si="14">((kRPM*U18)+(kDPM*R18)+(kBIO*X18)+(kHUM*AA18))/(U18+R18+AA18+X18)</f>
        <v>1.1171051562247696E-2</v>
      </c>
      <c r="AJ18" s="383">
        <f ca="1">(530)*(1-EXP((-$AJ$9*L18*AI18)))</f>
        <v>1.1734492991136714E-2</v>
      </c>
      <c r="AU18" s="1"/>
    </row>
    <row r="19" spans="2:47" x14ac:dyDescent="0.25">
      <c r="B19" s="44"/>
      <c r="C19" s="95">
        <v>-6</v>
      </c>
      <c r="D19" s="71">
        <v>1</v>
      </c>
      <c r="E19" s="277">
        <f t="shared" ref="E19:E82" ca="1" si="15">IF(OFFSET(MeasMon,C19+6+1,0)=D19,OFFSET(MeasC,C19+6+1,0),-999)</f>
        <v>-999</v>
      </c>
      <c r="F19" s="237">
        <f t="shared" ref="F19:F82" ca="1" si="16">OFFSET(Temperature,(C19+6)*12+D19,0)</f>
        <v>-1.95</v>
      </c>
      <c r="G19" s="207">
        <f>FC</f>
        <v>55.530150000000006</v>
      </c>
      <c r="H19" s="204">
        <v>21.647550000000003</v>
      </c>
      <c r="I19" s="45">
        <f t="shared" ref="I19:I81" ca="1" si="17">PRODUCT(47.91/(1+EXP(106.06/(F19+18.27))), IF(IF(H19&lt;=0,1-((1-RM_PWP)*(G19-FC)/(WSAT-FC)),IF(H19&lt;=Wat1bar,1,1-((1-RM_PWP)*(H19-Wat1bar)/(FC-Wat1bar))))&lt;=RM_PWP,RM_PWP,IF(H19&lt;=0,1-((1-RM_PWP)*(G19-FC)/(WSAT-FC)),IF(H19&lt;=Wat1bar,1,1-((1-RM_PWP)*(H19-Wat1bar)/(FC-Wat1bar))))),0.56+(ATAN(3.14*0.45*(SoilpH-5)))/3.14,EXP(-0.09*SoilSal))</f>
        <v>3.9140105629129354E-2</v>
      </c>
      <c r="J19" s="45">
        <f t="shared" ref="J19:J81" si="18">POWER(((G19/150)-$J$9),$M$9)*POWER(($L$9-(G19/150)),$N$9)</f>
        <v>0.29595601705647312</v>
      </c>
      <c r="K19" s="45">
        <f ca="1">J19/$I$15</f>
        <v>0.95656105889548582</v>
      </c>
      <c r="L19" s="358">
        <f t="shared" ref="L19:L81" ca="1" si="19">1/(1+EXP(-(F19-3.8)/6.7))+1/(1+EXP((F19-62.2)/7.1))-1</f>
        <v>0.2975945562037734</v>
      </c>
      <c r="M19" s="361">
        <f t="shared" ref="M19:M50" ca="1" si="20">IF(PI_Def&gt;0,PI*OFFSET(PI_Month,D19,MATCH(OFFSET(LandUse,C19+6+1,0),LandUseTypes,0))/PI_Def,0)</f>
        <v>0.25347808785320641</v>
      </c>
      <c r="N19" s="359">
        <f t="shared" ref="N19:N50" ca="1" si="21">OFFSET(DPMtoRPM,0,MATCH(OFFSET(LandUse,C19+6+1,0),LandUseTypes,0))</f>
        <v>0.25</v>
      </c>
      <c r="O19" s="238">
        <f t="shared" ref="O19:O50" ca="1" si="22">IF(D19=OFFSET(OWAppDate,C19+6+1,0),OFFSET(OW_DM,0,MATCH(OFFSET(OWType,C20+6+1,0),OrgWasteTypes,0))*OFFSET(OW_pC,0,MATCH(OFFSET(OWType,C20+6+1,0),OrgWasteTypes,0))*OFFSET(OWAmount,C19+6+1,0),0)+IF(D19=OFFSET(OWAppDate2,C19+6+1,0),OFFSET(OW_DM,0,MATCH(OFFSET(OWType2,C20+6+1,0),OrgWasteTypes,0))*OFFSET(OW_pC,0,MATCH(OFFSET(OWType2,C20+6+1,0),OrgWasteTypes,0))*OFFSET(OWAmount2,C19+6+1,0),0)</f>
        <v>0</v>
      </c>
      <c r="P19" s="207" t="str">
        <f t="shared" ca="1" si="1"/>
        <v/>
      </c>
      <c r="Q19" s="242" t="str">
        <f t="shared" ca="1" si="2"/>
        <v/>
      </c>
      <c r="R19" s="238">
        <f>S14</f>
        <v>0.17230800073270203</v>
      </c>
      <c r="S19" s="72">
        <f t="shared" ca="1" si="3"/>
        <v>5.0695617570641283E-2</v>
      </c>
      <c r="T19" s="373">
        <f t="shared" ca="1" si="4"/>
        <v>5.5294610515316525E-3</v>
      </c>
      <c r="U19" s="72">
        <f>V14</f>
        <v>15.688586141751999</v>
      </c>
      <c r="V19" s="72">
        <f t="shared" ca="1" si="5"/>
        <v>0.20278247028256513</v>
      </c>
      <c r="W19" s="373">
        <f t="shared" ca="1" si="6"/>
        <v>1.5343814763098148E-2</v>
      </c>
      <c r="X19" s="238">
        <f>Y14</f>
        <v>9.3930279496117087E-6</v>
      </c>
      <c r="Y19" s="72">
        <f t="shared" ca="1" si="7"/>
        <v>1.937835372429547E-3</v>
      </c>
      <c r="Z19" s="373">
        <f t="shared" ca="1" si="8"/>
        <v>2.0198677131785013E-8</v>
      </c>
      <c r="AA19" s="238">
        <f>AA14</f>
        <v>40.239630716105481</v>
      </c>
      <c r="AB19" s="72">
        <f t="shared" ca="1" si="9"/>
        <v>0</v>
      </c>
      <c r="AC19" s="72" cm="1">
        <f t="array" aca="1" ref="AC19" ca="1">pHUM*(T19+W19+Z19+AD19)</f>
        <v>2.2798063205053494E-3</v>
      </c>
      <c r="AD19" s="373">
        <f t="shared" ca="1" si="10"/>
        <v>2.6248867116253133E-3</v>
      </c>
      <c r="AE19" s="238">
        <f>AE14</f>
        <v>6.3847072090583081</v>
      </c>
      <c r="AF19" s="72">
        <f t="shared" ca="1" si="11"/>
        <v>0</v>
      </c>
      <c r="AG19" s="73">
        <f t="shared" si="12"/>
        <v>62.485241460676434</v>
      </c>
      <c r="AH19" s="72">
        <f t="shared" ca="1" si="13"/>
        <v>1.9280541031997351E-2</v>
      </c>
      <c r="AI19" s="77">
        <f t="shared" si="14"/>
        <v>1.0746265254096801E-2</v>
      </c>
      <c r="AJ19" s="384">
        <f t="shared" ref="AJ19:AJ82" ca="1" si="23">(530)*(1-EXP((-$AJ$9*L19*K19*AI19)))</f>
        <v>1.0797940012725604E-2</v>
      </c>
      <c r="AU19" s="1"/>
    </row>
    <row r="20" spans="2:47" x14ac:dyDescent="0.25">
      <c r="B20" s="44"/>
      <c r="C20" s="10">
        <f>IF(D20=1,C19+1,C19)</f>
        <v>-6</v>
      </c>
      <c r="D20" s="91">
        <f>IF(D19+1&lt;13,D19+1,1)</f>
        <v>2</v>
      </c>
      <c r="E20" s="278">
        <f t="shared" ca="1" si="15"/>
        <v>-999</v>
      </c>
      <c r="F20" s="76">
        <f t="shared" ca="1" si="16"/>
        <v>-3.96</v>
      </c>
      <c r="G20" s="204">
        <f ca="1">MIN(MAX(G19+OFFSET(Rainfall,(C20+6)*12+D20,0)-OFFSET(PET,(C20+6)*12+D20,0),PWP),FC)</f>
        <v>55.530150000000006</v>
      </c>
      <c r="H20" s="204">
        <v>21.647550000000003</v>
      </c>
      <c r="I20" s="45">
        <f t="shared" ca="1" si="17"/>
        <v>1.5724531697738901E-2</v>
      </c>
      <c r="J20" s="45">
        <f t="shared" ca="1" si="18"/>
        <v>0.29595601705647312</v>
      </c>
      <c r="K20" s="45">
        <f t="shared" ref="K20:K83" ca="1" si="24">J20/$I$15</f>
        <v>0.95656105889548582</v>
      </c>
      <c r="L20" s="358">
        <f t="shared" ca="1" si="19"/>
        <v>0.23890312219688825</v>
      </c>
      <c r="M20" s="76">
        <f t="shared" ca="1" si="20"/>
        <v>0.25347808785320641</v>
      </c>
      <c r="N20" s="45">
        <f t="shared" ca="1" si="21"/>
        <v>0.25</v>
      </c>
      <c r="O20" s="45">
        <f t="shared" ca="1" si="22"/>
        <v>0</v>
      </c>
      <c r="P20" s="46" t="str">
        <f t="shared" ca="1" si="1"/>
        <v/>
      </c>
      <c r="Q20" s="243" t="str">
        <f t="shared" ca="1" si="2"/>
        <v/>
      </c>
      <c r="R20" s="97">
        <f t="shared" ref="R20:R83" ca="1" si="25">R19+S20-T19</f>
        <v>0.21747415725181166</v>
      </c>
      <c r="S20" s="45">
        <f t="shared" ca="1" si="3"/>
        <v>5.0695617570641283E-2</v>
      </c>
      <c r="T20" s="77">
        <f t="shared" ca="1" si="4"/>
        <v>2.8311428899734209E-3</v>
      </c>
      <c r="U20" s="45">
        <f t="shared" ref="U20:U83" ca="1" si="26">U19+V20-W19</f>
        <v>15.876024797271468</v>
      </c>
      <c r="V20" s="45">
        <f t="shared" ca="1" si="5"/>
        <v>0.20278247028256513</v>
      </c>
      <c r="W20" s="77">
        <f t="shared" ca="1" si="6"/>
        <v>6.2398498146584713E-3</v>
      </c>
      <c r="X20" s="97">
        <f t="shared" ref="X20:X83" ca="1" si="27">X19+Y19-Z19</f>
        <v>1.947208201702027E-3</v>
      </c>
      <c r="Y20" s="45">
        <f t="shared" ca="1" si="7"/>
        <v>8.3516734972952653E-4</v>
      </c>
      <c r="Z20" s="77">
        <f t="shared" ca="1" si="8"/>
        <v>1.6833135287995218E-6</v>
      </c>
      <c r="AA20" s="97">
        <f t="shared" ref="AA20:AA83" ca="1" si="28">AA19+AC19+AB20-AD19</f>
        <v>40.239285635714367</v>
      </c>
      <c r="AB20" s="45">
        <f t="shared" ca="1" si="9"/>
        <v>0</v>
      </c>
      <c r="AC20" s="45" cm="1">
        <f t="array" aca="1" ref="AC20" ca="1">pHUM*(T20+W20+Z20+AD20)</f>
        <v>9.8254982321120763E-4</v>
      </c>
      <c r="AD20" s="77">
        <f t="shared" ca="1" si="10"/>
        <v>1.0545593853489548E-3</v>
      </c>
      <c r="AE20" s="97">
        <f t="shared" ref="AE20:AE83" ca="1" si="29">AE19+AF20</f>
        <v>6.3847072090583081</v>
      </c>
      <c r="AF20" s="45">
        <f t="shared" ca="1" si="11"/>
        <v>0</v>
      </c>
      <c r="AG20" s="76">
        <f t="shared" ca="1" si="12"/>
        <v>62.719439007497655</v>
      </c>
      <c r="AH20" s="45">
        <f t="shared" ca="1" si="13"/>
        <v>8.309518230568913E-3</v>
      </c>
      <c r="AI20" s="77">
        <f t="shared" ca="1" si="14"/>
        <v>1.1454774634017E-2</v>
      </c>
      <c r="AJ20" s="384">
        <f t="shared" ca="1" si="23"/>
        <v>9.2399024180289668E-3</v>
      </c>
      <c r="AK20" s="369"/>
      <c r="AU20" s="1"/>
    </row>
    <row r="21" spans="2:47" x14ac:dyDescent="0.25">
      <c r="B21" s="44"/>
      <c r="C21" s="10">
        <f t="shared" ref="C21:C84" si="30">IF(D21=1,C20+1,C20)</f>
        <v>-6</v>
      </c>
      <c r="D21" s="91">
        <f t="shared" ref="D21:D84" si="31">IF(D20+1&lt;13,D20+1,1)</f>
        <v>3</v>
      </c>
      <c r="E21" s="278">
        <f t="shared" ca="1" si="15"/>
        <v>-999</v>
      </c>
      <c r="F21" s="76">
        <f t="shared" ca="1" si="16"/>
        <v>-0.17</v>
      </c>
      <c r="G21" s="46">
        <f ca="1">MIN(MAX(G20+OFFSET(Rainfall,(C21+6)*12+D21,0)-OFFSET(PET,(C21+6)*12+D21,0),PWP),FC)</f>
        <v>55.530150000000006</v>
      </c>
      <c r="H21" s="46">
        <f t="shared" ca="1" si="0"/>
        <v>0</v>
      </c>
      <c r="I21" s="45">
        <f t="shared" ca="1" si="17"/>
        <v>9.370410975494127E-2</v>
      </c>
      <c r="J21" s="45">
        <f t="shared" ca="1" si="18"/>
        <v>0.29595601705647312</v>
      </c>
      <c r="K21" s="45">
        <f t="shared" ca="1" si="24"/>
        <v>0.95656105889548582</v>
      </c>
      <c r="L21" s="358">
        <f t="shared" ca="1" si="19"/>
        <v>0.3558998256647985</v>
      </c>
      <c r="M21" s="76">
        <f t="shared" ca="1" si="20"/>
        <v>0.25347808785320641</v>
      </c>
      <c r="N21" s="45">
        <f t="shared" ca="1" si="21"/>
        <v>0.25</v>
      </c>
      <c r="O21" s="45">
        <f t="shared" ca="1" si="22"/>
        <v>0</v>
      </c>
      <c r="P21" s="46" t="str">
        <f t="shared" ca="1" si="1"/>
        <v/>
      </c>
      <c r="Q21" s="243" t="str">
        <f t="shared" ca="1" si="2"/>
        <v/>
      </c>
      <c r="R21" s="45">
        <f t="shared" ca="1" si="25"/>
        <v>0.26533863193247953</v>
      </c>
      <c r="S21" s="45">
        <f t="shared" ca="1" si="3"/>
        <v>5.0695617570641283E-2</v>
      </c>
      <c r="T21" s="77">
        <f t="shared" ca="1" si="4"/>
        <v>1.9931128426696518E-2</v>
      </c>
      <c r="U21" s="45">
        <f t="shared" ca="1" si="26"/>
        <v>16.072567417739375</v>
      </c>
      <c r="V21" s="45">
        <f t="shared" ca="1" si="5"/>
        <v>0.20278247028256513</v>
      </c>
      <c r="W21" s="77">
        <f t="shared" ca="1" si="6"/>
        <v>3.7607573532885005E-2</v>
      </c>
      <c r="X21" s="45">
        <f t="shared" ca="1" si="27"/>
        <v>2.7806922379027539E-3</v>
      </c>
      <c r="Y21" s="45">
        <f t="shared" ca="1" si="7"/>
        <v>5.2644589528019958E-3</v>
      </c>
      <c r="Z21" s="77">
        <f t="shared" ca="1" si="8"/>
        <v>1.4294060511551088E-5</v>
      </c>
      <c r="AA21" s="45">
        <f t="shared" ca="1" si="28"/>
        <v>40.239213626152228</v>
      </c>
      <c r="AB21" s="45">
        <f t="shared" ca="1" si="9"/>
        <v>0</v>
      </c>
      <c r="AC21" s="45" cm="1">
        <f t="array" aca="1" ref="AC21" ca="1">pHUM*(T21+W21+Z21+AD21)</f>
        <v>6.1934811209435241E-3</v>
      </c>
      <c r="AD21" s="77">
        <f t="shared" ca="1" si="10"/>
        <v>6.2838087884352373E-3</v>
      </c>
      <c r="AE21" s="45">
        <f t="shared" ca="1" si="29"/>
        <v>6.3847072090583081</v>
      </c>
      <c r="AF21" s="45">
        <f t="shared" ca="1" si="11"/>
        <v>0</v>
      </c>
      <c r="AG21" s="76">
        <f t="shared" ca="1" si="12"/>
        <v>62.96460757712029</v>
      </c>
      <c r="AH21" s="45">
        <f t="shared" ca="1" si="13"/>
        <v>5.2378864734782794E-2</v>
      </c>
      <c r="AI21" s="77">
        <f t="shared" ca="1" si="14"/>
        <v>1.2197759304647485E-2</v>
      </c>
      <c r="AJ21" s="384">
        <f t="shared" ca="1" si="23"/>
        <v>1.4657659368050302E-2</v>
      </c>
      <c r="AU21" s="1"/>
    </row>
    <row r="22" spans="2:47" x14ac:dyDescent="0.25">
      <c r="B22" s="44"/>
      <c r="C22" s="10">
        <f t="shared" si="30"/>
        <v>-6</v>
      </c>
      <c r="D22" s="91">
        <f t="shared" si="31"/>
        <v>4</v>
      </c>
      <c r="E22" s="278">
        <f t="shared" ca="1" si="15"/>
        <v>-999</v>
      </c>
      <c r="F22" s="76">
        <f t="shared" ca="1" si="16"/>
        <v>7.19</v>
      </c>
      <c r="G22" s="46">
        <f ca="1">MIN(MAX(G21+OFFSET(Rainfall,(C22+6)*12+D22,0)-OFFSET(PET,(C22+6)*12+D22,0),PWP),FC)</f>
        <v>55.530150000000006</v>
      </c>
      <c r="H22" s="46">
        <f t="shared" ca="1" si="0"/>
        <v>0</v>
      </c>
      <c r="I22" s="45">
        <f t="shared" ca="1" si="17"/>
        <v>0.50346268348015766</v>
      </c>
      <c r="J22" s="45">
        <f t="shared" ca="1" si="18"/>
        <v>0.29595601705647312</v>
      </c>
      <c r="K22" s="45">
        <f t="shared" ca="1" si="24"/>
        <v>0.95656105889548582</v>
      </c>
      <c r="L22" s="358">
        <f t="shared" ca="1" si="19"/>
        <v>0.62342984201021201</v>
      </c>
      <c r="M22" s="76">
        <f t="shared" ca="1" si="20"/>
        <v>0.25347808785320641</v>
      </c>
      <c r="N22" s="45">
        <f t="shared" ca="1" si="21"/>
        <v>0.25</v>
      </c>
      <c r="O22" s="45">
        <f t="shared" ca="1" si="22"/>
        <v>0</v>
      </c>
      <c r="P22" s="46" t="str">
        <f t="shared" ca="1" si="1"/>
        <v/>
      </c>
      <c r="Q22" s="243" t="str">
        <f t="shared" ca="1" si="2"/>
        <v/>
      </c>
      <c r="R22" s="45">
        <f t="shared" ca="1" si="25"/>
        <v>0.29610312107642428</v>
      </c>
      <c r="S22" s="45">
        <f t="shared" ca="1" si="3"/>
        <v>5.0695617570641283E-2</v>
      </c>
      <c r="T22" s="77">
        <f t="shared" ca="1" si="4"/>
        <v>0.10146237347066028</v>
      </c>
      <c r="U22" s="45">
        <f t="shared" ca="1" si="26"/>
        <v>16.237742314489054</v>
      </c>
      <c r="V22" s="45">
        <f t="shared" ca="1" si="5"/>
        <v>0.20278247028256513</v>
      </c>
      <c r="W22" s="77">
        <f t="shared" ca="1" si="6"/>
        <v>0.2030966072119792</v>
      </c>
      <c r="X22" s="45">
        <f t="shared" ca="1" si="27"/>
        <v>8.0308571301931989E-3</v>
      </c>
      <c r="Y22" s="45">
        <f t="shared" ca="1" si="7"/>
        <v>2.7917623611780806E-2</v>
      </c>
      <c r="Z22" s="77">
        <f t="shared" ca="1" si="8"/>
        <v>2.1932737772312213E-4</v>
      </c>
      <c r="AA22" s="45">
        <f ca="1">AA21+AC21+AB22-AD21</f>
        <v>40.239123298484735</v>
      </c>
      <c r="AB22" s="45">
        <f t="shared" ca="1" si="9"/>
        <v>0</v>
      </c>
      <c r="AC22" s="45" cm="1">
        <f t="array" aca="1" ref="AC22" ca="1">pHUM*(T22+W22+Z22+AD22)</f>
        <v>3.2844263072683302E-2</v>
      </c>
      <c r="AD22" s="77">
        <f t="shared" ca="1" si="10"/>
        <v>3.3750666180125212E-2</v>
      </c>
      <c r="AE22" s="45">
        <f t="shared" ca="1" si="29"/>
        <v>6.3847072090583081</v>
      </c>
      <c r="AF22" s="45">
        <f t="shared" ca="1" si="11"/>
        <v>0</v>
      </c>
      <c r="AG22" s="76">
        <f t="shared" ca="1" si="12"/>
        <v>63.165706800238709</v>
      </c>
      <c r="AH22" s="45">
        <f t="shared" ca="1" si="13"/>
        <v>0.27776708755602375</v>
      </c>
      <c r="AI22" s="77">
        <f t="shared" ca="1" si="14"/>
        <v>1.2683874299225059E-2</v>
      </c>
      <c r="AJ22" s="384">
        <f t="shared" ca="1" si="23"/>
        <v>2.669877731963477E-2</v>
      </c>
      <c r="AU22" s="1"/>
    </row>
    <row r="23" spans="2:47" x14ac:dyDescent="0.25">
      <c r="B23" s="44"/>
      <c r="C23" s="10">
        <f t="shared" si="30"/>
        <v>-6</v>
      </c>
      <c r="D23" s="91">
        <f t="shared" si="31"/>
        <v>5</v>
      </c>
      <c r="E23" s="278">
        <f t="shared" ca="1" si="15"/>
        <v>-999</v>
      </c>
      <c r="F23" s="76">
        <f t="shared" ca="1" si="16"/>
        <v>12.4</v>
      </c>
      <c r="G23" s="46">
        <f t="shared" ref="G23" ca="1" si="32">MIN(MAX(G22+OFFSET(Rainfall,(C23+6)*12+D23,0)-OFFSET(PET,(C23+6)*12+D23,0),PWP),FC)</f>
        <v>55.530150000000006</v>
      </c>
      <c r="H23" s="46">
        <f t="shared" ca="1" si="0"/>
        <v>0</v>
      </c>
      <c r="I23" s="45">
        <f t="shared" ca="1" si="17"/>
        <v>1.0058140279353818</v>
      </c>
      <c r="J23" s="45">
        <f t="shared" ca="1" si="18"/>
        <v>0.29595601705647312</v>
      </c>
      <c r="K23" s="45">
        <f t="shared" ca="1" si="24"/>
        <v>0.95656105889548582</v>
      </c>
      <c r="L23" s="358">
        <f t="shared" ca="1" si="19"/>
        <v>0.7821605894903898</v>
      </c>
      <c r="M23" s="76">
        <f t="shared" ca="1" si="20"/>
        <v>0.25347808785320641</v>
      </c>
      <c r="N23" s="45">
        <f t="shared" ca="1" si="21"/>
        <v>0.25</v>
      </c>
      <c r="O23" s="45">
        <f t="shared" ca="1" si="22"/>
        <v>0</v>
      </c>
      <c r="P23" s="46" t="str">
        <f t="shared" ca="1" si="1"/>
        <v/>
      </c>
      <c r="Q23" s="243" t="str">
        <f t="shared" ca="1" si="2"/>
        <v/>
      </c>
      <c r="R23" s="45">
        <f t="shared" ca="1" si="25"/>
        <v>0.24533636517640528</v>
      </c>
      <c r="S23" s="45">
        <f ca="1">M23*N23/(1+N23) +   IF(O23&gt;0,O23*P23*(1-Q23)/(1+P23),0)</f>
        <v>5.0695617570641283E-2</v>
      </c>
      <c r="T23" s="77">
        <f t="shared" ca="1" si="4"/>
        <v>0.1392289606438509</v>
      </c>
      <c r="U23" s="45">
        <f t="shared" ca="1" si="26"/>
        <v>16.237428177559639</v>
      </c>
      <c r="V23" s="45">
        <f t="shared" ca="1" si="5"/>
        <v>0.20278247028256513</v>
      </c>
      <c r="W23" s="77">
        <f t="shared" ca="1" si="6"/>
        <v>0.40320521277542265</v>
      </c>
      <c r="X23" s="45">
        <f t="shared" ca="1" si="27"/>
        <v>3.5729153364250879E-2</v>
      </c>
      <c r="Y23" s="45">
        <f t="shared" ca="1" si="7"/>
        <v>5.0449806909286105E-2</v>
      </c>
      <c r="Z23" s="77">
        <f t="shared" ca="1" si="8"/>
        <v>1.9228523774394953E-3</v>
      </c>
      <c r="AA23" s="45">
        <f t="shared" ca="1" si="28"/>
        <v>40.238216895377292</v>
      </c>
      <c r="AB23" s="45">
        <f t="shared" ca="1" si="9"/>
        <v>0</v>
      </c>
      <c r="AC23" s="45" cm="1">
        <f t="array" aca="1" ref="AC23" ca="1">pHUM*(T23+W23+Z23+AD23)</f>
        <v>5.9352714010924824E-2</v>
      </c>
      <c r="AD23" s="77">
        <f t="shared" ca="1" si="10"/>
        <v>6.7397098448458911E-2</v>
      </c>
      <c r="AE23" s="45">
        <f t="shared" ca="1" si="29"/>
        <v>6.3847072090583081</v>
      </c>
      <c r="AF23" s="45">
        <f t="shared" ca="1" si="11"/>
        <v>0</v>
      </c>
      <c r="AG23" s="76">
        <f t="shared" ca="1" si="12"/>
        <v>63.141417800535891</v>
      </c>
      <c r="AH23" s="45">
        <f t="shared" ca="1" si="13"/>
        <v>0.50195160332496103</v>
      </c>
      <c r="AI23" s="77">
        <f t="shared" ca="1" si="14"/>
        <v>1.1970592844434672E-2</v>
      </c>
      <c r="AJ23" s="384">
        <f t="shared" ca="1" si="23"/>
        <v>3.1612688520121779E-2</v>
      </c>
      <c r="AU23" s="1"/>
    </row>
    <row r="24" spans="2:47" x14ac:dyDescent="0.25">
      <c r="B24" s="44"/>
      <c r="C24" s="10">
        <f t="shared" si="30"/>
        <v>-6</v>
      </c>
      <c r="D24" s="91">
        <f t="shared" si="31"/>
        <v>6</v>
      </c>
      <c r="E24" s="278">
        <f t="shared" ca="1" si="15"/>
        <v>-999</v>
      </c>
      <c r="F24" s="76">
        <f t="shared" ca="1" si="16"/>
        <v>18.09</v>
      </c>
      <c r="G24" s="46">
        <f t="shared" ref="G24" ca="1" si="33">MIN(MAX(G23+OFFSET(Rainfall,(C24+6)*12+D24,0)-OFFSET(PET,(C24+6)*12+D24,0),PWP),FC)</f>
        <v>55.530150000000006</v>
      </c>
      <c r="H24" s="46">
        <f t="shared" ca="1" si="0"/>
        <v>0</v>
      </c>
      <c r="I24" s="45">
        <f t="shared" ca="1" si="17"/>
        <v>1.690924546787852</v>
      </c>
      <c r="J24" s="45">
        <f t="shared" ca="1" si="18"/>
        <v>0.29595601705647312</v>
      </c>
      <c r="K24" s="45">
        <f t="shared" ca="1" si="24"/>
        <v>0.95656105889548582</v>
      </c>
      <c r="L24" s="358">
        <f t="shared" ca="1" si="19"/>
        <v>0.89205406151074618</v>
      </c>
      <c r="M24" s="76">
        <f t="shared" ca="1" si="20"/>
        <v>0.25347808785320641</v>
      </c>
      <c r="N24" s="45">
        <f t="shared" ca="1" si="21"/>
        <v>0.25</v>
      </c>
      <c r="O24" s="45">
        <f t="shared" ca="1" si="22"/>
        <v>0</v>
      </c>
      <c r="P24" s="46" t="str">
        <f t="shared" ca="1" si="1"/>
        <v/>
      </c>
      <c r="Q24" s="243" t="str">
        <f t="shared" ca="1" si="2"/>
        <v/>
      </c>
      <c r="R24" s="45">
        <f t="shared" ca="1" si="25"/>
        <v>0.15680302210319566</v>
      </c>
      <c r="S24" s="45">
        <f t="shared" ca="1" si="3"/>
        <v>5.0695617570641283E-2</v>
      </c>
      <c r="T24" s="77">
        <f t="shared" ca="1" si="4"/>
        <v>0.11848629298732587</v>
      </c>
      <c r="U24" s="45">
        <f t="shared" ca="1" si="26"/>
        <v>16.037005435066781</v>
      </c>
      <c r="V24" s="45">
        <f t="shared" ca="1" si="5"/>
        <v>0.20278247028256513</v>
      </c>
      <c r="W24" s="77">
        <f t="shared" ca="1" si="6"/>
        <v>0.66380475716066989</v>
      </c>
      <c r="X24" s="45">
        <f t="shared" ca="1" si="27"/>
        <v>8.4256107896097485E-2</v>
      </c>
      <c r="Y24" s="45">
        <f t="shared" ca="1" si="7"/>
        <v>7.4467369157871111E-2</v>
      </c>
      <c r="Z24" s="77">
        <f t="shared" ca="1" si="8"/>
        <v>7.4825552841005331E-3</v>
      </c>
      <c r="AA24" s="45">
        <f t="shared" ca="1" si="28"/>
        <v>40.230172510939759</v>
      </c>
      <c r="AB24" s="45">
        <f t="shared" ca="1" si="9"/>
        <v>0</v>
      </c>
      <c r="AC24" s="45" cm="1">
        <f t="array" aca="1" ref="AC24" ca="1">pHUM*(T24+W24+Z24+AD24)</f>
        <v>8.7608669597495414E-2</v>
      </c>
      <c r="AD24" s="77">
        <f t="shared" ca="1" si="10"/>
        <v>0.1132173670790413</v>
      </c>
      <c r="AE24" s="45">
        <f t="shared" ca="1" si="29"/>
        <v>6.3847072090583081</v>
      </c>
      <c r="AF24" s="45">
        <f t="shared" ca="1" si="11"/>
        <v>0</v>
      </c>
      <c r="AG24" s="76">
        <f t="shared" ca="1" si="12"/>
        <v>62.892944285064139</v>
      </c>
      <c r="AH24" s="45">
        <f t="shared" ca="1" si="13"/>
        <v>0.74091493375577111</v>
      </c>
      <c r="AI24" s="77">
        <f t="shared" ca="1" si="14"/>
        <v>1.0675942581676198E-2</v>
      </c>
      <c r="AJ24" s="384">
        <f t="shared" ca="1" si="23"/>
        <v>3.2154889794532293E-2</v>
      </c>
      <c r="AU24" s="1"/>
    </row>
    <row r="25" spans="2:47" x14ac:dyDescent="0.25">
      <c r="B25" s="44"/>
      <c r="C25" s="10">
        <f t="shared" si="30"/>
        <v>-6</v>
      </c>
      <c r="D25" s="91">
        <f t="shared" si="31"/>
        <v>7</v>
      </c>
      <c r="E25" s="278">
        <f t="shared" ca="1" si="15"/>
        <v>-999</v>
      </c>
      <c r="F25" s="76">
        <f t="shared" ca="1" si="16"/>
        <v>21.94</v>
      </c>
      <c r="G25" s="46">
        <f ca="1">MIN(MAX(G24+OFFSET(Rainfall,(C25+6)*12+D25,0)-OFFSET(PET,(C25+6)*12+D25,0),PWP),FC)</f>
        <v>27.012600000000003</v>
      </c>
      <c r="H25" s="46">
        <f t="shared" ca="1" si="0"/>
        <v>28.517550000000004</v>
      </c>
      <c r="I25" s="45">
        <f t="shared" ca="1" si="17"/>
        <v>1.3858780818564753</v>
      </c>
      <c r="J25" s="45">
        <f t="shared" ca="1" si="18"/>
        <v>0.27952512346894071</v>
      </c>
      <c r="K25" s="45">
        <f t="shared" ca="1" si="24"/>
        <v>0.90345467800480783</v>
      </c>
      <c r="L25" s="358">
        <f t="shared" ca="1" si="19"/>
        <v>0.93403099466940098</v>
      </c>
      <c r="M25" s="76">
        <f t="shared" ca="1" si="20"/>
        <v>0.25347808785320641</v>
      </c>
      <c r="N25" s="45">
        <f t="shared" ca="1" si="21"/>
        <v>0.25</v>
      </c>
      <c r="O25" s="45">
        <f t="shared" ca="1" si="22"/>
        <v>0</v>
      </c>
      <c r="P25" s="46" t="str">
        <f t="shared" ca="1" si="1"/>
        <v/>
      </c>
      <c r="Q25" s="243" t="str">
        <f t="shared" ca="1" si="2"/>
        <v/>
      </c>
      <c r="R25" s="45">
        <f t="shared" ca="1" si="25"/>
        <v>8.9012346686511076E-2</v>
      </c>
      <c r="S25" s="45">
        <f t="shared" ca="1" si="3"/>
        <v>5.0695617570641283E-2</v>
      </c>
      <c r="T25" s="77">
        <f t="shared" ca="1" si="4"/>
        <v>6.0965486612621328E-2</v>
      </c>
      <c r="U25" s="45">
        <f t="shared" ca="1" si="26"/>
        <v>15.575983148188676</v>
      </c>
      <c r="V25" s="45">
        <f t="shared" ca="1" si="5"/>
        <v>0.20278247028256513</v>
      </c>
      <c r="W25" s="77">
        <f t="shared" ca="1" si="6"/>
        <v>0.53041858853348856</v>
      </c>
      <c r="X25" s="45">
        <f t="shared" ca="1" si="27"/>
        <v>0.15124092176986809</v>
      </c>
      <c r="Y25" s="45">
        <f t="shared" ca="1" si="7"/>
        <v>5.7334754138329669E-2</v>
      </c>
      <c r="Z25" s="77">
        <f t="shared" ca="1" si="8"/>
        <v>1.1099680641248675E-2</v>
      </c>
      <c r="AA25" s="45">
        <f t="shared" ca="1" si="28"/>
        <v>40.204563813458215</v>
      </c>
      <c r="AB25" s="45">
        <f t="shared" ca="1" si="9"/>
        <v>0</v>
      </c>
      <c r="AC25" s="45" cm="1">
        <f t="array" aca="1" ref="AC25" ca="1">pHUM*(T25+W25+Z25+AD25)</f>
        <v>6.7452651927446677E-2</v>
      </c>
      <c r="AD25" s="77">
        <f t="shared" ca="1" si="10"/>
        <v>9.2757206576959975E-2</v>
      </c>
      <c r="AE25" s="45">
        <f t="shared" ca="1" si="29"/>
        <v>6.3847072090583081</v>
      </c>
      <c r="AF25" s="45">
        <f t="shared" ca="1" si="11"/>
        <v>0</v>
      </c>
      <c r="AG25" s="76">
        <f t="shared" ca="1" si="12"/>
        <v>62.405507439161575</v>
      </c>
      <c r="AH25" s="45">
        <f t="shared" ca="1" si="13"/>
        <v>0.57045355629854222</v>
      </c>
      <c r="AI25" s="77">
        <f t="shared" ca="1" si="14"/>
        <v>9.6196839230499234E-3</v>
      </c>
      <c r="AJ25" s="384">
        <f t="shared" ca="1" si="23"/>
        <v>2.8652783654279368E-2</v>
      </c>
      <c r="AU25" s="1"/>
    </row>
    <row r="26" spans="2:47" x14ac:dyDescent="0.25">
      <c r="B26" s="44"/>
      <c r="C26" s="10">
        <f t="shared" si="30"/>
        <v>-6</v>
      </c>
      <c r="D26" s="91">
        <f t="shared" si="31"/>
        <v>8</v>
      </c>
      <c r="E26" s="278">
        <f t="shared" ca="1" si="15"/>
        <v>62.474999999999994</v>
      </c>
      <c r="F26" s="76">
        <f t="shared" ca="1" si="16"/>
        <v>19.68</v>
      </c>
      <c r="G26" s="46">
        <f t="shared" ref="G26" ca="1" si="34">MIN(MAX(G25+OFFSET(Rainfall,(C26+6)*12+D26,0)-OFFSET(PET,(C26+6)*12+D26,0),PWP),FC)</f>
        <v>27.012600000000003</v>
      </c>
      <c r="H26" s="46">
        <f t="shared" ca="1" si="0"/>
        <v>28.517550000000004</v>
      </c>
      <c r="I26" s="45">
        <f t="shared" ca="1" si="17"/>
        <v>1.1960294377110188</v>
      </c>
      <c r="J26" s="45">
        <f t="shared" ca="1" si="18"/>
        <v>0.27952512346894071</v>
      </c>
      <c r="K26" s="45">
        <f t="shared" ca="1" si="24"/>
        <v>0.90345467800480783</v>
      </c>
      <c r="L26" s="358">
        <f t="shared" ca="1" si="19"/>
        <v>0.91202195742143499</v>
      </c>
      <c r="M26" s="76">
        <f t="shared" ca="1" si="20"/>
        <v>0.25347808785320641</v>
      </c>
      <c r="N26" s="45">
        <f t="shared" ca="1" si="21"/>
        <v>0.25</v>
      </c>
      <c r="O26" s="45">
        <f t="shared" ca="1" si="22"/>
        <v>0</v>
      </c>
      <c r="P26" s="46" t="str">
        <f t="shared" ca="1" si="1"/>
        <v/>
      </c>
      <c r="Q26" s="243" t="str">
        <f t="shared" ca="1" si="2"/>
        <v/>
      </c>
      <c r="R26" s="45">
        <f t="shared" ca="1" si="25"/>
        <v>7.8742477644531045E-2</v>
      </c>
      <c r="S26" s="45">
        <f t="shared" ca="1" si="3"/>
        <v>5.0695617570641283E-2</v>
      </c>
      <c r="T26" s="77">
        <f t="shared" ca="1" si="4"/>
        <v>4.9678731716327959E-2</v>
      </c>
      <c r="U26" s="45">
        <f t="shared" ca="1" si="26"/>
        <v>15.248347029937754</v>
      </c>
      <c r="V26" s="45">
        <f t="shared" ca="1" si="5"/>
        <v>0.20278247028256513</v>
      </c>
      <c r="W26" s="77">
        <f t="shared" ca="1" si="6"/>
        <v>0.44918780905748257</v>
      </c>
      <c r="X26" s="45">
        <f t="shared" ca="1" si="27"/>
        <v>0.19747599526694909</v>
      </c>
      <c r="Y26" s="45">
        <f t="shared" ca="1" si="7"/>
        <v>4.8775512694043469E-2</v>
      </c>
      <c r="Z26" s="77">
        <f t="shared" ca="1" si="8"/>
        <v>1.2572246097637673E-2</v>
      </c>
      <c r="AA26" s="45">
        <f t="shared" ca="1" si="28"/>
        <v>40.179259258808699</v>
      </c>
      <c r="AB26" s="45">
        <f t="shared" ca="1" si="9"/>
        <v>0</v>
      </c>
      <c r="AC26" s="45" cm="1">
        <f t="array" aca="1" ref="AC26" ca="1">pHUM*(T26+W26+Z26+AD26)</f>
        <v>5.7382956110639372E-2</v>
      </c>
      <c r="AD26" s="77">
        <f t="shared" ca="1" si="10"/>
        <v>8.0012853496704478E-2</v>
      </c>
      <c r="AE26" s="45">
        <f t="shared" ca="1" si="29"/>
        <v>6.3847072090583081</v>
      </c>
      <c r="AF26" s="45">
        <f t="shared" ca="1" si="11"/>
        <v>0</v>
      </c>
      <c r="AG26" s="76">
        <f t="shared" ca="1" si="12"/>
        <v>62.08853197071624</v>
      </c>
      <c r="AH26" s="45">
        <f t="shared" ca="1" si="13"/>
        <v>0.48529317156346991</v>
      </c>
      <c r="AI26" s="77">
        <f t="shared" ca="1" si="14"/>
        <v>9.4186354563881389E-3</v>
      </c>
      <c r="AJ26" s="384">
        <f t="shared" ca="1" si="23"/>
        <v>2.739293258519071E-2</v>
      </c>
      <c r="AU26" s="1"/>
    </row>
    <row r="27" spans="2:47" x14ac:dyDescent="0.25">
      <c r="B27" s="44"/>
      <c r="C27" s="10">
        <f t="shared" si="30"/>
        <v>-6</v>
      </c>
      <c r="D27" s="91">
        <f t="shared" si="31"/>
        <v>9</v>
      </c>
      <c r="E27" s="278">
        <f t="shared" ca="1" si="15"/>
        <v>-999</v>
      </c>
      <c r="F27" s="76">
        <f t="shared" ca="1" si="16"/>
        <v>15.25</v>
      </c>
      <c r="G27" s="46">
        <f t="shared" ref="G27" ca="1" si="35">MIN(MAX(G26+OFFSET(Rainfall,(C27+6)*12+D27,0)-OFFSET(PET,(C27+6)*12+D27,0),PWP),FC)</f>
        <v>27.012600000000003</v>
      </c>
      <c r="H27" s="46">
        <f t="shared" ca="1" si="0"/>
        <v>28.517550000000004</v>
      </c>
      <c r="I27" s="45">
        <f t="shared" ca="1" si="17"/>
        <v>0.84164837900568412</v>
      </c>
      <c r="J27" s="45">
        <f t="shared" ca="1" si="18"/>
        <v>0.27952512346894071</v>
      </c>
      <c r="K27" s="45">
        <f t="shared" ca="1" si="24"/>
        <v>0.90345467800480783</v>
      </c>
      <c r="L27" s="358">
        <f t="shared" ca="1" si="19"/>
        <v>0.8453592919491828</v>
      </c>
      <c r="M27" s="76">
        <f t="shared" ca="1" si="20"/>
        <v>0.25347808785320641</v>
      </c>
      <c r="N27" s="45">
        <f t="shared" ca="1" si="21"/>
        <v>0.25</v>
      </c>
      <c r="O27" s="45">
        <f t="shared" ca="1" si="22"/>
        <v>0</v>
      </c>
      <c r="P27" s="46" t="str">
        <f t="shared" ca="1" si="1"/>
        <v/>
      </c>
      <c r="Q27" s="243" t="str">
        <f t="shared" ca="1" si="2"/>
        <v/>
      </c>
      <c r="R27" s="45">
        <f t="shared" ca="1" si="25"/>
        <v>7.9759363498844368E-2</v>
      </c>
      <c r="S27" s="45">
        <f t="shared" ca="1" si="3"/>
        <v>5.0695617570641283E-2</v>
      </c>
      <c r="T27" s="77">
        <f t="shared" ca="1" si="4"/>
        <v>4.0206404967843348E-2</v>
      </c>
      <c r="U27" s="45">
        <f t="shared" ca="1" si="26"/>
        <v>15.001941691162838</v>
      </c>
      <c r="V27" s="45">
        <f t="shared" ca="1" si="5"/>
        <v>0.20278247028256513</v>
      </c>
      <c r="W27" s="77">
        <f t="shared" ca="1" si="6"/>
        <v>0.31236124418448141</v>
      </c>
      <c r="X27" s="45">
        <f t="shared" ca="1" si="27"/>
        <v>0.23367926186335486</v>
      </c>
      <c r="Y27" s="45">
        <f t="shared" ca="1" si="7"/>
        <v>3.4589192066153421E-2</v>
      </c>
      <c r="Z27" s="77">
        <f t="shared" ca="1" si="8"/>
        <v>1.0570619462133486E-2</v>
      </c>
      <c r="AA27" s="45">
        <f t="shared" ca="1" si="28"/>
        <v>40.156629361422631</v>
      </c>
      <c r="AB27" s="45">
        <f t="shared" ca="1" si="9"/>
        <v>0</v>
      </c>
      <c r="AC27" s="45" cm="1">
        <f t="array" aca="1" ref="AC27" ca="1">pHUM*(T27+W27+Z27+AD27)</f>
        <v>4.0693167136651082E-2</v>
      </c>
      <c r="AD27" s="77">
        <f t="shared" ca="1" si="10"/>
        <v>5.6290113714649898E-2</v>
      </c>
      <c r="AE27" s="45">
        <f t="shared" ca="1" si="29"/>
        <v>6.3847072090583081</v>
      </c>
      <c r="AF27" s="45">
        <f t="shared" ca="1" si="11"/>
        <v>0</v>
      </c>
      <c r="AG27" s="76">
        <f t="shared" ca="1" si="12"/>
        <v>61.856716887005973</v>
      </c>
      <c r="AH27" s="45">
        <f t="shared" ca="1" si="13"/>
        <v>0.34414602312630371</v>
      </c>
      <c r="AI27" s="77">
        <f t="shared" ca="1" si="14"/>
        <v>9.3974376727908402E-3</v>
      </c>
      <c r="AJ27" s="384">
        <f t="shared" ca="1" si="23"/>
        <v>2.5333597996883839E-2</v>
      </c>
      <c r="AU27" s="1"/>
    </row>
    <row r="28" spans="2:47" x14ac:dyDescent="0.25">
      <c r="B28" s="44"/>
      <c r="C28" s="10">
        <f t="shared" si="30"/>
        <v>-6</v>
      </c>
      <c r="D28" s="91">
        <f t="shared" si="31"/>
        <v>10</v>
      </c>
      <c r="E28" s="278">
        <f t="shared" ca="1" si="15"/>
        <v>-999</v>
      </c>
      <c r="F28" s="76">
        <f t="shared" ca="1" si="16"/>
        <v>9.0500000000000007</v>
      </c>
      <c r="G28" s="46">
        <f t="shared" ref="G28" ca="1" si="36">MIN(MAX(G27+OFFSET(Rainfall,(C28+6)*12+D28,0)-OFFSET(PET,(C28+6)*12+D28,0),PWP),FC)</f>
        <v>55.530150000000006</v>
      </c>
      <c r="H28" s="46">
        <f t="shared" ca="1" si="0"/>
        <v>0</v>
      </c>
      <c r="I28" s="45">
        <f t="shared" ca="1" si="17"/>
        <v>0.66522396678085172</v>
      </c>
      <c r="J28" s="45">
        <f t="shared" ca="1" si="18"/>
        <v>0.29595601705647312</v>
      </c>
      <c r="K28" s="45">
        <f t="shared" ca="1" si="24"/>
        <v>0.95656105889548582</v>
      </c>
      <c r="L28" s="358">
        <f t="shared" ca="1" si="19"/>
        <v>0.68589100733448616</v>
      </c>
      <c r="M28" s="76">
        <f t="shared" ca="1" si="20"/>
        <v>0.25347808785320641</v>
      </c>
      <c r="N28" s="45">
        <f t="shared" ca="1" si="21"/>
        <v>0.25</v>
      </c>
      <c r="O28" s="45">
        <f t="shared" ca="1" si="22"/>
        <v>0</v>
      </c>
      <c r="P28" s="46" t="str">
        <f t="shared" ca="1" si="1"/>
        <v/>
      </c>
      <c r="Q28" s="243" t="str">
        <f t="shared" ca="1" si="2"/>
        <v/>
      </c>
      <c r="R28" s="45">
        <f t="shared" ca="1" si="25"/>
        <v>9.0248576101642317E-2</v>
      </c>
      <c r="S28" s="45">
        <f t="shared" ca="1" si="3"/>
        <v>5.0695617570641283E-2</v>
      </c>
      <c r="T28" s="77">
        <f t="shared" ca="1" si="4"/>
        <v>3.8405856393655138E-2</v>
      </c>
      <c r="U28" s="45">
        <f t="shared" ca="1" si="26"/>
        <v>14.892362917260922</v>
      </c>
      <c r="V28" s="45">
        <f t="shared" ca="1" si="5"/>
        <v>0.20278247028256513</v>
      </c>
      <c r="W28" s="77">
        <f t="shared" ca="1" si="6"/>
        <v>0.24562084638194503</v>
      </c>
      <c r="X28" s="45">
        <f t="shared" ca="1" si="27"/>
        <v>0.25769783446737476</v>
      </c>
      <c r="Y28" s="45">
        <f t="shared" ca="1" si="7"/>
        <v>2.785459952566615E-2</v>
      </c>
      <c r="Z28" s="77">
        <f t="shared" ca="1" si="8"/>
        <v>9.2580758390485435E-3</v>
      </c>
      <c r="AA28" s="45">
        <f t="shared" ca="1" si="28"/>
        <v>40.141032414844631</v>
      </c>
      <c r="AB28" s="45">
        <f t="shared" ca="1" si="9"/>
        <v>0</v>
      </c>
      <c r="AC28" s="45" cm="1">
        <f t="array" aca="1" ref="AC28" ca="1">pHUM*(T28+W28+Z28+AD28)</f>
        <v>3.2770117089019002E-2</v>
      </c>
      <c r="AD28" s="77">
        <f t="shared" ca="1" si="10"/>
        <v>4.4479965850356552E-2</v>
      </c>
      <c r="AE28" s="45">
        <f t="shared" ca="1" si="29"/>
        <v>6.3847072090583081</v>
      </c>
      <c r="AF28" s="45">
        <f t="shared" ca="1" si="11"/>
        <v>0</v>
      </c>
      <c r="AG28" s="76">
        <f t="shared" ca="1" si="12"/>
        <v>61.766048951732877</v>
      </c>
      <c r="AH28" s="45">
        <f t="shared" ca="1" si="13"/>
        <v>0.27714002785032016</v>
      </c>
      <c r="AI28" s="77">
        <f t="shared" ca="1" si="14"/>
        <v>9.5445741225639973E-3</v>
      </c>
      <c r="AJ28" s="384">
        <f t="shared" ca="1" si="23"/>
        <v>2.2103721672339649E-2</v>
      </c>
      <c r="AU28" s="1"/>
    </row>
    <row r="29" spans="2:47" x14ac:dyDescent="0.25">
      <c r="B29" s="44"/>
      <c r="C29" s="10">
        <f t="shared" si="30"/>
        <v>-6</v>
      </c>
      <c r="D29" s="91">
        <f t="shared" si="31"/>
        <v>11</v>
      </c>
      <c r="E29" s="278">
        <f t="shared" ca="1" si="15"/>
        <v>-999</v>
      </c>
      <c r="F29" s="76">
        <f t="shared" ca="1" si="16"/>
        <v>5.85</v>
      </c>
      <c r="G29" s="46">
        <f t="shared" ref="G29" ca="1" si="37">MIN(MAX(G28+OFFSET(Rainfall,(C29+6)*12+D29,0)-OFFSET(PET,(C29+6)*12+D29,0),PWP),FC)</f>
        <v>55.530150000000006</v>
      </c>
      <c r="H29" s="46">
        <f t="shared" ca="1" si="0"/>
        <v>0</v>
      </c>
      <c r="I29" s="45">
        <f t="shared" ca="1" si="17"/>
        <v>0.40071125216785342</v>
      </c>
      <c r="J29" s="45">
        <f t="shared" ca="1" si="18"/>
        <v>0.29595601705647312</v>
      </c>
      <c r="K29" s="45">
        <f t="shared" ca="1" si="24"/>
        <v>0.95656105889548582</v>
      </c>
      <c r="L29" s="358">
        <f t="shared" ca="1" si="19"/>
        <v>0.57554403185129122</v>
      </c>
      <c r="M29" s="76">
        <f t="shared" ca="1" si="20"/>
        <v>0.25347808785320641</v>
      </c>
      <c r="N29" s="45">
        <f t="shared" ca="1" si="21"/>
        <v>0.25</v>
      </c>
      <c r="O29" s="45">
        <f t="shared" ca="1" si="22"/>
        <v>0</v>
      </c>
      <c r="P29" s="46" t="str">
        <f t="shared" ca="1" si="1"/>
        <v/>
      </c>
      <c r="Q29" s="243" t="str">
        <f t="shared" ca="1" si="2"/>
        <v/>
      </c>
      <c r="R29" s="45">
        <f t="shared" ca="1" si="25"/>
        <v>0.10253833727862847</v>
      </c>
      <c r="S29" s="45">
        <f t="shared" ca="1" si="3"/>
        <v>5.0695617570641283E-2</v>
      </c>
      <c r="T29" s="77">
        <f t="shared" ca="1" si="4"/>
        <v>2.9109942738755386E-2</v>
      </c>
      <c r="U29" s="45">
        <f t="shared" ca="1" si="26"/>
        <v>14.849524541161543</v>
      </c>
      <c r="V29" s="45">
        <f t="shared" ca="1" si="5"/>
        <v>0.20278247028256513</v>
      </c>
      <c r="W29" s="77">
        <f t="shared" ca="1" si="6"/>
        <v>0.1480166522384212</v>
      </c>
      <c r="X29" s="45">
        <f t="shared" ca="1" si="27"/>
        <v>0.27629435815399239</v>
      </c>
      <c r="Y29" s="45">
        <f t="shared" ca="1" si="7"/>
        <v>1.7313281631430526E-2</v>
      </c>
      <c r="Z29" s="77">
        <f t="shared" ca="1" si="8"/>
        <v>6.0226732196068796E-3</v>
      </c>
      <c r="AA29" s="45">
        <f t="shared" ca="1" si="28"/>
        <v>40.129322566083296</v>
      </c>
      <c r="AB29" s="45">
        <f t="shared" ca="1" si="9"/>
        <v>0</v>
      </c>
      <c r="AC29" s="45" cm="1">
        <f t="array" aca="1" ref="AC29" ca="1">pHUM*(T29+W29+Z29+AD29)</f>
        <v>2.0368566625212383E-2</v>
      </c>
      <c r="AD29" s="77">
        <f t="shared" ca="1" si="10"/>
        <v>2.6791504446615336E-2</v>
      </c>
      <c r="AE29" s="45">
        <f t="shared" ca="1" si="29"/>
        <v>6.3847072090583081</v>
      </c>
      <c r="AF29" s="45">
        <f t="shared" ca="1" si="11"/>
        <v>0</v>
      </c>
      <c r="AG29" s="76">
        <f t="shared" ca="1" si="12"/>
        <v>61.742387011735765</v>
      </c>
      <c r="AH29" s="45">
        <f t="shared" ca="1" si="13"/>
        <v>0.17225892438675589</v>
      </c>
      <c r="AI29" s="77">
        <f t="shared" ca="1" si="14"/>
        <v>9.7324368330392423E-3</v>
      </c>
      <c r="AJ29" s="384">
        <f t="shared" ca="1" si="23"/>
        <v>1.8912772363436359E-2</v>
      </c>
      <c r="AU29" s="1"/>
    </row>
    <row r="30" spans="2:47" x14ac:dyDescent="0.25">
      <c r="B30" s="44"/>
      <c r="C30" s="10">
        <f t="shared" si="30"/>
        <v>-6</v>
      </c>
      <c r="D30" s="91">
        <f t="shared" si="31"/>
        <v>12</v>
      </c>
      <c r="E30" s="278">
        <f t="shared" ca="1" si="15"/>
        <v>-999</v>
      </c>
      <c r="F30" s="76">
        <f t="shared" ca="1" si="16"/>
        <v>0.97</v>
      </c>
      <c r="G30" s="46">
        <f t="shared" ref="G30" ca="1" si="38">MIN(MAX(G29+OFFSET(Rainfall,(C30+6)*12+D30,0)-OFFSET(PET,(C30+6)*12+D30,0),PWP),FC)</f>
        <v>55.530150000000006</v>
      </c>
      <c r="H30" s="46">
        <f t="shared" ca="1" si="0"/>
        <v>0</v>
      </c>
      <c r="I30" s="45">
        <f t="shared" ca="1" si="17"/>
        <v>0.13244357262111481</v>
      </c>
      <c r="J30" s="45">
        <f t="shared" ca="1" si="18"/>
        <v>0.29595601705647312</v>
      </c>
      <c r="K30" s="45">
        <f t="shared" ca="1" si="24"/>
        <v>0.95656105889548582</v>
      </c>
      <c r="L30" s="358">
        <f t="shared" ca="1" si="19"/>
        <v>0.39576573219898425</v>
      </c>
      <c r="M30" s="76">
        <f t="shared" ca="1" si="20"/>
        <v>0.25347808785320641</v>
      </c>
      <c r="N30" s="45">
        <f t="shared" ca="1" si="21"/>
        <v>0.25</v>
      </c>
      <c r="O30" s="45">
        <f t="shared" ca="1" si="22"/>
        <v>0</v>
      </c>
      <c r="P30" s="46" t="str">
        <f t="shared" ca="1" si="1"/>
        <v/>
      </c>
      <c r="Q30" s="243" t="str">
        <f t="shared" ca="1" si="2"/>
        <v/>
      </c>
      <c r="R30" s="45">
        <f t="shared" ca="1" si="25"/>
        <v>0.12412401211051438</v>
      </c>
      <c r="S30" s="45">
        <f t="shared" ca="1" si="3"/>
        <v>5.0695617570641283E-2</v>
      </c>
      <c r="T30" s="77">
        <f t="shared" ca="1" si="4"/>
        <v>1.2970579829456267E-2</v>
      </c>
      <c r="U30" s="45">
        <f t="shared" ca="1" si="26"/>
        <v>14.904290359205687</v>
      </c>
      <c r="V30" s="45">
        <f t="shared" ca="1" si="5"/>
        <v>0.20278247028256513</v>
      </c>
      <c r="W30" s="77">
        <f t="shared" ca="1" si="6"/>
        <v>4.9267826465447133E-2</v>
      </c>
      <c r="X30" s="45">
        <f t="shared" ca="1" si="27"/>
        <v>0.28758496656581606</v>
      </c>
      <c r="Y30" s="45">
        <f t="shared" ca="1" si="7"/>
        <v>6.0350840020892355E-3</v>
      </c>
      <c r="Z30" s="77">
        <f t="shared" ca="1" si="8"/>
        <v>2.0872714362258787E-3</v>
      </c>
      <c r="AA30" s="45">
        <f t="shared" ca="1" si="28"/>
        <v>40.122899628261898</v>
      </c>
      <c r="AB30" s="45">
        <f t="shared" ca="1" si="9"/>
        <v>0</v>
      </c>
      <c r="AC30" s="45" cm="1">
        <f t="array" aca="1" ref="AC30" ca="1">pHUM*(T30+W30+Z30+AD30)</f>
        <v>7.1000988259873367E-3</v>
      </c>
      <c r="AD30" s="77">
        <f t="shared" ca="1" si="10"/>
        <v>8.8557228455412758E-3</v>
      </c>
      <c r="AE30" s="45">
        <f t="shared" ca="1" si="29"/>
        <v>6.3847072090583081</v>
      </c>
      <c r="AF30" s="45">
        <f t="shared" ca="1" si="11"/>
        <v>0</v>
      </c>
      <c r="AG30" s="76">
        <f t="shared" ca="1" si="12"/>
        <v>61.823606175202222</v>
      </c>
      <c r="AH30" s="45">
        <f t="shared" ca="1" si="13"/>
        <v>6.0046217748593984E-2</v>
      </c>
      <c r="AI30" s="77">
        <f t="shared" ca="1" si="14"/>
        <v>1.0078349655206426E-2</v>
      </c>
      <c r="AJ30" s="384">
        <f t="shared" ca="1" si="23"/>
        <v>1.3467434969780534E-2</v>
      </c>
      <c r="AU30" s="1"/>
    </row>
    <row r="31" spans="2:47" x14ac:dyDescent="0.25">
      <c r="B31" s="44"/>
      <c r="C31" s="10">
        <f t="shared" si="30"/>
        <v>-5</v>
      </c>
      <c r="D31" s="91">
        <f t="shared" si="31"/>
        <v>1</v>
      </c>
      <c r="E31" s="278">
        <f t="shared" ca="1" si="15"/>
        <v>-999</v>
      </c>
      <c r="F31" s="76">
        <f t="shared" ca="1" si="16"/>
        <v>-4.0999999999999996</v>
      </c>
      <c r="G31" s="46">
        <f t="shared" ref="G31" ca="1" si="39">MIN(MAX(G30+OFFSET(Rainfall,(C31+6)*12+D31,0)-OFFSET(PET,(C31+6)*12+D31,0),PWP),FC)</f>
        <v>55.530150000000006</v>
      </c>
      <c r="H31" s="46">
        <f t="shared" ca="1" si="0"/>
        <v>0</v>
      </c>
      <c r="I31" s="45">
        <f t="shared" ca="1" si="17"/>
        <v>1.849074255528994E-2</v>
      </c>
      <c r="J31" s="45">
        <f t="shared" ca="1" si="18"/>
        <v>0.29595601705647312</v>
      </c>
      <c r="K31" s="45">
        <f t="shared" ca="1" si="24"/>
        <v>0.95656105889548582</v>
      </c>
      <c r="L31" s="358">
        <f t="shared" ca="1" si="19"/>
        <v>0.23512524668127699</v>
      </c>
      <c r="M31" s="76">
        <f t="shared" ca="1" si="20"/>
        <v>0.25347808785320641</v>
      </c>
      <c r="N31" s="45">
        <f t="shared" ca="1" si="21"/>
        <v>0.25</v>
      </c>
      <c r="O31" s="45">
        <f t="shared" ca="1" si="22"/>
        <v>0</v>
      </c>
      <c r="P31" s="46" t="str">
        <f t="shared" ca="1" si="1"/>
        <v/>
      </c>
      <c r="Q31" s="243" t="str">
        <f t="shared" ca="1" si="2"/>
        <v/>
      </c>
      <c r="R31" s="45">
        <f t="shared" ca="1" si="25"/>
        <v>0.1618490498516994</v>
      </c>
      <c r="S31" s="45">
        <f t="shared" ca="1" si="3"/>
        <v>5.0695617570641283E-2</v>
      </c>
      <c r="T31" s="77">
        <f t="shared" ca="1" si="4"/>
        <v>2.4748081937158253E-3</v>
      </c>
      <c r="U31" s="45">
        <f t="shared" ca="1" si="26"/>
        <v>15.057805003022805</v>
      </c>
      <c r="V31" s="45">
        <f t="shared" ca="1" si="5"/>
        <v>0.20278247028256513</v>
      </c>
      <c r="W31" s="77">
        <f t="shared" ca="1" si="6"/>
        <v>6.9591412739188306E-3</v>
      </c>
      <c r="X31" s="45">
        <f t="shared" ca="1" si="27"/>
        <v>0.29153277913167941</v>
      </c>
      <c r="Y31" s="45">
        <f t="shared" ca="1" si="7"/>
        <v>9.0439713395383656E-4</v>
      </c>
      <c r="Z31" s="77">
        <f t="shared" ca="1" si="8"/>
        <v>2.9633545533155068E-4</v>
      </c>
      <c r="AA31" s="45">
        <f t="shared" ca="1" si="28"/>
        <v>40.121144004242346</v>
      </c>
      <c r="AB31" s="45">
        <f t="shared" ca="1" si="9"/>
        <v>0</v>
      </c>
      <c r="AC31" s="45" cm="1">
        <f t="array" aca="1" ref="AC31" ca="1">pHUM*(T31+W31+Z31+AD31)</f>
        <v>1.0639966281809842E-3</v>
      </c>
      <c r="AD31" s="77">
        <f t="shared" ca="1" si="10"/>
        <v>1.2364305224785369E-3</v>
      </c>
      <c r="AE31" s="45">
        <f t="shared" ca="1" si="29"/>
        <v>6.3847072090583081</v>
      </c>
      <c r="AF31" s="45">
        <f t="shared" ca="1" si="11"/>
        <v>0</v>
      </c>
      <c r="AG31" s="76">
        <f t="shared" ca="1" si="12"/>
        <v>62.017038045306833</v>
      </c>
      <c r="AH31" s="45">
        <f t="shared" ca="1" si="13"/>
        <v>8.9983216833099226E-3</v>
      </c>
      <c r="AI31" s="77">
        <f t="shared" ca="1" si="14"/>
        <v>1.0681238778706477E-2</v>
      </c>
      <c r="AJ31" s="384">
        <f t="shared" ca="1" si="23"/>
        <v>8.4796945666532064E-3</v>
      </c>
      <c r="AU31" s="1"/>
    </row>
    <row r="32" spans="2:47" x14ac:dyDescent="0.25">
      <c r="B32" s="44"/>
      <c r="C32" s="10">
        <f t="shared" si="30"/>
        <v>-5</v>
      </c>
      <c r="D32" s="91">
        <f t="shared" si="31"/>
        <v>2</v>
      </c>
      <c r="E32" s="278">
        <f t="shared" ca="1" si="15"/>
        <v>-999</v>
      </c>
      <c r="F32" s="76">
        <f t="shared" ca="1" si="16"/>
        <v>-8.4600000000000009</v>
      </c>
      <c r="G32" s="46">
        <f t="shared" ref="G32" ca="1" si="40">MIN(MAX(G31+OFFSET(Rainfall,(C32+6)*12+D32,0)-OFFSET(PET,(C32+6)*12+D32,0),PWP),FC)</f>
        <v>55.530150000000006</v>
      </c>
      <c r="H32" s="46">
        <f t="shared" ca="1" si="0"/>
        <v>0</v>
      </c>
      <c r="I32" s="45">
        <f t="shared" ca="1" si="17"/>
        <v>6.6446145890375525E-4</v>
      </c>
      <c r="J32" s="45">
        <f t="shared" ca="1" si="18"/>
        <v>0.29595601705647312</v>
      </c>
      <c r="K32" s="45">
        <f t="shared" ca="1" si="24"/>
        <v>0.95656105889548582</v>
      </c>
      <c r="L32" s="358">
        <f t="shared" ca="1" si="19"/>
        <v>0.13820842985953896</v>
      </c>
      <c r="M32" s="76">
        <f t="shared" ca="1" si="20"/>
        <v>0.25347808785320641</v>
      </c>
      <c r="N32" s="45">
        <f t="shared" ca="1" si="21"/>
        <v>0.25</v>
      </c>
      <c r="O32" s="45">
        <f t="shared" ca="1" si="22"/>
        <v>0</v>
      </c>
      <c r="P32" s="46" t="str">
        <f t="shared" ca="1" si="1"/>
        <v/>
      </c>
      <c r="Q32" s="243" t="str">
        <f t="shared" ca="1" si="2"/>
        <v/>
      </c>
      <c r="R32" s="45">
        <f t="shared" ca="1" si="25"/>
        <v>0.21006985922862487</v>
      </c>
      <c r="S32" s="45">
        <f t="shared" ca="1" si="3"/>
        <v>5.0695617570641283E-2</v>
      </c>
      <c r="T32" s="77">
        <f t="shared" ca="1" si="4"/>
        <v>1.1628723947912051E-4</v>
      </c>
      <c r="U32" s="45">
        <f t="shared" ca="1" si="26"/>
        <v>15.253628332031452</v>
      </c>
      <c r="V32" s="45">
        <f t="shared" ca="1" si="5"/>
        <v>0.20278247028256513</v>
      </c>
      <c r="W32" s="77">
        <f t="shared" ca="1" si="6"/>
        <v>2.533840988206737E-4</v>
      </c>
      <c r="X32" s="45">
        <f t="shared" ca="1" si="27"/>
        <v>0.29214084081030173</v>
      </c>
      <c r="Y32" s="45">
        <f t="shared" ca="1" si="7"/>
        <v>3.5030436935002761E-5</v>
      </c>
      <c r="Z32" s="77">
        <f t="shared" ca="1" si="8"/>
        <v>1.0676203026810247E-5</v>
      </c>
      <c r="AA32" s="45">
        <f t="shared" ca="1" si="28"/>
        <v>40.120971570348054</v>
      </c>
      <c r="AB32" s="45">
        <f t="shared" ca="1" si="9"/>
        <v>0</v>
      </c>
      <c r="AC32" s="45" cm="1">
        <f t="array" aca="1" ref="AC32" ca="1">pHUM*(T32+W32+Z32+AD32)</f>
        <v>4.1212278747062078E-5</v>
      </c>
      <c r="AD32" s="77">
        <f t="shared" ca="1" si="10"/>
        <v>4.4431374232610506E-5</v>
      </c>
      <c r="AE32" s="45">
        <f t="shared" ca="1" si="29"/>
        <v>6.3847072090583081</v>
      </c>
      <c r="AF32" s="45">
        <f t="shared" ca="1" si="11"/>
        <v>0</v>
      </c>
      <c r="AG32" s="76">
        <f t="shared" ca="1" si="12"/>
        <v>62.261517811476736</v>
      </c>
      <c r="AH32" s="45">
        <f t="shared" ca="1" si="13"/>
        <v>3.4853619987715019E-4</v>
      </c>
      <c r="AI32" s="77">
        <f t="shared" ca="1" si="14"/>
        <v>1.1441865590161577E-2</v>
      </c>
      <c r="AJ32" s="384">
        <f t="shared" ca="1" si="23"/>
        <v>5.3393941703605563E-3</v>
      </c>
      <c r="AU32" s="1"/>
    </row>
    <row r="33" spans="2:47" x14ac:dyDescent="0.25">
      <c r="B33" s="44"/>
      <c r="C33" s="10">
        <f t="shared" si="30"/>
        <v>-5</v>
      </c>
      <c r="D33" s="91">
        <f t="shared" si="31"/>
        <v>3</v>
      </c>
      <c r="E33" s="278">
        <f t="shared" ca="1" si="15"/>
        <v>-999</v>
      </c>
      <c r="F33" s="76">
        <f t="shared" ca="1" si="16"/>
        <v>-1.99</v>
      </c>
      <c r="G33" s="46">
        <f t="shared" ref="G33" ca="1" si="41">MIN(MAX(G32+OFFSET(Rainfall,(C33+6)*12+D33,0)-OFFSET(PET,(C33+6)*12+D33,0),PWP),FC)</f>
        <v>55.530150000000006</v>
      </c>
      <c r="H33" s="46">
        <f t="shared" ca="1" si="0"/>
        <v>0</v>
      </c>
      <c r="I33" s="45">
        <f t="shared" ca="1" si="17"/>
        <v>4.8736894476126079E-2</v>
      </c>
      <c r="J33" s="45">
        <f t="shared" ca="1" si="18"/>
        <v>0.29595601705647312</v>
      </c>
      <c r="K33" s="45">
        <f t="shared" ca="1" si="24"/>
        <v>0.95656105889548582</v>
      </c>
      <c r="L33" s="358">
        <f t="shared" ca="1" si="19"/>
        <v>0.29634849445133171</v>
      </c>
      <c r="M33" s="76">
        <f t="shared" ca="1" si="20"/>
        <v>0.25347808785320641</v>
      </c>
      <c r="N33" s="45">
        <f t="shared" ca="1" si="21"/>
        <v>0.25</v>
      </c>
      <c r="O33" s="45">
        <f t="shared" ca="1" si="22"/>
        <v>0</v>
      </c>
      <c r="P33" s="46" t="str">
        <f t="shared" ca="1" si="1"/>
        <v/>
      </c>
      <c r="Q33" s="243" t="str">
        <f t="shared" ca="1" si="2"/>
        <v/>
      </c>
      <c r="R33" s="45">
        <f t="shared" ca="1" si="25"/>
        <v>0.26064918955978705</v>
      </c>
      <c r="S33" s="45">
        <f t="shared" ca="1" si="3"/>
        <v>5.0695617570641283E-2</v>
      </c>
      <c r="T33" s="77">
        <f t="shared" ca="1" si="4"/>
        <v>1.0373936814658511E-2</v>
      </c>
      <c r="U33" s="45">
        <f t="shared" ca="1" si="26"/>
        <v>15.456157418215197</v>
      </c>
      <c r="V33" s="45">
        <f t="shared" ca="1" si="5"/>
        <v>0.20278247028256513</v>
      </c>
      <c r="W33" s="77">
        <f t="shared" ca="1" si="6"/>
        <v>1.8820659742744099E-2</v>
      </c>
      <c r="X33" s="45">
        <f t="shared" ca="1" si="27"/>
        <v>0.2921651950442099</v>
      </c>
      <c r="Y33" s="45">
        <f t="shared" ca="1" si="7"/>
        <v>2.7408492414685974E-3</v>
      </c>
      <c r="Z33" s="77">
        <f t="shared" ca="1" si="8"/>
        <v>7.8210863460790345E-4</v>
      </c>
      <c r="AA33" s="45">
        <f t="shared" ca="1" si="28"/>
        <v>40.120968351252564</v>
      </c>
      <c r="AB33" s="45">
        <f t="shared" ca="1" si="9"/>
        <v>0</v>
      </c>
      <c r="AC33" s="45" cm="1">
        <f t="array" aca="1" ref="AC33" ca="1">pHUM*(T33+W33+Z33+AD33)</f>
        <v>3.2245285193748204E-3</v>
      </c>
      <c r="AD33" s="77">
        <f t="shared" ca="1" si="10"/>
        <v>3.258819978929974E-3</v>
      </c>
      <c r="AE33" s="45">
        <f t="shared" ca="1" si="29"/>
        <v>6.3847072090583081</v>
      </c>
      <c r="AF33" s="45">
        <f t="shared" ca="1" si="11"/>
        <v>0</v>
      </c>
      <c r="AG33" s="76">
        <f t="shared" ca="1" si="12"/>
        <v>62.514647363130067</v>
      </c>
      <c r="AH33" s="45">
        <f t="shared" ca="1" si="13"/>
        <v>2.7270147410097072E-2</v>
      </c>
      <c r="AI33" s="77">
        <f t="shared" ca="1" si="14"/>
        <v>1.2231421552387281E-2</v>
      </c>
      <c r="AJ33" s="384">
        <f t="shared" ca="1" si="23"/>
        <v>1.2238760631462231E-2</v>
      </c>
      <c r="AU33" s="1"/>
    </row>
    <row r="34" spans="2:47" x14ac:dyDescent="0.25">
      <c r="B34" s="44"/>
      <c r="C34" s="10">
        <f t="shared" si="30"/>
        <v>-5</v>
      </c>
      <c r="D34" s="91">
        <f t="shared" si="31"/>
        <v>4</v>
      </c>
      <c r="E34" s="278">
        <f t="shared" ca="1" si="15"/>
        <v>-999</v>
      </c>
      <c r="F34" s="76">
        <f t="shared" ca="1" si="16"/>
        <v>4.6900000000000004</v>
      </c>
      <c r="G34" s="46">
        <f t="shared" ref="G34" ca="1" si="42">MIN(MAX(G33+OFFSET(Rainfall,(C34+6)*12+D34,0)-OFFSET(PET,(C34+6)*12+D34,0),PWP),FC)</f>
        <v>55.530150000000006</v>
      </c>
      <c r="H34" s="46">
        <f t="shared" ca="1" si="0"/>
        <v>0</v>
      </c>
      <c r="I34" s="45">
        <f t="shared" ca="1" si="17"/>
        <v>0.32166469158202271</v>
      </c>
      <c r="J34" s="45">
        <f t="shared" ca="1" si="18"/>
        <v>0.29595601705647312</v>
      </c>
      <c r="K34" s="45">
        <f t="shared" ca="1" si="24"/>
        <v>0.95656105889548582</v>
      </c>
      <c r="L34" s="358">
        <f t="shared" ca="1" si="19"/>
        <v>0.53285676222150391</v>
      </c>
      <c r="M34" s="76">
        <f t="shared" ca="1" si="20"/>
        <v>0.25347808785320641</v>
      </c>
      <c r="N34" s="45">
        <f t="shared" ca="1" si="21"/>
        <v>0.25</v>
      </c>
      <c r="O34" s="45">
        <f t="shared" ca="1" si="22"/>
        <v>0</v>
      </c>
      <c r="P34" s="46" t="str">
        <f t="shared" ca="1" si="1"/>
        <v/>
      </c>
      <c r="Q34" s="243" t="str">
        <f t="shared" ca="1" si="2"/>
        <v/>
      </c>
      <c r="R34" s="45">
        <f t="shared" ca="1" si="25"/>
        <v>0.3009708703157698</v>
      </c>
      <c r="S34" s="45">
        <f t="shared" ca="1" si="3"/>
        <v>5.0695617570641283E-2</v>
      </c>
      <c r="T34" s="77">
        <f t="shared" ca="1" si="4"/>
        <v>7.0768320199749532E-2</v>
      </c>
      <c r="U34" s="45">
        <f t="shared" ca="1" si="26"/>
        <v>15.640119228755019</v>
      </c>
      <c r="V34" s="45">
        <f t="shared" ca="1" si="5"/>
        <v>0.20278247028256513</v>
      </c>
      <c r="W34" s="77">
        <f t="shared" ca="1" si="6"/>
        <v>0.12526750148595131</v>
      </c>
      <c r="X34" s="45">
        <f t="shared" ca="1" si="27"/>
        <v>0.29412393565107059</v>
      </c>
      <c r="Y34" s="45">
        <f t="shared" ca="1" si="7"/>
        <v>1.8365251583037923E-2</v>
      </c>
      <c r="Z34" s="77">
        <f t="shared" ca="1" si="8"/>
        <v>5.1577518179443576E-3</v>
      </c>
      <c r="AA34" s="45">
        <f t="shared" ca="1" si="28"/>
        <v>40.120934059793008</v>
      </c>
      <c r="AB34" s="45">
        <f t="shared" ca="1" si="9"/>
        <v>0</v>
      </c>
      <c r="AC34" s="45" cm="1">
        <f t="array" aca="1" ref="AC34" ca="1">pHUM*(T34+W34+Z34+AD34)</f>
        <v>2.1606178332985792E-2</v>
      </c>
      <c r="AD34" s="77">
        <f t="shared" ca="1" si="10"/>
        <v>2.1503381886597069E-2</v>
      </c>
      <c r="AE34" s="45">
        <f t="shared" ca="1" si="29"/>
        <v>6.3847072090583081</v>
      </c>
      <c r="AF34" s="45">
        <f t="shared" ca="1" si="11"/>
        <v>0</v>
      </c>
      <c r="AG34" s="76">
        <f t="shared" ca="1" si="12"/>
        <v>62.74085530357317</v>
      </c>
      <c r="AH34" s="45">
        <f t="shared" ca="1" si="13"/>
        <v>0.18272552547421855</v>
      </c>
      <c r="AI34" s="77">
        <f t="shared" ca="1" si="14"/>
        <v>1.2862076343356368E-2</v>
      </c>
      <c r="AJ34" s="384">
        <f t="shared" ca="1" si="23"/>
        <v>2.3140614058990705E-2</v>
      </c>
      <c r="AU34" s="1"/>
    </row>
    <row r="35" spans="2:47" x14ac:dyDescent="0.25">
      <c r="B35" s="44"/>
      <c r="C35" s="10">
        <f t="shared" si="30"/>
        <v>-5</v>
      </c>
      <c r="D35" s="91">
        <f t="shared" si="31"/>
        <v>5</v>
      </c>
      <c r="E35" s="278">
        <f t="shared" ca="1" si="15"/>
        <v>-999</v>
      </c>
      <c r="F35" s="76">
        <f t="shared" ca="1" si="16"/>
        <v>13.84</v>
      </c>
      <c r="G35" s="46">
        <f t="shared" ref="G35" ca="1" si="43">MIN(MAX(G34+OFFSET(Rainfall,(C35+6)*12+D35,0)-OFFSET(PET,(C35+6)*12+D35,0),PWP),FC)</f>
        <v>55.530150000000006</v>
      </c>
      <c r="H35" s="46">
        <f t="shared" ca="1" si="0"/>
        <v>0</v>
      </c>
      <c r="I35" s="45">
        <f t="shared" ca="1" si="17"/>
        <v>1.1685580844908958</v>
      </c>
      <c r="J35" s="45">
        <f t="shared" ca="1" si="18"/>
        <v>0.29595601705647312</v>
      </c>
      <c r="K35" s="45">
        <f t="shared" ca="1" si="24"/>
        <v>0.95656105889548582</v>
      </c>
      <c r="L35" s="358">
        <f t="shared" ca="1" si="19"/>
        <v>0.81625167953925937</v>
      </c>
      <c r="M35" s="76">
        <f t="shared" ca="1" si="20"/>
        <v>0.25347808785320641</v>
      </c>
      <c r="N35" s="45">
        <f t="shared" ca="1" si="21"/>
        <v>0.25</v>
      </c>
      <c r="O35" s="45">
        <f t="shared" ca="1" si="22"/>
        <v>0</v>
      </c>
      <c r="P35" s="46" t="str">
        <f t="shared" ca="1" si="1"/>
        <v/>
      </c>
      <c r="Q35" s="243" t="str">
        <f t="shared" ca="1" si="2"/>
        <v/>
      </c>
      <c r="R35" s="45">
        <f t="shared" ca="1" si="25"/>
        <v>0.28089816768666154</v>
      </c>
      <c r="S35" s="45">
        <f t="shared" ca="1" si="3"/>
        <v>5.0695617570641283E-2</v>
      </c>
      <c r="T35" s="77">
        <f t="shared" ca="1" si="4"/>
        <v>0.17481813788883152</v>
      </c>
      <c r="U35" s="45">
        <f t="shared" ca="1" si="26"/>
        <v>15.717634197551634</v>
      </c>
      <c r="V35" s="45">
        <f t="shared" ca="1" si="5"/>
        <v>0.20278247028256513</v>
      </c>
      <c r="W35" s="77">
        <f t="shared" ca="1" si="6"/>
        <v>0.45253190587479436</v>
      </c>
      <c r="X35" s="45">
        <f t="shared" ca="1" si="27"/>
        <v>0.30733143541616414</v>
      </c>
      <c r="Y35" s="45">
        <f t="shared" ca="1" si="7"/>
        <v>5.9751354041044556E-2</v>
      </c>
      <c r="Z35" s="77">
        <f t="shared" ca="1" si="8"/>
        <v>1.9131037347847036E-2</v>
      </c>
      <c r="AA35" s="45">
        <f t="shared" ca="1" si="28"/>
        <v>40.1210368562394</v>
      </c>
      <c r="AB35" s="45">
        <f t="shared" ca="1" si="9"/>
        <v>0</v>
      </c>
      <c r="AC35" s="45" cm="1">
        <f t="array" aca="1" ref="AC35" ca="1">pHUM*(T35+W35+Z35+AD35)</f>
        <v>7.0295710636523012E-2</v>
      </c>
      <c r="AD35" s="77">
        <f t="shared" ca="1" si="10"/>
        <v>7.8063560448180483E-2</v>
      </c>
      <c r="AE35" s="45">
        <f t="shared" ca="1" si="29"/>
        <v>6.3847072090583081</v>
      </c>
      <c r="AF35" s="45">
        <f t="shared" ca="1" si="11"/>
        <v>0</v>
      </c>
      <c r="AG35" s="76">
        <f t="shared" ca="1" si="12"/>
        <v>62.811607865952169</v>
      </c>
      <c r="AH35" s="45">
        <f t="shared" ca="1" si="13"/>
        <v>0.59449757688208593</v>
      </c>
      <c r="AI35" s="77">
        <f t="shared" ca="1" si="14"/>
        <v>1.2596727390268066E-2</v>
      </c>
      <c r="AJ35" s="384">
        <f t="shared" ca="1" si="23"/>
        <v>3.4716056815536911E-2</v>
      </c>
      <c r="AU35" s="1"/>
    </row>
    <row r="36" spans="2:47" x14ac:dyDescent="0.25">
      <c r="B36" s="44"/>
      <c r="C36" s="10">
        <f t="shared" si="30"/>
        <v>-5</v>
      </c>
      <c r="D36" s="91">
        <f t="shared" si="31"/>
        <v>6</v>
      </c>
      <c r="E36" s="278">
        <f t="shared" ca="1" si="15"/>
        <v>-999</v>
      </c>
      <c r="F36" s="76">
        <f t="shared" ca="1" si="16"/>
        <v>18.27</v>
      </c>
      <c r="G36" s="46">
        <f t="shared" ref="G36" ca="1" si="44">MIN(MAX(G35+OFFSET(Rainfall,(C36+6)*12+D36,0)-OFFSET(PET,(C36+6)*12+D36,0),PWP),FC)</f>
        <v>27.012600000000003</v>
      </c>
      <c r="H36" s="46">
        <f t="shared" ca="1" si="0"/>
        <v>28.517550000000004</v>
      </c>
      <c r="I36" s="45">
        <f t="shared" ca="1" si="17"/>
        <v>1.0801193684494574</v>
      </c>
      <c r="J36" s="45">
        <f t="shared" ca="1" si="18"/>
        <v>0.27952512346894071</v>
      </c>
      <c r="K36" s="45">
        <f t="shared" ca="1" si="24"/>
        <v>0.90345467800480783</v>
      </c>
      <c r="L36" s="358">
        <f t="shared" ca="1" si="19"/>
        <v>0.89452076711968953</v>
      </c>
      <c r="M36" s="76">
        <f t="shared" ca="1" si="20"/>
        <v>0.25347808785320641</v>
      </c>
      <c r="N36" s="45">
        <f t="shared" ca="1" si="21"/>
        <v>0.25</v>
      </c>
      <c r="O36" s="45">
        <f t="shared" ca="1" si="22"/>
        <v>0</v>
      </c>
      <c r="P36" s="46" t="str">
        <f t="shared" ca="1" si="1"/>
        <v/>
      </c>
      <c r="Q36" s="243" t="str">
        <f t="shared" ca="1" si="2"/>
        <v/>
      </c>
      <c r="R36" s="45">
        <f t="shared" ca="1" si="25"/>
        <v>0.1567756473684713</v>
      </c>
      <c r="S36" s="45">
        <f t="shared" ca="1" si="3"/>
        <v>5.0695617570641283E-2</v>
      </c>
      <c r="T36" s="77">
        <f t="shared" ca="1" si="4"/>
        <v>9.3041765923099221E-2</v>
      </c>
      <c r="U36" s="45">
        <f t="shared" ca="1" si="26"/>
        <v>15.467884761959406</v>
      </c>
      <c r="V36" s="45">
        <f t="shared" ca="1" si="5"/>
        <v>0.20278247028256513</v>
      </c>
      <c r="W36" s="77">
        <f t="shared" ca="1" si="6"/>
        <v>0.412090176041644</v>
      </c>
      <c r="X36" s="45">
        <f t="shared" ca="1" si="27"/>
        <v>0.34795175210936163</v>
      </c>
      <c r="Y36" s="45">
        <f t="shared" ca="1" si="7"/>
        <v>4.9261726010503354E-2</v>
      </c>
      <c r="Z36" s="77">
        <f t="shared" ca="1" si="8"/>
        <v>2.0068613053466949E-2</v>
      </c>
      <c r="AA36" s="45">
        <f t="shared" ca="1" si="28"/>
        <v>40.113269006427743</v>
      </c>
      <c r="AB36" s="45">
        <f t="shared" ca="1" si="9"/>
        <v>0</v>
      </c>
      <c r="AC36" s="45" cm="1">
        <f t="array" aca="1" ref="AC36" ca="1">pHUM*(T36+W36+Z36+AD36)</f>
        <v>5.7954971777062769E-2</v>
      </c>
      <c r="AD36" s="77">
        <f t="shared" ca="1" si="10"/>
        <v>7.2146905766898514E-2</v>
      </c>
      <c r="AE36" s="45">
        <f t="shared" ca="1" si="29"/>
        <v>6.3847072090583081</v>
      </c>
      <c r="AF36" s="45">
        <f t="shared" ca="1" si="11"/>
        <v>0</v>
      </c>
      <c r="AG36" s="76">
        <f t="shared" ca="1" si="12"/>
        <v>62.470588376923288</v>
      </c>
      <c r="AH36" s="45">
        <f t="shared" ca="1" si="13"/>
        <v>0.4901307629975426</v>
      </c>
      <c r="AI36" s="77">
        <f t="shared" ca="1" si="14"/>
        <v>1.0757364848388865E-2</v>
      </c>
      <c r="AJ36" s="384">
        <f t="shared" ca="1" si="23"/>
        <v>3.0685995926914567E-2</v>
      </c>
      <c r="AU36" s="1"/>
    </row>
    <row r="37" spans="2:47" x14ac:dyDescent="0.25">
      <c r="B37" s="44"/>
      <c r="C37" s="10">
        <f t="shared" si="30"/>
        <v>-5</v>
      </c>
      <c r="D37" s="91">
        <f t="shared" si="31"/>
        <v>7</v>
      </c>
      <c r="E37" s="278">
        <f t="shared" ca="1" si="15"/>
        <v>-999</v>
      </c>
      <c r="F37" s="76">
        <f t="shared" ca="1" si="16"/>
        <v>20.399999999999999</v>
      </c>
      <c r="G37" s="46">
        <f t="shared" ref="G37" ca="1" si="45">MIN(MAX(G36+OFFSET(Rainfall,(C37+6)*12+D37,0)-OFFSET(PET,(C37+6)*12+D37,0),PWP),FC)</f>
        <v>27.012600000000003</v>
      </c>
      <c r="H37" s="46">
        <f t="shared" ca="1" si="0"/>
        <v>28.517550000000004</v>
      </c>
      <c r="I37" s="45">
        <f t="shared" ca="1" si="17"/>
        <v>1.2560479024072937</v>
      </c>
      <c r="J37" s="45">
        <f t="shared" ca="1" si="18"/>
        <v>0.27952512346894071</v>
      </c>
      <c r="K37" s="45">
        <f t="shared" ca="1" si="24"/>
        <v>0.90345467800480783</v>
      </c>
      <c r="L37" s="358">
        <f t="shared" ca="1" si="19"/>
        <v>0.91979063908966641</v>
      </c>
      <c r="M37" s="76">
        <f t="shared" ca="1" si="20"/>
        <v>0.25347808785320641</v>
      </c>
      <c r="N37" s="45">
        <f t="shared" ca="1" si="21"/>
        <v>0.25</v>
      </c>
      <c r="O37" s="45">
        <f t="shared" ca="1" si="22"/>
        <v>0</v>
      </c>
      <c r="P37" s="46" t="str">
        <f t="shared" ca="1" si="1"/>
        <v/>
      </c>
      <c r="Q37" s="243" t="str">
        <f t="shared" ca="1" si="2"/>
        <v/>
      </c>
      <c r="R37" s="45">
        <f t="shared" ca="1" si="25"/>
        <v>0.11442949901601336</v>
      </c>
      <c r="S37" s="45">
        <f t="shared" ca="1" si="3"/>
        <v>5.0695617570641283E-2</v>
      </c>
      <c r="T37" s="77">
        <f t="shared" ca="1" si="4"/>
        <v>7.4254201427658262E-2</v>
      </c>
      <c r="U37" s="45">
        <f t="shared" ca="1" si="26"/>
        <v>15.258577056200327</v>
      </c>
      <c r="V37" s="45">
        <f t="shared" ca="1" si="5"/>
        <v>0.20278247028256513</v>
      </c>
      <c r="W37" s="77">
        <f t="shared" ca="1" si="6"/>
        <v>0.47169297233672702</v>
      </c>
      <c r="X37" s="45">
        <f t="shared" ca="1" si="27"/>
        <v>0.37714486506639799</v>
      </c>
      <c r="Y37" s="45">
        <f t="shared" ca="1" si="7"/>
        <v>5.4014361184666411E-2</v>
      </c>
      <c r="Z37" s="77">
        <f t="shared" ca="1" si="8"/>
        <v>2.5174586381775096E-2</v>
      </c>
      <c r="AA37" s="45">
        <f t="shared" ca="1" si="28"/>
        <v>40.099077072437908</v>
      </c>
      <c r="AB37" s="45">
        <f t="shared" ca="1" si="9"/>
        <v>0</v>
      </c>
      <c r="AC37" s="45" cm="1">
        <f t="array" aca="1" ref="AC37" ca="1">pHUM*(T37+W37+Z37+AD37)</f>
        <v>6.3546307276078129E-2</v>
      </c>
      <c r="AD37" s="77">
        <f t="shared" ca="1" si="10"/>
        <v>8.3856132685096799E-2</v>
      </c>
      <c r="AE37" s="45">
        <f t="shared" ca="1" si="29"/>
        <v>6.3847072090583081</v>
      </c>
      <c r="AF37" s="45">
        <f t="shared" ca="1" si="11"/>
        <v>0</v>
      </c>
      <c r="AG37" s="76">
        <f t="shared" ca="1" si="12"/>
        <v>62.233935701778954</v>
      </c>
      <c r="AH37" s="45">
        <f t="shared" ca="1" si="13"/>
        <v>0.53741722437051265</v>
      </c>
      <c r="AI37" s="77">
        <f t="shared" ca="1" si="14"/>
        <v>1.0105727870970159E-2</v>
      </c>
      <c r="AJ37" s="384">
        <f t="shared" ca="1" si="23"/>
        <v>2.9641549987252658E-2</v>
      </c>
      <c r="AU37" s="1"/>
    </row>
    <row r="38" spans="2:47" x14ac:dyDescent="0.25">
      <c r="B38" s="44"/>
      <c r="C38" s="10">
        <f t="shared" si="30"/>
        <v>-5</v>
      </c>
      <c r="D38" s="91">
        <f t="shared" si="31"/>
        <v>8</v>
      </c>
      <c r="E38" s="278">
        <f t="shared" ca="1" si="15"/>
        <v>62.474999999999994</v>
      </c>
      <c r="F38" s="76">
        <f t="shared" ca="1" si="16"/>
        <v>21.16</v>
      </c>
      <c r="G38" s="46">
        <f t="shared" ref="G38" ca="1" si="46">MIN(MAX(G37+OFFSET(Rainfall,(C38+6)*12+D38,0)-OFFSET(PET,(C38+6)*12+D38,0),PWP),FC)</f>
        <v>27.012600000000003</v>
      </c>
      <c r="H38" s="46">
        <f t="shared" ca="1" si="0"/>
        <v>28.517550000000004</v>
      </c>
      <c r="I38" s="45">
        <f t="shared" ca="1" si="17"/>
        <v>1.3198996658685407</v>
      </c>
      <c r="J38" s="45">
        <f t="shared" ca="1" si="18"/>
        <v>0.27952512346894071</v>
      </c>
      <c r="K38" s="45">
        <f t="shared" ca="1" si="24"/>
        <v>0.90345467800480783</v>
      </c>
      <c r="L38" s="358">
        <f t="shared" ca="1" si="19"/>
        <v>0.92720466811766</v>
      </c>
      <c r="M38" s="76">
        <f t="shared" ca="1" si="20"/>
        <v>0.25347808785320641</v>
      </c>
      <c r="N38" s="45">
        <f t="shared" ca="1" si="21"/>
        <v>0.25</v>
      </c>
      <c r="O38" s="45">
        <f t="shared" ca="1" si="22"/>
        <v>0</v>
      </c>
      <c r="P38" s="46" t="str">
        <f t="shared" ca="1" si="1"/>
        <v/>
      </c>
      <c r="Q38" s="243" t="str">
        <f t="shared" ca="1" si="2"/>
        <v/>
      </c>
      <c r="R38" s="45">
        <f t="shared" ca="1" si="25"/>
        <v>9.0870915158996368E-2</v>
      </c>
      <c r="S38" s="45">
        <f t="shared" ca="1" si="3"/>
        <v>5.0695617570641283E-2</v>
      </c>
      <c r="T38" s="77">
        <f t="shared" ca="1" si="4"/>
        <v>6.0620085933559206E-2</v>
      </c>
      <c r="U38" s="45">
        <f t="shared" ca="1" si="26"/>
        <v>14.989666554146165</v>
      </c>
      <c r="V38" s="45">
        <f t="shared" ca="1" si="5"/>
        <v>0.20278247028256513</v>
      </c>
      <c r="W38" s="77">
        <f t="shared" ca="1" si="6"/>
        <v>0.48654978873271759</v>
      </c>
      <c r="X38" s="45">
        <f t="shared" ca="1" si="27"/>
        <v>0.40598463986928929</v>
      </c>
      <c r="Y38" s="45">
        <f t="shared" ca="1" si="7"/>
        <v>5.4730967873309763E-2</v>
      </c>
      <c r="Z38" s="77">
        <f t="shared" ca="1" si="8"/>
        <v>2.8427906514744944E-2</v>
      </c>
      <c r="AA38" s="45">
        <f t="shared" ca="1" si="28"/>
        <v>40.078767247028885</v>
      </c>
      <c r="AB38" s="45">
        <f t="shared" ca="1" si="9"/>
        <v>0</v>
      </c>
      <c r="AC38" s="45" cm="1">
        <f t="array" aca="1" ref="AC38" ca="1">pHUM*(T38+W38+Z38+AD38)</f>
        <v>6.4389373968599728E-2</v>
      </c>
      <c r="AD38" s="77">
        <f t="shared" ca="1" si="10"/>
        <v>8.8069681028122529E-2</v>
      </c>
      <c r="AE38" s="45">
        <f t="shared" ca="1" si="29"/>
        <v>6.3847072090583081</v>
      </c>
      <c r="AF38" s="45">
        <f t="shared" ca="1" si="11"/>
        <v>0</v>
      </c>
      <c r="AG38" s="76">
        <f t="shared" ca="1" si="12"/>
        <v>61.949996565261642</v>
      </c>
      <c r="AH38" s="45">
        <f t="shared" ca="1" si="13"/>
        <v>0.54454712036723474</v>
      </c>
      <c r="AI38" s="77">
        <f t="shared" ca="1" si="14"/>
        <v>9.711000038739764E-3</v>
      </c>
      <c r="AJ38" s="384">
        <f t="shared" ca="1" si="23"/>
        <v>2.8713376828990445E-2</v>
      </c>
      <c r="AU38" s="1"/>
    </row>
    <row r="39" spans="2:47" x14ac:dyDescent="0.25">
      <c r="B39" s="44"/>
      <c r="C39" s="10">
        <f t="shared" si="30"/>
        <v>-5</v>
      </c>
      <c r="D39" s="91">
        <f t="shared" si="31"/>
        <v>9</v>
      </c>
      <c r="E39" s="278">
        <f t="shared" ca="1" si="15"/>
        <v>-999</v>
      </c>
      <c r="F39" s="76">
        <f t="shared" ca="1" si="16"/>
        <v>17.71</v>
      </c>
      <c r="G39" s="46">
        <f t="shared" ref="G39" ca="1" si="47">MIN(MAX(G38+OFFSET(Rainfall,(C39+6)*12+D39,0)-OFFSET(PET,(C39+6)*12+D39,0),PWP),FC)</f>
        <v>27.012600000000003</v>
      </c>
      <c r="H39" s="46">
        <f t="shared" ca="1" si="0"/>
        <v>28.517550000000004</v>
      </c>
      <c r="I39" s="45">
        <f t="shared" ca="1" si="17"/>
        <v>1.0347874496233076</v>
      </c>
      <c r="J39" s="45">
        <f t="shared" ca="1" si="18"/>
        <v>0.27952512346894071</v>
      </c>
      <c r="K39" s="45">
        <f t="shared" ca="1" si="24"/>
        <v>0.90345467800480783</v>
      </c>
      <c r="L39" s="358">
        <f t="shared" ca="1" si="19"/>
        <v>0.8866645152203918</v>
      </c>
      <c r="M39" s="76">
        <f t="shared" ca="1" si="20"/>
        <v>0.25347808785320641</v>
      </c>
      <c r="N39" s="45">
        <f t="shared" ca="1" si="21"/>
        <v>0.25</v>
      </c>
      <c r="O39" s="45">
        <f t="shared" ca="1" si="22"/>
        <v>0</v>
      </c>
      <c r="P39" s="46" t="str">
        <f t="shared" ca="1" si="1"/>
        <v/>
      </c>
      <c r="Q39" s="243" t="str">
        <f t="shared" ca="1" si="2"/>
        <v/>
      </c>
      <c r="R39" s="45">
        <f t="shared" ca="1" si="25"/>
        <v>8.0946446796078445E-2</v>
      </c>
      <c r="S39" s="45">
        <f t="shared" ca="1" si="3"/>
        <v>5.0695617570641283E-2</v>
      </c>
      <c r="T39" s="77">
        <f t="shared" ca="1" si="4"/>
        <v>4.6772453984985737E-2</v>
      </c>
      <c r="U39" s="45">
        <f t="shared" ca="1" si="26"/>
        <v>14.705899235696013</v>
      </c>
      <c r="V39" s="45">
        <f t="shared" ca="1" si="5"/>
        <v>0.20278247028256513</v>
      </c>
      <c r="W39" s="77">
        <f t="shared" ca="1" si="6"/>
        <v>0.37555826717287666</v>
      </c>
      <c r="X39" s="45">
        <f t="shared" ca="1" si="27"/>
        <v>0.43228770122785409</v>
      </c>
      <c r="Y39" s="45">
        <f t="shared" ca="1" si="7"/>
        <v>4.2492835252649297E-2</v>
      </c>
      <c r="Z39" s="77">
        <f t="shared" ca="1" si="8"/>
        <v>2.3915902060566263E-2</v>
      </c>
      <c r="AA39" s="45">
        <f t="shared" ca="1" si="28"/>
        <v>40.055086939969364</v>
      </c>
      <c r="AB39" s="45">
        <f t="shared" ca="1" si="9"/>
        <v>0</v>
      </c>
      <c r="AC39" s="45" cm="1">
        <f t="array" aca="1" ref="AC39" ca="1">pHUM*(T39+W39+Z39+AD39)</f>
        <v>4.9991570885469766E-2</v>
      </c>
      <c r="AD39" s="77">
        <f t="shared" ca="1" si="10"/>
        <v>6.9021299678100972E-2</v>
      </c>
      <c r="AE39" s="45">
        <f t="shared" ca="1" si="29"/>
        <v>6.3847072090583081</v>
      </c>
      <c r="AF39" s="45">
        <f t="shared" ca="1" si="11"/>
        <v>0</v>
      </c>
      <c r="AG39" s="76">
        <f t="shared" ca="1" si="12"/>
        <v>61.658927532747612</v>
      </c>
      <c r="AH39" s="45">
        <f t="shared" ca="1" si="13"/>
        <v>0.42278351675841064</v>
      </c>
      <c r="AI39" s="77">
        <f t="shared" ca="1" si="14"/>
        <v>9.5096258607559846E-3</v>
      </c>
      <c r="AJ39" s="384">
        <f t="shared" ca="1" si="23"/>
        <v>2.6888601315027127E-2</v>
      </c>
      <c r="AU39" s="1"/>
    </row>
    <row r="40" spans="2:47" x14ac:dyDescent="0.25">
      <c r="B40" s="44"/>
      <c r="C40" s="10">
        <f t="shared" si="30"/>
        <v>-5</v>
      </c>
      <c r="D40" s="91">
        <f t="shared" si="31"/>
        <v>10</v>
      </c>
      <c r="E40" s="278">
        <f t="shared" ca="1" si="15"/>
        <v>-999</v>
      </c>
      <c r="F40" s="76">
        <f t="shared" ca="1" si="16"/>
        <v>12.9</v>
      </c>
      <c r="G40" s="46">
        <f t="shared" ref="G40" ca="1" si="48">MIN(MAX(G39+OFFSET(Rainfall,(C40+6)*12+D40,0)-OFFSET(PET,(C40+6)*12+D40,0),PWP),FC)</f>
        <v>55.530150000000006</v>
      </c>
      <c r="H40" s="46">
        <f t="shared" ca="1" si="0"/>
        <v>0</v>
      </c>
      <c r="I40" s="45">
        <f t="shared" ca="1" si="17"/>
        <v>1.0613365979129248</v>
      </c>
      <c r="J40" s="45">
        <f t="shared" ca="1" si="18"/>
        <v>0.29595601705647312</v>
      </c>
      <c r="K40" s="45">
        <f t="shared" ca="1" si="24"/>
        <v>0.95656105889548582</v>
      </c>
      <c r="L40" s="358">
        <f t="shared" ca="1" si="19"/>
        <v>0.79450465131368997</v>
      </c>
      <c r="M40" s="76">
        <f t="shared" ca="1" si="20"/>
        <v>0.25347808785320641</v>
      </c>
      <c r="N40" s="45">
        <f t="shared" ca="1" si="21"/>
        <v>0.25</v>
      </c>
      <c r="O40" s="45">
        <f t="shared" ca="1" si="22"/>
        <v>0</v>
      </c>
      <c r="P40" s="46" t="str">
        <f t="shared" ca="1" si="1"/>
        <v/>
      </c>
      <c r="Q40" s="243" t="str">
        <f t="shared" ca="1" si="2"/>
        <v/>
      </c>
      <c r="R40" s="45">
        <f t="shared" ca="1" si="25"/>
        <v>8.4869610381733976E-2</v>
      </c>
      <c r="S40" s="45">
        <f t="shared" ca="1" si="3"/>
        <v>5.0695617570641283E-2</v>
      </c>
      <c r="T40" s="77">
        <f t="shared" ca="1" si="4"/>
        <v>4.9823349849085229E-2</v>
      </c>
      <c r="U40" s="45">
        <f t="shared" ca="1" si="26"/>
        <v>14.533123438805701</v>
      </c>
      <c r="V40" s="45">
        <f t="shared" ca="1" si="5"/>
        <v>0.20278247028256513</v>
      </c>
      <c r="W40" s="77">
        <f t="shared" ca="1" si="6"/>
        <v>0.38054252275845846</v>
      </c>
      <c r="X40" s="45">
        <f t="shared" ca="1" si="27"/>
        <v>0.45086463441993713</v>
      </c>
      <c r="Y40" s="45">
        <f t="shared" ca="1" si="7"/>
        <v>4.3434616532702634E-2</v>
      </c>
      <c r="Z40" s="77">
        <f t="shared" ca="1" si="8"/>
        <v>2.5565130364150444E-2</v>
      </c>
      <c r="AA40" s="45">
        <f t="shared" ca="1" si="28"/>
        <v>40.036057211176733</v>
      </c>
      <c r="AB40" s="45">
        <f t="shared" ca="1" si="9"/>
        <v>0</v>
      </c>
      <c r="AC40" s="45" cm="1">
        <f t="array" aca="1" ref="AC40" ca="1">pHUM*(T40+W40+Z40+AD40)</f>
        <v>5.1099548862003102E-2</v>
      </c>
      <c r="AD40" s="77">
        <f t="shared" ca="1" si="10"/>
        <v>7.0756955352235376E-2</v>
      </c>
      <c r="AE40" s="45">
        <f t="shared" ca="1" si="29"/>
        <v>6.3847072090583081</v>
      </c>
      <c r="AF40" s="45">
        <f t="shared" ca="1" si="11"/>
        <v>0</v>
      </c>
      <c r="AG40" s="76">
        <f t="shared" ca="1" si="12"/>
        <v>61.489622103842407</v>
      </c>
      <c r="AH40" s="45">
        <f t="shared" ca="1" si="13"/>
        <v>0.43215379292922373</v>
      </c>
      <c r="AI40" s="77">
        <f t="shared" ca="1" si="14"/>
        <v>9.5377531968518937E-3</v>
      </c>
      <c r="AJ40" s="384">
        <f t="shared" ca="1" si="23"/>
        <v>2.5585554709375291E-2</v>
      </c>
      <c r="AU40" s="1"/>
    </row>
    <row r="41" spans="2:47" x14ac:dyDescent="0.25">
      <c r="B41" s="44"/>
      <c r="C41" s="10">
        <f t="shared" si="30"/>
        <v>-5</v>
      </c>
      <c r="D41" s="91">
        <f t="shared" si="31"/>
        <v>11</v>
      </c>
      <c r="E41" s="278">
        <f t="shared" ca="1" si="15"/>
        <v>-999</v>
      </c>
      <c r="F41" s="76">
        <f t="shared" ca="1" si="16"/>
        <v>2.19</v>
      </c>
      <c r="G41" s="46">
        <f t="shared" ref="G41" ca="1" si="49">MIN(MAX(G40+OFFSET(Rainfall,(C41+6)*12+D41,0)-OFFSET(PET,(C41+6)*12+D41,0),PWP),FC)</f>
        <v>55.530150000000006</v>
      </c>
      <c r="H41" s="46">
        <f t="shared" ca="1" si="0"/>
        <v>0</v>
      </c>
      <c r="I41" s="45">
        <f t="shared" ca="1" si="17"/>
        <v>0.18369822312237552</v>
      </c>
      <c r="J41" s="45">
        <f t="shared" ca="1" si="18"/>
        <v>0.29595601705647312</v>
      </c>
      <c r="K41" s="45">
        <f t="shared" ca="1" si="24"/>
        <v>0.95656105889548582</v>
      </c>
      <c r="L41" s="358">
        <f t="shared" ca="1" si="19"/>
        <v>0.43999938613355094</v>
      </c>
      <c r="M41" s="76">
        <f t="shared" ca="1" si="20"/>
        <v>0.25347808785320641</v>
      </c>
      <c r="N41" s="45">
        <f t="shared" ca="1" si="21"/>
        <v>0.25</v>
      </c>
      <c r="O41" s="45">
        <f t="shared" ca="1" si="22"/>
        <v>0</v>
      </c>
      <c r="P41" s="46" t="str">
        <f t="shared" ca="1" si="1"/>
        <v/>
      </c>
      <c r="Q41" s="243" t="str">
        <f t="shared" ca="1" si="2"/>
        <v/>
      </c>
      <c r="R41" s="45">
        <f t="shared" ca="1" si="25"/>
        <v>8.5741878103290009E-2</v>
      </c>
      <c r="S41" s="45">
        <f t="shared" ca="1" si="3"/>
        <v>5.0695617570641283E-2</v>
      </c>
      <c r="T41" s="77">
        <f t="shared" ca="1" si="4"/>
        <v>1.2170246374882291E-2</v>
      </c>
      <c r="U41" s="45">
        <f t="shared" ca="1" si="26"/>
        <v>14.355363386329808</v>
      </c>
      <c r="V41" s="45">
        <f t="shared" ca="1" si="5"/>
        <v>0.20278247028256513</v>
      </c>
      <c r="W41" s="77">
        <f t="shared" ca="1" si="6"/>
        <v>6.5775218171366681E-2</v>
      </c>
      <c r="X41" s="45">
        <f t="shared" ca="1" si="27"/>
        <v>0.46873412058848934</v>
      </c>
      <c r="Y41" s="45">
        <f t="shared" ca="1" si="7"/>
        <v>7.8267491906389569E-3</v>
      </c>
      <c r="Z41" s="77">
        <f t="shared" ca="1" si="8"/>
        <v>4.7119658529808399E-3</v>
      </c>
      <c r="AA41" s="45">
        <f t="shared" ca="1" si="28"/>
        <v>40.0163998046865</v>
      </c>
      <c r="AB41" s="45">
        <f t="shared" ca="1" si="9"/>
        <v>0</v>
      </c>
      <c r="AC41" s="45" cm="1">
        <f t="array" aca="1" ref="AC41" ca="1">pHUM*(T41+W41+Z41+AD41)</f>
        <v>9.2079402242811262E-3</v>
      </c>
      <c r="AD41" s="77">
        <f t="shared" ca="1" si="10"/>
        <v>1.2249693931599411E-2</v>
      </c>
      <c r="AE41" s="45">
        <f t="shared" ca="1" si="29"/>
        <v>6.3847072090583081</v>
      </c>
      <c r="AF41" s="45">
        <f t="shared" ca="1" si="11"/>
        <v>0</v>
      </c>
      <c r="AG41" s="76">
        <f t="shared" ca="1" si="12"/>
        <v>61.31094639876639</v>
      </c>
      <c r="AH41" s="45">
        <f t="shared" ca="1" si="13"/>
        <v>7.7872434915909144E-2</v>
      </c>
      <c r="AI41" s="77">
        <f t="shared" ca="1" si="14"/>
        <v>9.5184020199425429E-3</v>
      </c>
      <c r="AJ41" s="384">
        <f t="shared" ca="1" si="23"/>
        <v>1.4140771884159076E-2</v>
      </c>
      <c r="AU41" s="1"/>
    </row>
    <row r="42" spans="2:47" x14ac:dyDescent="0.25">
      <c r="B42" s="44"/>
      <c r="C42" s="10">
        <f t="shared" si="30"/>
        <v>-5</v>
      </c>
      <c r="D42" s="91">
        <f t="shared" si="31"/>
        <v>12</v>
      </c>
      <c r="E42" s="278">
        <f t="shared" ca="1" si="15"/>
        <v>-999</v>
      </c>
      <c r="F42" s="76">
        <f t="shared" ca="1" si="16"/>
        <v>-4.0199999999999996</v>
      </c>
      <c r="G42" s="46">
        <f t="shared" ref="G42" ca="1" si="50">MIN(MAX(G41+OFFSET(Rainfall,(C42+6)*12+D42,0)-OFFSET(PET,(C42+6)*12+D42,0),PWP),FC)</f>
        <v>55.530150000000006</v>
      </c>
      <c r="H42" s="46">
        <f t="shared" ca="1" si="0"/>
        <v>0</v>
      </c>
      <c r="I42" s="45">
        <f t="shared" ca="1" si="17"/>
        <v>1.928381612641308E-2</v>
      </c>
      <c r="J42" s="45">
        <f t="shared" ca="1" si="18"/>
        <v>0.29595601705647312</v>
      </c>
      <c r="K42" s="45">
        <f t="shared" ca="1" si="24"/>
        <v>0.95656105889548582</v>
      </c>
      <c r="L42" s="358">
        <f t="shared" ca="1" si="19"/>
        <v>0.23727895249048903</v>
      </c>
      <c r="M42" s="76">
        <f t="shared" ca="1" si="20"/>
        <v>0.25347808785320641</v>
      </c>
      <c r="N42" s="45">
        <f t="shared" ca="1" si="21"/>
        <v>0.25</v>
      </c>
      <c r="O42" s="45">
        <f t="shared" ca="1" si="22"/>
        <v>0</v>
      </c>
      <c r="P42" s="46" t="str">
        <f t="shared" ca="1" si="1"/>
        <v/>
      </c>
      <c r="Q42" s="243" t="str">
        <f t="shared" ca="1" si="2"/>
        <v/>
      </c>
      <c r="R42" s="45">
        <f t="shared" ca="1" si="25"/>
        <v>0.124267249299049</v>
      </c>
      <c r="S42" s="45">
        <f t="shared" ca="1" si="3"/>
        <v>5.0695617570641283E-2</v>
      </c>
      <c r="T42" s="77">
        <f t="shared" ca="1" si="4"/>
        <v>1.9809958740950014E-3</v>
      </c>
      <c r="U42" s="45">
        <f t="shared" ca="1" si="26"/>
        <v>14.492370638441006</v>
      </c>
      <c r="V42" s="45">
        <f t="shared" ca="1" si="5"/>
        <v>0.20278247028256513</v>
      </c>
      <c r="W42" s="77">
        <f t="shared" ca="1" si="6"/>
        <v>6.9850214070463126E-3</v>
      </c>
      <c r="X42" s="45">
        <f t="shared" ca="1" si="27"/>
        <v>0.47184890392614748</v>
      </c>
      <c r="Y42" s="45">
        <f t="shared" ca="1" si="7"/>
        <v>8.8670626059748708E-4</v>
      </c>
      <c r="Z42" s="77">
        <f t="shared" ca="1" si="8"/>
        <v>5.0018231660911951E-4</v>
      </c>
      <c r="AA42" s="45">
        <f t="shared" ca="1" si="28"/>
        <v>40.013358050979178</v>
      </c>
      <c r="AB42" s="45">
        <f t="shared" ca="1" si="9"/>
        <v>0</v>
      </c>
      <c r="AC42" s="45" cm="1">
        <f t="array" aca="1" ref="AC42" ca="1">pHUM*(T42+W42+Z42+AD42)</f>
        <v>1.0431838359970438E-3</v>
      </c>
      <c r="AD42" s="77">
        <f t="shared" ca="1" si="10"/>
        <v>1.2859963995484366E-3</v>
      </c>
      <c r="AE42" s="45">
        <f t="shared" ca="1" si="29"/>
        <v>6.3847072090583081</v>
      </c>
      <c r="AF42" s="45">
        <f t="shared" ca="1" si="11"/>
        <v>0</v>
      </c>
      <c r="AG42" s="76">
        <f t="shared" ca="1" si="12"/>
        <v>61.486552051703683</v>
      </c>
      <c r="AH42" s="45">
        <f t="shared" ca="1" si="13"/>
        <v>8.8223059007043417E-3</v>
      </c>
      <c r="AI42" s="77">
        <f t="shared" ca="1" si="14"/>
        <v>1.0135884350866976E-2</v>
      </c>
      <c r="AJ42" s="384">
        <f t="shared" ca="1" si="23"/>
        <v>8.1204543969626286E-3</v>
      </c>
      <c r="AU42" s="1"/>
    </row>
    <row r="43" spans="2:47" x14ac:dyDescent="0.25">
      <c r="B43" s="44"/>
      <c r="C43" s="10">
        <f t="shared" si="30"/>
        <v>-4</v>
      </c>
      <c r="D43" s="91">
        <f t="shared" si="31"/>
        <v>1</v>
      </c>
      <c r="E43" s="278">
        <f t="shared" ca="1" si="15"/>
        <v>-999</v>
      </c>
      <c r="F43" s="76">
        <f t="shared" ca="1" si="16"/>
        <v>-4.2</v>
      </c>
      <c r="G43" s="46">
        <f t="shared" ref="G43" ca="1" si="51">MIN(MAX(G42+OFFSET(Rainfall,(C43+6)*12+D43,0)-OFFSET(PET,(C43+6)*12+D43,0),PWP),FC)</f>
        <v>55.530150000000006</v>
      </c>
      <c r="H43" s="46">
        <f t="shared" ca="1" si="0"/>
        <v>0</v>
      </c>
      <c r="I43" s="45">
        <f t="shared" ca="1" si="17"/>
        <v>1.7533304994214301E-2</v>
      </c>
      <c r="J43" s="45">
        <f t="shared" ca="1" si="18"/>
        <v>0.29595601705647312</v>
      </c>
      <c r="K43" s="45">
        <f t="shared" ca="1" si="24"/>
        <v>0.95656105889548582</v>
      </c>
      <c r="L43" s="358">
        <f t="shared" ca="1" si="19"/>
        <v>0.23245220069708772</v>
      </c>
      <c r="M43" s="76">
        <f t="shared" ca="1" si="20"/>
        <v>0.25347808785320641</v>
      </c>
      <c r="N43" s="45">
        <f t="shared" ca="1" si="21"/>
        <v>0.25</v>
      </c>
      <c r="O43" s="45">
        <f t="shared" ca="1" si="22"/>
        <v>0</v>
      </c>
      <c r="P43" s="46" t="str">
        <f t="shared" ca="1" si="1"/>
        <v/>
      </c>
      <c r="Q43" s="243" t="str">
        <f t="shared" ca="1" si="2"/>
        <v/>
      </c>
      <c r="R43" s="45">
        <f t="shared" ca="1" si="25"/>
        <v>0.17298187099559528</v>
      </c>
      <c r="S43" s="45">
        <f t="shared" ca="1" si="3"/>
        <v>5.0695617570641283E-2</v>
      </c>
      <c r="T43" s="77">
        <f t="shared" ca="1" si="4"/>
        <v>2.5090784327822164E-3</v>
      </c>
      <c r="U43" s="45">
        <f t="shared" ca="1" si="26"/>
        <v>14.688168087316525</v>
      </c>
      <c r="V43" s="45">
        <f t="shared" ca="1" si="5"/>
        <v>0.20278247028256513</v>
      </c>
      <c r="W43" s="77">
        <f t="shared" ca="1" si="6"/>
        <v>6.4368924189927281E-3</v>
      </c>
      <c r="X43" s="45">
        <f t="shared" ca="1" si="27"/>
        <v>0.47223542787013584</v>
      </c>
      <c r="Y43" s="45">
        <f t="shared" ca="1" si="7"/>
        <v>8.7171368931104345E-4</v>
      </c>
      <c r="Z43" s="77">
        <f t="shared" ca="1" si="8"/>
        <v>4.5517212448094823E-4</v>
      </c>
      <c r="AA43" s="45">
        <f t="shared" ca="1" si="28"/>
        <v>40.013115238415629</v>
      </c>
      <c r="AB43" s="45">
        <f t="shared" ca="1" si="9"/>
        <v>0</v>
      </c>
      <c r="AC43" s="45" cm="1">
        <f t="array" aca="1" ref="AC43" ca="1">pHUM*(T43+W43+Z43+AD43)</f>
        <v>1.0255455168365218E-3</v>
      </c>
      <c r="AD43" s="77">
        <f t="shared" ca="1" si="10"/>
        <v>1.1692531712633066E-3</v>
      </c>
      <c r="AE43" s="45">
        <f t="shared" ca="1" si="29"/>
        <v>6.3847072090583081</v>
      </c>
      <c r="AF43" s="45">
        <f t="shared" ca="1" si="11"/>
        <v>0</v>
      </c>
      <c r="AG43" s="76">
        <f t="shared" ca="1" si="12"/>
        <v>61.731207833656192</v>
      </c>
      <c r="AH43" s="45">
        <f t="shared" ca="1" si="13"/>
        <v>8.6731369413716349E-3</v>
      </c>
      <c r="AI43" s="77">
        <f t="shared" ca="1" si="14"/>
        <v>1.0913377150491066E-2</v>
      </c>
      <c r="AJ43" s="384">
        <f t="shared" ca="1" si="23"/>
        <v>8.5654880307783898E-3</v>
      </c>
      <c r="AU43" s="1"/>
    </row>
    <row r="44" spans="2:47" x14ac:dyDescent="0.25">
      <c r="B44" s="44"/>
      <c r="C44" s="10">
        <f t="shared" si="30"/>
        <v>-4</v>
      </c>
      <c r="D44" s="91">
        <f t="shared" si="31"/>
        <v>2</v>
      </c>
      <c r="E44" s="278">
        <f t="shared" ca="1" si="15"/>
        <v>-999</v>
      </c>
      <c r="F44" s="76">
        <f t="shared" ca="1" si="16"/>
        <v>-4.58</v>
      </c>
      <c r="G44" s="46">
        <f t="shared" ref="G44" ca="1" si="52">MIN(MAX(G43+OFFSET(Rainfall,(C44+6)*12+D44,0)-OFFSET(PET,(C44+6)*12+D44,0),PWP),FC)</f>
        <v>55.530150000000006</v>
      </c>
      <c r="H44" s="46">
        <f t="shared" ca="1" si="0"/>
        <v>0</v>
      </c>
      <c r="I44" s="45">
        <f t="shared" ca="1" si="17"/>
        <v>1.4224503577086234E-2</v>
      </c>
      <c r="J44" s="45">
        <f t="shared" ca="1" si="18"/>
        <v>0.29595601705647312</v>
      </c>
      <c r="K44" s="45">
        <f t="shared" ca="1" si="24"/>
        <v>0.95656105889548582</v>
      </c>
      <c r="L44" s="358">
        <f t="shared" ca="1" si="19"/>
        <v>0.22248873032319771</v>
      </c>
      <c r="M44" s="76">
        <f t="shared" ca="1" si="20"/>
        <v>0.25347808785320641</v>
      </c>
      <c r="N44" s="45">
        <f t="shared" ca="1" si="21"/>
        <v>0.25</v>
      </c>
      <c r="O44" s="45">
        <f t="shared" ca="1" si="22"/>
        <v>0</v>
      </c>
      <c r="P44" s="46" t="str">
        <f t="shared" ca="1" si="1"/>
        <v/>
      </c>
      <c r="Q44" s="243" t="str">
        <f t="shared" ca="1" si="2"/>
        <v/>
      </c>
      <c r="R44" s="45">
        <f t="shared" ca="1" si="25"/>
        <v>0.22116841013345434</v>
      </c>
      <c r="S44" s="45">
        <f t="shared" ca="1" si="3"/>
        <v>5.0695617570641283E-2</v>
      </c>
      <c r="T44" s="77">
        <f t="shared" ca="1" si="4"/>
        <v>2.6061985672249975E-3</v>
      </c>
      <c r="U44" s="45">
        <f t="shared" ca="1" si="26"/>
        <v>14.884513665180098</v>
      </c>
      <c r="V44" s="45">
        <f t="shared" ca="1" si="5"/>
        <v>0.20278247028256513</v>
      </c>
      <c r="W44" s="77">
        <f t="shared" ca="1" si="6"/>
        <v>5.2921794082559067E-3</v>
      </c>
      <c r="X44" s="45">
        <f t="shared" ca="1" si="27"/>
        <v>0.47265196943496596</v>
      </c>
      <c r="Y44" s="45">
        <f t="shared" ca="1" si="7"/>
        <v>7.6007022863439566E-4</v>
      </c>
      <c r="Z44" s="77">
        <f t="shared" ca="1" si="8"/>
        <v>3.6963356980754031E-4</v>
      </c>
      <c r="AA44" s="45">
        <f t="shared" ca="1" si="28"/>
        <v>40.012971530761206</v>
      </c>
      <c r="AB44" s="45">
        <f t="shared" ca="1" si="9"/>
        <v>0</v>
      </c>
      <c r="AC44" s="45" cm="1">
        <f t="array" aca="1" ref="AC44" ca="1">pHUM*(T44+W44+Z44+AD44)</f>
        <v>8.9420026898164192E-4</v>
      </c>
      <c r="AD44" s="77">
        <f t="shared" ca="1" si="10"/>
        <v>9.4859651664401631E-4</v>
      </c>
      <c r="AE44" s="45">
        <f t="shared" ca="1" si="29"/>
        <v>6.3847072090583081</v>
      </c>
      <c r="AF44" s="45">
        <f t="shared" ca="1" si="11"/>
        <v>0</v>
      </c>
      <c r="AG44" s="76">
        <f t="shared" ca="1" si="12"/>
        <v>61.976012784568027</v>
      </c>
      <c r="AH44" s="45">
        <f t="shared" ca="1" si="13"/>
        <v>7.5623375643164249E-3</v>
      </c>
      <c r="AI44" s="77">
        <f t="shared" ca="1" si="14"/>
        <v>1.1676358156328859E-2</v>
      </c>
      <c r="AJ44" s="384">
        <f t="shared" ca="1" si="23"/>
        <v>8.7715153455369954E-3</v>
      </c>
      <c r="AU44" s="1"/>
    </row>
    <row r="45" spans="2:47" x14ac:dyDescent="0.25">
      <c r="B45" s="44"/>
      <c r="C45" s="10">
        <f t="shared" si="30"/>
        <v>-4</v>
      </c>
      <c r="D45" s="91">
        <f t="shared" si="31"/>
        <v>3</v>
      </c>
      <c r="E45" s="278">
        <f t="shared" ca="1" si="15"/>
        <v>-999</v>
      </c>
      <c r="F45" s="76">
        <f t="shared" ca="1" si="16"/>
        <v>-0.72</v>
      </c>
      <c r="G45" s="46">
        <f t="shared" ref="G45" ca="1" si="53">MIN(MAX(G44+OFFSET(Rainfall,(C45+6)*12+D45,0)-OFFSET(PET,(C45+6)*12+D45,0),PWP),FC)</f>
        <v>55.530150000000006</v>
      </c>
      <c r="H45" s="46">
        <f t="shared" ca="1" si="0"/>
        <v>0</v>
      </c>
      <c r="I45" s="45">
        <f t="shared" ca="1" si="17"/>
        <v>7.8021384925579029E-2</v>
      </c>
      <c r="J45" s="45">
        <f t="shared" ca="1" si="18"/>
        <v>0.29595601705647312</v>
      </c>
      <c r="K45" s="45">
        <f t="shared" ca="1" si="24"/>
        <v>0.95656105889548582</v>
      </c>
      <c r="L45" s="358">
        <f t="shared" ca="1" si="19"/>
        <v>0.33731992825459489</v>
      </c>
      <c r="M45" s="76">
        <f t="shared" ca="1" si="20"/>
        <v>0.25347808785320641</v>
      </c>
      <c r="N45" s="45">
        <f t="shared" ca="1" si="21"/>
        <v>0.25</v>
      </c>
      <c r="O45" s="45">
        <f t="shared" ca="1" si="22"/>
        <v>0</v>
      </c>
      <c r="P45" s="46" t="str">
        <f t="shared" ca="1" si="1"/>
        <v/>
      </c>
      <c r="Q45" s="243" t="str">
        <f t="shared" ca="1" si="2"/>
        <v/>
      </c>
      <c r="R45" s="45">
        <f t="shared" ca="1" si="25"/>
        <v>0.26925782913687063</v>
      </c>
      <c r="S45" s="45">
        <f t="shared" ca="1" si="3"/>
        <v>5.0695617570641283E-2</v>
      </c>
      <c r="T45" s="77">
        <f t="shared" ca="1" si="4"/>
        <v>1.6949574560847124E-2</v>
      </c>
      <c r="U45" s="45">
        <f t="shared" ca="1" si="26"/>
        <v>15.082003956054407</v>
      </c>
      <c r="V45" s="45">
        <f t="shared" ca="1" si="5"/>
        <v>0.20278247028256513</v>
      </c>
      <c r="W45" s="77">
        <f t="shared" ca="1" si="6"/>
        <v>2.9389299161987823E-2</v>
      </c>
      <c r="X45" s="45">
        <f t="shared" ca="1" si="27"/>
        <v>0.47304240609379283</v>
      </c>
      <c r="Y45" s="45">
        <f t="shared" ca="1" si="7"/>
        <v>4.417550757774843E-3</v>
      </c>
      <c r="Z45" s="77">
        <f t="shared" ca="1" si="8"/>
        <v>2.0255591769694444E-3</v>
      </c>
      <c r="AA45" s="45">
        <f t="shared" ca="1" si="28"/>
        <v>40.012917134513543</v>
      </c>
      <c r="AB45" s="45">
        <f t="shared" ca="1" si="9"/>
        <v>0</v>
      </c>
      <c r="AC45" s="45" cm="1">
        <f t="array" aca="1" ref="AC45" ca="1">pHUM*(T45+W45+Z45+AD45)</f>
        <v>5.1971185385586392E-3</v>
      </c>
      <c r="AD45" s="77">
        <f t="shared" ca="1" si="10"/>
        <v>5.2027670696709041E-3</v>
      </c>
      <c r="AE45" s="45">
        <f t="shared" ca="1" si="29"/>
        <v>6.3847072090583081</v>
      </c>
      <c r="AF45" s="45">
        <f t="shared" ca="1" si="11"/>
        <v>0</v>
      </c>
      <c r="AG45" s="76">
        <f t="shared" ca="1" si="12"/>
        <v>62.221928534856922</v>
      </c>
      <c r="AH45" s="45">
        <f t="shared" ca="1" si="13"/>
        <v>4.3952530673141817E-2</v>
      </c>
      <c r="AI45" s="77">
        <f t="shared" ca="1" si="14"/>
        <v>1.2431441505501984E-2</v>
      </c>
      <c r="AJ45" s="384">
        <f t="shared" ca="1" si="23"/>
        <v>1.4158605617925479E-2</v>
      </c>
      <c r="AU45" s="1"/>
    </row>
    <row r="46" spans="2:47" x14ac:dyDescent="0.25">
      <c r="B46" s="44"/>
      <c r="C46" s="10">
        <f t="shared" si="30"/>
        <v>-4</v>
      </c>
      <c r="D46" s="91">
        <f t="shared" si="31"/>
        <v>4</v>
      </c>
      <c r="E46" s="278">
        <f t="shared" ca="1" si="15"/>
        <v>-999</v>
      </c>
      <c r="F46" s="76">
        <f t="shared" ca="1" si="16"/>
        <v>7.8</v>
      </c>
      <c r="G46" s="46">
        <f t="shared" ref="G46" ca="1" si="54">MIN(MAX(G45+OFFSET(Rainfall,(C46+6)*12+D46,0)-OFFSET(PET,(C46+6)*12+D46,0),PWP),FC)</f>
        <v>55.530150000000006</v>
      </c>
      <c r="H46" s="46">
        <f t="shared" ca="1" si="0"/>
        <v>0</v>
      </c>
      <c r="I46" s="45">
        <f t="shared" ca="1" si="17"/>
        <v>0.55414080819307654</v>
      </c>
      <c r="J46" s="45">
        <f t="shared" ca="1" si="18"/>
        <v>0.29595601705647312</v>
      </c>
      <c r="K46" s="45">
        <f t="shared" ca="1" si="24"/>
        <v>0.95656105889548582</v>
      </c>
      <c r="L46" s="358">
        <f t="shared" ca="1" si="19"/>
        <v>0.64450291379945601</v>
      </c>
      <c r="M46" s="76">
        <f t="shared" ca="1" si="20"/>
        <v>0.25347808785320641</v>
      </c>
      <c r="N46" s="45">
        <f t="shared" ca="1" si="21"/>
        <v>0.25</v>
      </c>
      <c r="O46" s="45">
        <f t="shared" ca="1" si="22"/>
        <v>0</v>
      </c>
      <c r="P46" s="46" t="str">
        <f t="shared" ca="1" si="1"/>
        <v/>
      </c>
      <c r="Q46" s="243" t="str">
        <f t="shared" ca="1" si="2"/>
        <v/>
      </c>
      <c r="R46" s="45">
        <f t="shared" ca="1" si="25"/>
        <v>0.3030038721466648</v>
      </c>
      <c r="S46" s="45">
        <f t="shared" ca="1" si="3"/>
        <v>5.0695617570641283E-2</v>
      </c>
      <c r="T46" s="77">
        <f t="shared" ca="1" si="4"/>
        <v>0.11206342622635879</v>
      </c>
      <c r="U46" s="45">
        <f t="shared" ca="1" si="26"/>
        <v>15.255397127174986</v>
      </c>
      <c r="V46" s="45">
        <f t="shared" ca="1" si="5"/>
        <v>0.20278247028256513</v>
      </c>
      <c r="W46" s="77">
        <f t="shared" ca="1" si="6"/>
        <v>0.20988378100266364</v>
      </c>
      <c r="X46" s="45">
        <f t="shared" ca="1" si="27"/>
        <v>0.47543439767459822</v>
      </c>
      <c r="Y46" s="45">
        <f t="shared" ca="1" si="7"/>
        <v>3.0773257142344357E-2</v>
      </c>
      <c r="Z46" s="77">
        <f t="shared" ca="1" si="8"/>
        <v>1.4271580568890543E-2</v>
      </c>
      <c r="AA46" s="45">
        <f t="shared" ca="1" si="28"/>
        <v>40.012911485982436</v>
      </c>
      <c r="AB46" s="45">
        <f t="shared" ca="1" si="9"/>
        <v>0</v>
      </c>
      <c r="AC46" s="45" cm="1">
        <f t="array" aca="1" ref="AC46" ca="1">pHUM*(T46+W46+Z46+AD46)</f>
        <v>3.6203831932169833E-2</v>
      </c>
      <c r="AD46" s="77">
        <f t="shared" ca="1" si="10"/>
        <v>3.6937585369913484E-2</v>
      </c>
      <c r="AE46" s="45">
        <f t="shared" ca="1" si="29"/>
        <v>6.3847072090583081</v>
      </c>
      <c r="AF46" s="45">
        <f t="shared" ca="1" si="11"/>
        <v>0</v>
      </c>
      <c r="AG46" s="76">
        <f t="shared" ca="1" si="12"/>
        <v>62.431454092036986</v>
      </c>
      <c r="AH46" s="45">
        <f t="shared" ca="1" si="13"/>
        <v>0.3061792840933123</v>
      </c>
      <c r="AI46" s="77">
        <f t="shared" ca="1" si="14"/>
        <v>1.2966412380145493E-2</v>
      </c>
      <c r="AJ46" s="384">
        <f t="shared" ca="1" si="23"/>
        <v>2.8216032693708648E-2</v>
      </c>
      <c r="AU46" s="1"/>
    </row>
    <row r="47" spans="2:47" x14ac:dyDescent="0.25">
      <c r="B47" s="44"/>
      <c r="C47" s="10">
        <f t="shared" si="30"/>
        <v>-4</v>
      </c>
      <c r="D47" s="91">
        <f t="shared" si="31"/>
        <v>5</v>
      </c>
      <c r="E47" s="278">
        <f t="shared" ca="1" si="15"/>
        <v>-999</v>
      </c>
      <c r="F47" s="76">
        <f t="shared" ca="1" si="16"/>
        <v>11.54</v>
      </c>
      <c r="G47" s="46">
        <f t="shared" ref="G47" ca="1" si="55">MIN(MAX(G46+OFFSET(Rainfall,(C47+6)*12+D47,0)-OFFSET(PET,(C47+6)*12+D47,0),PWP),FC)</f>
        <v>29.8665512704859</v>
      </c>
      <c r="H47" s="46">
        <f t="shared" ca="1" si="0"/>
        <v>25.663598729514106</v>
      </c>
      <c r="I47" s="45">
        <f t="shared" ca="1" si="17"/>
        <v>0.63606221875811575</v>
      </c>
      <c r="J47" s="45">
        <f t="shared" ca="1" si="18"/>
        <v>0.29161427663890704</v>
      </c>
      <c r="K47" s="45">
        <f t="shared" ca="1" si="24"/>
        <v>0.94252809598233833</v>
      </c>
      <c r="L47" s="358">
        <f t="shared" ca="1" si="19"/>
        <v>0.75966786266700659</v>
      </c>
      <c r="M47" s="76">
        <f t="shared" ca="1" si="20"/>
        <v>0.25347808785320641</v>
      </c>
      <c r="N47" s="45">
        <f t="shared" ca="1" si="21"/>
        <v>0.25</v>
      </c>
      <c r="O47" s="45">
        <f t="shared" ca="1" si="22"/>
        <v>0</v>
      </c>
      <c r="P47" s="46" t="str">
        <f t="shared" ca="1" si="1"/>
        <v/>
      </c>
      <c r="Q47" s="243" t="str">
        <f t="shared" ca="1" si="2"/>
        <v/>
      </c>
      <c r="R47" s="45">
        <f t="shared" ca="1" si="25"/>
        <v>0.24163606349094729</v>
      </c>
      <c r="S47" s="45">
        <f t="shared" ca="1" si="3"/>
        <v>5.0695617570641283E-2</v>
      </c>
      <c r="T47" s="77">
        <f t="shared" ca="1" si="4"/>
        <v>9.941524985983359E-2</v>
      </c>
      <c r="U47" s="45">
        <f t="shared" ca="1" si="26"/>
        <v>15.248295816454888</v>
      </c>
      <c r="V47" s="45">
        <f t="shared" ca="1" si="5"/>
        <v>0.20278247028256513</v>
      </c>
      <c r="W47" s="77">
        <f t="shared" ca="1" si="6"/>
        <v>0.24055396180803718</v>
      </c>
      <c r="X47" s="45">
        <f t="shared" ca="1" si="27"/>
        <v>0.49193607424805197</v>
      </c>
      <c r="Y47" s="45">
        <f t="shared" ca="1" si="7"/>
        <v>3.2927264434004073E-2</v>
      </c>
      <c r="Z47" s="77">
        <f t="shared" ca="1" si="8"/>
        <v>1.691206163389886E-2</v>
      </c>
      <c r="AA47" s="45">
        <f t="shared" ca="1" si="28"/>
        <v>40.012177732544693</v>
      </c>
      <c r="AB47" s="45">
        <f t="shared" ca="1" si="9"/>
        <v>0</v>
      </c>
      <c r="AC47" s="45" cm="1">
        <f t="array" aca="1" ref="AC47" ca="1">pHUM*(T47+W47+Z47+AD47)</f>
        <v>3.8737958157651846E-2</v>
      </c>
      <c r="AD47" s="77">
        <f t="shared" ca="1" si="10"/>
        <v>4.239458227946636E-2</v>
      </c>
      <c r="AE47" s="45">
        <f t="shared" ca="1" si="29"/>
        <v>6.3847072090583081</v>
      </c>
      <c r="AF47" s="45">
        <f t="shared" ca="1" si="11"/>
        <v>0</v>
      </c>
      <c r="AG47" s="76">
        <f t="shared" ca="1" si="12"/>
        <v>62.378752895796886</v>
      </c>
      <c r="AH47" s="45">
        <f t="shared" ca="1" si="13"/>
        <v>0.3276106329895801</v>
      </c>
      <c r="AI47" s="77">
        <f t="shared" ca="1" si="14"/>
        <v>1.2078324049109052E-2</v>
      </c>
      <c r="AJ47" s="384">
        <f t="shared" ca="1" si="23"/>
        <v>3.0525467798216965E-2</v>
      </c>
      <c r="AU47" s="1"/>
    </row>
    <row r="48" spans="2:47" x14ac:dyDescent="0.25">
      <c r="B48" s="44"/>
      <c r="C48" s="10">
        <f t="shared" si="30"/>
        <v>-4</v>
      </c>
      <c r="D48" s="91">
        <f t="shared" si="31"/>
        <v>6</v>
      </c>
      <c r="E48" s="278">
        <f t="shared" ca="1" si="15"/>
        <v>-999</v>
      </c>
      <c r="F48" s="76">
        <f t="shared" ca="1" si="16"/>
        <v>19.190000000000001</v>
      </c>
      <c r="G48" s="46">
        <f t="shared" ref="G48" ca="1" si="56">MIN(MAX(G47+OFFSET(Rainfall,(C48+6)*12+D48,0)-OFFSET(PET,(C48+6)*12+D48,0),PWP),FC)</f>
        <v>31.146751391395824</v>
      </c>
      <c r="H48" s="46">
        <f t="shared" ca="1" si="0"/>
        <v>24.383398608604182</v>
      </c>
      <c r="I48" s="45">
        <f t="shared" ca="1" si="17"/>
        <v>1.3323271262826262</v>
      </c>
      <c r="J48" s="45">
        <f t="shared" ca="1" si="18"/>
        <v>0.29581290939408533</v>
      </c>
      <c r="K48" s="45">
        <f t="shared" ca="1" si="24"/>
        <v>0.95609851983839478</v>
      </c>
      <c r="L48" s="358">
        <f t="shared" ca="1" si="19"/>
        <v>0.90629530829521876</v>
      </c>
      <c r="M48" s="76">
        <f t="shared" ca="1" si="20"/>
        <v>0.25347808785320641</v>
      </c>
      <c r="N48" s="45">
        <f t="shared" ca="1" si="21"/>
        <v>0.25</v>
      </c>
      <c r="O48" s="45">
        <f t="shared" ca="1" si="22"/>
        <v>0</v>
      </c>
      <c r="P48" s="46" t="str">
        <f t="shared" ca="1" si="1"/>
        <v/>
      </c>
      <c r="Q48" s="243" t="str">
        <f t="shared" ca="1" si="2"/>
        <v/>
      </c>
      <c r="R48" s="45">
        <f t="shared" ca="1" si="25"/>
        <v>0.192916431201755</v>
      </c>
      <c r="S48" s="45">
        <f t="shared" ca="1" si="3"/>
        <v>5.0695617570641283E-2</v>
      </c>
      <c r="T48" s="77">
        <f t="shared" ca="1" si="4"/>
        <v>0.1293564217138293</v>
      </c>
      <c r="U48" s="45">
        <f t="shared" ca="1" si="26"/>
        <v>15.210524324929416</v>
      </c>
      <c r="V48" s="45">
        <f t="shared" ca="1" si="5"/>
        <v>0.20278247028256513</v>
      </c>
      <c r="W48" s="77">
        <f t="shared" ca="1" si="6"/>
        <v>0.49829021689699748</v>
      </c>
      <c r="X48" s="45">
        <f t="shared" ca="1" si="27"/>
        <v>0.50795127704815712</v>
      </c>
      <c r="Y48" s="45">
        <f t="shared" ca="1" si="7"/>
        <v>6.2038569012324372E-2</v>
      </c>
      <c r="Z48" s="77">
        <f t="shared" ca="1" si="8"/>
        <v>3.5890595600781637E-2</v>
      </c>
      <c r="AA48" s="45">
        <f t="shared" ca="1" si="28"/>
        <v>40.008521108422883</v>
      </c>
      <c r="AB48" s="45">
        <f t="shared" ca="1" si="9"/>
        <v>0</v>
      </c>
      <c r="AC48" s="45" cm="1">
        <f t="array" aca="1" ref="AC48" ca="1">pHUM*(T48+W48+Z48+AD48)</f>
        <v>7.2986551779205142E-2</v>
      </c>
      <c r="AD48" s="77">
        <f t="shared" ca="1" si="10"/>
        <v>8.8742165465784895E-2</v>
      </c>
      <c r="AE48" s="45">
        <f t="shared" ca="1" si="29"/>
        <v>6.3847072090583081</v>
      </c>
      <c r="AF48" s="45">
        <f t="shared" ca="1" si="11"/>
        <v>0</v>
      </c>
      <c r="AG48" s="76">
        <f t="shared" ca="1" si="12"/>
        <v>62.304620350660514</v>
      </c>
      <c r="AH48" s="45">
        <f t="shared" ca="1" si="13"/>
        <v>0.61725427888586382</v>
      </c>
      <c r="AI48" s="77">
        <f t="shared" ca="1" si="14"/>
        <v>1.1367059672168134E-2</v>
      </c>
      <c r="AJ48" s="384">
        <f t="shared" ca="1" si="23"/>
        <v>3.4766131758259267E-2</v>
      </c>
      <c r="AU48" s="1"/>
    </row>
    <row r="49" spans="2:47" x14ac:dyDescent="0.25">
      <c r="B49" s="44"/>
      <c r="C49" s="10">
        <f t="shared" si="30"/>
        <v>-4</v>
      </c>
      <c r="D49" s="91">
        <f t="shared" si="31"/>
        <v>7</v>
      </c>
      <c r="E49" s="278">
        <f t="shared" ca="1" si="15"/>
        <v>-999</v>
      </c>
      <c r="F49" s="76">
        <f t="shared" ca="1" si="16"/>
        <v>21.64</v>
      </c>
      <c r="G49" s="46">
        <f t="shared" ref="G49" ca="1" si="57">MIN(MAX(G48+OFFSET(Rainfall,(C49+6)*12+D49,0)-OFFSET(PET,(C49+6)*12+D49,0),PWP),FC)</f>
        <v>55.530150000000006</v>
      </c>
      <c r="H49" s="46">
        <f t="shared" ca="1" si="0"/>
        <v>0</v>
      </c>
      <c r="I49" s="45">
        <f t="shared" ca="1" si="17"/>
        <v>2.1590079606125254</v>
      </c>
      <c r="J49" s="45">
        <f t="shared" ca="1" si="18"/>
        <v>0.29595601705647312</v>
      </c>
      <c r="K49" s="45">
        <f t="shared" ca="1" si="24"/>
        <v>0.95656105889548582</v>
      </c>
      <c r="L49" s="358">
        <f t="shared" ca="1" si="19"/>
        <v>0.93149568782190761</v>
      </c>
      <c r="M49" s="76">
        <f t="shared" ca="1" si="20"/>
        <v>0.25347808785320641</v>
      </c>
      <c r="N49" s="45">
        <f t="shared" ca="1" si="21"/>
        <v>0.25</v>
      </c>
      <c r="O49" s="45">
        <f t="shared" ca="1" si="22"/>
        <v>0</v>
      </c>
      <c r="P49" s="46" t="str">
        <f t="shared" ca="1" si="1"/>
        <v/>
      </c>
      <c r="Q49" s="243" t="str">
        <f t="shared" ca="1" si="2"/>
        <v/>
      </c>
      <c r="R49" s="45">
        <f t="shared" ca="1" si="25"/>
        <v>0.11425562705856698</v>
      </c>
      <c r="S49" s="45">
        <f t="shared" ca="1" si="3"/>
        <v>5.0695617570641283E-2</v>
      </c>
      <c r="T49" s="77">
        <f t="shared" ca="1" si="4"/>
        <v>9.535367915936456E-2</v>
      </c>
      <c r="U49" s="45">
        <f t="shared" ca="1" si="26"/>
        <v>14.915016578314985</v>
      </c>
      <c r="V49" s="45">
        <f t="shared" ca="1" si="5"/>
        <v>0.20278247028256513</v>
      </c>
      <c r="W49" s="77">
        <f t="shared" ca="1" si="6"/>
        <v>0.78370053680599483</v>
      </c>
      <c r="X49" s="45">
        <f t="shared" ca="1" si="27"/>
        <v>0.53409925045969986</v>
      </c>
      <c r="Y49" s="45">
        <f t="shared" ca="1" si="7"/>
        <v>8.9271392385463791E-2</v>
      </c>
      <c r="Z49" s="77">
        <f t="shared" ca="1" si="8"/>
        <v>5.9801046508600152E-2</v>
      </c>
      <c r="AA49" s="45">
        <f t="shared" ca="1" si="28"/>
        <v>39.992765494736304</v>
      </c>
      <c r="AB49" s="45">
        <f t="shared" ca="1" si="9"/>
        <v>0</v>
      </c>
      <c r="AC49" s="45" cm="1">
        <f t="array" aca="1" ref="AC49" ca="1">pHUM*(T49+W49+Z49+AD49)</f>
        <v>0.10502516751231035</v>
      </c>
      <c r="AD49" s="77">
        <f t="shared" ca="1" si="10"/>
        <v>0.14364922693101911</v>
      </c>
      <c r="AE49" s="45">
        <f t="shared" ca="1" si="29"/>
        <v>6.3847072090583081</v>
      </c>
      <c r="AF49" s="45">
        <f t="shared" ca="1" si="11"/>
        <v>0</v>
      </c>
      <c r="AG49" s="76">
        <f t="shared" ca="1" si="12"/>
        <v>61.940844159627858</v>
      </c>
      <c r="AH49" s="45">
        <f t="shared" ca="1" si="13"/>
        <v>0.88820792950720462</v>
      </c>
      <c r="AI49" s="77">
        <f t="shared" ca="1" si="14"/>
        <v>1.0154026825907204E-2</v>
      </c>
      <c r="AJ49" s="384">
        <f t="shared" ca="1" si="23"/>
        <v>3.1935143090062734E-2</v>
      </c>
      <c r="AU49" s="1"/>
    </row>
    <row r="50" spans="2:47" x14ac:dyDescent="0.25">
      <c r="B50" s="44"/>
      <c r="C50" s="10">
        <f t="shared" si="30"/>
        <v>-4</v>
      </c>
      <c r="D50" s="91">
        <f t="shared" si="31"/>
        <v>8</v>
      </c>
      <c r="E50" s="278">
        <f t="shared" ca="1" si="15"/>
        <v>62.474999999999994</v>
      </c>
      <c r="F50" s="76">
        <f t="shared" ca="1" si="16"/>
        <v>18.829999999999998</v>
      </c>
      <c r="G50" s="46">
        <f t="shared" ref="G50" ca="1" si="58">MIN(MAX(G49+OFFSET(Rainfall,(C50+6)*12+D50,0)-OFFSET(PET,(C50+6)*12+D50,0),PWP),FC)</f>
        <v>38.971096835867215</v>
      </c>
      <c r="H50" s="46">
        <f t="shared" ca="1" si="0"/>
        <v>16.559053164132791</v>
      </c>
      <c r="I50" s="45">
        <f t="shared" ca="1" si="17"/>
        <v>1.6242943074780989</v>
      </c>
      <c r="J50" s="45">
        <f t="shared" ca="1" si="18"/>
        <v>0.30939584494293049</v>
      </c>
      <c r="K50" s="45">
        <f t="shared" ca="1" si="24"/>
        <v>1</v>
      </c>
      <c r="L50" s="358">
        <f t="shared" ca="1" si="19"/>
        <v>0.90185055545657677</v>
      </c>
      <c r="M50" s="76">
        <f t="shared" ca="1" si="20"/>
        <v>0.25347808785320641</v>
      </c>
      <c r="N50" s="45">
        <f t="shared" ca="1" si="21"/>
        <v>0.25</v>
      </c>
      <c r="O50" s="45">
        <f t="shared" ca="1" si="22"/>
        <v>0</v>
      </c>
      <c r="P50" s="46" t="str">
        <f t="shared" ref="P50:P81" ca="1" si="59">IF(O50&gt;0,OFFSET(OW_DPMtoHUM,0,MATCH(OFFSET(OWType,C50+6+1,0),OW_Types,0)),IF(O50&gt;0,OFFSET(OW_DPMtoHUM,0,MATCH(OFFSET(OWType2,C50+6+1,0),OW_Types,0)),""))</f>
        <v/>
      </c>
      <c r="Q50" s="243" t="str">
        <f t="shared" ref="Q50:Q81" ca="1" si="60">IF(O50&gt;0,OFFSET(OW_pIOM,0,MATCH(OFFSET(OWType,C50+6+1,0),OW_Types,0)),IF(O50&gt;0,OFFSET(OW_pIOM,0,MATCH(OFFSET(OWType2,C50+6+1,0),OW_Types,0)),""))</f>
        <v/>
      </c>
      <c r="R50" s="45">
        <f t="shared" ca="1" si="25"/>
        <v>6.9597565469843706E-2</v>
      </c>
      <c r="S50" s="45">
        <f t="shared" ca="1" si="3"/>
        <v>5.0695617570641283E-2</v>
      </c>
      <c r="T50" s="77">
        <f t="shared" ca="1" si="4"/>
        <v>5.1619525736069122E-2</v>
      </c>
      <c r="U50" s="45">
        <f t="shared" ca="1" si="26"/>
        <v>14.334098511791556</v>
      </c>
      <c r="V50" s="45">
        <f t="shared" ca="1" si="5"/>
        <v>0.20278247028256513</v>
      </c>
      <c r="W50" s="77">
        <f t="shared" ca="1" si="6"/>
        <v>0.57041006298524055</v>
      </c>
      <c r="X50" s="45">
        <f t="shared" ca="1" si="27"/>
        <v>0.56356959633656345</v>
      </c>
      <c r="Y50" s="45">
        <f t="shared" ca="1" si="7"/>
        <v>6.4176933965559874E-2</v>
      </c>
      <c r="Z50" s="77">
        <f t="shared" ca="1" si="8"/>
        <v>4.8163747556553803E-2</v>
      </c>
      <c r="AA50" s="45">
        <f t="shared" ca="1" si="28"/>
        <v>39.954141435317595</v>
      </c>
      <c r="AB50" s="45">
        <f t="shared" ca="1" si="9"/>
        <v>0</v>
      </c>
      <c r="AC50" s="45" cm="1">
        <f t="array" aca="1" ref="AC50" ca="1">pHUM*(T50+W50+Z50+AD50)</f>
        <v>7.5502275253599857E-2</v>
      </c>
      <c r="AD50" s="77">
        <f t="shared" ca="1" si="10"/>
        <v>0.10801586688986524</v>
      </c>
      <c r="AE50" s="45">
        <f t="shared" ca="1" si="29"/>
        <v>6.3847072090583081</v>
      </c>
      <c r="AF50" s="45">
        <f t="shared" ca="1" si="11"/>
        <v>0</v>
      </c>
      <c r="AG50" s="76">
        <f t="shared" ca="1" si="12"/>
        <v>61.306114317973865</v>
      </c>
      <c r="AH50" s="45">
        <f t="shared" ca="1" si="13"/>
        <v>0.63852999394856902</v>
      </c>
      <c r="AI50" s="77">
        <f t="shared" ca="1" si="14"/>
        <v>9.3576808133211502E-3</v>
      </c>
      <c r="AJ50" s="384">
        <f t="shared" ca="1" si="23"/>
        <v>2.9787955652826881E-2</v>
      </c>
      <c r="AU50" s="1"/>
    </row>
    <row r="51" spans="2:47" x14ac:dyDescent="0.25">
      <c r="B51" s="44"/>
      <c r="C51" s="10">
        <f t="shared" si="30"/>
        <v>-4</v>
      </c>
      <c r="D51" s="91">
        <f t="shared" si="31"/>
        <v>9</v>
      </c>
      <c r="E51" s="278">
        <f t="shared" ca="1" si="15"/>
        <v>-999</v>
      </c>
      <c r="F51" s="76">
        <f t="shared" ca="1" si="16"/>
        <v>16.34</v>
      </c>
      <c r="G51" s="46">
        <f t="shared" ref="G51" ca="1" si="61">MIN(MAX(G50+OFFSET(Rainfall,(C51+6)*12+D51,0)-OFFSET(PET,(C51+6)*12+D51,0),PWP),FC)</f>
        <v>55.530150000000006</v>
      </c>
      <c r="H51" s="46">
        <f t="shared" ca="1" si="0"/>
        <v>0</v>
      </c>
      <c r="I51" s="45">
        <f t="shared" ca="1" si="17"/>
        <v>1.469390354977572</v>
      </c>
      <c r="J51" s="45">
        <f t="shared" ca="1" si="18"/>
        <v>0.29595601705647312</v>
      </c>
      <c r="K51" s="45">
        <f t="shared" ca="1" si="24"/>
        <v>0.95656105889548582</v>
      </c>
      <c r="L51" s="358">
        <f t="shared" ca="1" si="19"/>
        <v>0.86508446236037995</v>
      </c>
      <c r="M51" s="76">
        <f t="shared" ref="M51:M82" ca="1" si="62">IF(PI_Def&gt;0,PI*OFFSET(PI_Month,D51,MATCH(OFFSET(LandUse,C51+6+1,0),LandUseTypes,0))/PI_Def,0)</f>
        <v>0.25347808785320641</v>
      </c>
      <c r="N51" s="45">
        <f t="shared" ref="N51:N82" ca="1" si="63">OFFSET(DPMtoRPM,0,MATCH(OFFSET(LandUse,C51+6+1,0),LandUseTypes,0))</f>
        <v>0.25</v>
      </c>
      <c r="O51" s="45">
        <f t="shared" ref="O51:O82" ca="1" si="64">IF(D51=OFFSET(OWAppDate,C51+6+1,0),OFFSET(OW_DM,0,MATCH(OFFSET(OWType,C52+6+1,0),OrgWasteTypes,0))*OFFSET(OW_pC,0,MATCH(OFFSET(OWType,C52+6+1,0),OrgWasteTypes,0))*OFFSET(OWAmount,C51+6+1,0),0)+IF(D51=OFFSET(OWAppDate2,C51+6+1,0),OFFSET(OW_DM,0,MATCH(OFFSET(OWType2,C52+6+1,0),OrgWasteTypes,0))*OFFSET(OW_pC,0,MATCH(OFFSET(OWType2,C52+6+1,0),OrgWasteTypes,0))*OFFSET(OWAmount2,C51+6+1,0),0)</f>
        <v>0</v>
      </c>
      <c r="P51" s="46" t="str">
        <f t="shared" ca="1" si="59"/>
        <v/>
      </c>
      <c r="Q51" s="243" t="str">
        <f t="shared" ca="1" si="60"/>
        <v/>
      </c>
      <c r="R51" s="45">
        <f t="shared" ca="1" si="25"/>
        <v>6.8673657304415867E-2</v>
      </c>
      <c r="S51" s="45">
        <f t="shared" ca="1" si="3"/>
        <v>5.0695617570641283E-2</v>
      </c>
      <c r="T51" s="77">
        <f t="shared" ca="1" si="4"/>
        <v>4.8489990205996127E-2</v>
      </c>
      <c r="U51" s="45">
        <f t="shared" ca="1" si="26"/>
        <v>13.966470919088881</v>
      </c>
      <c r="V51" s="45">
        <f t="shared" ca="1" si="5"/>
        <v>0.20278247028256513</v>
      </c>
      <c r="W51" s="77">
        <f t="shared" ca="1" si="6"/>
        <v>0.50374580448255779</v>
      </c>
      <c r="X51" s="45">
        <f t="shared" ca="1" si="27"/>
        <v>0.57958278274556951</v>
      </c>
      <c r="Y51" s="45">
        <f t="shared" ca="1" si="7"/>
        <v>5.7305043791912529E-2</v>
      </c>
      <c r="Z51" s="77">
        <f t="shared" ca="1" si="8"/>
        <v>4.4997093064270237E-2</v>
      </c>
      <c r="AA51" s="45">
        <f t="shared" ca="1" si="28"/>
        <v>39.921627843681328</v>
      </c>
      <c r="AB51" s="45">
        <f t="shared" ca="1" si="9"/>
        <v>0</v>
      </c>
      <c r="AC51" s="45" cm="1">
        <f t="array" aca="1" ref="AC51" ca="1">pHUM*(T51+W51+Z51+AD51)</f>
        <v>6.7417698578720625E-2</v>
      </c>
      <c r="AD51" s="77">
        <f t="shared" ca="1" si="10"/>
        <v>9.7647807088843241E-2</v>
      </c>
      <c r="AE51" s="45">
        <f t="shared" ca="1" si="29"/>
        <v>6.3847072090583081</v>
      </c>
      <c r="AF51" s="45">
        <f t="shared" ca="1" si="11"/>
        <v>0</v>
      </c>
      <c r="AG51" s="76">
        <f t="shared" ca="1" si="12"/>
        <v>60.921062411878502</v>
      </c>
      <c r="AH51" s="45">
        <f t="shared" ca="1" si="13"/>
        <v>0.57015795247103429</v>
      </c>
      <c r="AI51" s="77">
        <f t="shared" ca="1" si="14"/>
        <v>9.2562643453286599E-3</v>
      </c>
      <c r="AJ51" s="384">
        <f t="shared" ca="1" si="23"/>
        <v>2.7036220464399241E-2</v>
      </c>
      <c r="AU51" s="1"/>
    </row>
    <row r="52" spans="2:47" x14ac:dyDescent="0.25">
      <c r="B52" s="44"/>
      <c r="C52" s="10">
        <f t="shared" si="30"/>
        <v>-4</v>
      </c>
      <c r="D52" s="91">
        <f t="shared" si="31"/>
        <v>10</v>
      </c>
      <c r="E52" s="278">
        <f t="shared" ca="1" si="15"/>
        <v>-999</v>
      </c>
      <c r="F52" s="76">
        <f t="shared" ca="1" si="16"/>
        <v>8.58</v>
      </c>
      <c r="G52" s="46">
        <f t="shared" ref="G52" ca="1" si="65">MIN(MAX(G51+OFFSET(Rainfall,(C52+6)*12+D52,0)-OFFSET(PET,(C52+6)*12+D52,0),PWP),FC)</f>
        <v>55.530150000000006</v>
      </c>
      <c r="H52" s="46">
        <f t="shared" ca="1" si="0"/>
        <v>0</v>
      </c>
      <c r="I52" s="45">
        <f t="shared" ca="1" si="17"/>
        <v>0.62234565877146886</v>
      </c>
      <c r="J52" s="45">
        <f t="shared" ca="1" si="18"/>
        <v>0.29595601705647312</v>
      </c>
      <c r="K52" s="45">
        <f t="shared" ca="1" si="24"/>
        <v>0.95656105889548582</v>
      </c>
      <c r="L52" s="358">
        <f t="shared" ca="1" si="19"/>
        <v>0.67063452252263511</v>
      </c>
      <c r="M52" s="76">
        <f t="shared" ca="1" si="62"/>
        <v>0.25347808785320641</v>
      </c>
      <c r="N52" s="45">
        <f t="shared" ca="1" si="63"/>
        <v>0.25</v>
      </c>
      <c r="O52" s="45">
        <f t="shared" ca="1" si="64"/>
        <v>0</v>
      </c>
      <c r="P52" s="46" t="str">
        <f t="shared" ca="1" si="59"/>
        <v/>
      </c>
      <c r="Q52" s="243" t="str">
        <f t="shared" ca="1" si="60"/>
        <v/>
      </c>
      <c r="R52" s="45">
        <f t="shared" ca="1" si="25"/>
        <v>7.0879284669061016E-2</v>
      </c>
      <c r="S52" s="45">
        <f t="shared" ca="1" si="3"/>
        <v>5.0695617570641283E-2</v>
      </c>
      <c r="T52" s="77">
        <f t="shared" ca="1" si="4"/>
        <v>2.8681959610477408E-2</v>
      </c>
      <c r="U52" s="45">
        <f t="shared" ca="1" si="26"/>
        <v>13.665507584888889</v>
      </c>
      <c r="V52" s="45">
        <f t="shared" ca="1" si="5"/>
        <v>0.20278247028256513</v>
      </c>
      <c r="W52" s="77">
        <f t="shared" ca="1" si="6"/>
        <v>0.21097126405628</v>
      </c>
      <c r="X52" s="45">
        <f t="shared" ca="1" si="27"/>
        <v>0.59189073347321175</v>
      </c>
      <c r="Y52" s="45">
        <f t="shared" ca="1" si="7"/>
        <v>2.4816590057854925E-2</v>
      </c>
      <c r="Z52" s="77">
        <f t="shared" ca="1" si="8"/>
        <v>1.991702004409553E-2</v>
      </c>
      <c r="AA52" s="45">
        <f t="shared" ca="1" si="28"/>
        <v>39.891397735171211</v>
      </c>
      <c r="AB52" s="45">
        <f t="shared" ca="1" si="9"/>
        <v>0</v>
      </c>
      <c r="AC52" s="45" cm="1">
        <f t="array" aca="1" ref="AC52" ca="1">pHUM*(T52+W52+Z52+AD52)</f>
        <v>2.9195988303358737E-2</v>
      </c>
      <c r="AD52" s="77">
        <f t="shared" ca="1" si="10"/>
        <v>4.135561205887555E-2</v>
      </c>
      <c r="AE52" s="45">
        <f t="shared" ca="1" si="29"/>
        <v>6.3847072090583081</v>
      </c>
      <c r="AF52" s="45">
        <f t="shared" ca="1" si="11"/>
        <v>0</v>
      </c>
      <c r="AG52" s="76">
        <f t="shared" ca="1" si="12"/>
        <v>60.604382547260677</v>
      </c>
      <c r="AH52" s="45">
        <f t="shared" ca="1" si="13"/>
        <v>0.24691327740851482</v>
      </c>
      <c r="AI52" s="77">
        <f t="shared" ca="1" si="14"/>
        <v>9.2170122800539888E-3</v>
      </c>
      <c r="AJ52" s="384">
        <f t="shared" ca="1" si="23"/>
        <v>2.0870378092535669E-2</v>
      </c>
      <c r="AU52" s="1"/>
    </row>
    <row r="53" spans="2:47" x14ac:dyDescent="0.25">
      <c r="B53" s="44"/>
      <c r="C53" s="10">
        <f t="shared" si="30"/>
        <v>-4</v>
      </c>
      <c r="D53" s="91">
        <f t="shared" si="31"/>
        <v>11</v>
      </c>
      <c r="E53" s="278">
        <f t="shared" ca="1" si="15"/>
        <v>-999</v>
      </c>
      <c r="F53" s="76">
        <f t="shared" ca="1" si="16"/>
        <v>2.66</v>
      </c>
      <c r="G53" s="46">
        <f t="shared" ref="G53" ca="1" si="66">MIN(MAX(G52+OFFSET(Rainfall,(C53+6)*12+D53,0)-OFFSET(PET,(C53+6)*12+D53,0),PWP),FC)</f>
        <v>55.530150000000006</v>
      </c>
      <c r="H53" s="46">
        <f t="shared" ca="1" si="0"/>
        <v>0</v>
      </c>
      <c r="I53" s="45">
        <f t="shared" ca="1" si="17"/>
        <v>0.20623412367152724</v>
      </c>
      <c r="J53" s="45">
        <f t="shared" ca="1" si="18"/>
        <v>0.29595601705647312</v>
      </c>
      <c r="K53" s="45">
        <f t="shared" ca="1" si="24"/>
        <v>0.95656105889548582</v>
      </c>
      <c r="L53" s="358">
        <f t="shared" ca="1" si="19"/>
        <v>0.45733700944319766</v>
      </c>
      <c r="M53" s="76">
        <f t="shared" ca="1" si="62"/>
        <v>0.25347808785320641</v>
      </c>
      <c r="N53" s="45">
        <f t="shared" ca="1" si="63"/>
        <v>0.25</v>
      </c>
      <c r="O53" s="45">
        <f t="shared" ca="1" si="64"/>
        <v>0</v>
      </c>
      <c r="P53" s="46" t="str">
        <f t="shared" ca="1" si="59"/>
        <v/>
      </c>
      <c r="Q53" s="243" t="str">
        <f t="shared" ca="1" si="60"/>
        <v/>
      </c>
      <c r="R53" s="45">
        <f t="shared" ca="1" si="25"/>
        <v>9.2892942629224887E-2</v>
      </c>
      <c r="S53" s="45">
        <f t="shared" ca="1" si="3"/>
        <v>5.0695617570641283E-2</v>
      </c>
      <c r="T53" s="77">
        <f t="shared" ca="1" si="4"/>
        <v>1.4668207321816808E-2</v>
      </c>
      <c r="U53" s="45">
        <f t="shared" ca="1" si="26"/>
        <v>13.657318791115175</v>
      </c>
      <c r="V53" s="45">
        <f t="shared" ca="1" si="5"/>
        <v>0.20278247028256513</v>
      </c>
      <c r="W53" s="77">
        <f t="shared" ca="1" si="6"/>
        <v>7.0233915854040249E-2</v>
      </c>
      <c r="X53" s="45">
        <f t="shared" ca="1" si="27"/>
        <v>0.59679030348697115</v>
      </c>
      <c r="Y53" s="45">
        <f t="shared" ca="1" si="7"/>
        <v>8.6869794448260502E-3</v>
      </c>
      <c r="Z53" s="77">
        <f t="shared" ca="1" si="8"/>
        <v>6.7310718609763761E-3</v>
      </c>
      <c r="AA53" s="45">
        <f t="shared" ca="1" si="28"/>
        <v>39.879238111415695</v>
      </c>
      <c r="AB53" s="45">
        <f t="shared" ca="1" si="9"/>
        <v>0</v>
      </c>
      <c r="AC53" s="45" cm="1">
        <f t="array" aca="1" ref="AC53" ca="1">pHUM*(T53+W53+Z53+AD53)</f>
        <v>1.0219975817442413E-2</v>
      </c>
      <c r="AD53" s="77">
        <f t="shared" ca="1" si="10"/>
        <v>1.3705077360541947E-2</v>
      </c>
      <c r="AE53" s="45">
        <f t="shared" ca="1" si="29"/>
        <v>6.3847072090583081</v>
      </c>
      <c r="AF53" s="45">
        <f t="shared" ca="1" si="11"/>
        <v>0</v>
      </c>
      <c r="AG53" s="76">
        <f t="shared" ca="1" si="12"/>
        <v>60.610947357705371</v>
      </c>
      <c r="AH53" s="45">
        <f t="shared" ca="1" si="13"/>
        <v>8.6431317135106933E-2</v>
      </c>
      <c r="AI53" s="77">
        <f t="shared" ca="1" si="14"/>
        <v>9.555016490651963E-3</v>
      </c>
      <c r="AJ53" s="384">
        <f t="shared" ca="1" si="23"/>
        <v>1.475450143891277E-2</v>
      </c>
      <c r="AU53" s="1"/>
    </row>
    <row r="54" spans="2:47" x14ac:dyDescent="0.25">
      <c r="B54" s="44"/>
      <c r="C54" s="10">
        <f t="shared" si="30"/>
        <v>-4</v>
      </c>
      <c r="D54" s="91">
        <f t="shared" si="31"/>
        <v>12</v>
      </c>
      <c r="E54" s="278">
        <f t="shared" ca="1" si="15"/>
        <v>-999</v>
      </c>
      <c r="F54" s="76">
        <f t="shared" ca="1" si="16"/>
        <v>-3.03</v>
      </c>
      <c r="G54" s="46">
        <f t="shared" ref="G54" ca="1" si="67">MIN(MAX(G53+OFFSET(Rainfall,(C54+6)*12+D54,0)-OFFSET(PET,(C54+6)*12+D54,0),PWP),FC)</f>
        <v>55.530150000000006</v>
      </c>
      <c r="H54" s="46">
        <f t="shared" ca="1" si="0"/>
        <v>0</v>
      </c>
      <c r="I54" s="45">
        <f t="shared" ca="1" si="17"/>
        <v>3.1261640646990177E-2</v>
      </c>
      <c r="J54" s="45">
        <f t="shared" ca="1" si="18"/>
        <v>0.29595601705647312</v>
      </c>
      <c r="K54" s="45">
        <f t="shared" ca="1" si="24"/>
        <v>0.95656105889548582</v>
      </c>
      <c r="L54" s="358">
        <f t="shared" ca="1" si="19"/>
        <v>0.26504139025104712</v>
      </c>
      <c r="M54" s="76">
        <f t="shared" ca="1" si="62"/>
        <v>0.25347808785320641</v>
      </c>
      <c r="N54" s="45">
        <f t="shared" ca="1" si="63"/>
        <v>0.25</v>
      </c>
      <c r="O54" s="45">
        <f t="shared" ca="1" si="64"/>
        <v>0</v>
      </c>
      <c r="P54" s="46" t="str">
        <f t="shared" ca="1" si="59"/>
        <v/>
      </c>
      <c r="Q54" s="243" t="str">
        <f t="shared" ca="1" si="60"/>
        <v/>
      </c>
      <c r="R54" s="45">
        <f t="shared" ca="1" si="25"/>
        <v>0.12892035287804934</v>
      </c>
      <c r="S54" s="45">
        <f t="shared" ca="1" si="3"/>
        <v>5.0695617570641283E-2</v>
      </c>
      <c r="T54" s="77">
        <f t="shared" ca="1" si="4"/>
        <v>3.3151814566297561E-3</v>
      </c>
      <c r="U54" s="45">
        <f t="shared" ca="1" si="26"/>
        <v>13.789867345543701</v>
      </c>
      <c r="V54" s="45">
        <f t="shared" ca="1" si="5"/>
        <v>0.20278247028256513</v>
      </c>
      <c r="W54" s="77">
        <f t="shared" ca="1" si="6"/>
        <v>1.0773136565743807E-2</v>
      </c>
      <c r="X54" s="45">
        <f t="shared" ca="1" si="27"/>
        <v>0.59874621107082093</v>
      </c>
      <c r="Y54" s="45">
        <f t="shared" ca="1" si="7"/>
        <v>1.4179861546645216E-3</v>
      </c>
      <c r="Z54" s="77">
        <f t="shared" ca="1" si="8"/>
        <v>1.028593858387207E-3</v>
      </c>
      <c r="AA54" s="45">
        <f t="shared" ca="1" si="28"/>
        <v>39.875753009872597</v>
      </c>
      <c r="AB54" s="45">
        <f t="shared" ca="1" si="9"/>
        <v>0</v>
      </c>
      <c r="AC54" s="45" cm="1">
        <f t="array" aca="1" ref="AC54" ca="1">pHUM*(T54+W54+Z54+AD54)</f>
        <v>1.6682190054876727E-3</v>
      </c>
      <c r="AD54" s="77">
        <f t="shared" ca="1" si="10"/>
        <v>2.0775816442264116E-3</v>
      </c>
      <c r="AE54" s="45">
        <f t="shared" ca="1" si="29"/>
        <v>6.3847072090583081</v>
      </c>
      <c r="AF54" s="45">
        <f t="shared" ca="1" si="11"/>
        <v>0</v>
      </c>
      <c r="AG54" s="76">
        <f t="shared" ca="1" si="12"/>
        <v>60.777994128423472</v>
      </c>
      <c r="AH54" s="45">
        <f t="shared" ca="1" si="13"/>
        <v>1.4108288364834987E-2</v>
      </c>
      <c r="AI54" s="77">
        <f t="shared" ca="1" si="14"/>
        <v>1.0140423060171398E-2</v>
      </c>
      <c r="AJ54" s="384">
        <f t="shared" ca="1" si="23"/>
        <v>9.074628460626899E-3</v>
      </c>
      <c r="AU54" s="1"/>
    </row>
    <row r="55" spans="2:47" x14ac:dyDescent="0.25">
      <c r="B55" s="44"/>
      <c r="C55" s="10">
        <f t="shared" si="30"/>
        <v>-3</v>
      </c>
      <c r="D55" s="91">
        <f t="shared" si="31"/>
        <v>1</v>
      </c>
      <c r="E55" s="278">
        <f t="shared" ca="1" si="15"/>
        <v>-999</v>
      </c>
      <c r="F55" s="76">
        <f t="shared" ca="1" si="16"/>
        <v>-9.67</v>
      </c>
      <c r="G55" s="46">
        <f t="shared" ref="G55" ca="1" si="68">MIN(MAX(G54+OFFSET(Rainfall,(C55+6)*12+D55,0)-OFFSET(PET,(C55+6)*12+D55,0),PWP),FC)</f>
        <v>55.530150000000006</v>
      </c>
      <c r="H55" s="46">
        <f t="shared" ca="1" si="0"/>
        <v>0</v>
      </c>
      <c r="I55" s="45">
        <f t="shared" ca="1" si="17"/>
        <v>1.4516215386454039E-4</v>
      </c>
      <c r="J55" s="45">
        <f t="shared" ca="1" si="18"/>
        <v>0.29595601705647312</v>
      </c>
      <c r="K55" s="45">
        <f t="shared" ca="1" si="24"/>
        <v>0.95656105889548582</v>
      </c>
      <c r="L55" s="358">
        <f t="shared" ca="1" si="19"/>
        <v>0.11807016834342265</v>
      </c>
      <c r="M55" s="76">
        <f t="shared" ca="1" si="62"/>
        <v>0.25347808785320641</v>
      </c>
      <c r="N55" s="45">
        <f t="shared" ca="1" si="63"/>
        <v>0.25</v>
      </c>
      <c r="O55" s="45">
        <f t="shared" ca="1" si="64"/>
        <v>0</v>
      </c>
      <c r="P55" s="46" t="str">
        <f t="shared" ca="1" si="59"/>
        <v/>
      </c>
      <c r="Q55" s="243" t="str">
        <f t="shared" ca="1" si="60"/>
        <v/>
      </c>
      <c r="R55" s="45">
        <f t="shared" ca="1" si="25"/>
        <v>0.17630078899206086</v>
      </c>
      <c r="S55" s="45">
        <f t="shared" ca="1" si="3"/>
        <v>5.0695617570641283E-2</v>
      </c>
      <c r="T55" s="77">
        <f t="shared" ca="1" si="4"/>
        <v>2.1325545329878659E-5</v>
      </c>
      <c r="U55" s="45">
        <f t="shared" ca="1" si="26"/>
        <v>13.981876679260523</v>
      </c>
      <c r="V55" s="45">
        <f t="shared" ca="1" si="5"/>
        <v>0.20278247028256513</v>
      </c>
      <c r="W55" s="77">
        <f t="shared" ca="1" si="6"/>
        <v>5.0740891274738859E-5</v>
      </c>
      <c r="X55" s="45">
        <f t="shared" ca="1" si="27"/>
        <v>0.59913560336709826</v>
      </c>
      <c r="Y55" s="45">
        <f t="shared" ca="1" si="7"/>
        <v>7.1332028064744807E-6</v>
      </c>
      <c r="Z55" s="77">
        <f t="shared" ca="1" si="8"/>
        <v>4.7834307100202437E-6</v>
      </c>
      <c r="AA55" s="45">
        <f t="shared" ca="1" si="28"/>
        <v>39.875343647233855</v>
      </c>
      <c r="AB55" s="45">
        <f t="shared" ca="1" si="9"/>
        <v>0</v>
      </c>
      <c r="AC55" s="45" cm="1">
        <f t="array" aca="1" ref="AC55" ca="1">pHUM*(T55+W55+Z55+AD55)</f>
        <v>8.3920033017346828E-6</v>
      </c>
      <c r="AD55" s="77">
        <f t="shared" ca="1" si="10"/>
        <v>9.6473167833013179E-6</v>
      </c>
      <c r="AE55" s="45">
        <f t="shared" ca="1" si="29"/>
        <v>6.3847072090583081</v>
      </c>
      <c r="AF55" s="45">
        <f t="shared" ca="1" si="11"/>
        <v>0</v>
      </c>
      <c r="AG55" s="76">
        <f t="shared" ca="1" si="12"/>
        <v>61.017363927911845</v>
      </c>
      <c r="AH55" s="45">
        <f t="shared" ca="1" si="13"/>
        <v>7.0971977989729926E-5</v>
      </c>
      <c r="AI55" s="77">
        <f t="shared" ca="1" si="14"/>
        <v>1.0906949088563045E-2</v>
      </c>
      <c r="AJ55" s="384">
        <f t="shared" ca="1" si="23"/>
        <v>4.3481496490460625E-3</v>
      </c>
      <c r="AU55" s="1"/>
    </row>
    <row r="56" spans="2:47" x14ac:dyDescent="0.25">
      <c r="B56" s="44"/>
      <c r="C56" s="10">
        <f t="shared" si="30"/>
        <v>-3</v>
      </c>
      <c r="D56" s="91">
        <f t="shared" si="31"/>
        <v>2</v>
      </c>
      <c r="E56" s="278">
        <f t="shared" ca="1" si="15"/>
        <v>-999</v>
      </c>
      <c r="F56" s="76">
        <f t="shared" ca="1" si="16"/>
        <v>-4.32</v>
      </c>
      <c r="G56" s="46">
        <f t="shared" ref="G56" ca="1" si="69">MIN(MAX(G55+OFFSET(Rainfall,(C56+6)*12+D56,0)-OFFSET(PET,(C56+6)*12+D56,0),PWP),FC)</f>
        <v>55.530150000000006</v>
      </c>
      <c r="H56" s="46">
        <f t="shared" ca="1" si="0"/>
        <v>0</v>
      </c>
      <c r="I56" s="45">
        <f t="shared" ca="1" si="17"/>
        <v>1.6433014803377229E-2</v>
      </c>
      <c r="J56" s="45">
        <f t="shared" ca="1" si="18"/>
        <v>0.29595601705647312</v>
      </c>
      <c r="K56" s="45">
        <f t="shared" ca="1" si="24"/>
        <v>0.95656105889548582</v>
      </c>
      <c r="L56" s="358">
        <f t="shared" ca="1" si="19"/>
        <v>0.22927259736347283</v>
      </c>
      <c r="M56" s="76">
        <f t="shared" ca="1" si="62"/>
        <v>0.25347808785320641</v>
      </c>
      <c r="N56" s="45">
        <f t="shared" ca="1" si="63"/>
        <v>0.25</v>
      </c>
      <c r="O56" s="45">
        <f t="shared" ca="1" si="64"/>
        <v>0</v>
      </c>
      <c r="P56" s="46" t="str">
        <f t="shared" ca="1" si="59"/>
        <v/>
      </c>
      <c r="Q56" s="243" t="str">
        <f t="shared" ca="1" si="60"/>
        <v/>
      </c>
      <c r="R56" s="45">
        <f t="shared" ca="1" si="25"/>
        <v>0.22697508101737227</v>
      </c>
      <c r="S56" s="45">
        <f t="shared" ca="1" si="3"/>
        <v>5.0695617570641283E-2</v>
      </c>
      <c r="T56" s="77">
        <f t="shared" ca="1" si="4"/>
        <v>3.0870518255946785E-3</v>
      </c>
      <c r="U56" s="45">
        <f t="shared" ca="1" si="26"/>
        <v>14.184608408651814</v>
      </c>
      <c r="V56" s="45">
        <f t="shared" ca="1" si="5"/>
        <v>0.20278247028256513</v>
      </c>
      <c r="W56" s="77">
        <f t="shared" ca="1" si="6"/>
        <v>5.8262001416288225E-3</v>
      </c>
      <c r="X56" s="45">
        <f t="shared" ca="1" si="27"/>
        <v>0.59913795313919471</v>
      </c>
      <c r="Y56" s="45">
        <f t="shared" ca="1" si="7"/>
        <v>8.6975316860309862E-4</v>
      </c>
      <c r="Z56" s="77">
        <f t="shared" ca="1" si="8"/>
        <v>5.4126571782247689E-4</v>
      </c>
      <c r="AA56" s="45">
        <f t="shared" ca="1" si="28"/>
        <v>39.875342391920377</v>
      </c>
      <c r="AB56" s="45">
        <f t="shared" ca="1" si="9"/>
        <v>0</v>
      </c>
      <c r="AC56" s="45" cm="1">
        <f t="array" aca="1" ref="AC56" ca="1">pHUM*(T56+W56+Z56+AD56)</f>
        <v>1.0232390218859984E-3</v>
      </c>
      <c r="AD56" s="77">
        <f t="shared" ca="1" si="10"/>
        <v>1.0921051974752023E-3</v>
      </c>
      <c r="AE56" s="45">
        <f t="shared" ca="1" si="29"/>
        <v>6.3847072090583081</v>
      </c>
      <c r="AF56" s="45">
        <f t="shared" ca="1" si="11"/>
        <v>0</v>
      </c>
      <c r="AG56" s="76">
        <f t="shared" ca="1" si="12"/>
        <v>61.270771043787065</v>
      </c>
      <c r="AH56" s="45">
        <f t="shared" ca="1" si="13"/>
        <v>8.6536306920320851E-3</v>
      </c>
      <c r="AI56" s="77">
        <f t="shared" ca="1" si="14"/>
        <v>1.1718322603894443E-2</v>
      </c>
      <c r="AJ56" s="384">
        <f t="shared" ca="1" si="23"/>
        <v>9.0714493482280112E-3</v>
      </c>
      <c r="AU56" s="1"/>
    </row>
    <row r="57" spans="2:47" x14ac:dyDescent="0.25">
      <c r="B57" s="44"/>
      <c r="C57" s="10">
        <f t="shared" si="30"/>
        <v>-3</v>
      </c>
      <c r="D57" s="91">
        <f t="shared" si="31"/>
        <v>3</v>
      </c>
      <c r="E57" s="278">
        <f t="shared" ca="1" si="15"/>
        <v>-999</v>
      </c>
      <c r="F57" s="76">
        <f t="shared" ca="1" si="16"/>
        <v>0.35</v>
      </c>
      <c r="G57" s="46">
        <f t="shared" ref="G57" ca="1" si="70">MIN(MAX(G56+OFFSET(Rainfall,(C57+6)*12+D57,0)-OFFSET(PET,(C57+6)*12+D57,0),PWP),FC)</f>
        <v>55.530150000000006</v>
      </c>
      <c r="H57" s="46">
        <f t="shared" ca="1" si="0"/>
        <v>0</v>
      </c>
      <c r="I57" s="45">
        <f t="shared" ca="1" si="17"/>
        <v>0.11030830831525984</v>
      </c>
      <c r="J57" s="45">
        <f t="shared" ca="1" si="18"/>
        <v>0.29595601705647312</v>
      </c>
      <c r="K57" s="45">
        <f t="shared" ca="1" si="24"/>
        <v>0.95656105889548582</v>
      </c>
      <c r="L57" s="358">
        <f t="shared" ca="1" si="19"/>
        <v>0.37387492255937005</v>
      </c>
      <c r="M57" s="76">
        <f t="shared" ca="1" si="62"/>
        <v>0.25347808785320641</v>
      </c>
      <c r="N57" s="45">
        <f t="shared" ca="1" si="63"/>
        <v>0.25</v>
      </c>
      <c r="O57" s="45">
        <f t="shared" ca="1" si="64"/>
        <v>0</v>
      </c>
      <c r="P57" s="46" t="str">
        <f t="shared" ca="1" si="59"/>
        <v/>
      </c>
      <c r="Q57" s="243" t="str">
        <f t="shared" ca="1" si="60"/>
        <v/>
      </c>
      <c r="R57" s="45">
        <f t="shared" ca="1" si="25"/>
        <v>0.27458364676241886</v>
      </c>
      <c r="S57" s="45">
        <f t="shared" ca="1" si="3"/>
        <v>5.0695617570641283E-2</v>
      </c>
      <c r="T57" s="77">
        <f t="shared" ca="1" si="4"/>
        <v>2.4115351084030335E-2</v>
      </c>
      <c r="U57" s="45">
        <f t="shared" ca="1" si="26"/>
        <v>14.381564678792751</v>
      </c>
      <c r="V57" s="45">
        <f t="shared" ca="1" si="5"/>
        <v>0.20278247028256513</v>
      </c>
      <c r="W57" s="77">
        <f t="shared" ca="1" si="6"/>
        <v>3.9605516447278104E-2</v>
      </c>
      <c r="X57" s="45">
        <f t="shared" ca="1" si="27"/>
        <v>0.59946644058997534</v>
      </c>
      <c r="Y57" s="45">
        <f t="shared" ca="1" si="7"/>
        <v>6.1584286409649266E-3</v>
      </c>
      <c r="Z57" s="77">
        <f t="shared" ca="1" si="8"/>
        <v>3.6259267996077023E-3</v>
      </c>
      <c r="AA57" s="45">
        <f t="shared" ca="1" si="28"/>
        <v>39.875273525744788</v>
      </c>
      <c r="AB57" s="45">
        <f t="shared" ca="1" si="9"/>
        <v>0</v>
      </c>
      <c r="AC57" s="45" cm="1">
        <f t="array" aca="1" ref="AC57" ca="1">pHUM*(T57+W57+Z57+AD57)</f>
        <v>7.2452101658410902E-3</v>
      </c>
      <c r="AD57" s="77">
        <f t="shared" ca="1" si="10"/>
        <v>7.3302827638313597E-3</v>
      </c>
      <c r="AE57" s="45">
        <f t="shared" ca="1" si="29"/>
        <v>6.3847072090583081</v>
      </c>
      <c r="AF57" s="45">
        <f t="shared" ca="1" si="11"/>
        <v>0</v>
      </c>
      <c r="AG57" s="76">
        <f t="shared" ca="1" si="12"/>
        <v>61.515595500948237</v>
      </c>
      <c r="AH57" s="45">
        <f t="shared" ca="1" si="13"/>
        <v>6.1273438287941483E-2</v>
      </c>
      <c r="AI57" s="77">
        <f t="shared" ca="1" si="14"/>
        <v>1.2475552042726082E-2</v>
      </c>
      <c r="AJ57" s="384">
        <f t="shared" ca="1" si="23"/>
        <v>1.5748618100557277E-2</v>
      </c>
      <c r="AU57" s="1"/>
    </row>
    <row r="58" spans="2:47" x14ac:dyDescent="0.25">
      <c r="B58" s="44"/>
      <c r="C58" s="10">
        <f t="shared" si="30"/>
        <v>-3</v>
      </c>
      <c r="D58" s="91">
        <f t="shared" si="31"/>
        <v>4</v>
      </c>
      <c r="E58" s="278">
        <f t="shared" ca="1" si="15"/>
        <v>-999</v>
      </c>
      <c r="F58" s="76">
        <f t="shared" ca="1" si="16"/>
        <v>7.48</v>
      </c>
      <c r="G58" s="46">
        <f t="shared" ref="G58" ca="1" si="71">MIN(MAX(G57+OFFSET(Rainfall,(C58+6)*12+D58,0)-OFFSET(PET,(C58+6)*12+D58,0),PWP),FC)</f>
        <v>55.530150000000006</v>
      </c>
      <c r="H58" s="46">
        <f t="shared" ca="1" si="0"/>
        <v>0</v>
      </c>
      <c r="I58" s="45">
        <f t="shared" ca="1" si="17"/>
        <v>0.52725859315739532</v>
      </c>
      <c r="J58" s="45">
        <f t="shared" ca="1" si="18"/>
        <v>0.29595601705647312</v>
      </c>
      <c r="K58" s="45">
        <f t="shared" ca="1" si="24"/>
        <v>0.95656105889548582</v>
      </c>
      <c r="L58" s="358">
        <f t="shared" ca="1" si="19"/>
        <v>0.63351298628573272</v>
      </c>
      <c r="M58" s="76">
        <f t="shared" ca="1" si="62"/>
        <v>0.25347808785320641</v>
      </c>
      <c r="N58" s="45">
        <f t="shared" ca="1" si="63"/>
        <v>0.25</v>
      </c>
      <c r="O58" s="45">
        <f t="shared" ca="1" si="64"/>
        <v>0</v>
      </c>
      <c r="P58" s="46" t="str">
        <f t="shared" ca="1" si="59"/>
        <v/>
      </c>
      <c r="Q58" s="243" t="str">
        <f t="shared" ca="1" si="60"/>
        <v/>
      </c>
      <c r="R58" s="45">
        <f t="shared" ca="1" si="25"/>
        <v>0.3011639132490298</v>
      </c>
      <c r="S58" s="45">
        <f t="shared" ca="1" si="3"/>
        <v>5.0695617570641283E-2</v>
      </c>
      <c r="T58" s="77">
        <f t="shared" ca="1" si="4"/>
        <v>0.10708351098723767</v>
      </c>
      <c r="U58" s="45">
        <f t="shared" ca="1" si="26"/>
        <v>14.544741632628039</v>
      </c>
      <c r="V58" s="45">
        <f t="shared" ca="1" si="5"/>
        <v>0.20278247028256513</v>
      </c>
      <c r="W58" s="77">
        <f t="shared" ca="1" si="6"/>
        <v>0.19046295217085041</v>
      </c>
      <c r="X58" s="45">
        <f t="shared" ca="1" si="27"/>
        <v>0.60199894243133256</v>
      </c>
      <c r="Y58" s="45">
        <f t="shared" ca="1" si="7"/>
        <v>2.8845365480002379E-2</v>
      </c>
      <c r="Z58" s="77">
        <f t="shared" ca="1" si="8"/>
        <v>1.7206803558654539E-2</v>
      </c>
      <c r="AA58" s="45">
        <f t="shared" ca="1" si="28"/>
        <v>39.875188453146798</v>
      </c>
      <c r="AB58" s="45">
        <f t="shared" ca="1" si="9"/>
        <v>0</v>
      </c>
      <c r="AC58" s="45" cm="1">
        <f t="array" aca="1" ref="AC58" ca="1">pHUM*(T58+W58+Z58+AD58)</f>
        <v>3.3935724094120448E-2</v>
      </c>
      <c r="AD58" s="77">
        <f t="shared" ca="1" si="10"/>
        <v>3.5025501108485388E-2</v>
      </c>
      <c r="AE58" s="45">
        <f t="shared" ca="1" si="29"/>
        <v>6.3847072090583081</v>
      </c>
      <c r="AF58" s="45">
        <f t="shared" ca="1" si="11"/>
        <v>0</v>
      </c>
      <c r="AG58" s="76">
        <f t="shared" ca="1" si="12"/>
        <v>61.707800150513506</v>
      </c>
      <c r="AH58" s="45">
        <f t="shared" ca="1" si="13"/>
        <v>0.28699767825110523</v>
      </c>
      <c r="AI58" s="77">
        <f t="shared" ca="1" si="14"/>
        <v>1.2908841856231828E-2</v>
      </c>
      <c r="AJ58" s="384">
        <f t="shared" ca="1" si="23"/>
        <v>2.7611772398107304E-2</v>
      </c>
      <c r="AU58" s="1"/>
    </row>
    <row r="59" spans="2:47" x14ac:dyDescent="0.25">
      <c r="B59" s="44"/>
      <c r="C59" s="10">
        <f t="shared" si="30"/>
        <v>-3</v>
      </c>
      <c r="D59" s="91">
        <f t="shared" si="31"/>
        <v>5</v>
      </c>
      <c r="E59" s="278">
        <f t="shared" ca="1" si="15"/>
        <v>-999</v>
      </c>
      <c r="F59" s="76">
        <f t="shared" ca="1" si="16"/>
        <v>13.18</v>
      </c>
      <c r="G59" s="46">
        <f t="shared" ref="G59" ca="1" si="72">MIN(MAX(G58+OFFSET(Rainfall,(C59+6)*12+D59,0)-OFFSET(PET,(C59+6)*12+D59,0),PWP),FC)</f>
        <v>55.530150000000006</v>
      </c>
      <c r="H59" s="46">
        <f t="shared" ca="1" si="0"/>
        <v>0</v>
      </c>
      <c r="I59" s="45">
        <f t="shared" ca="1" si="17"/>
        <v>1.0928975201275208</v>
      </c>
      <c r="J59" s="45">
        <f t="shared" ca="1" si="18"/>
        <v>0.29595601705647312</v>
      </c>
      <c r="K59" s="45">
        <f t="shared" ca="1" si="24"/>
        <v>0.95656105889548582</v>
      </c>
      <c r="L59" s="358">
        <f t="shared" ca="1" si="19"/>
        <v>0.80118135846938365</v>
      </c>
      <c r="M59" s="76">
        <f t="shared" ca="1" si="62"/>
        <v>0.25347808785320641</v>
      </c>
      <c r="N59" s="45">
        <f t="shared" ca="1" si="63"/>
        <v>0.25</v>
      </c>
      <c r="O59" s="45">
        <f t="shared" ca="1" si="64"/>
        <v>0</v>
      </c>
      <c r="P59" s="46" t="str">
        <f t="shared" ca="1" si="59"/>
        <v/>
      </c>
      <c r="Q59" s="243" t="str">
        <f t="shared" ca="1" si="60"/>
        <v/>
      </c>
      <c r="R59" s="45">
        <f t="shared" ca="1" si="25"/>
        <v>0.24477601983243341</v>
      </c>
      <c r="S59" s="45">
        <f t="shared" ca="1" si="3"/>
        <v>5.0695617570641283E-2</v>
      </c>
      <c r="T59" s="77">
        <f t="shared" ca="1" si="4"/>
        <v>0.14632140742908062</v>
      </c>
      <c r="U59" s="45">
        <f t="shared" ca="1" si="26"/>
        <v>14.557061150739754</v>
      </c>
      <c r="V59" s="45">
        <f t="shared" ca="1" si="5"/>
        <v>0.20278247028256513</v>
      </c>
      <c r="W59" s="77">
        <f t="shared" ca="1" si="6"/>
        <v>0.39235001368998962</v>
      </c>
      <c r="X59" s="45">
        <f t="shared" ca="1" si="27"/>
        <v>0.61363750435268039</v>
      </c>
      <c r="Y59" s="45">
        <f t="shared" ca="1" si="7"/>
        <v>5.3359288408170703E-2</v>
      </c>
      <c r="Z59" s="77">
        <f t="shared" ca="1" si="8"/>
        <v>3.5798664271717177E-2</v>
      </c>
      <c r="AA59" s="45">
        <f t="shared" ca="1" si="28"/>
        <v>39.874098676132434</v>
      </c>
      <c r="AB59" s="45">
        <f t="shared" ca="1" si="9"/>
        <v>0</v>
      </c>
      <c r="AC59" s="45" cm="1">
        <f t="array" aca="1" ref="AC59" ca="1">pHUM*(T59+W59+Z59+AD59)</f>
        <v>6.2775633421377292E-2</v>
      </c>
      <c r="AD59" s="77">
        <f t="shared" ca="1" si="10"/>
        <v>7.2564397995463076E-2</v>
      </c>
      <c r="AE59" s="45">
        <f t="shared" ca="1" si="29"/>
        <v>6.3847072090583081</v>
      </c>
      <c r="AF59" s="45">
        <f t="shared" ca="1" si="11"/>
        <v>0</v>
      </c>
      <c r="AG59" s="76">
        <f t="shared" ca="1" si="12"/>
        <v>61.674280560115605</v>
      </c>
      <c r="AH59" s="45">
        <f t="shared" ca="1" si="13"/>
        <v>0.53089956155670248</v>
      </c>
      <c r="AI59" s="77">
        <f t="shared" ca="1" si="14"/>
        <v>1.2083895726951384E-2</v>
      </c>
      <c r="AJ59" s="384">
        <f t="shared" ca="1" si="23"/>
        <v>3.268791406993321E-2</v>
      </c>
      <c r="AU59" s="1"/>
    </row>
    <row r="60" spans="2:47" x14ac:dyDescent="0.25">
      <c r="B60" s="44"/>
      <c r="C60" s="10">
        <f t="shared" si="30"/>
        <v>-3</v>
      </c>
      <c r="D60" s="91">
        <f t="shared" si="31"/>
        <v>6</v>
      </c>
      <c r="E60" s="278">
        <f t="shared" ca="1" si="15"/>
        <v>-999</v>
      </c>
      <c r="F60" s="76">
        <f t="shared" ca="1" si="16"/>
        <v>16.89</v>
      </c>
      <c r="G60" s="46">
        <f t="shared" ref="G60" ca="1" si="73">MIN(MAX(G59+OFFSET(Rainfall,(C60+6)*12+D60,0)-OFFSET(PET,(C60+6)*12+D60,0),PWP),FC)</f>
        <v>55.530150000000006</v>
      </c>
      <c r="H60" s="46">
        <f t="shared" ca="1" si="0"/>
        <v>0</v>
      </c>
      <c r="I60" s="45">
        <f t="shared" ca="1" si="17"/>
        <v>1.5381744015382219</v>
      </c>
      <c r="J60" s="45">
        <f t="shared" ca="1" si="18"/>
        <v>0.29595601705647312</v>
      </c>
      <c r="K60" s="45">
        <f t="shared" ca="1" si="24"/>
        <v>0.95656105889548582</v>
      </c>
      <c r="L60" s="358">
        <f t="shared" ca="1" si="19"/>
        <v>0.87416353567796823</v>
      </c>
      <c r="M60" s="76">
        <f t="shared" ca="1" si="62"/>
        <v>0.25347808785320641</v>
      </c>
      <c r="N60" s="45">
        <f t="shared" ca="1" si="63"/>
        <v>0.25</v>
      </c>
      <c r="O60" s="45">
        <f t="shared" ca="1" si="64"/>
        <v>0</v>
      </c>
      <c r="P60" s="46" t="str">
        <f t="shared" ca="1" si="59"/>
        <v/>
      </c>
      <c r="Q60" s="243" t="str">
        <f t="shared" ca="1" si="60"/>
        <v/>
      </c>
      <c r="R60" s="45">
        <f t="shared" ca="1" si="25"/>
        <v>0.14915022997399408</v>
      </c>
      <c r="S60" s="45">
        <f t="shared" ca="1" si="3"/>
        <v>5.0695617570641283E-2</v>
      </c>
      <c r="T60" s="77">
        <f t="shared" ca="1" si="4"/>
        <v>0.10775597710625534</v>
      </c>
      <c r="U60" s="45">
        <f t="shared" ca="1" si="26"/>
        <v>14.36749360733233</v>
      </c>
      <c r="V60" s="45">
        <f t="shared" ca="1" si="5"/>
        <v>0.20278247028256513</v>
      </c>
      <c r="W60" s="77">
        <f t="shared" ca="1" si="6"/>
        <v>0.54200476033027145</v>
      </c>
      <c r="X60" s="45">
        <f t="shared" ca="1" si="27"/>
        <v>0.63119812848913393</v>
      </c>
      <c r="Y60" s="45">
        <f t="shared" ca="1" si="7"/>
        <v>6.6223813828774403E-2</v>
      </c>
      <c r="Z60" s="77">
        <f t="shared" ca="1" si="8"/>
        <v>5.1202705310432493E-2</v>
      </c>
      <c r="AA60" s="45">
        <f t="shared" ca="1" si="28"/>
        <v>39.864309911558344</v>
      </c>
      <c r="AB60" s="45">
        <f t="shared" ca="1" si="9"/>
        <v>0</v>
      </c>
      <c r="AC60" s="45" cm="1">
        <f t="array" aca="1" ref="AC60" ca="1">pHUM*(T60+W60+Z60+AD60)</f>
        <v>7.7910369210322822E-2</v>
      </c>
      <c r="AD60" s="77">
        <f t="shared" ca="1" si="10"/>
        <v>0.10206621613445416</v>
      </c>
      <c r="AE60" s="45">
        <f t="shared" ca="1" si="29"/>
        <v>6.3847072090583081</v>
      </c>
      <c r="AF60" s="45">
        <f t="shared" ca="1" si="11"/>
        <v>0</v>
      </c>
      <c r="AG60" s="76">
        <f t="shared" ca="1" si="12"/>
        <v>61.396859086412107</v>
      </c>
      <c r="AH60" s="45">
        <f t="shared" ca="1" si="13"/>
        <v>0.65889547584231623</v>
      </c>
      <c r="AI60" s="77">
        <f t="shared" ca="1" si="14"/>
        <v>1.0627390351581688E-2</v>
      </c>
      <c r="AJ60" s="384">
        <f t="shared" ca="1" si="23"/>
        <v>3.1366731298445583E-2</v>
      </c>
      <c r="AU60" s="1"/>
    </row>
    <row r="61" spans="2:47" x14ac:dyDescent="0.25">
      <c r="B61" s="44"/>
      <c r="C61" s="10">
        <f t="shared" si="30"/>
        <v>-3</v>
      </c>
      <c r="D61" s="91">
        <f t="shared" si="31"/>
        <v>7</v>
      </c>
      <c r="E61" s="278">
        <f t="shared" ca="1" si="15"/>
        <v>-999</v>
      </c>
      <c r="F61" s="76">
        <f t="shared" ca="1" si="16"/>
        <v>18.89</v>
      </c>
      <c r="G61" s="46">
        <f t="shared" ref="G61" ca="1" si="74">MIN(MAX(G60+OFFSET(Rainfall,(C61+6)*12+D61,0)-OFFSET(PET,(C61+6)*12+D61,0),PWP),FC)</f>
        <v>55.530150000000006</v>
      </c>
      <c r="H61" s="46">
        <f t="shared" ca="1" si="0"/>
        <v>0</v>
      </c>
      <c r="I61" s="45">
        <f t="shared" ca="1" si="17"/>
        <v>1.7945461662764319</v>
      </c>
      <c r="J61" s="45">
        <f t="shared" ca="1" si="18"/>
        <v>0.29595601705647312</v>
      </c>
      <c r="K61" s="45">
        <f t="shared" ca="1" si="24"/>
        <v>0.95656105889548582</v>
      </c>
      <c r="L61" s="358">
        <f t="shared" ca="1" si="19"/>
        <v>0.90260562650916754</v>
      </c>
      <c r="M61" s="76">
        <f t="shared" ca="1" si="62"/>
        <v>0.25347808785320641</v>
      </c>
      <c r="N61" s="45">
        <f t="shared" ca="1" si="63"/>
        <v>0.25</v>
      </c>
      <c r="O61" s="45">
        <f t="shared" ca="1" si="64"/>
        <v>0</v>
      </c>
      <c r="P61" s="46" t="str">
        <f t="shared" ca="1" si="59"/>
        <v/>
      </c>
      <c r="Q61" s="243" t="str">
        <f t="shared" ca="1" si="60"/>
        <v/>
      </c>
      <c r="R61" s="45">
        <f t="shared" ca="1" si="25"/>
        <v>9.2089870438380017E-2</v>
      </c>
      <c r="S61" s="45">
        <f t="shared" ca="1" si="3"/>
        <v>5.0695617570641283E-2</v>
      </c>
      <c r="T61" s="77">
        <f t="shared" ca="1" si="4"/>
        <v>7.1448242421977698E-2</v>
      </c>
      <c r="U61" s="45">
        <f t="shared" ca="1" si="26"/>
        <v>14.028271317284624</v>
      </c>
      <c r="V61" s="45">
        <f t="shared" ca="1" si="5"/>
        <v>0.20278247028256513</v>
      </c>
      <c r="W61" s="77">
        <f t="shared" ca="1" si="6"/>
        <v>0.61545060580867939</v>
      </c>
      <c r="X61" s="45">
        <f t="shared" ca="1" si="27"/>
        <v>0.64621923700747586</v>
      </c>
      <c r="Y61" s="45">
        <f t="shared" ca="1" si="7"/>
        <v>7.1467488651829988E-2</v>
      </c>
      <c r="Z61" s="77">
        <f t="shared" ca="1" si="8"/>
        <v>6.0735279372281084E-2</v>
      </c>
      <c r="AA61" s="45">
        <f t="shared" ca="1" si="28"/>
        <v>39.840154064634213</v>
      </c>
      <c r="AB61" s="45">
        <f t="shared" ca="1" si="9"/>
        <v>0</v>
      </c>
      <c r="AC61" s="45" cm="1">
        <f t="array" aca="1" ref="AC61" ca="1">pHUM*(T61+W61+Z61+AD61)</f>
        <v>8.4079398413917622E-2</v>
      </c>
      <c r="AD61" s="77">
        <f t="shared" ca="1" si="10"/>
        <v>0.11898030782623982</v>
      </c>
      <c r="AE61" s="45">
        <f t="shared" ca="1" si="29"/>
        <v>6.3847072090583081</v>
      </c>
      <c r="AF61" s="45">
        <f t="shared" ca="1" si="11"/>
        <v>0</v>
      </c>
      <c r="AG61" s="76">
        <f t="shared" ca="1" si="12"/>
        <v>60.991441698422996</v>
      </c>
      <c r="AH61" s="45">
        <f t="shared" ca="1" si="13"/>
        <v>0.71106754836343045</v>
      </c>
      <c r="AI61" s="77">
        <f t="shared" ca="1" si="14"/>
        <v>9.6946038138147981E-3</v>
      </c>
      <c r="AJ61" s="384">
        <f t="shared" ca="1" si="23"/>
        <v>2.9544646138480735E-2</v>
      </c>
      <c r="AU61" s="1"/>
    </row>
    <row r="62" spans="2:47" x14ac:dyDescent="0.25">
      <c r="B62" s="44"/>
      <c r="C62" s="10">
        <f t="shared" si="30"/>
        <v>-3</v>
      </c>
      <c r="D62" s="91">
        <f t="shared" si="31"/>
        <v>8</v>
      </c>
      <c r="E62" s="278">
        <f t="shared" ca="1" si="15"/>
        <v>62.474999999999994</v>
      </c>
      <c r="F62" s="76">
        <f t="shared" ca="1" si="16"/>
        <v>20.62</v>
      </c>
      <c r="G62" s="46">
        <f t="shared" ref="G62" ca="1" si="75">MIN(MAX(G61+OFFSET(Rainfall,(C62+6)*12+D62,0)-OFFSET(PET,(C62+6)*12+D62,0),PWP),FC)</f>
        <v>27.012600000000003</v>
      </c>
      <c r="H62" s="46">
        <f t="shared" ca="1" si="0"/>
        <v>28.517550000000004</v>
      </c>
      <c r="I62" s="45">
        <f t="shared" ca="1" si="17"/>
        <v>1.2744822486586844</v>
      </c>
      <c r="J62" s="45">
        <f t="shared" ca="1" si="18"/>
        <v>0.27952512346894071</v>
      </c>
      <c r="K62" s="45">
        <f t="shared" ca="1" si="24"/>
        <v>0.90345467800480783</v>
      </c>
      <c r="L62" s="358">
        <f t="shared" ca="1" si="19"/>
        <v>0.92201747093976105</v>
      </c>
      <c r="M62" s="76">
        <f t="shared" ca="1" si="62"/>
        <v>0.25347808785320641</v>
      </c>
      <c r="N62" s="45">
        <f t="shared" ca="1" si="63"/>
        <v>0.25</v>
      </c>
      <c r="O62" s="45">
        <f t="shared" ca="1" si="64"/>
        <v>0</v>
      </c>
      <c r="P62" s="46" t="str">
        <f t="shared" ca="1" si="59"/>
        <v/>
      </c>
      <c r="Q62" s="243" t="str">
        <f t="shared" ca="1" si="60"/>
        <v/>
      </c>
      <c r="R62" s="45">
        <f t="shared" ca="1" si="25"/>
        <v>7.1337245587043602E-2</v>
      </c>
      <c r="S62" s="45">
        <f t="shared" ca="1" si="3"/>
        <v>5.0695617570641283E-2</v>
      </c>
      <c r="T62" s="77">
        <f t="shared" ca="1" si="4"/>
        <v>4.6673113920511565E-2</v>
      </c>
      <c r="U62" s="45">
        <f t="shared" ca="1" si="26"/>
        <v>13.615603181758511</v>
      </c>
      <c r="V62" s="45">
        <f t="shared" ca="1" si="5"/>
        <v>0.20278247028256513</v>
      </c>
      <c r="W62" s="77">
        <f t="shared" ca="1" si="6"/>
        <v>0.42698271851462782</v>
      </c>
      <c r="X62" s="45">
        <f t="shared" ca="1" si="27"/>
        <v>0.65695144628702473</v>
      </c>
      <c r="Y62" s="45">
        <f t="shared" ca="1" si="7"/>
        <v>4.9694148156340788E-2</v>
      </c>
      <c r="Z62" s="77">
        <f t="shared" ca="1" si="8"/>
        <v>4.4473099305655898E-2</v>
      </c>
      <c r="AA62" s="45">
        <f t="shared" ca="1" si="28"/>
        <v>39.805253155221891</v>
      </c>
      <c r="AB62" s="45">
        <f t="shared" ca="1" si="9"/>
        <v>0</v>
      </c>
      <c r="AC62" s="45" cm="1">
        <f t="array" aca="1" ref="AC62" ca="1">pHUM*(T62+W62+Z62+AD62)</f>
        <v>5.8463703713342106E-2</v>
      </c>
      <c r="AD62" s="77">
        <f t="shared" ca="1" si="10"/>
        <v>8.446207797615897E-2</v>
      </c>
      <c r="AE62" s="45">
        <f t="shared" ca="1" si="29"/>
        <v>6.3847072090583081</v>
      </c>
      <c r="AF62" s="45">
        <f t="shared" ca="1" si="11"/>
        <v>0</v>
      </c>
      <c r="AG62" s="76">
        <f t="shared" ca="1" si="12"/>
        <v>60.533852237912775</v>
      </c>
      <c r="AH62" s="45">
        <f t="shared" ca="1" si="13"/>
        <v>0.49443315784727138</v>
      </c>
      <c r="AI62" s="77">
        <f t="shared" ca="1" si="14"/>
        <v>9.276456757904266E-3</v>
      </c>
      <c r="AJ62" s="384">
        <f t="shared" ca="1" si="23"/>
        <v>2.7275113684182006E-2</v>
      </c>
      <c r="AU62" s="1"/>
    </row>
    <row r="63" spans="2:47" x14ac:dyDescent="0.25">
      <c r="B63" s="44"/>
      <c r="C63" s="10">
        <f t="shared" si="30"/>
        <v>-3</v>
      </c>
      <c r="D63" s="91">
        <f t="shared" si="31"/>
        <v>9</v>
      </c>
      <c r="E63" s="278">
        <f t="shared" ca="1" si="15"/>
        <v>-999</v>
      </c>
      <c r="F63" s="76">
        <f t="shared" ca="1" si="16"/>
        <v>14.98</v>
      </c>
      <c r="G63" s="46">
        <f t="shared" ref="G63" ca="1" si="76">MIN(MAX(G62+OFFSET(Rainfall,(C63+6)*12+D63,0)-OFFSET(PET,(C63+6)*12+D63,0),PWP),FC)</f>
        <v>27.012600000000003</v>
      </c>
      <c r="H63" s="46">
        <f t="shared" ca="1" si="0"/>
        <v>28.517550000000004</v>
      </c>
      <c r="I63" s="45">
        <f t="shared" ca="1" si="17"/>
        <v>0.82114351767408722</v>
      </c>
      <c r="J63" s="45">
        <f t="shared" ca="1" si="18"/>
        <v>0.27952512346894071</v>
      </c>
      <c r="K63" s="45">
        <f t="shared" ca="1" si="24"/>
        <v>0.90345467800480783</v>
      </c>
      <c r="L63" s="358">
        <f t="shared" ca="1" si="19"/>
        <v>0.84010520323262572</v>
      </c>
      <c r="M63" s="76">
        <f t="shared" ca="1" si="62"/>
        <v>0.25347808785320641</v>
      </c>
      <c r="N63" s="45">
        <f t="shared" ca="1" si="63"/>
        <v>0.25</v>
      </c>
      <c r="O63" s="45">
        <f t="shared" ca="1" si="64"/>
        <v>0</v>
      </c>
      <c r="P63" s="46" t="str">
        <f t="shared" ca="1" si="59"/>
        <v/>
      </c>
      <c r="Q63" s="243" t="str">
        <f t="shared" ca="1" si="60"/>
        <v/>
      </c>
      <c r="R63" s="45">
        <f t="shared" ca="1" si="25"/>
        <v>7.5359749237173312E-2</v>
      </c>
      <c r="S63" s="45">
        <f t="shared" ca="1" si="3"/>
        <v>5.0695617570641283E-2</v>
      </c>
      <c r="T63" s="77">
        <f t="shared" ca="1" si="4"/>
        <v>3.7344512808928844E-2</v>
      </c>
      <c r="U63" s="45">
        <f t="shared" ca="1" si="26"/>
        <v>13.391402933526448</v>
      </c>
      <c r="V63" s="45">
        <f t="shared" ca="1" si="5"/>
        <v>0.20278247028256513</v>
      </c>
      <c r="W63" s="77">
        <f t="shared" ca="1" si="6"/>
        <v>0.27210408067002301</v>
      </c>
      <c r="X63" s="45">
        <f t="shared" ca="1" si="27"/>
        <v>0.66217249513770959</v>
      </c>
      <c r="Y63" s="45">
        <f t="shared" ca="1" si="7"/>
        <v>3.2417340380028907E-2</v>
      </c>
      <c r="Z63" s="77">
        <f t="shared" ca="1" si="8"/>
        <v>2.9240366156652185E-2</v>
      </c>
      <c r="AA63" s="45">
        <f t="shared" ca="1" si="28"/>
        <v>39.779254780959079</v>
      </c>
      <c r="AB63" s="45">
        <f t="shared" ca="1" si="9"/>
        <v>0</v>
      </c>
      <c r="AC63" s="45" cm="1">
        <f t="array" aca="1" ref="AC63" ca="1">pHUM*(T63+W63+Z63+AD63)</f>
        <v>3.8138047505916359E-2</v>
      </c>
      <c r="AD63" s="77">
        <f t="shared" ca="1" si="10"/>
        <v>5.4403559235700762E-2</v>
      </c>
      <c r="AE63" s="45">
        <f t="shared" ca="1" si="29"/>
        <v>6.3847072090583081</v>
      </c>
      <c r="AF63" s="45">
        <f t="shared" ca="1" si="11"/>
        <v>0</v>
      </c>
      <c r="AG63" s="76">
        <f t="shared" ca="1" si="12"/>
        <v>60.292897167918717</v>
      </c>
      <c r="AH63" s="45">
        <f t="shared" ca="1" si="13"/>
        <v>0.32253713098535963</v>
      </c>
      <c r="AI63" s="77">
        <f t="shared" ca="1" si="14"/>
        <v>9.2806512322483898E-3</v>
      </c>
      <c r="AJ63" s="384">
        <f t="shared" ca="1" si="23"/>
        <v>2.4863279347964173E-2</v>
      </c>
      <c r="AU63" s="1"/>
    </row>
    <row r="64" spans="2:47" x14ac:dyDescent="0.25">
      <c r="B64" s="44"/>
      <c r="C64" s="10">
        <f t="shared" si="30"/>
        <v>-3</v>
      </c>
      <c r="D64" s="91">
        <f t="shared" si="31"/>
        <v>10</v>
      </c>
      <c r="E64" s="278">
        <f t="shared" ca="1" si="15"/>
        <v>-999</v>
      </c>
      <c r="F64" s="76">
        <f t="shared" ca="1" si="16"/>
        <v>8.07</v>
      </c>
      <c r="G64" s="46">
        <f t="shared" ref="G64" ca="1" si="77">MIN(MAX(G63+OFFSET(Rainfall,(C64+6)*12+D64,0)-OFFSET(PET,(C64+6)*12+D64,0),PWP),FC)</f>
        <v>55.530150000000006</v>
      </c>
      <c r="H64" s="46">
        <f t="shared" ca="1" si="0"/>
        <v>0</v>
      </c>
      <c r="I64" s="45">
        <f t="shared" ca="1" si="17"/>
        <v>0.57732479859184449</v>
      </c>
      <c r="J64" s="45">
        <f t="shared" ca="1" si="18"/>
        <v>0.29595601705647312</v>
      </c>
      <c r="K64" s="45">
        <f t="shared" ca="1" si="24"/>
        <v>0.95656105889548582</v>
      </c>
      <c r="L64" s="358">
        <f t="shared" ca="1" si="19"/>
        <v>0.65365753371386415</v>
      </c>
      <c r="M64" s="76">
        <f t="shared" ca="1" si="62"/>
        <v>0.25347808785320641</v>
      </c>
      <c r="N64" s="45">
        <f t="shared" ca="1" si="63"/>
        <v>0.25</v>
      </c>
      <c r="O64" s="45">
        <f t="shared" ca="1" si="64"/>
        <v>0</v>
      </c>
      <c r="P64" s="46" t="str">
        <f t="shared" ca="1" si="59"/>
        <v/>
      </c>
      <c r="Q64" s="243" t="str">
        <f t="shared" ca="1" si="60"/>
        <v/>
      </c>
      <c r="R64" s="45">
        <f t="shared" ca="1" si="25"/>
        <v>8.8710853998885758E-2</v>
      </c>
      <c r="S64" s="45">
        <f t="shared" ca="1" si="3"/>
        <v>5.0695617570641283E-2</v>
      </c>
      <c r="T64" s="77">
        <f t="shared" ca="1" si="4"/>
        <v>3.3878619021938595E-2</v>
      </c>
      <c r="U64" s="45">
        <f t="shared" ca="1" si="26"/>
        <v>13.322081323138992</v>
      </c>
      <c r="V64" s="45">
        <f t="shared" ca="1" si="5"/>
        <v>0.20278247028256513</v>
      </c>
      <c r="W64" s="77">
        <f t="shared" ca="1" si="6"/>
        <v>0.19089825530578453</v>
      </c>
      <c r="X64" s="45">
        <f t="shared" ca="1" si="27"/>
        <v>0.6653494693610863</v>
      </c>
      <c r="Y64" s="45">
        <f t="shared" ca="1" si="7"/>
        <v>2.34053854486467E-2</v>
      </c>
      <c r="Z64" s="77">
        <f t="shared" ca="1" si="8"/>
        <v>2.0794855884961935E-2</v>
      </c>
      <c r="AA64" s="45">
        <f t="shared" ca="1" si="28"/>
        <v>39.762989269229294</v>
      </c>
      <c r="AB64" s="45">
        <f t="shared" ca="1" si="9"/>
        <v>0</v>
      </c>
      <c r="AC64" s="45" cm="1">
        <f t="array" aca="1" ref="AC64" ca="1">pHUM*(T64+W64+Z64+AD64)</f>
        <v>2.7535747586643178E-2</v>
      </c>
      <c r="AD64" s="77">
        <f t="shared" ca="1" si="10"/>
        <v>3.8241865020759366E-2</v>
      </c>
      <c r="AE64" s="45">
        <f t="shared" ca="1" si="29"/>
        <v>6.3847072090583081</v>
      </c>
      <c r="AF64" s="45">
        <f t="shared" ca="1" si="11"/>
        <v>0</v>
      </c>
      <c r="AG64" s="76">
        <f t="shared" ca="1" si="12"/>
        <v>60.223838124786568</v>
      </c>
      <c r="AH64" s="45">
        <f t="shared" ca="1" si="13"/>
        <v>0.23287246219815455</v>
      </c>
      <c r="AI64" s="77">
        <f t="shared" ca="1" si="14"/>
        <v>9.4697593677571523E-3</v>
      </c>
      <c r="AJ64" s="384">
        <f t="shared" ca="1" si="23"/>
        <v>2.0899863378640582E-2</v>
      </c>
      <c r="AU64" s="1"/>
    </row>
    <row r="65" spans="2:47" x14ac:dyDescent="0.25">
      <c r="B65" s="44"/>
      <c r="C65" s="10">
        <f t="shared" si="30"/>
        <v>-3</v>
      </c>
      <c r="D65" s="91">
        <f t="shared" si="31"/>
        <v>11</v>
      </c>
      <c r="E65" s="278">
        <f t="shared" ca="1" si="15"/>
        <v>-999</v>
      </c>
      <c r="F65" s="76">
        <f t="shared" ca="1" si="16"/>
        <v>5.65</v>
      </c>
      <c r="G65" s="46">
        <f t="shared" ref="G65" ca="1" si="78">MIN(MAX(G64+OFFSET(Rainfall,(C65+6)*12+D65,0)-OFFSET(PET,(C65+6)*12+D65,0),PWP),FC)</f>
        <v>55.530150000000006</v>
      </c>
      <c r="H65" s="46">
        <f t="shared" ca="1" si="0"/>
        <v>0</v>
      </c>
      <c r="I65" s="45">
        <f t="shared" ca="1" si="17"/>
        <v>0.38641599779059205</v>
      </c>
      <c r="J65" s="45">
        <f t="shared" ca="1" si="18"/>
        <v>0.29595601705647312</v>
      </c>
      <c r="K65" s="45">
        <f t="shared" ca="1" si="24"/>
        <v>0.95656105889548582</v>
      </c>
      <c r="L65" s="358">
        <f t="shared" ca="1" si="19"/>
        <v>0.56824722383715565</v>
      </c>
      <c r="M65" s="76">
        <f t="shared" ca="1" si="62"/>
        <v>0.25347808785320641</v>
      </c>
      <c r="N65" s="45">
        <f t="shared" ca="1" si="63"/>
        <v>0.25</v>
      </c>
      <c r="O65" s="45">
        <f t="shared" ca="1" si="64"/>
        <v>0</v>
      </c>
      <c r="P65" s="46" t="str">
        <f t="shared" ca="1" si="59"/>
        <v/>
      </c>
      <c r="Q65" s="243" t="str">
        <f t="shared" ca="1" si="60"/>
        <v/>
      </c>
      <c r="R65" s="45">
        <f t="shared" ca="1" si="25"/>
        <v>0.10552785254758845</v>
      </c>
      <c r="S65" s="45">
        <f t="shared" ca="1" si="3"/>
        <v>5.0695617570641283E-2</v>
      </c>
      <c r="T65" s="77">
        <f t="shared" ca="1" si="4"/>
        <v>2.9053028307265985E-2</v>
      </c>
      <c r="U65" s="45">
        <f t="shared" ca="1" si="26"/>
        <v>13.333965538115773</v>
      </c>
      <c r="V65" s="45">
        <f t="shared" ca="1" si="5"/>
        <v>0.20278247028256513</v>
      </c>
      <c r="W65" s="77">
        <f t="shared" ca="1" si="6"/>
        <v>0.12819125362355657</v>
      </c>
      <c r="X65" s="45">
        <f t="shared" ca="1" si="27"/>
        <v>0.66795999892477109</v>
      </c>
      <c r="Y65" s="45">
        <f t="shared" ca="1" si="7"/>
        <v>1.6236510661658494E-2</v>
      </c>
      <c r="Z65" s="77">
        <f t="shared" ca="1" si="8"/>
        <v>1.4046282934952819E-2</v>
      </c>
      <c r="AA65" s="45">
        <f t="shared" ca="1" si="28"/>
        <v>39.752283151795176</v>
      </c>
      <c r="AB65" s="45">
        <f t="shared" ca="1" si="9"/>
        <v>0</v>
      </c>
      <c r="AC65" s="45" cm="1">
        <f t="array" aca="1" ref="AC65" ca="1">pHUM*(T65+W65+Z65+AD65)</f>
        <v>1.9101777249009994E-2</v>
      </c>
      <c r="AD65" s="77">
        <f t="shared" ca="1" si="10"/>
        <v>2.5593287999715053E-2</v>
      </c>
      <c r="AE65" s="45">
        <f t="shared" ca="1" si="29"/>
        <v>6.3847072090583081</v>
      </c>
      <c r="AF65" s="45">
        <f t="shared" ca="1" si="11"/>
        <v>0</v>
      </c>
      <c r="AG65" s="76">
        <f t="shared" ca="1" si="12"/>
        <v>60.244443750441619</v>
      </c>
      <c r="AH65" s="45">
        <f t="shared" ca="1" si="13"/>
        <v>0.16154556495482197</v>
      </c>
      <c r="AI65" s="77">
        <f t="shared" ca="1" si="14"/>
        <v>9.7341846514029315E-3</v>
      </c>
      <c r="AJ65" s="384">
        <f t="shared" ca="1" si="23"/>
        <v>1.867635182934313E-2</v>
      </c>
      <c r="AU65" s="1"/>
    </row>
    <row r="66" spans="2:47" x14ac:dyDescent="0.25">
      <c r="B66" s="44"/>
      <c r="C66" s="10">
        <f t="shared" si="30"/>
        <v>-3</v>
      </c>
      <c r="D66" s="91">
        <f t="shared" si="31"/>
        <v>12</v>
      </c>
      <c r="E66" s="278">
        <f t="shared" ca="1" si="15"/>
        <v>-999</v>
      </c>
      <c r="F66" s="76">
        <f t="shared" ca="1" si="16"/>
        <v>-3.93</v>
      </c>
      <c r="G66" s="46">
        <f t="shared" ref="G66" ca="1" si="79">MIN(MAX(G65+OFFSET(Rainfall,(C66+6)*12+D66,0)-OFFSET(PET,(C66+6)*12+D66,0),PWP),FC)</f>
        <v>55.530150000000006</v>
      </c>
      <c r="H66" s="46">
        <f t="shared" ca="1" si="0"/>
        <v>0</v>
      </c>
      <c r="I66" s="45">
        <f t="shared" ca="1" si="17"/>
        <v>2.0205410007506894E-2</v>
      </c>
      <c r="J66" s="45">
        <f t="shared" ca="1" si="18"/>
        <v>0.29595601705647312</v>
      </c>
      <c r="K66" s="45">
        <f t="shared" ca="1" si="24"/>
        <v>0.95656105889548582</v>
      </c>
      <c r="L66" s="358">
        <f t="shared" ca="1" si="19"/>
        <v>0.23971806060248069</v>
      </c>
      <c r="M66" s="76">
        <f t="shared" ca="1" si="62"/>
        <v>0.25347808785320641</v>
      </c>
      <c r="N66" s="45">
        <f t="shared" ca="1" si="63"/>
        <v>0.25</v>
      </c>
      <c r="O66" s="45">
        <f t="shared" ca="1" si="64"/>
        <v>0</v>
      </c>
      <c r="P66" s="46" t="str">
        <f t="shared" ca="1" si="59"/>
        <v/>
      </c>
      <c r="Q66" s="243" t="str">
        <f t="shared" ca="1" si="60"/>
        <v/>
      </c>
      <c r="R66" s="45">
        <f t="shared" ca="1" si="25"/>
        <v>0.12717044181096376</v>
      </c>
      <c r="S66" s="45">
        <f t="shared" ca="1" si="3"/>
        <v>5.0695617570641283E-2</v>
      </c>
      <c r="T66" s="77">
        <f t="shared" ca="1" si="4"/>
        <v>2.1233492889421723E-3</v>
      </c>
      <c r="U66" s="45">
        <f t="shared" ca="1" si="26"/>
        <v>13.408556754774782</v>
      </c>
      <c r="V66" s="45">
        <f t="shared" ca="1" si="5"/>
        <v>0.20278247028256513</v>
      </c>
      <c r="W66" s="77">
        <f t="shared" ca="1" si="6"/>
        <v>6.7714242844454471E-3</v>
      </c>
      <c r="X66" s="45">
        <f t="shared" ca="1" si="27"/>
        <v>0.67015022665147683</v>
      </c>
      <c r="Y66" s="45">
        <f t="shared" ca="1" si="7"/>
        <v>9.0528983853916767E-4</v>
      </c>
      <c r="Z66" s="77">
        <f t="shared" ca="1" si="8"/>
        <v>7.4432264671730607E-4</v>
      </c>
      <c r="AA66" s="45">
        <f t="shared" ca="1" si="28"/>
        <v>39.745791641044477</v>
      </c>
      <c r="AB66" s="45">
        <f t="shared" ca="1" si="9"/>
        <v>0</v>
      </c>
      <c r="AC66" s="45" cm="1">
        <f t="array" aca="1" ref="AC66" ca="1">pHUM*(T66+W66+Z66+AD66)</f>
        <v>1.0650468688696091E-3</v>
      </c>
      <c r="AD66" s="77">
        <f t="shared" ca="1" si="10"/>
        <v>1.338444156994972E-3</v>
      </c>
      <c r="AE66" s="45">
        <f t="shared" ca="1" si="29"/>
        <v>6.3847072090583081</v>
      </c>
      <c r="AF66" s="45">
        <f t="shared" ca="1" si="11"/>
        <v>0</v>
      </c>
      <c r="AG66" s="76">
        <f t="shared" ca="1" si="12"/>
        <v>60.336376273340008</v>
      </c>
      <c r="AH66" s="45">
        <f t="shared" ca="1" si="13"/>
        <v>9.0072036696911238E-3</v>
      </c>
      <c r="AI66" s="77">
        <f t="shared" ca="1" si="14"/>
        <v>1.0088483730334765E-2</v>
      </c>
      <c r="AJ66" s="384">
        <f t="shared" ca="1" si="23"/>
        <v>8.1655624309640018E-3</v>
      </c>
      <c r="AU66" s="1"/>
    </row>
    <row r="67" spans="2:47" x14ac:dyDescent="0.25">
      <c r="B67" s="44"/>
      <c r="C67" s="10">
        <f t="shared" si="30"/>
        <v>-2</v>
      </c>
      <c r="D67" s="91">
        <f t="shared" si="31"/>
        <v>1</v>
      </c>
      <c r="E67" s="278">
        <f t="shared" ca="1" si="15"/>
        <v>-999</v>
      </c>
      <c r="F67" s="76">
        <f t="shared" ca="1" si="16"/>
        <v>-6.12</v>
      </c>
      <c r="G67" s="46">
        <f t="shared" ref="G67" ca="1" si="80">MIN(MAX(G66+OFFSET(Rainfall,(C67+6)*12+D67,0)-OFFSET(PET,(C67+6)*12+D67,0),PWP),FC)</f>
        <v>55.530150000000006</v>
      </c>
      <c r="H67" s="46">
        <f t="shared" ca="1" si="0"/>
        <v>0</v>
      </c>
      <c r="I67" s="45">
        <f t="shared" ca="1" si="17"/>
        <v>5.3296139385356793E-3</v>
      </c>
      <c r="J67" s="45">
        <f t="shared" ca="1" si="18"/>
        <v>0.29595601705647312</v>
      </c>
      <c r="K67" s="45">
        <f t="shared" ca="1" si="24"/>
        <v>0.95656105889548582</v>
      </c>
      <c r="L67" s="358">
        <f t="shared" ca="1" si="19"/>
        <v>0.18527104551141793</v>
      </c>
      <c r="M67" s="76">
        <f t="shared" ca="1" si="62"/>
        <v>0.25347808785320641</v>
      </c>
      <c r="N67" s="45">
        <f t="shared" ca="1" si="63"/>
        <v>0.25</v>
      </c>
      <c r="O67" s="45">
        <f t="shared" ca="1" si="64"/>
        <v>0</v>
      </c>
      <c r="P67" s="46" t="str">
        <f t="shared" ca="1" si="59"/>
        <v/>
      </c>
      <c r="Q67" s="243" t="str">
        <f t="shared" ca="1" si="60"/>
        <v/>
      </c>
      <c r="R67" s="45">
        <f t="shared" ca="1" si="25"/>
        <v>0.17574271009266287</v>
      </c>
      <c r="S67" s="45">
        <f t="shared" ca="1" si="3"/>
        <v>5.0695617570641283E-2</v>
      </c>
      <c r="T67" s="77">
        <f t="shared" ca="1" si="4"/>
        <v>7.7880325062050027E-4</v>
      </c>
      <c r="U67" s="45">
        <f t="shared" ca="1" si="26"/>
        <v>13.604567800772902</v>
      </c>
      <c r="V67" s="45">
        <f t="shared" ca="1" si="5"/>
        <v>0.20278247028256513</v>
      </c>
      <c r="W67" s="77">
        <f t="shared" ca="1" si="6"/>
        <v>1.8125565989515939E-3</v>
      </c>
      <c r="X67" s="45">
        <f t="shared" ca="1" si="27"/>
        <v>0.67031119384329874</v>
      </c>
      <c r="Y67" s="45">
        <f t="shared" ca="1" si="7"/>
        <v>2.5901907441283292E-4</v>
      </c>
      <c r="Z67" s="77">
        <f t="shared" ca="1" si="8"/>
        <v>1.9645869824786743E-4</v>
      </c>
      <c r="AA67" s="45">
        <f t="shared" ca="1" si="28"/>
        <v>39.745518243756351</v>
      </c>
      <c r="AB67" s="45">
        <f t="shared" ca="1" si="9"/>
        <v>0</v>
      </c>
      <c r="AC67" s="45" cm="1">
        <f t="array" aca="1" ref="AC67" ca="1">pHUM*(T67+W67+Z67+AD67)</f>
        <v>3.0472832283862697E-4</v>
      </c>
      <c r="AD67" s="77">
        <f t="shared" ca="1" si="10"/>
        <v>3.5304554537939694E-4</v>
      </c>
      <c r="AE67" s="45">
        <f t="shared" ca="1" si="29"/>
        <v>6.3847072090583081</v>
      </c>
      <c r="AF67" s="45">
        <f t="shared" ca="1" si="11"/>
        <v>0</v>
      </c>
      <c r="AG67" s="76">
        <f t="shared" ca="1" si="12"/>
        <v>60.580847157523522</v>
      </c>
      <c r="AH67" s="45">
        <f t="shared" ca="1" si="13"/>
        <v>2.5771166959478991E-3</v>
      </c>
      <c r="AI67" s="77">
        <f t="shared" ca="1" si="14"/>
        <v>1.0880407720148271E-2</v>
      </c>
      <c r="AJ67" s="384">
        <f t="shared" ca="1" si="23"/>
        <v>6.8063257313510928E-3</v>
      </c>
      <c r="AU67" s="1"/>
    </row>
    <row r="68" spans="2:47" x14ac:dyDescent="0.25">
      <c r="B68" s="44"/>
      <c r="C68" s="10">
        <f t="shared" si="30"/>
        <v>-2</v>
      </c>
      <c r="D68" s="91">
        <f t="shared" si="31"/>
        <v>2</v>
      </c>
      <c r="E68" s="278">
        <f t="shared" ca="1" si="15"/>
        <v>-999</v>
      </c>
      <c r="F68" s="76">
        <f t="shared" ca="1" si="16"/>
        <v>-4.25</v>
      </c>
      <c r="G68" s="46">
        <f t="shared" ref="G68" ca="1" si="81">MIN(MAX(G67+OFFSET(Rainfall,(C68+6)*12+D68,0)-OFFSET(PET,(C68+6)*12+D68,0),PWP),FC)</f>
        <v>55.530150000000006</v>
      </c>
      <c r="H68" s="46">
        <f t="shared" ca="1" si="0"/>
        <v>0</v>
      </c>
      <c r="I68" s="45">
        <f t="shared" ca="1" si="17"/>
        <v>1.7068475432147935E-2</v>
      </c>
      <c r="J68" s="45">
        <f t="shared" ca="1" si="18"/>
        <v>0.29595601705647312</v>
      </c>
      <c r="K68" s="45">
        <f t="shared" ca="1" si="24"/>
        <v>0.95656105889548582</v>
      </c>
      <c r="L68" s="358">
        <f t="shared" ca="1" si="19"/>
        <v>0.23112364336569713</v>
      </c>
      <c r="M68" s="76">
        <f t="shared" ca="1" si="62"/>
        <v>0.25347808785320641</v>
      </c>
      <c r="N68" s="45">
        <f t="shared" ca="1" si="63"/>
        <v>0.25</v>
      </c>
      <c r="O68" s="45">
        <f t="shared" ca="1" si="64"/>
        <v>0</v>
      </c>
      <c r="P68" s="46" t="str">
        <f t="shared" ca="1" si="59"/>
        <v/>
      </c>
      <c r="Q68" s="243" t="str">
        <f t="shared" ca="1" si="60"/>
        <v/>
      </c>
      <c r="R68" s="45">
        <f t="shared" ca="1" si="25"/>
        <v>0.22565952441268367</v>
      </c>
      <c r="S68" s="45">
        <f t="shared" ca="1" si="3"/>
        <v>5.0695617570641283E-2</v>
      </c>
      <c r="T68" s="77">
        <f t="shared" ca="1" si="4"/>
        <v>3.1870007905800486E-3</v>
      </c>
      <c r="U68" s="45">
        <f t="shared" ca="1" si="26"/>
        <v>13.805537714456516</v>
      </c>
      <c r="V68" s="45">
        <f t="shared" ca="1" si="5"/>
        <v>0.20278247028256513</v>
      </c>
      <c r="W68" s="77">
        <f t="shared" ca="1" si="6"/>
        <v>5.8897303343330102E-3</v>
      </c>
      <c r="X68" s="45">
        <f t="shared" ca="1" si="27"/>
        <v>0.67037375421946366</v>
      </c>
      <c r="Y68" s="45">
        <f t="shared" ca="1" si="7"/>
        <v>8.9365047896561149E-4</v>
      </c>
      <c r="Z68" s="77">
        <f t="shared" ca="1" si="8"/>
        <v>6.2902888577555458E-4</v>
      </c>
      <c r="AA68" s="45">
        <f t="shared" ca="1" si="28"/>
        <v>39.745469926533808</v>
      </c>
      <c r="AB68" s="45">
        <f t="shared" ca="1" si="9"/>
        <v>0</v>
      </c>
      <c r="AC68" s="45" cm="1">
        <f t="array" aca="1" ref="AC68" ca="1">pHUM*(T68+W68+Z68+AD68)</f>
        <v>1.0513535046654252E-3</v>
      </c>
      <c r="AD68" s="77">
        <f t="shared" ca="1" si="10"/>
        <v>1.1306415462865864E-3</v>
      </c>
      <c r="AE68" s="45">
        <f t="shared" ca="1" si="29"/>
        <v>6.3847072090583081</v>
      </c>
      <c r="AF68" s="45">
        <f t="shared" ca="1" si="11"/>
        <v>0</v>
      </c>
      <c r="AG68" s="76">
        <f t="shared" ca="1" si="12"/>
        <v>60.831748128680779</v>
      </c>
      <c r="AH68" s="45">
        <f t="shared" ca="1" si="13"/>
        <v>8.8913975733441643E-3</v>
      </c>
      <c r="AI68" s="77">
        <f t="shared" ca="1" si="14"/>
        <v>1.1686604857693121E-2</v>
      </c>
      <c r="AJ68" s="384">
        <f t="shared" ca="1" si="23"/>
        <v>9.1199360766680559E-3</v>
      </c>
      <c r="AU68" s="1"/>
    </row>
    <row r="69" spans="2:47" x14ac:dyDescent="0.25">
      <c r="B69" s="44"/>
      <c r="C69" s="10">
        <f t="shared" si="30"/>
        <v>-2</v>
      </c>
      <c r="D69" s="91">
        <f t="shared" si="31"/>
        <v>3</v>
      </c>
      <c r="E69" s="278">
        <f t="shared" ca="1" si="15"/>
        <v>-999</v>
      </c>
      <c r="F69" s="76">
        <f t="shared" ca="1" si="16"/>
        <v>3.13</v>
      </c>
      <c r="G69" s="46">
        <f t="shared" ref="G69" ca="1" si="82">MIN(MAX(G68+OFFSET(Rainfall,(C69+6)*12+D69,0)-OFFSET(PET,(C69+6)*12+D69,0),PWP),FC)</f>
        <v>55.530150000000006</v>
      </c>
      <c r="H69" s="46">
        <f t="shared" ca="1" si="0"/>
        <v>0</v>
      </c>
      <c r="I69" s="45">
        <f t="shared" ca="1" si="17"/>
        <v>0.23034267226800814</v>
      </c>
      <c r="J69" s="45">
        <f t="shared" ca="1" si="18"/>
        <v>0.29595601705647312</v>
      </c>
      <c r="K69" s="45">
        <f t="shared" ca="1" si="24"/>
        <v>0.95656105889548582</v>
      </c>
      <c r="L69" s="358">
        <f t="shared" ca="1" si="19"/>
        <v>0.47477720738653706</v>
      </c>
      <c r="M69" s="76">
        <f t="shared" ca="1" si="62"/>
        <v>0.25347808785320641</v>
      </c>
      <c r="N69" s="45">
        <f t="shared" ca="1" si="63"/>
        <v>0.25</v>
      </c>
      <c r="O69" s="45">
        <f t="shared" ca="1" si="64"/>
        <v>0</v>
      </c>
      <c r="P69" s="46" t="str">
        <f t="shared" ca="1" si="59"/>
        <v/>
      </c>
      <c r="Q69" s="243" t="str">
        <f t="shared" ca="1" si="60"/>
        <v/>
      </c>
      <c r="R69" s="45">
        <f t="shared" ca="1" si="25"/>
        <v>0.27316814119274491</v>
      </c>
      <c r="S69" s="45">
        <f t="shared" ca="1" si="3"/>
        <v>5.0695617570641283E-2</v>
      </c>
      <c r="T69" s="77">
        <f t="shared" ca="1" si="4"/>
        <v>4.7709827425718679E-2</v>
      </c>
      <c r="U69" s="45">
        <f t="shared" ca="1" si="26"/>
        <v>14.002430454404749</v>
      </c>
      <c r="V69" s="45">
        <f t="shared" ca="1" si="5"/>
        <v>0.20278247028256513</v>
      </c>
      <c r="W69" s="77">
        <f t="shared" ca="1" si="6"/>
        <v>8.0402208298622269E-2</v>
      </c>
      <c r="X69" s="45">
        <f t="shared" ca="1" si="27"/>
        <v>0.67063837581265373</v>
      </c>
      <c r="Y69" s="45">
        <f t="shared" ca="1" si="7"/>
        <v>1.2519398048376028E-2</v>
      </c>
      <c r="Z69" s="77">
        <f t="shared" ca="1" si="8"/>
        <v>8.4426228902712928E-3</v>
      </c>
      <c r="AA69" s="45">
        <f t="shared" ca="1" si="28"/>
        <v>39.745390638492182</v>
      </c>
      <c r="AB69" s="45">
        <f t="shared" ca="1" si="9"/>
        <v>0</v>
      </c>
      <c r="AC69" s="45" cm="1">
        <f t="array" aca="1" ref="AC69" ca="1">pHUM*(T69+W69+Z69+AD69)</f>
        <v>1.472870358632474E-2</v>
      </c>
      <c r="AD69" s="77">
        <f t="shared" ca="1" si="10"/>
        <v>1.5255503968017357E-2</v>
      </c>
      <c r="AE69" s="45">
        <f t="shared" ca="1" si="29"/>
        <v>6.3847072090583081</v>
      </c>
      <c r="AF69" s="45">
        <f t="shared" ca="1" si="11"/>
        <v>0</v>
      </c>
      <c r="AG69" s="76">
        <f t="shared" ca="1" si="12"/>
        <v>61.076334818960632</v>
      </c>
      <c r="AH69" s="45">
        <f t="shared" ca="1" si="13"/>
        <v>0.12456206094792882</v>
      </c>
      <c r="AI69" s="77">
        <f t="shared" ca="1" si="14"/>
        <v>1.2448492341046852E-2</v>
      </c>
      <c r="AJ69" s="384">
        <f t="shared" ca="1" si="23"/>
        <v>1.9955436769075741E-2</v>
      </c>
      <c r="AU69" s="1"/>
    </row>
    <row r="70" spans="2:47" x14ac:dyDescent="0.25">
      <c r="B70" s="44"/>
      <c r="C70" s="10">
        <f t="shared" si="30"/>
        <v>-2</v>
      </c>
      <c r="D70" s="91">
        <f t="shared" si="31"/>
        <v>4</v>
      </c>
      <c r="E70" s="278">
        <f t="shared" ca="1" si="15"/>
        <v>-999</v>
      </c>
      <c r="F70" s="76">
        <f t="shared" ca="1" si="16"/>
        <v>9.0399999999999991</v>
      </c>
      <c r="G70" s="46">
        <f t="shared" ref="G70" ca="1" si="83">MIN(MAX(G69+OFFSET(Rainfall,(C70+6)*12+D70,0)-OFFSET(PET,(C70+6)*12+D70,0),PWP),FC)</f>
        <v>46.107257228854571</v>
      </c>
      <c r="H70" s="46">
        <f t="shared" ca="1" si="0"/>
        <v>9.4228927711454347</v>
      </c>
      <c r="I70" s="45">
        <f t="shared" ca="1" si="17"/>
        <v>0.66429807014895403</v>
      </c>
      <c r="J70" s="45">
        <f t="shared" ca="1" si="18"/>
        <v>0.3088985571036531</v>
      </c>
      <c r="K70" s="45">
        <f t="shared" ca="1" si="24"/>
        <v>0.99839271325906431</v>
      </c>
      <c r="L70" s="358">
        <f t="shared" ca="1" si="19"/>
        <v>0.68557045912002246</v>
      </c>
      <c r="M70" s="76">
        <f t="shared" ca="1" si="62"/>
        <v>0.25347808785320641</v>
      </c>
      <c r="N70" s="45">
        <f t="shared" ca="1" si="63"/>
        <v>0.25</v>
      </c>
      <c r="O70" s="45">
        <f t="shared" ca="1" si="64"/>
        <v>0</v>
      </c>
      <c r="P70" s="46" t="str">
        <f t="shared" ca="1" si="59"/>
        <v/>
      </c>
      <c r="Q70" s="243" t="str">
        <f t="shared" ca="1" si="60"/>
        <v/>
      </c>
      <c r="R70" s="45">
        <f t="shared" ca="1" si="25"/>
        <v>0.27615393133766752</v>
      </c>
      <c r="S70" s="45">
        <f t="shared" ca="1" si="3"/>
        <v>5.0695617570641283E-2</v>
      </c>
      <c r="T70" s="77">
        <f t="shared" ca="1" si="4"/>
        <v>0.11739661762196067</v>
      </c>
      <c r="U70" s="45">
        <f t="shared" ca="1" si="26"/>
        <v>14.124810716388692</v>
      </c>
      <c r="V70" s="45">
        <f t="shared" ca="1" si="5"/>
        <v>0.20278247028256513</v>
      </c>
      <c r="W70" s="77">
        <f t="shared" ca="1" si="6"/>
        <v>0.23263998686172144</v>
      </c>
      <c r="X70" s="45">
        <f t="shared" ca="1" si="27"/>
        <v>0.6747151509707584</v>
      </c>
      <c r="Y70" s="45">
        <f t="shared" ca="1" si="7"/>
        <v>3.4489792712898183E-2</v>
      </c>
      <c r="Z70" s="77">
        <f t="shared" ca="1" si="8"/>
        <v>2.4206752029054236E-2</v>
      </c>
      <c r="AA70" s="45">
        <f t="shared" ca="1" si="28"/>
        <v>39.744863838110483</v>
      </c>
      <c r="AB70" s="45">
        <f t="shared" ca="1" si="9"/>
        <v>0</v>
      </c>
      <c r="AC70" s="45" cm="1">
        <f t="array" aca="1" ref="AC70" ca="1">pHUM*(T70+W70+Z70+AD70)</f>
        <v>4.0576226721056687E-2</v>
      </c>
      <c r="AD70" s="77">
        <f t="shared" ca="1" si="10"/>
        <v>4.3979709720503878E-2</v>
      </c>
      <c r="AE70" s="45">
        <f t="shared" ca="1" si="29"/>
        <v>6.3847072090583081</v>
      </c>
      <c r="AF70" s="45">
        <f t="shared" ca="1" si="11"/>
        <v>0</v>
      </c>
      <c r="AG70" s="76">
        <f t="shared" ca="1" si="12"/>
        <v>61.205250845865905</v>
      </c>
      <c r="AH70" s="45">
        <f t="shared" ca="1" si="13"/>
        <v>0.34315704679928538</v>
      </c>
      <c r="AI70" s="77">
        <f t="shared" ca="1" si="14"/>
        <v>1.252448938862802E-2</v>
      </c>
      <c r="AJ70" s="384">
        <f t="shared" ca="1" si="23"/>
        <v>3.0258767104580642E-2</v>
      </c>
      <c r="AU70" s="1"/>
    </row>
    <row r="71" spans="2:47" x14ac:dyDescent="0.25">
      <c r="B71" s="44"/>
      <c r="C71" s="10">
        <f t="shared" si="30"/>
        <v>-2</v>
      </c>
      <c r="D71" s="91">
        <f t="shared" si="31"/>
        <v>5</v>
      </c>
      <c r="E71" s="278">
        <f t="shared" ca="1" si="15"/>
        <v>-999</v>
      </c>
      <c r="F71" s="76">
        <f t="shared" ca="1" si="16"/>
        <v>15.1</v>
      </c>
      <c r="G71" s="46">
        <f t="shared" ref="G71" ca="1" si="84">MIN(MAX(G70+OFFSET(Rainfall,(C71+6)*12+D71,0)-OFFSET(PET,(C71+6)*12+D71,0),PWP),FC)</f>
        <v>27.012600000000003</v>
      </c>
      <c r="H71" s="46">
        <f t="shared" ca="1" si="0"/>
        <v>28.517550000000004</v>
      </c>
      <c r="I71" s="45">
        <f t="shared" ca="1" si="17"/>
        <v>0.83023789231731016</v>
      </c>
      <c r="J71" s="45">
        <f t="shared" ca="1" si="18"/>
        <v>0.27952512346894071</v>
      </c>
      <c r="K71" s="45">
        <f t="shared" ca="1" si="24"/>
        <v>0.90345467800480783</v>
      </c>
      <c r="L71" s="358">
        <f t="shared" ca="1" si="19"/>
        <v>0.84245874999369885</v>
      </c>
      <c r="M71" s="76">
        <f t="shared" ca="1" si="62"/>
        <v>0.25347808785320641</v>
      </c>
      <c r="N71" s="45">
        <f t="shared" ca="1" si="63"/>
        <v>0.25</v>
      </c>
      <c r="O71" s="45">
        <f t="shared" ca="1" si="64"/>
        <v>0</v>
      </c>
      <c r="P71" s="46" t="str">
        <f t="shared" ca="1" si="59"/>
        <v/>
      </c>
      <c r="Q71" s="243" t="str">
        <f t="shared" ca="1" si="60"/>
        <v/>
      </c>
      <c r="R71" s="45">
        <f t="shared" ca="1" si="25"/>
        <v>0.20945293128634812</v>
      </c>
      <c r="S71" s="45">
        <f t="shared" ca="1" si="3"/>
        <v>5.0695617570641283E-2</v>
      </c>
      <c r="T71" s="77">
        <f t="shared" ca="1" si="4"/>
        <v>0.10459209187379015</v>
      </c>
      <c r="U71" s="45">
        <f t="shared" ca="1" si="26"/>
        <v>14.094953199809536</v>
      </c>
      <c r="V71" s="45">
        <f t="shared" ca="1" si="5"/>
        <v>0.20278247028256513</v>
      </c>
      <c r="W71" s="77">
        <f t="shared" ca="1" si="6"/>
        <v>0.28953888441191755</v>
      </c>
      <c r="X71" s="45">
        <f t="shared" ca="1" si="27"/>
        <v>0.68499819165460241</v>
      </c>
      <c r="Y71" s="45">
        <f t="shared" ca="1" si="7"/>
        <v>3.955635008324989E-2</v>
      </c>
      <c r="Z71" s="77">
        <f t="shared" ca="1" si="8"/>
        <v>3.0575726389420195E-2</v>
      </c>
      <c r="AA71" s="45">
        <f t="shared" ca="1" si="28"/>
        <v>39.741460355111037</v>
      </c>
      <c r="AB71" s="45">
        <f t="shared" ca="1" si="9"/>
        <v>0</v>
      </c>
      <c r="AC71" s="45" cm="1">
        <f t="array" aca="1" ref="AC71" ca="1">pHUM*(T71+W71+Z71+AD71)</f>
        <v>4.6536882450882222E-2</v>
      </c>
      <c r="AD71" s="77">
        <f t="shared" ca="1" si="10"/>
        <v>5.4953414697091377E-2</v>
      </c>
      <c r="AE71" s="45">
        <f t="shared" ca="1" si="29"/>
        <v>6.3847072090583081</v>
      </c>
      <c r="AF71" s="45">
        <f t="shared" ca="1" si="11"/>
        <v>0</v>
      </c>
      <c r="AG71" s="76">
        <f t="shared" ca="1" si="12"/>
        <v>61.115571886919831</v>
      </c>
      <c r="AH71" s="45">
        <f t="shared" ca="1" si="13"/>
        <v>0.39356688483808716</v>
      </c>
      <c r="AI71" s="77">
        <f t="shared" ca="1" si="14"/>
        <v>1.152601207587386E-2</v>
      </c>
      <c r="AJ71" s="384">
        <f t="shared" ca="1" si="23"/>
        <v>3.0965029514448128E-2</v>
      </c>
      <c r="AU71" s="1"/>
    </row>
    <row r="72" spans="2:47" x14ac:dyDescent="0.25">
      <c r="B72" s="44"/>
      <c r="C72" s="10">
        <f t="shared" si="30"/>
        <v>-2</v>
      </c>
      <c r="D72" s="91">
        <f t="shared" si="31"/>
        <v>6</v>
      </c>
      <c r="E72" s="278">
        <f t="shared" ca="1" si="15"/>
        <v>-999</v>
      </c>
      <c r="F72" s="76">
        <f t="shared" ca="1" si="16"/>
        <v>19.149999999999999</v>
      </c>
      <c r="G72" s="46">
        <f t="shared" ref="G72" ca="1" si="85">MIN(MAX(G71+OFFSET(Rainfall,(C72+6)*12+D72,0)-OFFSET(PET,(C72+6)*12+D72,0),PWP),FC)</f>
        <v>27.012600000000003</v>
      </c>
      <c r="H72" s="46">
        <f t="shared" ca="1" si="0"/>
        <v>28.517550000000004</v>
      </c>
      <c r="I72" s="45">
        <f t="shared" ca="1" si="17"/>
        <v>1.1521875054459978</v>
      </c>
      <c r="J72" s="45">
        <f t="shared" ca="1" si="18"/>
        <v>0.27952512346894071</v>
      </c>
      <c r="K72" s="45">
        <f t="shared" ca="1" si="24"/>
        <v>0.90345467800480783</v>
      </c>
      <c r="L72" s="358">
        <f t="shared" ca="1" si="19"/>
        <v>0.90581152742422688</v>
      </c>
      <c r="M72" s="76">
        <f t="shared" ca="1" si="62"/>
        <v>0.25347808785320641</v>
      </c>
      <c r="N72" s="45">
        <f t="shared" ca="1" si="63"/>
        <v>0.25</v>
      </c>
      <c r="O72" s="45">
        <f t="shared" ca="1" si="64"/>
        <v>0</v>
      </c>
      <c r="P72" s="46" t="str">
        <f t="shared" ca="1" si="59"/>
        <v/>
      </c>
      <c r="Q72" s="243" t="str">
        <f t="shared" ca="1" si="60"/>
        <v/>
      </c>
      <c r="R72" s="45">
        <f t="shared" ca="1" si="25"/>
        <v>0.15555645698319925</v>
      </c>
      <c r="S72" s="45">
        <f t="shared" ca="1" si="3"/>
        <v>5.0695617570641283E-2</v>
      </c>
      <c r="T72" s="77">
        <f t="shared" ca="1" si="4"/>
        <v>9.600430225831702E-2</v>
      </c>
      <c r="U72" s="45">
        <f t="shared" ca="1" si="26"/>
        <v>14.008196785680184</v>
      </c>
      <c r="V72" s="45">
        <f t="shared" ca="1" si="5"/>
        <v>0.20278247028256513</v>
      </c>
      <c r="W72" s="77">
        <f t="shared" ca="1" si="6"/>
        <v>0.39774576080103624</v>
      </c>
      <c r="X72" s="45">
        <f t="shared" ca="1" si="27"/>
        <v>0.69397881534843209</v>
      </c>
      <c r="Y72" s="45">
        <f t="shared" ca="1" si="7"/>
        <v>5.0518731269130465E-2</v>
      </c>
      <c r="Z72" s="77">
        <f t="shared" ca="1" si="8"/>
        <v>4.2613189493842171E-2</v>
      </c>
      <c r="AA72" s="45">
        <f t="shared" ca="1" si="28"/>
        <v>39.733043822864829</v>
      </c>
      <c r="AB72" s="45">
        <f t="shared" ca="1" si="9"/>
        <v>0</v>
      </c>
      <c r="AC72" s="45" cm="1">
        <f t="array" aca="1" ref="AC72" ca="1">pHUM*(T72+W72+Z72+AD72)</f>
        <v>5.9433801493094671E-2</v>
      </c>
      <c r="AD72" s="77">
        <f t="shared" ca="1" si="10"/>
        <v>7.6226648159299124E-2</v>
      </c>
      <c r="AE72" s="45">
        <f t="shared" ca="1" si="29"/>
        <v>6.3847072090583081</v>
      </c>
      <c r="AF72" s="45">
        <f t="shared" ca="1" si="11"/>
        <v>0</v>
      </c>
      <c r="AG72" s="76">
        <f t="shared" ca="1" si="12"/>
        <v>60.975483089934947</v>
      </c>
      <c r="AH72" s="45">
        <f t="shared" ca="1" si="13"/>
        <v>0.50263736795026948</v>
      </c>
      <c r="AI72" s="77">
        <f t="shared" ca="1" si="14"/>
        <v>1.0701915581583305E-2</v>
      </c>
      <c r="AJ72" s="384">
        <f t="shared" ca="1" si="23"/>
        <v>3.0913143369069029E-2</v>
      </c>
      <c r="AU72" s="1"/>
    </row>
    <row r="73" spans="2:47" x14ac:dyDescent="0.25">
      <c r="B73" s="44"/>
      <c r="C73" s="10">
        <f t="shared" si="30"/>
        <v>-2</v>
      </c>
      <c r="D73" s="91">
        <f t="shared" si="31"/>
        <v>7</v>
      </c>
      <c r="E73" s="278">
        <f t="shared" ca="1" si="15"/>
        <v>-999</v>
      </c>
      <c r="F73" s="76">
        <f t="shared" ca="1" si="16"/>
        <v>23.25</v>
      </c>
      <c r="G73" s="46">
        <f t="shared" ref="G73" ca="1" si="86">MIN(MAX(G72+OFFSET(Rainfall,(C73+6)*12+D73,0)-OFFSET(PET,(C73+6)*12+D73,0),PWP),FC)</f>
        <v>27.012600000000003</v>
      </c>
      <c r="H73" s="46">
        <f t="shared" ca="1" si="0"/>
        <v>28.517550000000004</v>
      </c>
      <c r="I73" s="45">
        <f t="shared" ca="1" si="17"/>
        <v>1.4974719783462687</v>
      </c>
      <c r="J73" s="45">
        <f t="shared" ca="1" si="18"/>
        <v>0.27952512346894071</v>
      </c>
      <c r="K73" s="45">
        <f t="shared" ca="1" si="24"/>
        <v>0.90345467800480783</v>
      </c>
      <c r="L73" s="358">
        <f t="shared" ca="1" si="19"/>
        <v>0.94386617178746435</v>
      </c>
      <c r="M73" s="76">
        <f t="shared" ca="1" si="62"/>
        <v>0.25347808785320641</v>
      </c>
      <c r="N73" s="45">
        <f t="shared" ca="1" si="63"/>
        <v>0.25</v>
      </c>
      <c r="O73" s="45">
        <f t="shared" ca="1" si="64"/>
        <v>0</v>
      </c>
      <c r="P73" s="46" t="str">
        <f t="shared" ca="1" si="59"/>
        <v/>
      </c>
      <c r="Q73" s="243" t="str">
        <f t="shared" ca="1" si="60"/>
        <v/>
      </c>
      <c r="R73" s="45">
        <f t="shared" ca="1" si="25"/>
        <v>0.11024777229552352</v>
      </c>
      <c r="S73" s="45">
        <f t="shared" ca="1" si="3"/>
        <v>5.0695617570641283E-2</v>
      </c>
      <c r="T73" s="77">
        <f t="shared" ca="1" si="4"/>
        <v>7.859464371856395E-2</v>
      </c>
      <c r="U73" s="45">
        <f t="shared" ca="1" si="26"/>
        <v>13.813233495161713</v>
      </c>
      <c r="V73" s="45">
        <f t="shared" ca="1" si="5"/>
        <v>0.20278247028256513</v>
      </c>
      <c r="W73" s="77">
        <f t="shared" ca="1" si="6"/>
        <v>0.50756320295518875</v>
      </c>
      <c r="X73" s="45">
        <f t="shared" ca="1" si="27"/>
        <v>0.70188435712372033</v>
      </c>
      <c r="Y73" s="45">
        <f t="shared" ca="1" si="7"/>
        <v>6.1079430163732219E-2</v>
      </c>
      <c r="Z73" s="77">
        <f t="shared" ca="1" si="8"/>
        <v>5.5491344024953759E-2</v>
      </c>
      <c r="AA73" s="45">
        <f t="shared" ca="1" si="28"/>
        <v>39.716250976198623</v>
      </c>
      <c r="AB73" s="45">
        <f t="shared" ca="1" si="9"/>
        <v>0</v>
      </c>
      <c r="AC73" s="45" cm="1">
        <f t="array" aca="1" ref="AC73" ca="1">pHUM*(T73+W73+Z73+AD73)</f>
        <v>7.1858153133802616E-2</v>
      </c>
      <c r="AD73" s="77">
        <f t="shared" ca="1" si="10"/>
        <v>9.8999695755810357E-2</v>
      </c>
      <c r="AE73" s="45">
        <f t="shared" ca="1" si="29"/>
        <v>6.3847072090583081</v>
      </c>
      <c r="AF73" s="45">
        <f t="shared" ca="1" si="11"/>
        <v>0</v>
      </c>
      <c r="AG73" s="76">
        <f t="shared" ca="1" si="12"/>
        <v>60.726323809837886</v>
      </c>
      <c r="AH73" s="45">
        <f t="shared" ca="1" si="13"/>
        <v>0.60771130315698207</v>
      </c>
      <c r="AI73" s="77">
        <f t="shared" ca="1" si="14"/>
        <v>9.9739648198039193E-3</v>
      </c>
      <c r="AJ73" s="384">
        <f t="shared" ca="1" si="23"/>
        <v>3.0020811171975748E-2</v>
      </c>
      <c r="AU73" s="1"/>
    </row>
    <row r="74" spans="2:47" x14ac:dyDescent="0.25">
      <c r="B74" s="44"/>
      <c r="C74" s="10">
        <f t="shared" si="30"/>
        <v>-2</v>
      </c>
      <c r="D74" s="91">
        <f t="shared" si="31"/>
        <v>8</v>
      </c>
      <c r="E74" s="278">
        <f t="shared" ca="1" si="15"/>
        <v>62.474999999999994</v>
      </c>
      <c r="F74" s="76">
        <f t="shared" ca="1" si="16"/>
        <v>21.44</v>
      </c>
      <c r="G74" s="46">
        <f t="shared" ref="G74" ca="1" si="87">MIN(MAX(G73+OFFSET(Rainfall,(C74+6)*12+D74,0)-OFFSET(PET,(C74+6)*12+D74,0),PWP),FC)</f>
        <v>27.012600000000003</v>
      </c>
      <c r="H74" s="46">
        <f t="shared" ca="1" si="0"/>
        <v>28.517550000000004</v>
      </c>
      <c r="I74" s="45">
        <f t="shared" ca="1" si="17"/>
        <v>1.3435367023118601</v>
      </c>
      <c r="J74" s="45">
        <f t="shared" ca="1" si="18"/>
        <v>0.27952512346894071</v>
      </c>
      <c r="K74" s="45">
        <f t="shared" ca="1" si="24"/>
        <v>0.90345467800480783</v>
      </c>
      <c r="L74" s="358">
        <f t="shared" ca="1" si="19"/>
        <v>0.92974340354114693</v>
      </c>
      <c r="M74" s="76">
        <f t="shared" ca="1" si="62"/>
        <v>0.25347808785320641</v>
      </c>
      <c r="N74" s="45">
        <f t="shared" ca="1" si="63"/>
        <v>0.25</v>
      </c>
      <c r="O74" s="45">
        <f t="shared" ca="1" si="64"/>
        <v>0</v>
      </c>
      <c r="P74" s="46" t="str">
        <f t="shared" ca="1" si="59"/>
        <v/>
      </c>
      <c r="Q74" s="243" t="str">
        <f t="shared" ca="1" si="60"/>
        <v/>
      </c>
      <c r="R74" s="45">
        <f t="shared" ca="1" si="25"/>
        <v>8.2348746147600849E-2</v>
      </c>
      <c r="S74" s="45">
        <f t="shared" ca="1" si="3"/>
        <v>5.0695617570641283E-2</v>
      </c>
      <c r="T74" s="77">
        <f t="shared" ca="1" si="4"/>
        <v>5.5469638646486401E-2</v>
      </c>
      <c r="U74" s="45">
        <f t="shared" ca="1" si="26"/>
        <v>13.508452762489091</v>
      </c>
      <c r="V74" s="45">
        <f t="shared" ca="1" si="5"/>
        <v>0.20278247028256513</v>
      </c>
      <c r="W74" s="77">
        <f t="shared" ca="1" si="6"/>
        <v>0.4461921596281001</v>
      </c>
      <c r="X74" s="45">
        <f t="shared" ca="1" si="27"/>
        <v>0.70747244326249881</v>
      </c>
      <c r="Y74" s="45">
        <f t="shared" ca="1" si="7"/>
        <v>5.2847524191934885E-2</v>
      </c>
      <c r="Z74" s="77">
        <f t="shared" ca="1" si="8"/>
        <v>5.0393505098720016E-2</v>
      </c>
      <c r="AA74" s="45">
        <f t="shared" ca="1" si="28"/>
        <v>39.689109433576618</v>
      </c>
      <c r="AB74" s="45">
        <f t="shared" ca="1" si="9"/>
        <v>0</v>
      </c>
      <c r="AC74" s="45" cm="1">
        <f t="array" aca="1" ref="AC74" ca="1">pHUM*(T74+W74+Z74+AD74)</f>
        <v>6.2173557872864577E-2</v>
      </c>
      <c r="AD74" s="77">
        <f t="shared" ca="1" si="10"/>
        <v>8.8773529503987716E-2</v>
      </c>
      <c r="AE74" s="45">
        <f t="shared" ca="1" si="29"/>
        <v>6.3847072090583081</v>
      </c>
      <c r="AF74" s="45">
        <f t="shared" ca="1" si="11"/>
        <v>0</v>
      </c>
      <c r="AG74" s="76">
        <f t="shared" ca="1" si="12"/>
        <v>60.372090594534114</v>
      </c>
      <c r="AH74" s="45">
        <f t="shared" ca="1" si="13"/>
        <v>0.52580775081249476</v>
      </c>
      <c r="AI74" s="77">
        <f t="shared" ca="1" si="14"/>
        <v>9.4724867592837127E-3</v>
      </c>
      <c r="AJ74" s="384">
        <f t="shared" ca="1" si="23"/>
        <v>2.80848478507989E-2</v>
      </c>
      <c r="AU74" s="1"/>
    </row>
    <row r="75" spans="2:47" x14ac:dyDescent="0.25">
      <c r="B75" s="44"/>
      <c r="C75" s="10">
        <f t="shared" si="30"/>
        <v>-2</v>
      </c>
      <c r="D75" s="91">
        <f t="shared" si="31"/>
        <v>9</v>
      </c>
      <c r="E75" s="278">
        <f t="shared" ca="1" si="15"/>
        <v>-999</v>
      </c>
      <c r="F75" s="76">
        <f t="shared" ca="1" si="16"/>
        <v>18.170000000000002</v>
      </c>
      <c r="G75" s="46">
        <f t="shared" ref="G75" ca="1" si="88">MIN(MAX(G74+OFFSET(Rainfall,(C75+6)*12+D75,0)-OFFSET(PET,(C75+6)*12+D75,0),PWP),FC)</f>
        <v>27.012600000000003</v>
      </c>
      <c r="H75" s="46">
        <f t="shared" ca="1" si="0"/>
        <v>28.517550000000004</v>
      </c>
      <c r="I75" s="45">
        <f t="shared" ca="1" si="17"/>
        <v>1.0719924961306306</v>
      </c>
      <c r="J75" s="45">
        <f t="shared" ca="1" si="18"/>
        <v>0.27952512346894071</v>
      </c>
      <c r="K75" s="45">
        <f t="shared" ca="1" si="24"/>
        <v>0.90345467800480783</v>
      </c>
      <c r="L75" s="358">
        <f t="shared" ca="1" si="19"/>
        <v>0.89315713944333464</v>
      </c>
      <c r="M75" s="76">
        <f t="shared" ca="1" si="62"/>
        <v>0.25347808785320641</v>
      </c>
      <c r="N75" s="45">
        <f t="shared" ca="1" si="63"/>
        <v>0.25</v>
      </c>
      <c r="O75" s="45">
        <f t="shared" ca="1" si="64"/>
        <v>0</v>
      </c>
      <c r="P75" s="46" t="str">
        <f t="shared" ca="1" si="59"/>
        <v/>
      </c>
      <c r="Q75" s="243" t="str">
        <f t="shared" ca="1" si="60"/>
        <v/>
      </c>
      <c r="R75" s="45">
        <f t="shared" ca="1" si="25"/>
        <v>7.7574725071755724E-2</v>
      </c>
      <c r="S75" s="45">
        <f t="shared" ca="1" si="3"/>
        <v>5.0695617570641283E-2</v>
      </c>
      <c r="T75" s="77">
        <f t="shared" ca="1" si="4"/>
        <v>4.5824030982210273E-2</v>
      </c>
      <c r="U75" s="45">
        <f t="shared" ca="1" si="26"/>
        <v>13.265043073143556</v>
      </c>
      <c r="V75" s="45">
        <f t="shared" ca="1" si="5"/>
        <v>0.20278247028256513</v>
      </c>
      <c r="W75" s="77">
        <f t="shared" ca="1" si="6"/>
        <v>0.35077926191155023</v>
      </c>
      <c r="X75" s="45">
        <f t="shared" ca="1" si="27"/>
        <v>0.70992646235571366</v>
      </c>
      <c r="Y75" s="45">
        <f t="shared" ca="1" si="7"/>
        <v>4.1897603707307572E-2</v>
      </c>
      <c r="Z75" s="77">
        <f t="shared" ca="1" si="8"/>
        <v>4.0646933834372199E-2</v>
      </c>
      <c r="AA75" s="45">
        <f t="shared" ca="1" si="28"/>
        <v>39.662509461945497</v>
      </c>
      <c r="AB75" s="45">
        <f t="shared" ca="1" si="9"/>
        <v>0</v>
      </c>
      <c r="AC75" s="45" cm="1">
        <f t="array" aca="1" ref="AC75" ca="1">pHUM*(T75+W75+Z75+AD75)</f>
        <v>4.9291298479185376E-2</v>
      </c>
      <c r="AD75" s="77">
        <f t="shared" ca="1" si="10"/>
        <v>7.079992121440401E-2</v>
      </c>
      <c r="AE75" s="45">
        <f t="shared" ca="1" si="29"/>
        <v>6.3847072090583081</v>
      </c>
      <c r="AF75" s="45">
        <f t="shared" ca="1" si="11"/>
        <v>0</v>
      </c>
      <c r="AG75" s="76">
        <f t="shared" ca="1" si="12"/>
        <v>60.099760931574828</v>
      </c>
      <c r="AH75" s="45">
        <f t="shared" ca="1" si="13"/>
        <v>0.41686124575604377</v>
      </c>
      <c r="AI75" s="77">
        <f t="shared" ca="1" si="14"/>
        <v>9.3348472015211577E-3</v>
      </c>
      <c r="AJ75" s="384">
        <f t="shared" ca="1" si="23"/>
        <v>2.658769351475021E-2</v>
      </c>
      <c r="AU75" s="1"/>
    </row>
    <row r="76" spans="2:47" x14ac:dyDescent="0.25">
      <c r="B76" s="44"/>
      <c r="C76" s="10">
        <f t="shared" si="30"/>
        <v>-2</v>
      </c>
      <c r="D76" s="91">
        <f t="shared" si="31"/>
        <v>10</v>
      </c>
      <c r="E76" s="278">
        <f t="shared" ca="1" si="15"/>
        <v>-999</v>
      </c>
      <c r="F76" s="76">
        <f t="shared" ca="1" si="16"/>
        <v>9.44</v>
      </c>
      <c r="G76" s="46">
        <f t="shared" ref="G76" ca="1" si="89">MIN(MAX(G75+OFFSET(Rainfall,(C76+6)*12+D76,0)-OFFSET(PET,(C76+6)*12+D76,0),PWP),FC)</f>
        <v>55.530150000000006</v>
      </c>
      <c r="H76" s="46">
        <f t="shared" ca="1" si="0"/>
        <v>0</v>
      </c>
      <c r="I76" s="45">
        <f t="shared" ca="1" si="17"/>
        <v>0.70178638703023</v>
      </c>
      <c r="J76" s="45">
        <f t="shared" ca="1" si="18"/>
        <v>0.29595601705647312</v>
      </c>
      <c r="K76" s="45">
        <f t="shared" ca="1" si="24"/>
        <v>0.95656105889548582</v>
      </c>
      <c r="L76" s="358">
        <f t="shared" ca="1" si="19"/>
        <v>0.69825004459838791</v>
      </c>
      <c r="M76" s="76">
        <f t="shared" ca="1" si="62"/>
        <v>0.25347808785320641</v>
      </c>
      <c r="N76" s="45">
        <f t="shared" ca="1" si="63"/>
        <v>0.25</v>
      </c>
      <c r="O76" s="45">
        <f t="shared" ca="1" si="64"/>
        <v>0</v>
      </c>
      <c r="P76" s="46" t="str">
        <f t="shared" ca="1" si="59"/>
        <v/>
      </c>
      <c r="Q76" s="243" t="str">
        <f t="shared" ca="1" si="60"/>
        <v/>
      </c>
      <c r="R76" s="45">
        <f t="shared" ca="1" si="25"/>
        <v>8.2446311660186733E-2</v>
      </c>
      <c r="S76" s="45">
        <f t="shared" ca="1" si="3"/>
        <v>5.0695617570641283E-2</v>
      </c>
      <c r="T76" s="77">
        <f t="shared" ca="1" si="4"/>
        <v>3.6506811149710591E-2</v>
      </c>
      <c r="U76" s="45">
        <f t="shared" ca="1" si="26"/>
        <v>13.117046281514572</v>
      </c>
      <c r="V76" s="45">
        <f t="shared" ca="1" si="5"/>
        <v>0.20278247028256513</v>
      </c>
      <c r="W76" s="77">
        <f t="shared" ca="1" si="6"/>
        <v>0.22812705546910084</v>
      </c>
      <c r="X76" s="45">
        <f t="shared" ca="1" si="27"/>
        <v>0.71117713222864898</v>
      </c>
      <c r="Y76" s="45">
        <f t="shared" ca="1" si="7"/>
        <v>2.7865737129418054E-2</v>
      </c>
      <c r="Z76" s="77">
        <f t="shared" ca="1" si="8"/>
        <v>2.6927179653289241E-2</v>
      </c>
      <c r="AA76" s="45">
        <f t="shared" ca="1" si="28"/>
        <v>39.641000839210278</v>
      </c>
      <c r="AB76" s="45">
        <f t="shared" ca="1" si="9"/>
        <v>0</v>
      </c>
      <c r="AC76" s="45" cm="1">
        <f t="array" aca="1" ref="AC76" ca="1">pHUM*(T76+W76+Z76+AD76)</f>
        <v>3.2783220152256536E-2</v>
      </c>
      <c r="AD76" s="77">
        <f t="shared" ca="1" si="10"/>
        <v>4.6338752724266574E-2</v>
      </c>
      <c r="AE76" s="45">
        <f t="shared" ca="1" si="29"/>
        <v>6.3847072090583081</v>
      </c>
      <c r="AF76" s="45">
        <f t="shared" ca="1" si="11"/>
        <v>0</v>
      </c>
      <c r="AG76" s="76">
        <f t="shared" ca="1" si="12"/>
        <v>59.936377773671992</v>
      </c>
      <c r="AH76" s="45">
        <f t="shared" ca="1" si="13"/>
        <v>0.27725084171469266</v>
      </c>
      <c r="AI76" s="77">
        <f t="shared" ca="1" si="14"/>
        <v>9.3706599340128236E-3</v>
      </c>
      <c r="AJ76" s="384">
        <f t="shared" ca="1" si="23"/>
        <v>2.2091992838507712E-2</v>
      </c>
      <c r="AU76" s="1"/>
    </row>
    <row r="77" spans="2:47" x14ac:dyDescent="0.25">
      <c r="B77" s="44"/>
      <c r="C77" s="10">
        <f t="shared" si="30"/>
        <v>-2</v>
      </c>
      <c r="D77" s="91">
        <f t="shared" si="31"/>
        <v>11</v>
      </c>
      <c r="E77" s="278">
        <f t="shared" ca="1" si="15"/>
        <v>-999</v>
      </c>
      <c r="F77" s="76">
        <f t="shared" ca="1" si="16"/>
        <v>2.89</v>
      </c>
      <c r="G77" s="46">
        <f t="shared" ref="G77" ca="1" si="90">MIN(MAX(G76+OFFSET(Rainfall,(C77+6)*12+D77,0)-OFFSET(PET,(C77+6)*12+D77,0),PWP),FC)</f>
        <v>55.530150000000006</v>
      </c>
      <c r="H77" s="46">
        <f t="shared" ca="1" si="0"/>
        <v>0</v>
      </c>
      <c r="I77" s="45">
        <f t="shared" ca="1" si="17"/>
        <v>0.21783496634065944</v>
      </c>
      <c r="J77" s="45">
        <f t="shared" ca="1" si="18"/>
        <v>0.29595601705647312</v>
      </c>
      <c r="K77" s="45">
        <f t="shared" ca="1" si="24"/>
        <v>0.95656105889548582</v>
      </c>
      <c r="L77" s="358">
        <f t="shared" ca="1" si="19"/>
        <v>0.46586136844560522</v>
      </c>
      <c r="M77" s="76">
        <f t="shared" ca="1" si="62"/>
        <v>0.25347808785320641</v>
      </c>
      <c r="N77" s="45">
        <f t="shared" ca="1" si="63"/>
        <v>0.25</v>
      </c>
      <c r="O77" s="45">
        <f t="shared" ca="1" si="64"/>
        <v>0</v>
      </c>
      <c r="P77" s="46" t="str">
        <f t="shared" ca="1" si="59"/>
        <v/>
      </c>
      <c r="Q77" s="243" t="str">
        <f t="shared" ca="1" si="60"/>
        <v/>
      </c>
      <c r="R77" s="45">
        <f t="shared" ca="1" si="25"/>
        <v>9.6635118081117424E-2</v>
      </c>
      <c r="S77" s="45">
        <f t="shared" ca="1" si="3"/>
        <v>5.0695617570641283E-2</v>
      </c>
      <c r="T77" s="77">
        <f t="shared" ca="1" si="4"/>
        <v>1.6042014870208531E-2</v>
      </c>
      <c r="U77" s="45">
        <f t="shared" ca="1" si="26"/>
        <v>13.091701696328037</v>
      </c>
      <c r="V77" s="45">
        <f t="shared" ca="1" si="5"/>
        <v>0.20278247028256513</v>
      </c>
      <c r="W77" s="77">
        <f t="shared" ca="1" si="6"/>
        <v>7.1101978020919651E-2</v>
      </c>
      <c r="X77" s="45">
        <f t="shared" ca="1" si="27"/>
        <v>0.71211568970477779</v>
      </c>
      <c r="Y77" s="45">
        <f t="shared" ca="1" si="7"/>
        <v>9.0721914161767548E-3</v>
      </c>
      <c r="Z77" s="77">
        <f t="shared" ca="1" si="8"/>
        <v>8.4808974140812583E-3</v>
      </c>
      <c r="AA77" s="45">
        <f t="shared" ca="1" si="28"/>
        <v>39.627445306638265</v>
      </c>
      <c r="AB77" s="45">
        <f t="shared" ca="1" si="9"/>
        <v>0</v>
      </c>
      <c r="AC77" s="45" cm="1">
        <f t="array" aca="1" ref="AC77" ca="1">pHUM*(T77+W77+Z77+AD77)</f>
        <v>1.0673166371972652E-2</v>
      </c>
      <c r="AD77" s="77">
        <f t="shared" ca="1" si="10"/>
        <v>1.4384460667474244E-2</v>
      </c>
      <c r="AE77" s="45">
        <f t="shared" ca="1" si="29"/>
        <v>6.3847072090583081</v>
      </c>
      <c r="AF77" s="45">
        <f t="shared" ca="1" si="11"/>
        <v>0</v>
      </c>
      <c r="AG77" s="76">
        <f t="shared" ca="1" si="12"/>
        <v>59.912605019810499</v>
      </c>
      <c r="AH77" s="45">
        <f t="shared" ca="1" si="13"/>
        <v>9.0263993184534277E-2</v>
      </c>
      <c r="AI77" s="77">
        <f t="shared" ca="1" si="14"/>
        <v>9.5844210882542521E-3</v>
      </c>
      <c r="AJ77" s="384">
        <f t="shared" ca="1" si="23"/>
        <v>1.5075759585123638E-2</v>
      </c>
      <c r="AU77" s="1"/>
    </row>
    <row r="78" spans="2:47" x14ac:dyDescent="0.25">
      <c r="B78" s="44"/>
      <c r="C78" s="10">
        <f t="shared" si="30"/>
        <v>-2</v>
      </c>
      <c r="D78" s="91">
        <f t="shared" si="31"/>
        <v>12</v>
      </c>
      <c r="E78" s="278">
        <f t="shared" ca="1" si="15"/>
        <v>-999</v>
      </c>
      <c r="F78" s="76">
        <f t="shared" ca="1" si="16"/>
        <v>-4.5199999999999996</v>
      </c>
      <c r="G78" s="46">
        <f t="shared" ref="G78" ca="1" si="91">MIN(MAX(G77+OFFSET(Rainfall,(C78+6)*12+D78,0)-OFFSET(PET,(C78+6)*12+D78,0),PWP),FC)</f>
        <v>55.530150000000006</v>
      </c>
      <c r="H78" s="46">
        <f t="shared" ca="1" si="0"/>
        <v>0</v>
      </c>
      <c r="I78" s="45">
        <f t="shared" ca="1" si="17"/>
        <v>1.4713382672152067E-2</v>
      </c>
      <c r="J78" s="45">
        <f t="shared" ca="1" si="18"/>
        <v>0.29595601705647312</v>
      </c>
      <c r="K78" s="45">
        <f t="shared" ca="1" si="24"/>
        <v>0.95656105889548582</v>
      </c>
      <c r="L78" s="358">
        <f t="shared" ca="1" si="19"/>
        <v>0.22404143180011471</v>
      </c>
      <c r="M78" s="76">
        <f t="shared" ca="1" si="62"/>
        <v>0.25347808785320641</v>
      </c>
      <c r="N78" s="45">
        <f t="shared" ca="1" si="63"/>
        <v>0.25</v>
      </c>
      <c r="O78" s="45">
        <f t="shared" ca="1" si="64"/>
        <v>0</v>
      </c>
      <c r="P78" s="46" t="str">
        <f t="shared" ca="1" si="59"/>
        <v/>
      </c>
      <c r="Q78" s="243" t="str">
        <f t="shared" ca="1" si="60"/>
        <v/>
      </c>
      <c r="R78" s="45">
        <f t="shared" ca="1" si="25"/>
        <v>0.13128872078155016</v>
      </c>
      <c r="S78" s="45">
        <f t="shared" ca="1" si="3"/>
        <v>5.0695617570641283E-2</v>
      </c>
      <c r="T78" s="77">
        <f t="shared" ca="1" si="4"/>
        <v>1.5999225007378506E-3</v>
      </c>
      <c r="U78" s="45">
        <f t="shared" ca="1" si="26"/>
        <v>13.223382188589683</v>
      </c>
      <c r="V78" s="45">
        <f t="shared" ca="1" si="5"/>
        <v>0.20278247028256513</v>
      </c>
      <c r="W78" s="77">
        <f t="shared" ca="1" si="6"/>
        <v>4.8631225918922072E-3</v>
      </c>
      <c r="X78" s="45">
        <f t="shared" ca="1" si="27"/>
        <v>0.71270698370687324</v>
      </c>
      <c r="Y78" s="45">
        <f t="shared" ca="1" si="7"/>
        <v>6.6066439049572781E-4</v>
      </c>
      <c r="Z78" s="77">
        <f t="shared" ca="1" si="8"/>
        <v>5.7651488236799299E-4</v>
      </c>
      <c r="AA78" s="45">
        <f t="shared" ca="1" si="28"/>
        <v>39.623734012342766</v>
      </c>
      <c r="AB78" s="45">
        <f t="shared" ca="1" si="9"/>
        <v>0</v>
      </c>
      <c r="AC78" s="45" cm="1">
        <f t="array" aca="1" ref="AC78" ca="1">pHUM*(T78+W78+Z78+AD78)</f>
        <v>7.7725222411262091E-4</v>
      </c>
      <c r="AD78" s="77">
        <f t="shared" ca="1" si="10"/>
        <v>9.7165335540007358E-4</v>
      </c>
      <c r="AE78" s="45">
        <f t="shared" ca="1" si="29"/>
        <v>6.3847072090583081</v>
      </c>
      <c r="AF78" s="45">
        <f t="shared" ca="1" si="11"/>
        <v>0</v>
      </c>
      <c r="AG78" s="76">
        <f t="shared" ca="1" si="12"/>
        <v>60.075819114479174</v>
      </c>
      <c r="AH78" s="45">
        <f t="shared" ca="1" si="13"/>
        <v>6.5732967157897775E-3</v>
      </c>
      <c r="AI78" s="77">
        <f t="shared" ca="1" si="14"/>
        <v>1.0154944523858293E-2</v>
      </c>
      <c r="AJ78" s="384">
        <f t="shared" ca="1" si="23"/>
        <v>7.6818450554816398E-3</v>
      </c>
      <c r="AU78" s="1"/>
    </row>
    <row r="79" spans="2:47" x14ac:dyDescent="0.25">
      <c r="B79" s="44"/>
      <c r="C79" s="10">
        <f t="shared" si="30"/>
        <v>-1</v>
      </c>
      <c r="D79" s="91">
        <f t="shared" si="31"/>
        <v>1</v>
      </c>
      <c r="E79" s="278">
        <f t="shared" ca="1" si="15"/>
        <v>-999</v>
      </c>
      <c r="F79" s="76">
        <f t="shared" ca="1" si="16"/>
        <v>-8.01</v>
      </c>
      <c r="G79" s="46">
        <f t="shared" ref="G79" ca="1" si="92">MIN(MAX(G78+OFFSET(Rainfall,(C79+6)*12+D79,0)-OFFSET(PET,(C79+6)*12+D79,0),PWP),FC)</f>
        <v>55.530150000000006</v>
      </c>
      <c r="H79" s="46">
        <f t="shared" ca="1" si="0"/>
        <v>0</v>
      </c>
      <c r="I79" s="45">
        <f t="shared" ca="1" si="17"/>
        <v>1.0675799035267219E-3</v>
      </c>
      <c r="J79" s="45">
        <f t="shared" ca="1" si="18"/>
        <v>0.29595601705647312</v>
      </c>
      <c r="K79" s="45">
        <f t="shared" ca="1" si="24"/>
        <v>0.95656105889548582</v>
      </c>
      <c r="L79" s="358">
        <f t="shared" ca="1" si="19"/>
        <v>0.14640344477552425</v>
      </c>
      <c r="M79" s="76">
        <f t="shared" ca="1" si="62"/>
        <v>0.25347808785320641</v>
      </c>
      <c r="N79" s="45">
        <f t="shared" ca="1" si="63"/>
        <v>0.25</v>
      </c>
      <c r="O79" s="45">
        <f t="shared" ca="1" si="64"/>
        <v>0</v>
      </c>
      <c r="P79" s="46" t="str">
        <f t="shared" ca="1" si="59"/>
        <v/>
      </c>
      <c r="Q79" s="243" t="str">
        <f t="shared" ca="1" si="60"/>
        <v/>
      </c>
      <c r="R79" s="45">
        <f t="shared" ca="1" si="25"/>
        <v>0.18038441585145359</v>
      </c>
      <c r="S79" s="45">
        <f t="shared" ca="1" si="3"/>
        <v>5.0695617570641283E-2</v>
      </c>
      <c r="T79" s="77">
        <f t="shared" ca="1" si="4"/>
        <v>1.6040761716857519E-4</v>
      </c>
      <c r="U79" s="45">
        <f t="shared" ca="1" si="26"/>
        <v>13.421301536280357</v>
      </c>
      <c r="V79" s="45">
        <f t="shared" ca="1" si="5"/>
        <v>0.20278247028256513</v>
      </c>
      <c r="W79" s="77">
        <f t="shared" ca="1" si="6"/>
        <v>3.5820301483180112E-4</v>
      </c>
      <c r="X79" s="45">
        <f t="shared" ca="1" si="27"/>
        <v>0.71279113321500098</v>
      </c>
      <c r="Y79" s="45">
        <f t="shared" ca="1" si="7"/>
        <v>5.2034027859988652E-5</v>
      </c>
      <c r="Z79" s="77">
        <f t="shared" ca="1" si="8"/>
        <v>4.1851653196197126E-5</v>
      </c>
      <c r="AA79" s="45">
        <f t="shared" ca="1" si="28"/>
        <v>39.623539611211477</v>
      </c>
      <c r="AB79" s="45">
        <f t="shared" ca="1" si="9"/>
        <v>0</v>
      </c>
      <c r="AC79" s="45" cm="1">
        <f t="array" aca="1" ref="AC79" ca="1">pHUM*(T79+W79+Z79+AD79)</f>
        <v>6.121650336469253E-5</v>
      </c>
      <c r="AD79" s="77">
        <f t="shared" ca="1" si="10"/>
        <v>7.0502094938190512E-5</v>
      </c>
      <c r="AE79" s="45">
        <f t="shared" ca="1" si="29"/>
        <v>6.3847072090583081</v>
      </c>
      <c r="AF79" s="45">
        <f t="shared" ca="1" si="11"/>
        <v>0</v>
      </c>
      <c r="AG79" s="76">
        <f t="shared" ca="1" si="12"/>
        <v>60.322723905616591</v>
      </c>
      <c r="AH79" s="45">
        <f t="shared" ca="1" si="13"/>
        <v>5.1771384891008279E-4</v>
      </c>
      <c r="AI79" s="77">
        <f t="shared" ca="1" si="14"/>
        <v>1.0958794300639932E-2</v>
      </c>
      <c r="AJ79" s="384">
        <f t="shared" ca="1" si="23"/>
        <v>5.4171972204419827E-3</v>
      </c>
      <c r="AU79" s="1"/>
    </row>
    <row r="80" spans="2:47" x14ac:dyDescent="0.25">
      <c r="B80" s="44"/>
      <c r="C80" s="10">
        <f t="shared" si="30"/>
        <v>-1</v>
      </c>
      <c r="D80" s="91">
        <f t="shared" si="31"/>
        <v>2</v>
      </c>
      <c r="E80" s="278">
        <f t="shared" ca="1" si="15"/>
        <v>-999</v>
      </c>
      <c r="F80" s="76">
        <f t="shared" ca="1" si="16"/>
        <v>-6.74</v>
      </c>
      <c r="G80" s="46">
        <f t="shared" ref="G80" ca="1" si="93">MIN(MAX(G79+OFFSET(Rainfall,(C80+6)*12+D80,0)-OFFSET(PET,(C80+6)*12+D80,0),PWP),FC)</f>
        <v>55.530150000000006</v>
      </c>
      <c r="H80" s="46">
        <f t="shared" ca="1" si="0"/>
        <v>0</v>
      </c>
      <c r="I80" s="45">
        <f t="shared" ca="1" si="17"/>
        <v>3.3332413078107632E-3</v>
      </c>
      <c r="J80" s="45">
        <f t="shared" ca="1" si="18"/>
        <v>0.29595601705647312</v>
      </c>
      <c r="K80" s="45">
        <f t="shared" ca="1" si="24"/>
        <v>0.95656105889548582</v>
      </c>
      <c r="L80" s="358">
        <f t="shared" ca="1" si="19"/>
        <v>0.17170934881963418</v>
      </c>
      <c r="M80" s="76">
        <f t="shared" ca="1" si="62"/>
        <v>0.25347808785320641</v>
      </c>
      <c r="N80" s="45">
        <f t="shared" ca="1" si="63"/>
        <v>0.25</v>
      </c>
      <c r="O80" s="45">
        <f t="shared" ca="1" si="64"/>
        <v>0</v>
      </c>
      <c r="P80" s="46" t="str">
        <f t="shared" ca="1" si="59"/>
        <v/>
      </c>
      <c r="Q80" s="243" t="str">
        <f t="shared" ca="1" si="60"/>
        <v/>
      </c>
      <c r="R80" s="45">
        <f t="shared" ca="1" si="25"/>
        <v>0.23091962580492631</v>
      </c>
      <c r="S80" s="45">
        <f t="shared" ca="1" si="3"/>
        <v>5.0695617570641283E-2</v>
      </c>
      <c r="T80" s="77">
        <f t="shared" ca="1" si="4"/>
        <v>6.4053567609723768E-4</v>
      </c>
      <c r="U80" s="45">
        <f t="shared" ca="1" si="26"/>
        <v>13.623725803548091</v>
      </c>
      <c r="V80" s="45">
        <f t="shared" ca="1" si="5"/>
        <v>0.20278247028256513</v>
      </c>
      <c r="W80" s="77">
        <f t="shared" ca="1" si="6"/>
        <v>1.135231839689588E-3</v>
      </c>
      <c r="X80" s="45">
        <f t="shared" ca="1" si="27"/>
        <v>0.71280131558966486</v>
      </c>
      <c r="Y80" s="45">
        <f t="shared" ca="1" si="7"/>
        <v>1.7537168245647597E-4</v>
      </c>
      <c r="Z80" s="77">
        <f t="shared" ca="1" si="8"/>
        <v>1.3066465578746996E-4</v>
      </c>
      <c r="AA80" s="45">
        <f t="shared" ca="1" si="28"/>
        <v>39.623530325619903</v>
      </c>
      <c r="AB80" s="45">
        <f t="shared" ca="1" si="9"/>
        <v>0</v>
      </c>
      <c r="AC80" s="45" cm="1">
        <f t="array" aca="1" ref="AC80" ca="1">pHUM*(T80+W80+Z80+AD80)</f>
        <v>2.0631962641938349E-4</v>
      </c>
      <c r="AD80" s="77">
        <f t="shared" ca="1" si="10"/>
        <v>2.2012403530023299E-4</v>
      </c>
      <c r="AE80" s="45">
        <f t="shared" ca="1" si="29"/>
        <v>6.3847072090583081</v>
      </c>
      <c r="AF80" s="45">
        <f t="shared" ca="1" si="11"/>
        <v>0</v>
      </c>
      <c r="AG80" s="76">
        <f t="shared" ca="1" si="12"/>
        <v>60.575684279620887</v>
      </c>
      <c r="AH80" s="45">
        <f t="shared" ca="1" si="13"/>
        <v>1.7448648979986694E-3</v>
      </c>
      <c r="AI80" s="77">
        <f t="shared" ca="1" si="14"/>
        <v>1.1778149992175061E-2</v>
      </c>
      <c r="AJ80" s="384">
        <f t="shared" ca="1" si="23"/>
        <v>6.8285897194908518E-3</v>
      </c>
      <c r="AU80" s="1"/>
    </row>
    <row r="81" spans="2:47" x14ac:dyDescent="0.25">
      <c r="B81" s="44"/>
      <c r="C81" s="10">
        <f t="shared" si="30"/>
        <v>-1</v>
      </c>
      <c r="D81" s="91">
        <f t="shared" si="31"/>
        <v>3</v>
      </c>
      <c r="E81" s="278">
        <f t="shared" ca="1" si="15"/>
        <v>-999</v>
      </c>
      <c r="F81" s="76">
        <f t="shared" ca="1" si="16"/>
        <v>-0.57999999999999996</v>
      </c>
      <c r="G81" s="46">
        <f t="shared" ref="G81" ca="1" si="94">MIN(MAX(G80+OFFSET(Rainfall,(C81+6)*12+D81,0)-OFFSET(PET,(C81+6)*12+D81,0),PWP),FC)</f>
        <v>55.530150000000006</v>
      </c>
      <c r="H81" s="46">
        <f t="shared" ca="1" si="0"/>
        <v>0</v>
      </c>
      <c r="I81" s="45">
        <f t="shared" ca="1" si="17"/>
        <v>8.1834107856600266E-2</v>
      </c>
      <c r="J81" s="45">
        <f t="shared" ca="1" si="18"/>
        <v>0.29595601705647312</v>
      </c>
      <c r="K81" s="45">
        <f t="shared" ca="1" si="24"/>
        <v>0.95656105889548582</v>
      </c>
      <c r="L81" s="358">
        <f t="shared" ca="1" si="19"/>
        <v>0.34200470507454295</v>
      </c>
      <c r="M81" s="76">
        <f t="shared" ca="1" si="62"/>
        <v>0.25347808785320641</v>
      </c>
      <c r="N81" s="45">
        <f t="shared" ca="1" si="63"/>
        <v>0.25</v>
      </c>
      <c r="O81" s="45">
        <f t="shared" ca="1" si="64"/>
        <v>0</v>
      </c>
      <c r="P81" s="46" t="str">
        <f t="shared" ca="1" si="59"/>
        <v/>
      </c>
      <c r="Q81" s="243" t="str">
        <f t="shared" ca="1" si="60"/>
        <v/>
      </c>
      <c r="R81" s="45">
        <f t="shared" ca="1" si="25"/>
        <v>0.28097470769947036</v>
      </c>
      <c r="S81" s="45">
        <f t="shared" ca="1" si="3"/>
        <v>5.0695617570641283E-2</v>
      </c>
      <c r="T81" s="77">
        <f t="shared" ca="1" si="4"/>
        <v>1.8522351014647911E-2</v>
      </c>
      <c r="U81" s="45">
        <f t="shared" ca="1" si="26"/>
        <v>13.825373041990966</v>
      </c>
      <c r="V81" s="45">
        <f t="shared" ca="1" si="5"/>
        <v>0.20278247028256513</v>
      </c>
      <c r="W81" s="77">
        <f t="shared" ca="1" si="6"/>
        <v>2.8255763296729675E-2</v>
      </c>
      <c r="X81" s="45">
        <f t="shared" ca="1" si="27"/>
        <v>0.7128460226163339</v>
      </c>
      <c r="Y81" s="45">
        <f t="shared" ca="1" si="7"/>
        <v>4.5673138290606491E-3</v>
      </c>
      <c r="Z81" s="77">
        <f t="shared" ca="1" si="8"/>
        <v>3.2012219509167579E-3</v>
      </c>
      <c r="AA81" s="45">
        <f t="shared" ca="1" si="28"/>
        <v>39.623516521211023</v>
      </c>
      <c r="AB81" s="45">
        <f t="shared" ca="1" si="9"/>
        <v>0</v>
      </c>
      <c r="AC81" s="45" cm="1">
        <f t="array" aca="1" ref="AC81" ca="1">pHUM*(T81+W81+Z81+AD81)</f>
        <v>5.3733103871301761E-3</v>
      </c>
      <c r="AD81" s="77">
        <f t="shared" ca="1" si="10"/>
        <v>5.4038900139506537E-3</v>
      </c>
      <c r="AE81" s="45">
        <f t="shared" ca="1" si="29"/>
        <v>6.3847072090583081</v>
      </c>
      <c r="AF81" s="45">
        <f t="shared" ca="1" si="11"/>
        <v>0</v>
      </c>
      <c r="AG81" s="76">
        <f t="shared" ca="1" si="12"/>
        <v>60.827417502576097</v>
      </c>
      <c r="AH81" s="45">
        <f t="shared" ca="1" si="13"/>
        <v>4.5442602060054182E-2</v>
      </c>
      <c r="AI81" s="77">
        <f t="shared" ca="1" si="14"/>
        <v>1.258250438951442E-2</v>
      </c>
      <c r="AJ81" s="384">
        <f t="shared" ca="1" si="23"/>
        <v>1.4529678814777514E-2</v>
      </c>
      <c r="AU81" s="1"/>
    </row>
    <row r="82" spans="2:47" x14ac:dyDescent="0.25">
      <c r="B82" s="44"/>
      <c r="C82" s="10">
        <f t="shared" si="30"/>
        <v>-1</v>
      </c>
      <c r="D82" s="91">
        <f t="shared" si="31"/>
        <v>4</v>
      </c>
      <c r="E82" s="278">
        <f t="shared" ca="1" si="15"/>
        <v>-999</v>
      </c>
      <c r="F82" s="76">
        <f t="shared" ca="1" si="16"/>
        <v>7.18</v>
      </c>
      <c r="G82" s="46">
        <f t="shared" ref="G82" ca="1" si="95">MIN(MAX(G81+OFFSET(Rainfall,(C82+6)*12+D82,0)-OFFSET(PET,(C82+6)*12+D82,0),PWP),FC)</f>
        <v>55.530150000000006</v>
      </c>
      <c r="H82" s="46">
        <f t="shared" ref="H82:H145" ca="1" si="96">FC-G82</f>
        <v>0</v>
      </c>
      <c r="I82" s="45">
        <f t="shared" ref="I82:I145" ca="1" si="97">PRODUCT(47.91/(1+EXP(106.06/(F82+18.27))), IF(IF(H82&lt;=0,1-((1-RM_PWP)*(G82-FC)/(WSAT-FC)),IF(H82&lt;=Wat1bar,1,1-((1-RM_PWP)*(H82-Wat1bar)/(FC-Wat1bar))))&lt;=RM_PWP,RM_PWP,IF(H82&lt;=0,1-((1-RM_PWP)*(G82-FC)/(WSAT-FC)),IF(H82&lt;=Wat1bar,1,1-((1-RM_PWP)*(H82-Wat1bar)/(FC-Wat1bar))))),0.56+(ATAN(3.14*0.45*(SoilpH-5)))/3.14,EXP(-0.09*SoilSal))</f>
        <v>0.50265183345262821</v>
      </c>
      <c r="J82" s="45">
        <f t="shared" ref="J82:J145" ca="1" si="98">POWER(((G82/150)-$J$9),$M$9)*POWER(($L$9-(G82/150)),$N$9)</f>
        <v>0.29595601705647312</v>
      </c>
      <c r="K82" s="45">
        <f t="shared" ca="1" si="24"/>
        <v>0.95656105889548582</v>
      </c>
      <c r="L82" s="358">
        <f t="shared" ref="L82:L145" ca="1" si="99">1/(1+EXP(-(F82-3.8)/6.7))+1/(1+EXP((F82-62.2)/7.1))-1</f>
        <v>0.62308014794471589</v>
      </c>
      <c r="M82" s="76">
        <f t="shared" ca="1" si="62"/>
        <v>0.25347808785320641</v>
      </c>
      <c r="N82" s="45">
        <f t="shared" ca="1" si="63"/>
        <v>0.25</v>
      </c>
      <c r="O82" s="45">
        <f t="shared" ca="1" si="64"/>
        <v>0</v>
      </c>
      <c r="P82" s="46" t="str">
        <f t="shared" ref="P82:P113" ca="1" si="100">IF(O82&gt;0,OFFSET(OW_DPMtoHUM,0,MATCH(OFFSET(OWType,C82+6+1,0),OW_Types,0)),IF(O82&gt;0,OFFSET(OW_DPMtoHUM,0,MATCH(OFFSET(OWType2,C82+6+1,0),OW_Types,0)),""))</f>
        <v/>
      </c>
      <c r="Q82" s="243" t="str">
        <f t="shared" ref="Q82:Q113" ca="1" si="101">IF(O82&gt;0,OFFSET(OW_pIOM,0,MATCH(OFFSET(OWType,C82+6+1,0),OW_Types,0)),IF(O82&gt;0,OFFSET(OW_pIOM,0,MATCH(OFFSET(OWType2,C82+6+1,0),OW_Types,0)),""))</f>
        <v/>
      </c>
      <c r="R82" s="45">
        <f t="shared" ca="1" si="25"/>
        <v>0.31314797425546376</v>
      </c>
      <c r="S82" s="45">
        <f t="shared" ref="S82:S145" ca="1" si="102">M82*N82/(1+N82) +   IF(O82&gt;0,O82*P82*(1-Q82)/(1+P82),0)</f>
        <v>5.0695617570641283E-2</v>
      </c>
      <c r="T82" s="77">
        <f t="shared" ref="T82:T145" ca="1" si="103">R82*(1-EXP(-kDPM*I82))</f>
        <v>0.1071638061156088</v>
      </c>
      <c r="U82" s="45">
        <f t="shared" ca="1" si="26"/>
        <v>13.999899748976802</v>
      </c>
      <c r="V82" s="45">
        <f t="shared" ref="V82:V145" ca="1" si="104">M82*1/(1+N82)</f>
        <v>0.20278247028256513</v>
      </c>
      <c r="W82" s="77">
        <f t="shared" ref="W82:W145" ca="1" si="105">U82*(1-EXP(-kRPM*I82))</f>
        <v>0.17482612294783709</v>
      </c>
      <c r="X82" s="45">
        <f t="shared" ca="1" si="27"/>
        <v>0.71421211449447775</v>
      </c>
      <c r="Y82" s="45">
        <f t="shared" ref="Y82:Y145" ca="1" si="106">pBIO*(T82+W82+Z82+AD82)</f>
        <v>2.7597346103938172E-2</v>
      </c>
      <c r="Z82" s="77">
        <f t="shared" ref="Z82:Z145" ca="1" si="107">X82*(1-EXP(-kBIO*I82))</f>
        <v>1.947456577456886E-2</v>
      </c>
      <c r="AA82" s="45">
        <f t="shared" ca="1" si="28"/>
        <v>39.6234859415842</v>
      </c>
      <c r="AB82" s="45">
        <f t="shared" ref="AB82:AB145" ca="1" si="108">IF(O82&gt;0,O82*(1-Q82)/(1+P82),0)</f>
        <v>0</v>
      </c>
      <c r="AC82" s="45" cm="1">
        <f t="array" aca="1" ref="AC82" ca="1">pHUM*(T82+W82+Z82+AD82)</f>
        <v>3.2467466004633141E-2</v>
      </c>
      <c r="AD82" s="77">
        <f t="shared" ref="AD82:AD145" ca="1" si="109">AA82*(1-EXP(-kHUM*I82))</f>
        <v>3.3180795830046364E-2</v>
      </c>
      <c r="AE82" s="45">
        <f t="shared" ca="1" si="29"/>
        <v>6.3847072090583081</v>
      </c>
      <c r="AF82" s="45">
        <f t="shared" ref="AF82:AF145" ca="1" si="110">IF(O82&gt;0,O82*Q82,0)</f>
        <v>0</v>
      </c>
      <c r="AG82" s="76">
        <f t="shared" ref="AG82:AG145" ca="1" si="111">R82+U82+X82+AA82+AE82</f>
        <v>61.035452988369251</v>
      </c>
      <c r="AH82" s="45">
        <f t="shared" ref="AH82:AH145" ca="1" si="112">p_CO2*(T82+W82+Z82+AD82)</f>
        <v>0.2745804785594898</v>
      </c>
      <c r="AI82" s="77">
        <f t="shared" ref="AI82:AI145" ca="1" si="113">((kRPM*U82)+(kDPM*R82)+(kBIO*X82)+(kHUM*AA82))/(U82+R82+AA82+X82)</f>
        <v>1.310640757516681E-2</v>
      </c>
      <c r="AJ82" s="384">
        <f t="shared" ca="1" si="23"/>
        <v>2.7572686457241202E-2</v>
      </c>
      <c r="AU82" s="1"/>
    </row>
    <row r="83" spans="2:47" x14ac:dyDescent="0.25">
      <c r="B83" s="44"/>
      <c r="C83" s="10">
        <f t="shared" si="30"/>
        <v>-1</v>
      </c>
      <c r="D83" s="91">
        <f t="shared" si="31"/>
        <v>5</v>
      </c>
      <c r="E83" s="278">
        <f t="shared" ref="E83:E90" ca="1" si="114">IF(OFFSET(MeasMon,C83+6+1,0)=D83,OFFSET(MeasC,C83+6+1,0),-999)</f>
        <v>-999</v>
      </c>
      <c r="F83" s="76">
        <f t="shared" ref="F83:F89" ca="1" si="115">OFFSET(Temperature,(C83+6)*12+D83,0)</f>
        <v>14.05</v>
      </c>
      <c r="G83" s="46">
        <f t="shared" ref="G83" ca="1" si="116">MIN(MAX(G82+OFFSET(Rainfall,(C83+6)*12+D83,0)-OFFSET(PET,(C83+6)*12+D83,0),PWP),FC)</f>
        <v>55.530150000000006</v>
      </c>
      <c r="H83" s="46">
        <f t="shared" ca="1" si="96"/>
        <v>0</v>
      </c>
      <c r="I83" s="45">
        <f t="shared" ca="1" si="97"/>
        <v>1.1929901928886262</v>
      </c>
      <c r="J83" s="45">
        <f t="shared" ca="1" si="98"/>
        <v>0.29595601705647312</v>
      </c>
      <c r="K83" s="45">
        <f t="shared" ca="1" si="24"/>
        <v>0.95656105889548582</v>
      </c>
      <c r="L83" s="358">
        <f t="shared" ca="1" si="99"/>
        <v>0.82085140481213359</v>
      </c>
      <c r="M83" s="76">
        <f t="shared" ref="M83:M114" ca="1" si="117">IF(PI_Def&gt;0,PI*OFFSET(PI_Month,D83,MATCH(OFFSET(LandUse,C83+6+1,0),LandUseTypes,0))/PI_Def,0)</f>
        <v>0.25347808785320641</v>
      </c>
      <c r="N83" s="45">
        <f t="shared" ref="N83:N114" ca="1" si="118">OFFSET(DPMtoRPM,0,MATCH(OFFSET(LandUse,C83+6+1,0),LandUseTypes,0))</f>
        <v>0.25</v>
      </c>
      <c r="O83" s="45">
        <f t="shared" ref="O83:O114" ca="1" si="119">IF(D83=OFFSET(OWAppDate,C83+6+1,0),OFFSET(OW_DM,0,MATCH(OFFSET(OWType,C84+6+1,0),OrgWasteTypes,0))*OFFSET(OW_pC,0,MATCH(OFFSET(OWType,C84+6+1,0),OrgWasteTypes,0))*OFFSET(OWAmount,C83+6+1,0),0)+IF(D83=OFFSET(OWAppDate2,C83+6+1,0),OFFSET(OW_DM,0,MATCH(OFFSET(OWType2,C84+6+1,0),OrgWasteTypes,0))*OFFSET(OW_pC,0,MATCH(OFFSET(OWType2,C84+6+1,0),OrgWasteTypes,0))*OFFSET(OWAmount2,C83+6+1,0),0)</f>
        <v>0</v>
      </c>
      <c r="P83" s="46" t="str">
        <f t="shared" ca="1" si="100"/>
        <v/>
      </c>
      <c r="Q83" s="243" t="str">
        <f t="shared" ca="1" si="101"/>
        <v/>
      </c>
      <c r="R83" s="45">
        <f t="shared" ca="1" si="25"/>
        <v>0.25667978571049621</v>
      </c>
      <c r="S83" s="45">
        <f t="shared" ca="1" si="102"/>
        <v>5.0695617570641283E-2</v>
      </c>
      <c r="T83" s="77">
        <f t="shared" ca="1" si="103"/>
        <v>0.16169935822009923</v>
      </c>
      <c r="U83" s="45">
        <f t="shared" ca="1" si="26"/>
        <v>14.027856096311531</v>
      </c>
      <c r="V83" s="45">
        <f t="shared" ca="1" si="104"/>
        <v>0.20278247028256513</v>
      </c>
      <c r="W83" s="77">
        <f t="shared" ca="1" si="105"/>
        <v>0.41219993336199334</v>
      </c>
      <c r="X83" s="45">
        <f t="shared" ca="1" si="27"/>
        <v>0.72233489482384705</v>
      </c>
      <c r="Y83" s="45">
        <f t="shared" ca="1" si="106"/>
        <v>5.7601688432487134E-2</v>
      </c>
      <c r="Z83" s="77">
        <f t="shared" ca="1" si="107"/>
        <v>4.587415343035868E-2</v>
      </c>
      <c r="AA83" s="45">
        <f t="shared" ca="1" si="28"/>
        <v>39.622772611758784</v>
      </c>
      <c r="AB83" s="45">
        <f t="shared" ca="1" si="108"/>
        <v>0</v>
      </c>
      <c r="AC83" s="45" cm="1">
        <f t="array" aca="1" ref="AC83" ca="1">pHUM*(T83+W83+Z83+AD83)</f>
        <v>6.7766692273514284E-2</v>
      </c>
      <c r="AD83" s="77">
        <f t="shared" ca="1" si="109"/>
        <v>7.870436136292415E-2</v>
      </c>
      <c r="AE83" s="45">
        <f t="shared" ca="1" si="29"/>
        <v>6.3847072090583081</v>
      </c>
      <c r="AF83" s="45">
        <f t="shared" ca="1" si="110"/>
        <v>0</v>
      </c>
      <c r="AG83" s="76">
        <f t="shared" ca="1" si="111"/>
        <v>61.014350597662961</v>
      </c>
      <c r="AH83" s="45">
        <f t="shared" ca="1" si="112"/>
        <v>0.57310942566937417</v>
      </c>
      <c r="AI83" s="77">
        <f t="shared" ca="1" si="113"/>
        <v>1.2271041065248421E-2</v>
      </c>
      <c r="AJ83" s="384">
        <f t="shared" ref="AJ83:AJ146" ca="1" si="120">(530)*(1-EXP((-$AJ$9*L83*K83*AI83)))</f>
        <v>3.4009074753672541E-2</v>
      </c>
      <c r="AU83" s="1"/>
    </row>
    <row r="84" spans="2:47" x14ac:dyDescent="0.25">
      <c r="B84" s="44"/>
      <c r="C84" s="10">
        <f t="shared" si="30"/>
        <v>-1</v>
      </c>
      <c r="D84" s="91">
        <f t="shared" si="31"/>
        <v>6</v>
      </c>
      <c r="E84" s="278">
        <f t="shared" ca="1" si="114"/>
        <v>-999</v>
      </c>
      <c r="F84" s="76">
        <f t="shared" ca="1" si="115"/>
        <v>17.96</v>
      </c>
      <c r="G84" s="46">
        <f t="shared" ref="G84" ca="1" si="121">MIN(MAX(G83+OFFSET(Rainfall,(C84+6)*12+D84,0)-OFFSET(PET,(C84+6)*12+D84,0),PWP),FC)</f>
        <v>55.530150000000006</v>
      </c>
      <c r="H84" s="46">
        <f t="shared" ca="1" si="96"/>
        <v>0</v>
      </c>
      <c r="I84" s="45">
        <f t="shared" ca="1" si="97"/>
        <v>1.6742133720876042</v>
      </c>
      <c r="J84" s="45">
        <f t="shared" ca="1" si="98"/>
        <v>0.29595601705647312</v>
      </c>
      <c r="K84" s="45">
        <f t="shared" ref="K84:K147" ca="1" si="122">J84/$I$15</f>
        <v>0.95656105889548582</v>
      </c>
      <c r="L84" s="358">
        <f t="shared" ca="1" si="99"/>
        <v>0.89023829243059249</v>
      </c>
      <c r="M84" s="76">
        <f t="shared" ca="1" si="117"/>
        <v>0.25347808785320641</v>
      </c>
      <c r="N84" s="45">
        <f t="shared" ca="1" si="118"/>
        <v>0.25</v>
      </c>
      <c r="O84" s="45">
        <f t="shared" ca="1" si="119"/>
        <v>0</v>
      </c>
      <c r="P84" s="46" t="str">
        <f t="shared" ca="1" si="100"/>
        <v/>
      </c>
      <c r="Q84" s="243" t="str">
        <f t="shared" ca="1" si="101"/>
        <v/>
      </c>
      <c r="R84" s="45">
        <f t="shared" ref="R84:R147" ca="1" si="123">R83+S84-T83</f>
        <v>0.14567604506103826</v>
      </c>
      <c r="S84" s="45">
        <f t="shared" ca="1" si="102"/>
        <v>5.0695617570641283E-2</v>
      </c>
      <c r="T84" s="77">
        <f t="shared" ca="1" si="103"/>
        <v>0.10957912745380838</v>
      </c>
      <c r="U84" s="45">
        <f t="shared" ref="U84:U147" ca="1" si="124">U83+V84-W83</f>
        <v>13.818438633232104</v>
      </c>
      <c r="V84" s="45">
        <f t="shared" ca="1" si="104"/>
        <v>0.20278247028256513</v>
      </c>
      <c r="W84" s="77">
        <f t="shared" ca="1" si="105"/>
        <v>0.56643844193877357</v>
      </c>
      <c r="X84" s="45">
        <f t="shared" ref="X84:X147" ca="1" si="125">X83+Y83-Z83</f>
        <v>0.73406242982597547</v>
      </c>
      <c r="Y84" s="45">
        <f t="shared" ca="1" si="106"/>
        <v>7.0177302078244852E-2</v>
      </c>
      <c r="Z84" s="77">
        <f t="shared" ca="1" si="107"/>
        <v>6.457503059426635E-2</v>
      </c>
      <c r="AA84" s="45">
        <f t="shared" ref="AA84:AA147" ca="1" si="126">AA83+AC83+AB84-AD83</f>
        <v>39.611834942669375</v>
      </c>
      <c r="AB84" s="45">
        <f t="shared" ca="1" si="108"/>
        <v>0</v>
      </c>
      <c r="AC84" s="45" cm="1">
        <f t="array" aca="1" ref="AC84" ca="1">pHUM*(T84+W84+Z84+AD84)</f>
        <v>8.2561531856758658E-2</v>
      </c>
      <c r="AD84" s="77">
        <f t="shared" ca="1" si="109"/>
        <v>0.11037703904388856</v>
      </c>
      <c r="AE84" s="45">
        <f t="shared" ref="AE84:AE147" ca="1" si="127">AE83+AF84</f>
        <v>6.3847072090583081</v>
      </c>
      <c r="AF84" s="45">
        <f t="shared" ca="1" si="110"/>
        <v>0</v>
      </c>
      <c r="AG84" s="76">
        <f t="shared" ca="1" si="111"/>
        <v>60.694719259846799</v>
      </c>
      <c r="AH84" s="45">
        <f t="shared" ca="1" si="112"/>
        <v>0.69823080509573343</v>
      </c>
      <c r="AI84" s="77">
        <f t="shared" ca="1" si="113"/>
        <v>1.055515929654244E-2</v>
      </c>
      <c r="AJ84" s="384">
        <f t="shared" ca="1" si="120"/>
        <v>3.1726404695215926E-2</v>
      </c>
      <c r="AU84" s="1"/>
    </row>
    <row r="85" spans="2:47" x14ac:dyDescent="0.25">
      <c r="B85" s="44"/>
      <c r="C85" s="10">
        <f t="shared" ref="C85:C148" si="128">IF(D85=1,C84+1,C84)</f>
        <v>-1</v>
      </c>
      <c r="D85" s="91">
        <f t="shared" ref="D85:D148" si="129">IF(D84+1&lt;13,D84+1,1)</f>
        <v>7</v>
      </c>
      <c r="E85" s="278">
        <f t="shared" ca="1" si="114"/>
        <v>-999</v>
      </c>
      <c r="F85" s="76">
        <f t="shared" ca="1" si="115"/>
        <v>21.89</v>
      </c>
      <c r="G85" s="46">
        <f t="shared" ref="G85" ca="1" si="130">MIN(MAX(G84+OFFSET(Rainfall,(C85+6)*12+D85,0)-OFFSET(PET,(C85+6)*12+D85,0),PWP),FC)</f>
        <v>27.012600000000003</v>
      </c>
      <c r="H85" s="46">
        <f t="shared" ca="1" si="96"/>
        <v>28.517550000000004</v>
      </c>
      <c r="I85" s="45">
        <f t="shared" ca="1" si="97"/>
        <v>1.3816368002949853</v>
      </c>
      <c r="J85" s="45">
        <f t="shared" ca="1" si="98"/>
        <v>0.27952512346894071</v>
      </c>
      <c r="K85" s="45">
        <f t="shared" ca="1" si="122"/>
        <v>0.90345467800480783</v>
      </c>
      <c r="L85" s="358">
        <f t="shared" ca="1" si="99"/>
        <v>0.9336160920992449</v>
      </c>
      <c r="M85" s="76">
        <f t="shared" ca="1" si="117"/>
        <v>0.25347808785320641</v>
      </c>
      <c r="N85" s="45">
        <f t="shared" ca="1" si="118"/>
        <v>0.25</v>
      </c>
      <c r="O85" s="45">
        <f t="shared" ca="1" si="119"/>
        <v>0</v>
      </c>
      <c r="P85" s="46" t="str">
        <f t="shared" ca="1" si="100"/>
        <v/>
      </c>
      <c r="Q85" s="243" t="str">
        <f t="shared" ca="1" si="101"/>
        <v/>
      </c>
      <c r="R85" s="45">
        <f t="shared" ca="1" si="123"/>
        <v>8.6792535177871166E-2</v>
      </c>
      <c r="S85" s="45">
        <f t="shared" ca="1" si="102"/>
        <v>5.0695617570641283E-2</v>
      </c>
      <c r="T85" s="77">
        <f t="shared" ca="1" si="103"/>
        <v>5.9348286736131142E-2</v>
      </c>
      <c r="U85" s="45">
        <f t="shared" ca="1" si="124"/>
        <v>13.454782661575896</v>
      </c>
      <c r="V85" s="45">
        <f t="shared" ca="1" si="104"/>
        <v>0.20278247028256513</v>
      </c>
      <c r="W85" s="77">
        <f t="shared" ca="1" si="105"/>
        <v>0.45680590739844013</v>
      </c>
      <c r="X85" s="45">
        <f t="shared" ca="1" si="125"/>
        <v>0.73966470130995388</v>
      </c>
      <c r="Y85" s="45">
        <f t="shared" ca="1" si="106"/>
        <v>5.4537806322298828E-2</v>
      </c>
      <c r="Z85" s="77">
        <f t="shared" ca="1" si="107"/>
        <v>5.4124629813465441E-2</v>
      </c>
      <c r="AA85" s="45">
        <f t="shared" ca="1" si="126"/>
        <v>39.584019435482247</v>
      </c>
      <c r="AB85" s="45">
        <f t="shared" ca="1" si="108"/>
        <v>0</v>
      </c>
      <c r="AC85" s="45" cm="1">
        <f t="array" aca="1" ref="AC85" ca="1">pHUM*(T85+W85+Z85+AD85)</f>
        <v>6.4162125085057448E-2</v>
      </c>
      <c r="AD85" s="77">
        <f t="shared" ca="1" si="109"/>
        <v>9.1046362190774568E-2</v>
      </c>
      <c r="AE85" s="45">
        <f t="shared" ca="1" si="127"/>
        <v>6.3847072090583081</v>
      </c>
      <c r="AF85" s="45">
        <f t="shared" ca="1" si="110"/>
        <v>0</v>
      </c>
      <c r="AG85" s="76">
        <f t="shared" ca="1" si="111"/>
        <v>60.24996654260427</v>
      </c>
      <c r="AH85" s="45">
        <f t="shared" ca="1" si="112"/>
        <v>0.54262525473145506</v>
      </c>
      <c r="AI85" s="77">
        <f t="shared" ca="1" si="113"/>
        <v>9.5674208174567569E-3</v>
      </c>
      <c r="AJ85" s="384">
        <f t="shared" ca="1" si="120"/>
        <v>2.8484460900281006E-2</v>
      </c>
      <c r="AU85" s="1"/>
    </row>
    <row r="86" spans="2:47" x14ac:dyDescent="0.25">
      <c r="B86" s="44"/>
      <c r="C86" s="10">
        <f t="shared" si="128"/>
        <v>-1</v>
      </c>
      <c r="D86" s="91">
        <f t="shared" si="129"/>
        <v>8</v>
      </c>
      <c r="E86" s="278">
        <f t="shared" ca="1" si="114"/>
        <v>62.474999999999994</v>
      </c>
      <c r="F86" s="76">
        <f t="shared" ca="1" si="115"/>
        <v>20.350000000000001</v>
      </c>
      <c r="G86" s="46">
        <f t="shared" ref="G86" ca="1" si="131">MIN(MAX(G85+OFFSET(Rainfall,(C86+6)*12+D86,0)-OFFSET(PET,(C86+6)*12+D86,0),PWP),FC)</f>
        <v>55.530150000000006</v>
      </c>
      <c r="H86" s="46">
        <f t="shared" ca="1" si="96"/>
        <v>0</v>
      </c>
      <c r="I86" s="45">
        <f t="shared" ca="1" si="97"/>
        <v>1.9866789081593714</v>
      </c>
      <c r="J86" s="45">
        <f t="shared" ca="1" si="98"/>
        <v>0.29595601705647312</v>
      </c>
      <c r="K86" s="45">
        <f t="shared" ca="1" si="122"/>
        <v>0.95656105889548582</v>
      </c>
      <c r="L86" s="358">
        <f t="shared" ca="1" si="99"/>
        <v>0.91927514332007565</v>
      </c>
      <c r="M86" s="76">
        <f t="shared" ca="1" si="117"/>
        <v>0.25347808785320641</v>
      </c>
      <c r="N86" s="45">
        <f t="shared" ca="1" si="118"/>
        <v>0.25</v>
      </c>
      <c r="O86" s="45">
        <f t="shared" ca="1" si="119"/>
        <v>0</v>
      </c>
      <c r="P86" s="46" t="str">
        <f t="shared" ca="1" si="100"/>
        <v/>
      </c>
      <c r="Q86" s="243" t="str">
        <f t="shared" ca="1" si="101"/>
        <v/>
      </c>
      <c r="R86" s="45">
        <f t="shared" ca="1" si="123"/>
        <v>7.8139866012381307E-2</v>
      </c>
      <c r="S86" s="45">
        <f t="shared" ca="1" si="102"/>
        <v>5.0695617570641283E-2</v>
      </c>
      <c r="T86" s="77">
        <f t="shared" ca="1" si="103"/>
        <v>6.3216403822538431E-2</v>
      </c>
      <c r="U86" s="45">
        <f t="shared" ca="1" si="124"/>
        <v>13.200759224460022</v>
      </c>
      <c r="V86" s="45">
        <f t="shared" ca="1" si="104"/>
        <v>0.20278247028256513</v>
      </c>
      <c r="W86" s="77">
        <f t="shared" ca="1" si="105"/>
        <v>0.63962612069458968</v>
      </c>
      <c r="X86" s="45">
        <f t="shared" ca="1" si="125"/>
        <v>0.74007787781878731</v>
      </c>
      <c r="Y86" s="45">
        <f t="shared" ca="1" si="106"/>
        <v>7.5062681437470094E-2</v>
      </c>
      <c r="Z86" s="77">
        <f t="shared" ca="1" si="107"/>
        <v>7.6604929996549928E-2</v>
      </c>
      <c r="AA86" s="45">
        <f t="shared" ca="1" si="126"/>
        <v>39.557135198376528</v>
      </c>
      <c r="AB86" s="45">
        <f t="shared" ca="1" si="108"/>
        <v>0</v>
      </c>
      <c r="AC86" s="45" cm="1">
        <f t="array" aca="1" ref="AC86" ca="1">pHUM*(T86+W86+Z86+AD86)</f>
        <v>8.8309036985258937E-2</v>
      </c>
      <c r="AD86" s="77">
        <f t="shared" ca="1" si="109"/>
        <v>0.13076227193468112</v>
      </c>
      <c r="AE86" s="45">
        <f t="shared" ca="1" si="127"/>
        <v>6.3847072090583081</v>
      </c>
      <c r="AF86" s="45">
        <f t="shared" ca="1" si="110"/>
        <v>0</v>
      </c>
      <c r="AG86" s="76">
        <f t="shared" ca="1" si="111"/>
        <v>59.960819375726025</v>
      </c>
      <c r="AH86" s="45">
        <f t="shared" ca="1" si="112"/>
        <v>0.74683800802563027</v>
      </c>
      <c r="AI86" s="77">
        <f t="shared" ca="1" si="113"/>
        <v>9.3655242471660117E-3</v>
      </c>
      <c r="AJ86" s="384">
        <f t="shared" ca="1" si="120"/>
        <v>2.9068893140242746E-2</v>
      </c>
      <c r="AU86" s="1"/>
    </row>
    <row r="87" spans="2:47" x14ac:dyDescent="0.25">
      <c r="B87" s="44"/>
      <c r="C87" s="10">
        <f t="shared" si="128"/>
        <v>-1</v>
      </c>
      <c r="D87" s="91">
        <f t="shared" si="129"/>
        <v>9</v>
      </c>
      <c r="E87" s="278">
        <f t="shared" ca="1" si="114"/>
        <v>-999</v>
      </c>
      <c r="F87" s="76">
        <f t="shared" ca="1" si="115"/>
        <v>17.38</v>
      </c>
      <c r="G87" s="46">
        <f t="shared" ref="G87" ca="1" si="132">MIN(MAX(G86+OFFSET(Rainfall,(C87+6)*12+D87,0)-OFFSET(PET,(C87+6)*12+D87,0),PWP),FC)</f>
        <v>55.530150000000006</v>
      </c>
      <c r="H87" s="46">
        <f t="shared" ca="1" si="96"/>
        <v>0</v>
      </c>
      <c r="I87" s="45">
        <f t="shared" ca="1" si="97"/>
        <v>1.6001267170550242</v>
      </c>
      <c r="J87" s="45">
        <f t="shared" ca="1" si="98"/>
        <v>0.29595601705647312</v>
      </c>
      <c r="K87" s="45">
        <f t="shared" ca="1" si="122"/>
        <v>0.95656105889548582</v>
      </c>
      <c r="L87" s="358">
        <f t="shared" ca="1" si="99"/>
        <v>0.88177917719725518</v>
      </c>
      <c r="M87" s="76">
        <f t="shared" ca="1" si="117"/>
        <v>0.25347808785320641</v>
      </c>
      <c r="N87" s="45">
        <f t="shared" ca="1" si="118"/>
        <v>0.25</v>
      </c>
      <c r="O87" s="45">
        <f t="shared" ca="1" si="119"/>
        <v>0</v>
      </c>
      <c r="P87" s="46" t="str">
        <f t="shared" ca="1" si="100"/>
        <v/>
      </c>
      <c r="Q87" s="243" t="str">
        <f t="shared" ca="1" si="101"/>
        <v/>
      </c>
      <c r="R87" s="45">
        <f t="shared" ca="1" si="123"/>
        <v>6.5619079760484172E-2</v>
      </c>
      <c r="S87" s="45">
        <f t="shared" ca="1" si="102"/>
        <v>5.0695617570641283E-2</v>
      </c>
      <c r="T87" s="77">
        <f t="shared" ca="1" si="103"/>
        <v>4.832390455432109E-2</v>
      </c>
      <c r="U87" s="45">
        <f t="shared" ca="1" si="124"/>
        <v>12.763915574047997</v>
      </c>
      <c r="V87" s="45">
        <f t="shared" ca="1" si="104"/>
        <v>0.20278247028256513</v>
      </c>
      <c r="W87" s="77">
        <f t="shared" ca="1" si="105"/>
        <v>0.50051913786937896</v>
      </c>
      <c r="X87" s="45">
        <f t="shared" ca="1" si="125"/>
        <v>0.7385356292597075</v>
      </c>
      <c r="Y87" s="45">
        <f t="shared" ca="1" si="106"/>
        <v>5.9071586736499537E-2</v>
      </c>
      <c r="Z87" s="77">
        <f t="shared" ca="1" si="107"/>
        <v>6.2218307485510486E-2</v>
      </c>
      <c r="AA87" s="45">
        <f t="shared" ca="1" si="126"/>
        <v>39.514681963427108</v>
      </c>
      <c r="AB87" s="45">
        <f t="shared" ca="1" si="108"/>
        <v>0</v>
      </c>
      <c r="AC87" s="45" cm="1">
        <f t="array" aca="1" ref="AC87" ca="1">pHUM*(T87+W87+Z87+AD87)</f>
        <v>6.949598439588181E-2</v>
      </c>
      <c r="AD87" s="77">
        <f t="shared" ca="1" si="109"/>
        <v>0.10524043647301513</v>
      </c>
      <c r="AE87" s="45">
        <f t="shared" ca="1" si="127"/>
        <v>6.3847072090583081</v>
      </c>
      <c r="AF87" s="45">
        <f t="shared" ca="1" si="110"/>
        <v>0</v>
      </c>
      <c r="AG87" s="76">
        <f t="shared" ca="1" si="111"/>
        <v>59.467459455553602</v>
      </c>
      <c r="AH87" s="45">
        <f t="shared" ca="1" si="112"/>
        <v>0.58773421524984448</v>
      </c>
      <c r="AI87" s="77">
        <f t="shared" ca="1" si="113"/>
        <v>9.0473402070376015E-3</v>
      </c>
      <c r="AJ87" s="384">
        <f t="shared" ca="1" si="120"/>
        <v>2.6935963810765795E-2</v>
      </c>
      <c r="AU87" s="1"/>
    </row>
    <row r="88" spans="2:47" x14ac:dyDescent="0.25">
      <c r="B88" s="44"/>
      <c r="C88" s="10">
        <f t="shared" si="128"/>
        <v>-1</v>
      </c>
      <c r="D88" s="91">
        <f t="shared" si="129"/>
        <v>10</v>
      </c>
      <c r="E88" s="278">
        <f t="shared" ca="1" si="114"/>
        <v>-999</v>
      </c>
      <c r="F88" s="76">
        <f t="shared" ca="1" si="115"/>
        <v>9.61</v>
      </c>
      <c r="G88" s="46">
        <f ca="1">MIN(MAX(G87+OFFSET(Rainfall,(C88+6)*12+D88,0)-OFFSET(PET,(C88+6)*12+D88,0),PWP),FC)</f>
        <v>55.530150000000006</v>
      </c>
      <c r="H88" s="46">
        <f t="shared" ca="1" si="96"/>
        <v>0</v>
      </c>
      <c r="I88" s="45">
        <f t="shared" ca="1" si="97"/>
        <v>0.71799645923322175</v>
      </c>
      <c r="J88" s="45">
        <f t="shared" ca="1" si="98"/>
        <v>0.29595601705647312</v>
      </c>
      <c r="K88" s="45">
        <f t="shared" ca="1" si="122"/>
        <v>0.95656105889548582</v>
      </c>
      <c r="L88" s="358">
        <f t="shared" ca="1" si="99"/>
        <v>0.70354868513849667</v>
      </c>
      <c r="M88" s="76">
        <f t="shared" ca="1" si="117"/>
        <v>0.25347808785320641</v>
      </c>
      <c r="N88" s="45">
        <f t="shared" ca="1" si="118"/>
        <v>0.25</v>
      </c>
      <c r="O88" s="45">
        <f t="shared" ca="1" si="119"/>
        <v>0</v>
      </c>
      <c r="P88" s="46" t="str">
        <f t="shared" ca="1" si="100"/>
        <v/>
      </c>
      <c r="Q88" s="243" t="str">
        <f t="shared" ca="1" si="101"/>
        <v/>
      </c>
      <c r="R88" s="45">
        <f t="shared" ca="1" si="123"/>
        <v>6.7990792776804365E-2</v>
      </c>
      <c r="S88" s="45">
        <f t="shared" ca="1" si="102"/>
        <v>5.0695617570641283E-2</v>
      </c>
      <c r="T88" s="77">
        <f t="shared" ca="1" si="103"/>
        <v>3.0614302184901312E-2</v>
      </c>
      <c r="U88" s="45">
        <f t="shared" ca="1" si="124"/>
        <v>12.466178906461185</v>
      </c>
      <c r="V88" s="45">
        <f t="shared" ca="1" si="104"/>
        <v>0.20278247028256513</v>
      </c>
      <c r="W88" s="77">
        <f t="shared" ca="1" si="105"/>
        <v>0.22177047320096269</v>
      </c>
      <c r="X88" s="45">
        <f t="shared" ca="1" si="125"/>
        <v>0.7353889085106966</v>
      </c>
      <c r="Y88" s="45">
        <f t="shared" ca="1" si="106"/>
        <v>2.7055416504660531E-2</v>
      </c>
      <c r="Z88" s="77">
        <f t="shared" ca="1" si="107"/>
        <v>2.8474439487408781E-2</v>
      </c>
      <c r="AA88" s="45">
        <f t="shared" ca="1" si="126"/>
        <v>39.478937511349969</v>
      </c>
      <c r="AB88" s="45">
        <f t="shared" ca="1" si="108"/>
        <v>0</v>
      </c>
      <c r="AC88" s="45" cm="1">
        <f t="array" aca="1" ref="AC88" ca="1">pHUM*(T88+W88+Z88+AD88)</f>
        <v>3.1829901770188865E-2</v>
      </c>
      <c r="AD88" s="77">
        <f t="shared" ca="1" si="109"/>
        <v>4.7214639991183513E-2</v>
      </c>
      <c r="AE88" s="45">
        <f t="shared" ca="1" si="127"/>
        <v>6.3847072090583081</v>
      </c>
      <c r="AF88" s="45">
        <f t="shared" ca="1" si="110"/>
        <v>0</v>
      </c>
      <c r="AG88" s="76">
        <f t="shared" ca="1" si="111"/>
        <v>59.133203328156959</v>
      </c>
      <c r="AH88" s="45">
        <f t="shared" ca="1" si="112"/>
        <v>0.26918853658960695</v>
      </c>
      <c r="AI88" s="77">
        <f t="shared" ca="1" si="113"/>
        <v>8.9966183059396847E-3</v>
      </c>
      <c r="AJ88" s="384">
        <f t="shared" ca="1" si="120"/>
        <v>2.1371130223187818E-2</v>
      </c>
      <c r="AU88" s="1"/>
    </row>
    <row r="89" spans="2:47" x14ac:dyDescent="0.25">
      <c r="B89" s="44"/>
      <c r="C89" s="10">
        <f t="shared" si="128"/>
        <v>-1</v>
      </c>
      <c r="D89" s="91">
        <f t="shared" si="129"/>
        <v>11</v>
      </c>
      <c r="E89" s="278">
        <f t="shared" ca="1" si="114"/>
        <v>-999</v>
      </c>
      <c r="F89" s="76">
        <f t="shared" ca="1" si="115"/>
        <v>5.71</v>
      </c>
      <c r="G89" s="46">
        <f t="shared" ref="G89" ca="1" si="133">MIN(MAX(G88+OFFSET(Rainfall,(C89+6)*12+D89,0)-OFFSET(PET,(C89+6)*12+D89,0),PWP),FC)</f>
        <v>55.530150000000006</v>
      </c>
      <c r="H89" s="46">
        <f t="shared" ca="1" si="96"/>
        <v>0</v>
      </c>
      <c r="I89" s="45">
        <f t="shared" ca="1" si="97"/>
        <v>0.39067569183622758</v>
      </c>
      <c r="J89" s="45">
        <f t="shared" ca="1" si="98"/>
        <v>0.29595601705647312</v>
      </c>
      <c r="K89" s="45">
        <f t="shared" ca="1" si="122"/>
        <v>0.95656105889548582</v>
      </c>
      <c r="L89" s="358">
        <f t="shared" ca="1" si="99"/>
        <v>0.57043958344737544</v>
      </c>
      <c r="M89" s="76">
        <f t="shared" ca="1" si="117"/>
        <v>0.25347808785320641</v>
      </c>
      <c r="N89" s="45">
        <f t="shared" ca="1" si="118"/>
        <v>0.25</v>
      </c>
      <c r="O89" s="45">
        <f t="shared" ca="1" si="119"/>
        <v>0</v>
      </c>
      <c r="P89" s="46" t="str">
        <f t="shared" ca="1" si="100"/>
        <v/>
      </c>
      <c r="Q89" s="243" t="str">
        <f t="shared" ca="1" si="101"/>
        <v/>
      </c>
      <c r="R89" s="45">
        <f t="shared" ca="1" si="123"/>
        <v>8.8072108162544335E-2</v>
      </c>
      <c r="S89" s="45">
        <f t="shared" ca="1" si="102"/>
        <v>5.0695617570641283E-2</v>
      </c>
      <c r="T89" s="77">
        <f t="shared" ca="1" si="103"/>
        <v>2.447342193378817E-2</v>
      </c>
      <c r="U89" s="45">
        <f t="shared" ca="1" si="124"/>
        <v>12.447190903542788</v>
      </c>
      <c r="V89" s="45">
        <f t="shared" ca="1" si="104"/>
        <v>0.20278247028256513</v>
      </c>
      <c r="W89" s="77">
        <f t="shared" ca="1" si="105"/>
        <v>0.12097861867243599</v>
      </c>
      <c r="X89" s="45">
        <f t="shared" ca="1" si="125"/>
        <v>0.73396988552794828</v>
      </c>
      <c r="Y89" s="45">
        <f t="shared" ca="1" si="106"/>
        <v>1.5400148529879318E-2</v>
      </c>
      <c r="Z89" s="77">
        <f t="shared" ca="1" si="107"/>
        <v>1.5602701403366762E-2</v>
      </c>
      <c r="AA89" s="45">
        <f t="shared" ca="1" si="126"/>
        <v>39.463552773128974</v>
      </c>
      <c r="AB89" s="45">
        <f t="shared" ca="1" si="108"/>
        <v>0</v>
      </c>
      <c r="AC89" s="45" cm="1">
        <f t="array" aca="1" ref="AC89" ca="1">pHUM*(T89+W89+Z89+AD89)</f>
        <v>1.8117821799858023E-2</v>
      </c>
      <c r="AD89" s="77">
        <f t="shared" ca="1" si="109"/>
        <v>2.5687387530805558E-2</v>
      </c>
      <c r="AE89" s="45">
        <f t="shared" ca="1" si="127"/>
        <v>6.3847072090583081</v>
      </c>
      <c r="AF89" s="45">
        <f t="shared" ca="1" si="110"/>
        <v>0</v>
      </c>
      <c r="AG89" s="76">
        <f t="shared" ca="1" si="111"/>
        <v>59.11749287942056</v>
      </c>
      <c r="AH89" s="45">
        <f t="shared" ca="1" si="112"/>
        <v>0.15322415921065916</v>
      </c>
      <c r="AI89" s="77">
        <f t="shared" ca="1" si="113"/>
        <v>9.3056742874178932E-3</v>
      </c>
      <c r="AJ89" s="384">
        <f t="shared" ca="1" si="120"/>
        <v>1.7923092820769648E-2</v>
      </c>
      <c r="AU89" s="1"/>
    </row>
    <row r="90" spans="2:47" x14ac:dyDescent="0.25">
      <c r="B90" s="44"/>
      <c r="C90" s="342">
        <f t="shared" si="128"/>
        <v>-1</v>
      </c>
      <c r="D90" s="167">
        <f t="shared" si="129"/>
        <v>12</v>
      </c>
      <c r="E90" s="343">
        <f t="shared" ca="1" si="114"/>
        <v>-999</v>
      </c>
      <c r="F90" s="86">
        <v>3.0565517241379307</v>
      </c>
      <c r="G90" s="374">
        <v>84.6</v>
      </c>
      <c r="H90" s="65">
        <f t="shared" si="96"/>
        <v>-29.069849999999988</v>
      </c>
      <c r="I90" s="23">
        <f t="shared" si="97"/>
        <v>0</v>
      </c>
      <c r="J90" s="23">
        <f t="shared" si="98"/>
        <v>0.20855256500829394</v>
      </c>
      <c r="K90" s="23">
        <f t="shared" ca="1" si="122"/>
        <v>0.67406388423465236</v>
      </c>
      <c r="L90" s="395">
        <f t="shared" si="99"/>
        <v>0.47204672240398726</v>
      </c>
      <c r="M90" s="86">
        <f t="shared" ca="1" si="117"/>
        <v>0.25347808785320641</v>
      </c>
      <c r="N90" s="23">
        <f t="shared" ca="1" si="118"/>
        <v>0.25</v>
      </c>
      <c r="O90" s="23">
        <f t="shared" ca="1" si="119"/>
        <v>0</v>
      </c>
      <c r="P90" s="65" t="str">
        <f t="shared" ca="1" si="100"/>
        <v/>
      </c>
      <c r="Q90" s="344" t="str">
        <f t="shared" ca="1" si="101"/>
        <v/>
      </c>
      <c r="R90" s="23">
        <f t="shared" ca="1" si="123"/>
        <v>0.11429430379939746</v>
      </c>
      <c r="S90" s="23">
        <f t="shared" ca="1" si="102"/>
        <v>5.0695617570641283E-2</v>
      </c>
      <c r="T90" s="378">
        <f t="shared" ca="1" si="103"/>
        <v>0</v>
      </c>
      <c r="U90" s="23">
        <f t="shared" ca="1" si="124"/>
        <v>12.528994755152917</v>
      </c>
      <c r="V90" s="23">
        <f t="shared" ca="1" si="104"/>
        <v>0.20278247028256513</v>
      </c>
      <c r="W90" s="378">
        <f t="shared" ca="1" si="105"/>
        <v>0</v>
      </c>
      <c r="X90" s="23">
        <f t="shared" ca="1" si="125"/>
        <v>0.73376733265446092</v>
      </c>
      <c r="Y90" s="23">
        <f t="shared" ca="1" si="106"/>
        <v>0</v>
      </c>
      <c r="Z90" s="378">
        <f t="shared" ca="1" si="107"/>
        <v>0</v>
      </c>
      <c r="AA90" s="23">
        <f t="shared" ca="1" si="126"/>
        <v>39.45598320739802</v>
      </c>
      <c r="AB90" s="23">
        <f t="shared" ca="1" si="108"/>
        <v>0</v>
      </c>
      <c r="AC90" s="23" cm="1">
        <f t="array" aca="1" ref="AC90" ca="1">pHUM*(T90+W90+Z90+AD90)</f>
        <v>0</v>
      </c>
      <c r="AD90" s="378">
        <f t="shared" ca="1" si="109"/>
        <v>0</v>
      </c>
      <c r="AE90" s="23">
        <f t="shared" ca="1" si="127"/>
        <v>6.3847072090583081</v>
      </c>
      <c r="AF90" s="23">
        <f t="shared" ca="1" si="110"/>
        <v>0</v>
      </c>
      <c r="AG90" s="86">
        <f t="shared" ca="1" si="111"/>
        <v>59.217746808063097</v>
      </c>
      <c r="AH90" s="23">
        <f t="shared" ca="1" si="112"/>
        <v>0</v>
      </c>
      <c r="AI90" s="378">
        <f t="shared" ca="1" si="113"/>
        <v>9.7398768130502588E-3</v>
      </c>
      <c r="AJ90" s="396">
        <f t="shared" ca="1" si="120"/>
        <v>1.0939189005237937E-2</v>
      </c>
      <c r="AU90" s="1"/>
    </row>
    <row r="91" spans="2:47" x14ac:dyDescent="0.25">
      <c r="B91" s="44"/>
      <c r="C91" s="10">
        <f t="shared" si="128"/>
        <v>0</v>
      </c>
      <c r="D91" s="91">
        <f t="shared" si="129"/>
        <v>1</v>
      </c>
      <c r="E91" s="278"/>
      <c r="F91" s="76">
        <v>0.85587096774193583</v>
      </c>
      <c r="G91" s="375">
        <v>78.439554282868485</v>
      </c>
      <c r="H91" s="46">
        <f t="shared" si="96"/>
        <v>-22.909404282868479</v>
      </c>
      <c r="I91" s="45">
        <f t="shared" si="97"/>
        <v>0</v>
      </c>
      <c r="J91" s="45">
        <f t="shared" si="98"/>
        <v>0.23072180944359474</v>
      </c>
      <c r="K91" s="45">
        <f t="shared" ca="1" si="122"/>
        <v>0.74571722023659515</v>
      </c>
      <c r="L91" s="358">
        <f t="shared" si="99"/>
        <v>0.39170179323548027</v>
      </c>
      <c r="M91" s="76">
        <f t="shared" ca="1" si="117"/>
        <v>0.25347808785320641</v>
      </c>
      <c r="N91" s="45">
        <f t="shared" ca="1" si="118"/>
        <v>0.25</v>
      </c>
      <c r="O91" s="45">
        <f t="shared" ca="1" si="119"/>
        <v>0</v>
      </c>
      <c r="P91" s="204" t="str">
        <f t="shared" ca="1" si="100"/>
        <v/>
      </c>
      <c r="Q91" s="362" t="str">
        <f t="shared" ca="1" si="101"/>
        <v/>
      </c>
      <c r="R91" s="45">
        <f t="shared" ca="1" si="123"/>
        <v>0.16498992137003876</v>
      </c>
      <c r="S91" s="45">
        <f t="shared" ca="1" si="102"/>
        <v>5.0695617570641283E-2</v>
      </c>
      <c r="T91" s="77">
        <f t="shared" ca="1" si="103"/>
        <v>0</v>
      </c>
      <c r="U91" s="45">
        <f t="shared" ca="1" si="124"/>
        <v>12.731777225435483</v>
      </c>
      <c r="V91" s="45">
        <f t="shared" ca="1" si="104"/>
        <v>0.20278247028256513</v>
      </c>
      <c r="W91" s="77">
        <f t="shared" ca="1" si="105"/>
        <v>0</v>
      </c>
      <c r="X91" s="45">
        <f t="shared" ca="1" si="125"/>
        <v>0.73376733265446092</v>
      </c>
      <c r="Y91" s="45">
        <f t="shared" ca="1" si="106"/>
        <v>0</v>
      </c>
      <c r="Z91" s="77">
        <f t="shared" ca="1" si="107"/>
        <v>0</v>
      </c>
      <c r="AA91" s="45">
        <f t="shared" ca="1" si="126"/>
        <v>39.45598320739802</v>
      </c>
      <c r="AB91" s="45">
        <f t="shared" ca="1" si="108"/>
        <v>0</v>
      </c>
      <c r="AC91" s="45" cm="1">
        <f t="array" aca="1" ref="AC91" ca="1">pHUM*(T91+W91+Z91+AD91)</f>
        <v>0</v>
      </c>
      <c r="AD91" s="77">
        <f t="shared" ca="1" si="109"/>
        <v>0</v>
      </c>
      <c r="AE91" s="45">
        <f t="shared" ca="1" si="127"/>
        <v>6.3847072090583081</v>
      </c>
      <c r="AF91" s="45">
        <f t="shared" ca="1" si="110"/>
        <v>0</v>
      </c>
      <c r="AG91" s="76">
        <f t="shared" ca="1" si="111"/>
        <v>59.471224895916308</v>
      </c>
      <c r="AH91" s="45">
        <f t="shared" ca="1" si="112"/>
        <v>0</v>
      </c>
      <c r="AI91" s="77">
        <f t="shared" ca="1" si="113"/>
        <v>1.0584668792939402E-2</v>
      </c>
      <c r="AJ91" s="384">
        <f t="shared" ca="1" si="120"/>
        <v>1.0913213013580281E-2</v>
      </c>
      <c r="AU91" s="1"/>
    </row>
    <row r="92" spans="2:47" x14ac:dyDescent="0.25">
      <c r="B92" s="44"/>
      <c r="C92" s="10">
        <f t="shared" si="128"/>
        <v>0</v>
      </c>
      <c r="D92" s="91">
        <f t="shared" si="129"/>
        <v>2</v>
      </c>
      <c r="E92" s="278"/>
      <c r="F92" s="76">
        <v>0.91042857142857181</v>
      </c>
      <c r="G92" s="372">
        <v>77.312634079068317</v>
      </c>
      <c r="H92" s="46">
        <f t="shared" si="96"/>
        <v>-21.782484079068311</v>
      </c>
      <c r="I92" s="45">
        <f t="shared" si="97"/>
        <v>0</v>
      </c>
      <c r="J92" s="45">
        <f t="shared" si="98"/>
        <v>0.23463537609132465</v>
      </c>
      <c r="K92" s="45">
        <f t="shared" ca="1" si="122"/>
        <v>0.75836628037006848</v>
      </c>
      <c r="L92" s="358">
        <f t="shared" si="99"/>
        <v>0.39364266736760256</v>
      </c>
      <c r="M92" s="76">
        <f t="shared" ca="1" si="117"/>
        <v>0.25347808785320641</v>
      </c>
      <c r="N92" s="45">
        <f t="shared" ca="1" si="118"/>
        <v>0.25</v>
      </c>
      <c r="O92" s="45">
        <f t="shared" ca="1" si="119"/>
        <v>0</v>
      </c>
      <c r="P92" s="46" t="str">
        <f t="shared" ca="1" si="100"/>
        <v/>
      </c>
      <c r="Q92" s="243" t="str">
        <f t="shared" ca="1" si="101"/>
        <v/>
      </c>
      <c r="R92" s="45">
        <f t="shared" ca="1" si="123"/>
        <v>0.21568553894068004</v>
      </c>
      <c r="S92" s="45">
        <f t="shared" ca="1" si="102"/>
        <v>5.0695617570641283E-2</v>
      </c>
      <c r="T92" s="77">
        <f t="shared" ca="1" si="103"/>
        <v>0</v>
      </c>
      <c r="U92" s="45">
        <f t="shared" ca="1" si="124"/>
        <v>12.934559695718049</v>
      </c>
      <c r="V92" s="45">
        <f t="shared" ca="1" si="104"/>
        <v>0.20278247028256513</v>
      </c>
      <c r="W92" s="77">
        <f t="shared" ca="1" si="105"/>
        <v>0</v>
      </c>
      <c r="X92" s="45">
        <f t="shared" ca="1" si="125"/>
        <v>0.73376733265446092</v>
      </c>
      <c r="Y92" s="45">
        <f t="shared" ca="1" si="106"/>
        <v>0</v>
      </c>
      <c r="Z92" s="77">
        <f t="shared" ca="1" si="107"/>
        <v>0</v>
      </c>
      <c r="AA92" s="45">
        <f t="shared" ca="1" si="126"/>
        <v>39.45598320739802</v>
      </c>
      <c r="AB92" s="45">
        <f t="shared" ca="1" si="108"/>
        <v>0</v>
      </c>
      <c r="AC92" s="45" cm="1">
        <f t="array" aca="1" ref="AC92" ca="1">pHUM*(T92+W92+Z92+AD92)</f>
        <v>0</v>
      </c>
      <c r="AD92" s="77">
        <f t="shared" ca="1" si="109"/>
        <v>0</v>
      </c>
      <c r="AE92" s="45">
        <f t="shared" ca="1" si="127"/>
        <v>6.3847072090583081</v>
      </c>
      <c r="AF92" s="45">
        <f t="shared" ca="1" si="110"/>
        <v>0</v>
      </c>
      <c r="AG92" s="76">
        <f t="shared" ca="1" si="111"/>
        <v>59.724702983769518</v>
      </c>
      <c r="AH92" s="45">
        <f t="shared" ca="1" si="112"/>
        <v>0</v>
      </c>
      <c r="AI92" s="77">
        <f t="shared" ca="1" si="113"/>
        <v>1.1421431666242168E-2</v>
      </c>
      <c r="AJ92" s="384">
        <f t="shared" ca="1" si="120"/>
        <v>1.2035022153891184E-2</v>
      </c>
      <c r="AU92" s="1"/>
    </row>
    <row r="93" spans="2:47" x14ac:dyDescent="0.25">
      <c r="B93" s="44"/>
      <c r="C93" s="10">
        <f t="shared" si="128"/>
        <v>0</v>
      </c>
      <c r="D93" s="91">
        <f t="shared" si="129"/>
        <v>3</v>
      </c>
      <c r="E93" s="278"/>
      <c r="F93" s="76">
        <v>1.7499333333333336</v>
      </c>
      <c r="G93" s="372">
        <v>89.127050621045186</v>
      </c>
      <c r="H93" s="46">
        <f t="shared" si="96"/>
        <v>-33.596900621045179</v>
      </c>
      <c r="I93" s="45">
        <f t="shared" si="97"/>
        <v>0</v>
      </c>
      <c r="J93" s="45">
        <f t="shared" si="98"/>
        <v>0.19161115755788954</v>
      </c>
      <c r="K93" s="45">
        <f t="shared" ca="1" si="122"/>
        <v>0.61930746869995335</v>
      </c>
      <c r="L93" s="358">
        <f t="shared" si="99"/>
        <v>0.42389567243620196</v>
      </c>
      <c r="M93" s="76">
        <f t="shared" ca="1" si="117"/>
        <v>0.25347808785320641</v>
      </c>
      <c r="N93" s="45">
        <f t="shared" ca="1" si="118"/>
        <v>0.25</v>
      </c>
      <c r="O93" s="45">
        <f t="shared" ca="1" si="119"/>
        <v>0</v>
      </c>
      <c r="P93" s="46" t="str">
        <f t="shared" ca="1" si="100"/>
        <v/>
      </c>
      <c r="Q93" s="243" t="str">
        <f t="shared" ca="1" si="101"/>
        <v/>
      </c>
      <c r="R93" s="45">
        <f t="shared" ca="1" si="123"/>
        <v>0.26638115651132133</v>
      </c>
      <c r="S93" s="45">
        <f t="shared" ca="1" si="102"/>
        <v>5.0695617570641283E-2</v>
      </c>
      <c r="T93" s="77">
        <f t="shared" ca="1" si="103"/>
        <v>0</v>
      </c>
      <c r="U93" s="45">
        <f t="shared" ca="1" si="124"/>
        <v>13.137342166000614</v>
      </c>
      <c r="V93" s="45">
        <f t="shared" ca="1" si="104"/>
        <v>0.20278247028256513</v>
      </c>
      <c r="W93" s="77">
        <f t="shared" ca="1" si="105"/>
        <v>0</v>
      </c>
      <c r="X93" s="45">
        <f t="shared" ca="1" si="125"/>
        <v>0.73376733265446092</v>
      </c>
      <c r="Y93" s="45">
        <f t="shared" ca="1" si="106"/>
        <v>0</v>
      </c>
      <c r="Z93" s="77">
        <f t="shared" ca="1" si="107"/>
        <v>0</v>
      </c>
      <c r="AA93" s="45">
        <f t="shared" ca="1" si="126"/>
        <v>39.45598320739802</v>
      </c>
      <c r="AB93" s="45">
        <f t="shared" ca="1" si="108"/>
        <v>0</v>
      </c>
      <c r="AC93" s="45" cm="1">
        <f t="array" aca="1" ref="AC93" ca="1">pHUM*(T93+W93+Z93+AD93)</f>
        <v>0</v>
      </c>
      <c r="AD93" s="77">
        <f t="shared" ca="1" si="109"/>
        <v>0</v>
      </c>
      <c r="AE93" s="45">
        <f t="shared" ca="1" si="127"/>
        <v>6.3847072090583081</v>
      </c>
      <c r="AF93" s="45">
        <f t="shared" ca="1" si="110"/>
        <v>0</v>
      </c>
      <c r="AG93" s="76">
        <f t="shared" ca="1" si="111"/>
        <v>59.978181071622721</v>
      </c>
      <c r="AH93" s="45">
        <f t="shared" ca="1" si="112"/>
        <v>0</v>
      </c>
      <c r="AI93" s="77">
        <f t="shared" ca="1" si="113"/>
        <v>1.2250279357422003E-2</v>
      </c>
      <c r="AJ93" s="384">
        <f t="shared" ca="1" si="120"/>
        <v>1.1351591150603468E-2</v>
      </c>
      <c r="AU93" s="1"/>
    </row>
    <row r="94" spans="2:47" x14ac:dyDescent="0.25">
      <c r="B94" s="44"/>
      <c r="C94" s="10">
        <f t="shared" si="128"/>
        <v>0</v>
      </c>
      <c r="D94" s="91">
        <f t="shared" si="129"/>
        <v>4</v>
      </c>
      <c r="E94" s="278"/>
      <c r="F94" s="76">
        <v>5.3144</v>
      </c>
      <c r="G94" s="372">
        <v>88.517400984298064</v>
      </c>
      <c r="H94" s="46">
        <f t="shared" si="96"/>
        <v>-32.987250984298058</v>
      </c>
      <c r="I94" s="45">
        <f t="shared" si="97"/>
        <v>0</v>
      </c>
      <c r="J94" s="45">
        <f t="shared" si="98"/>
        <v>0.19391725365845511</v>
      </c>
      <c r="K94" s="45">
        <f t="shared" ca="1" si="122"/>
        <v>0.62676101449980381</v>
      </c>
      <c r="L94" s="358">
        <f t="shared" si="99"/>
        <v>0.55593677468735669</v>
      </c>
      <c r="M94" s="76">
        <f t="shared" ca="1" si="117"/>
        <v>0.25347808785320641</v>
      </c>
      <c r="N94" s="45">
        <f t="shared" ca="1" si="118"/>
        <v>0.25</v>
      </c>
      <c r="O94" s="45">
        <f t="shared" ca="1" si="119"/>
        <v>0</v>
      </c>
      <c r="P94" s="46" t="str">
        <f t="shared" ca="1" si="100"/>
        <v/>
      </c>
      <c r="Q94" s="243" t="str">
        <f t="shared" ca="1" si="101"/>
        <v/>
      </c>
      <c r="R94" s="45">
        <f t="shared" ca="1" si="123"/>
        <v>0.31707677408196261</v>
      </c>
      <c r="S94" s="45">
        <f t="shared" ca="1" si="102"/>
        <v>5.0695617570641283E-2</v>
      </c>
      <c r="T94" s="77">
        <f t="shared" ca="1" si="103"/>
        <v>0</v>
      </c>
      <c r="U94" s="45">
        <f t="shared" ca="1" si="124"/>
        <v>13.34012463628318</v>
      </c>
      <c r="V94" s="45">
        <f t="shared" ca="1" si="104"/>
        <v>0.20278247028256513</v>
      </c>
      <c r="W94" s="77">
        <f t="shared" ca="1" si="105"/>
        <v>0</v>
      </c>
      <c r="X94" s="45">
        <f t="shared" ca="1" si="125"/>
        <v>0.73376733265446092</v>
      </c>
      <c r="Y94" s="45">
        <f t="shared" ca="1" si="106"/>
        <v>0</v>
      </c>
      <c r="Z94" s="77">
        <f t="shared" ca="1" si="107"/>
        <v>0</v>
      </c>
      <c r="AA94" s="45">
        <f t="shared" ca="1" si="126"/>
        <v>39.45598320739802</v>
      </c>
      <c r="AB94" s="45">
        <f t="shared" ca="1" si="108"/>
        <v>0</v>
      </c>
      <c r="AC94" s="45" cm="1">
        <f t="array" aca="1" ref="AC94" ca="1">pHUM*(T94+W94+Z94+AD94)</f>
        <v>0</v>
      </c>
      <c r="AD94" s="77">
        <f t="shared" ca="1" si="109"/>
        <v>0</v>
      </c>
      <c r="AE94" s="45">
        <f t="shared" ca="1" si="127"/>
        <v>6.3847072090583081</v>
      </c>
      <c r="AF94" s="45">
        <f t="shared" ca="1" si="110"/>
        <v>0</v>
      </c>
      <c r="AG94" s="76">
        <f t="shared" ca="1" si="111"/>
        <v>60.231659159475932</v>
      </c>
      <c r="AH94" s="45">
        <f t="shared" ca="1" si="112"/>
        <v>0</v>
      </c>
      <c r="AI94" s="77">
        <f t="shared" ca="1" si="113"/>
        <v>1.3071323645799196E-2</v>
      </c>
      <c r="AJ94" s="384">
        <f t="shared" ca="1" si="120"/>
        <v>1.6076461244234341E-2</v>
      </c>
      <c r="AU94" s="1"/>
    </row>
    <row r="95" spans="2:47" x14ac:dyDescent="0.25">
      <c r="B95" s="44"/>
      <c r="C95" s="10">
        <f t="shared" si="128"/>
        <v>0</v>
      </c>
      <c r="D95" s="91">
        <f t="shared" si="129"/>
        <v>5</v>
      </c>
      <c r="E95" s="278"/>
      <c r="F95" s="76">
        <v>12.662516129032257</v>
      </c>
      <c r="G95" s="372">
        <v>89.413014608233681</v>
      </c>
      <c r="H95" s="46">
        <f t="shared" si="96"/>
        <v>-33.882864608233675</v>
      </c>
      <c r="I95" s="45">
        <f t="shared" si="97"/>
        <v>0</v>
      </c>
      <c r="J95" s="45">
        <f t="shared" si="98"/>
        <v>0.19052718077467024</v>
      </c>
      <c r="K95" s="45">
        <f t="shared" ca="1" si="122"/>
        <v>0.6158039414194908</v>
      </c>
      <c r="L95" s="358">
        <f t="shared" si="99"/>
        <v>0.78870900469063665</v>
      </c>
      <c r="M95" s="76">
        <f t="shared" ca="1" si="117"/>
        <v>0.25347808785320641</v>
      </c>
      <c r="N95" s="45">
        <f t="shared" ca="1" si="118"/>
        <v>0.25</v>
      </c>
      <c r="O95" s="45">
        <f t="shared" ca="1" si="119"/>
        <v>0</v>
      </c>
      <c r="P95" s="46" t="str">
        <f t="shared" ca="1" si="100"/>
        <v/>
      </c>
      <c r="Q95" s="243" t="str">
        <f t="shared" ca="1" si="101"/>
        <v/>
      </c>
      <c r="R95" s="45">
        <f t="shared" ca="1" si="123"/>
        <v>0.36777239165260389</v>
      </c>
      <c r="S95" s="45">
        <f t="shared" ca="1" si="102"/>
        <v>5.0695617570641283E-2</v>
      </c>
      <c r="T95" s="77">
        <f t="shared" ca="1" si="103"/>
        <v>0</v>
      </c>
      <c r="U95" s="45">
        <f t="shared" ca="1" si="124"/>
        <v>13.542907106565746</v>
      </c>
      <c r="V95" s="45">
        <f t="shared" ca="1" si="104"/>
        <v>0.20278247028256513</v>
      </c>
      <c r="W95" s="77">
        <f t="shared" ca="1" si="105"/>
        <v>0</v>
      </c>
      <c r="X95" s="45">
        <f t="shared" ca="1" si="125"/>
        <v>0.73376733265446092</v>
      </c>
      <c r="Y95" s="45">
        <f t="shared" ca="1" si="106"/>
        <v>0</v>
      </c>
      <c r="Z95" s="77">
        <f t="shared" ca="1" si="107"/>
        <v>0</v>
      </c>
      <c r="AA95" s="45">
        <f t="shared" ca="1" si="126"/>
        <v>39.45598320739802</v>
      </c>
      <c r="AB95" s="45">
        <f t="shared" ca="1" si="108"/>
        <v>0</v>
      </c>
      <c r="AC95" s="45" cm="1">
        <f t="array" aca="1" ref="AC95" ca="1">pHUM*(T95+W95+Z95+AD95)</f>
        <v>0</v>
      </c>
      <c r="AD95" s="77">
        <f t="shared" ca="1" si="109"/>
        <v>0</v>
      </c>
      <c r="AE95" s="45">
        <f t="shared" ca="1" si="127"/>
        <v>6.3847072090583081</v>
      </c>
      <c r="AF95" s="45">
        <f t="shared" ca="1" si="110"/>
        <v>0</v>
      </c>
      <c r="AG95" s="76">
        <f t="shared" ca="1" si="111"/>
        <v>60.485137247329135</v>
      </c>
      <c r="AH95" s="45">
        <f t="shared" ca="1" si="112"/>
        <v>0</v>
      </c>
      <c r="AI95" s="77">
        <f t="shared" ca="1" si="113"/>
        <v>1.3884674215804341E-2</v>
      </c>
      <c r="AJ95" s="384">
        <f t="shared" ca="1" si="120"/>
        <v>2.3803197699200362E-2</v>
      </c>
      <c r="AU95" s="1"/>
    </row>
    <row r="96" spans="2:47" x14ac:dyDescent="0.25">
      <c r="B96" s="44"/>
      <c r="C96" s="10">
        <f t="shared" si="128"/>
        <v>0</v>
      </c>
      <c r="D96" s="91">
        <f t="shared" si="129"/>
        <v>6</v>
      </c>
      <c r="E96" s="278"/>
      <c r="F96" s="76">
        <v>17.952400000000004</v>
      </c>
      <c r="G96" s="372">
        <v>83.948488098886401</v>
      </c>
      <c r="H96" s="46">
        <f t="shared" si="96"/>
        <v>-28.418338098886395</v>
      </c>
      <c r="I96" s="45">
        <f t="shared" si="97"/>
        <v>0</v>
      </c>
      <c r="J96" s="45">
        <f t="shared" si="98"/>
        <v>0.21095121603234232</v>
      </c>
      <c r="K96" s="45">
        <f t="shared" ca="1" si="122"/>
        <v>0.68181657730811884</v>
      </c>
      <c r="L96" s="358">
        <f t="shared" si="99"/>
        <v>0.89013124354981255</v>
      </c>
      <c r="M96" s="76">
        <f t="shared" ca="1" si="117"/>
        <v>0.25347808785320641</v>
      </c>
      <c r="N96" s="45">
        <f t="shared" ca="1" si="118"/>
        <v>0.25</v>
      </c>
      <c r="O96" s="45">
        <f t="shared" ca="1" si="119"/>
        <v>0</v>
      </c>
      <c r="P96" s="46" t="str">
        <f t="shared" ca="1" si="100"/>
        <v/>
      </c>
      <c r="Q96" s="243" t="str">
        <f t="shared" ca="1" si="101"/>
        <v/>
      </c>
      <c r="R96" s="45">
        <f t="shared" ca="1" si="123"/>
        <v>0.41846800922324517</v>
      </c>
      <c r="S96" s="45">
        <f t="shared" ca="1" si="102"/>
        <v>5.0695617570641283E-2</v>
      </c>
      <c r="T96" s="77">
        <f t="shared" ca="1" si="103"/>
        <v>0</v>
      </c>
      <c r="U96" s="45">
        <f t="shared" ca="1" si="124"/>
        <v>13.745689576848312</v>
      </c>
      <c r="V96" s="45">
        <f t="shared" ca="1" si="104"/>
        <v>0.20278247028256513</v>
      </c>
      <c r="W96" s="77">
        <f t="shared" ca="1" si="105"/>
        <v>0</v>
      </c>
      <c r="X96" s="45">
        <f t="shared" ca="1" si="125"/>
        <v>0.73376733265446092</v>
      </c>
      <c r="Y96" s="45">
        <f t="shared" ca="1" si="106"/>
        <v>0</v>
      </c>
      <c r="Z96" s="77">
        <f t="shared" ca="1" si="107"/>
        <v>0</v>
      </c>
      <c r="AA96" s="45">
        <f t="shared" ca="1" si="126"/>
        <v>39.45598320739802</v>
      </c>
      <c r="AB96" s="45">
        <f t="shared" ca="1" si="108"/>
        <v>0</v>
      </c>
      <c r="AC96" s="45" cm="1">
        <f t="array" aca="1" ref="AC96" ca="1">pHUM*(T96+W96+Z96+AD96)</f>
        <v>0</v>
      </c>
      <c r="AD96" s="77">
        <f t="shared" ca="1" si="109"/>
        <v>0</v>
      </c>
      <c r="AE96" s="45">
        <f t="shared" ca="1" si="127"/>
        <v>6.3847072090583081</v>
      </c>
      <c r="AF96" s="45">
        <f t="shared" ca="1" si="110"/>
        <v>0</v>
      </c>
      <c r="AG96" s="76">
        <f t="shared" ca="1" si="111"/>
        <v>60.738615335182345</v>
      </c>
      <c r="AH96" s="45">
        <f t="shared" ca="1" si="112"/>
        <v>0</v>
      </c>
      <c r="AI96" s="77">
        <f t="shared" ca="1" si="113"/>
        <v>1.4690438705825657E-2</v>
      </c>
      <c r="AJ96" s="384">
        <f t="shared" ca="1" si="120"/>
        <v>3.1469770201466574E-2</v>
      </c>
      <c r="AU96" s="1"/>
    </row>
    <row r="97" spans="2:47" x14ac:dyDescent="0.25">
      <c r="B97" s="44"/>
      <c r="C97" s="10">
        <f t="shared" si="128"/>
        <v>0</v>
      </c>
      <c r="D97" s="91">
        <f t="shared" si="129"/>
        <v>7</v>
      </c>
      <c r="E97" s="278"/>
      <c r="F97" s="76">
        <v>21.363032258064525</v>
      </c>
      <c r="G97" s="372">
        <v>73.679575814389409</v>
      </c>
      <c r="H97" s="46">
        <f t="shared" si="96"/>
        <v>-18.149425814389403</v>
      </c>
      <c r="I97" s="45">
        <f t="shared" si="97"/>
        <v>0</v>
      </c>
      <c r="J97" s="45">
        <f t="shared" si="98"/>
        <v>0.2468878570948656</v>
      </c>
      <c r="K97" s="45">
        <f t="shared" ca="1" si="122"/>
        <v>0.79796759113040194</v>
      </c>
      <c r="L97" s="358">
        <f t="shared" si="99"/>
        <v>0.92905557700722019</v>
      </c>
      <c r="M97" s="76">
        <f t="shared" ca="1" si="117"/>
        <v>0.25347808785320641</v>
      </c>
      <c r="N97" s="45">
        <f t="shared" ca="1" si="118"/>
        <v>0.25</v>
      </c>
      <c r="O97" s="45">
        <f t="shared" ca="1" si="119"/>
        <v>0</v>
      </c>
      <c r="P97" s="46" t="str">
        <f t="shared" ca="1" si="100"/>
        <v/>
      </c>
      <c r="Q97" s="243" t="str">
        <f t="shared" ca="1" si="101"/>
        <v/>
      </c>
      <c r="R97" s="45">
        <f t="shared" ca="1" si="123"/>
        <v>0.46916362679388646</v>
      </c>
      <c r="S97" s="45">
        <f t="shared" ca="1" si="102"/>
        <v>5.0695617570641283E-2</v>
      </c>
      <c r="T97" s="77">
        <f t="shared" ca="1" si="103"/>
        <v>0</v>
      </c>
      <c r="U97" s="45">
        <f t="shared" ca="1" si="124"/>
        <v>13.948472047130878</v>
      </c>
      <c r="V97" s="45">
        <f t="shared" ca="1" si="104"/>
        <v>0.20278247028256513</v>
      </c>
      <c r="W97" s="77">
        <f t="shared" ca="1" si="105"/>
        <v>0</v>
      </c>
      <c r="X97" s="45">
        <f t="shared" ca="1" si="125"/>
        <v>0.73376733265446092</v>
      </c>
      <c r="Y97" s="45">
        <f t="shared" ca="1" si="106"/>
        <v>0</v>
      </c>
      <c r="Z97" s="77">
        <f t="shared" ca="1" si="107"/>
        <v>0</v>
      </c>
      <c r="AA97" s="45">
        <f t="shared" ca="1" si="126"/>
        <v>39.45598320739802</v>
      </c>
      <c r="AB97" s="45">
        <f t="shared" ca="1" si="108"/>
        <v>0</v>
      </c>
      <c r="AC97" s="45" cm="1">
        <f t="array" aca="1" ref="AC97" ca="1">pHUM*(T97+W97+Z97+AD97)</f>
        <v>0</v>
      </c>
      <c r="AD97" s="77">
        <f t="shared" ca="1" si="109"/>
        <v>0</v>
      </c>
      <c r="AE97" s="45">
        <f t="shared" ca="1" si="127"/>
        <v>6.3847072090583081</v>
      </c>
      <c r="AF97" s="45">
        <f t="shared" ca="1" si="110"/>
        <v>0</v>
      </c>
      <c r="AG97" s="76">
        <f t="shared" ca="1" si="111"/>
        <v>60.992093423035548</v>
      </c>
      <c r="AH97" s="45">
        <f t="shared" ca="1" si="112"/>
        <v>0</v>
      </c>
      <c r="AI97" s="77">
        <f t="shared" ca="1" si="113"/>
        <v>1.5488722755695879E-2</v>
      </c>
      <c r="AJ97" s="384">
        <f t="shared" ca="1" si="120"/>
        <v>4.0529948002009375E-2</v>
      </c>
      <c r="AU97" s="1"/>
    </row>
    <row r="98" spans="2:47" x14ac:dyDescent="0.25">
      <c r="B98" s="44"/>
      <c r="C98" s="10">
        <f t="shared" si="128"/>
        <v>0</v>
      </c>
      <c r="D98" s="91">
        <f t="shared" si="129"/>
        <v>8</v>
      </c>
      <c r="E98" s="278"/>
      <c r="F98" s="76">
        <v>21.84690322580645</v>
      </c>
      <c r="G98" s="372">
        <v>71.917724933598876</v>
      </c>
      <c r="H98" s="46">
        <f t="shared" si="96"/>
        <v>-16.38757493359887</v>
      </c>
      <c r="I98" s="45">
        <f t="shared" si="97"/>
        <v>0</v>
      </c>
      <c r="J98" s="45">
        <f t="shared" si="98"/>
        <v>0.25260629061506468</v>
      </c>
      <c r="K98" s="45">
        <f t="shared" ca="1" si="122"/>
        <v>0.81645017133846476</v>
      </c>
      <c r="L98" s="358">
        <f t="shared" si="99"/>
        <v>0.93325603418156189</v>
      </c>
      <c r="M98" s="76">
        <f t="shared" ca="1" si="117"/>
        <v>0.25347808785320641</v>
      </c>
      <c r="N98" s="45">
        <f t="shared" ca="1" si="118"/>
        <v>0.25</v>
      </c>
      <c r="O98" s="45">
        <f t="shared" ca="1" si="119"/>
        <v>0</v>
      </c>
      <c r="P98" s="46" t="str">
        <f t="shared" ca="1" si="100"/>
        <v/>
      </c>
      <c r="Q98" s="243" t="str">
        <f t="shared" ca="1" si="101"/>
        <v/>
      </c>
      <c r="R98" s="45">
        <f t="shared" ca="1" si="123"/>
        <v>0.51985924436452779</v>
      </c>
      <c r="S98" s="45">
        <f t="shared" ca="1" si="102"/>
        <v>5.0695617570641283E-2</v>
      </c>
      <c r="T98" s="77">
        <f t="shared" ca="1" si="103"/>
        <v>0</v>
      </c>
      <c r="U98" s="45">
        <f t="shared" ca="1" si="124"/>
        <v>14.151254517413443</v>
      </c>
      <c r="V98" s="45">
        <f t="shared" ca="1" si="104"/>
        <v>0.20278247028256513</v>
      </c>
      <c r="W98" s="77">
        <f t="shared" ca="1" si="105"/>
        <v>0</v>
      </c>
      <c r="X98" s="45">
        <f t="shared" ca="1" si="125"/>
        <v>0.73376733265446092</v>
      </c>
      <c r="Y98" s="45">
        <f t="shared" ca="1" si="106"/>
        <v>0</v>
      </c>
      <c r="Z98" s="77">
        <f t="shared" ca="1" si="107"/>
        <v>0</v>
      </c>
      <c r="AA98" s="45">
        <f t="shared" ca="1" si="126"/>
        <v>39.45598320739802</v>
      </c>
      <c r="AB98" s="45">
        <f t="shared" ca="1" si="108"/>
        <v>0</v>
      </c>
      <c r="AC98" s="45" cm="1">
        <f t="array" aca="1" ref="AC98" ca="1">pHUM*(T98+W98+Z98+AD98)</f>
        <v>0</v>
      </c>
      <c r="AD98" s="77">
        <f t="shared" ca="1" si="109"/>
        <v>0</v>
      </c>
      <c r="AE98" s="45">
        <f t="shared" ca="1" si="127"/>
        <v>6.3847072090583081</v>
      </c>
      <c r="AF98" s="45">
        <f t="shared" ca="1" si="110"/>
        <v>0</v>
      </c>
      <c r="AG98" s="76">
        <f t="shared" ca="1" si="111"/>
        <v>61.245571510888759</v>
      </c>
      <c r="AH98" s="45">
        <f t="shared" ca="1" si="112"/>
        <v>0</v>
      </c>
      <c r="AI98" s="77">
        <f t="shared" ca="1" si="113"/>
        <v>1.6279630052862697E-2</v>
      </c>
      <c r="AJ98" s="384">
        <f t="shared" ca="1" si="120"/>
        <v>4.3783167991721106E-2</v>
      </c>
      <c r="AU98" s="1"/>
    </row>
    <row r="99" spans="2:47" x14ac:dyDescent="0.25">
      <c r="B99" s="44"/>
      <c r="C99" s="10">
        <f t="shared" si="128"/>
        <v>0</v>
      </c>
      <c r="D99" s="91">
        <f t="shared" si="129"/>
        <v>9</v>
      </c>
      <c r="E99" s="278"/>
      <c r="F99" s="76">
        <v>19.915099999999999</v>
      </c>
      <c r="G99" s="372">
        <v>90.121120170480822</v>
      </c>
      <c r="H99" s="46">
        <f t="shared" si="96"/>
        <v>-34.590970170480816</v>
      </c>
      <c r="I99" s="45">
        <f t="shared" si="97"/>
        <v>0</v>
      </c>
      <c r="J99" s="45">
        <f t="shared" si="98"/>
        <v>0.18783711693191202</v>
      </c>
      <c r="K99" s="45">
        <f t="shared" ca="1" si="122"/>
        <v>0.60710937138331467</v>
      </c>
      <c r="L99" s="358">
        <f t="shared" si="99"/>
        <v>0.91464137695305081</v>
      </c>
      <c r="M99" s="76">
        <f t="shared" ca="1" si="117"/>
        <v>0.25347808785320641</v>
      </c>
      <c r="N99" s="45">
        <f t="shared" ca="1" si="118"/>
        <v>0.25</v>
      </c>
      <c r="O99" s="45">
        <f t="shared" ca="1" si="119"/>
        <v>0</v>
      </c>
      <c r="P99" s="46" t="str">
        <f t="shared" ca="1" si="100"/>
        <v/>
      </c>
      <c r="Q99" s="243" t="str">
        <f t="shared" ca="1" si="101"/>
        <v/>
      </c>
      <c r="R99" s="45">
        <f t="shared" ca="1" si="123"/>
        <v>0.57055486193516902</v>
      </c>
      <c r="S99" s="45">
        <f t="shared" ca="1" si="102"/>
        <v>5.0695617570641283E-2</v>
      </c>
      <c r="T99" s="77">
        <f t="shared" ca="1" si="103"/>
        <v>0</v>
      </c>
      <c r="U99" s="45">
        <f t="shared" ca="1" si="124"/>
        <v>14.354036987696009</v>
      </c>
      <c r="V99" s="45">
        <f t="shared" ca="1" si="104"/>
        <v>0.20278247028256513</v>
      </c>
      <c r="W99" s="77">
        <f t="shared" ca="1" si="105"/>
        <v>0</v>
      </c>
      <c r="X99" s="45">
        <f t="shared" ca="1" si="125"/>
        <v>0.73376733265446092</v>
      </c>
      <c r="Y99" s="45">
        <f t="shared" ca="1" si="106"/>
        <v>0</v>
      </c>
      <c r="Z99" s="77">
        <f t="shared" ca="1" si="107"/>
        <v>0</v>
      </c>
      <c r="AA99" s="45">
        <f t="shared" ca="1" si="126"/>
        <v>39.45598320739802</v>
      </c>
      <c r="AB99" s="45">
        <f t="shared" ca="1" si="108"/>
        <v>0</v>
      </c>
      <c r="AC99" s="45" cm="1">
        <f t="array" aca="1" ref="AC99" ca="1">pHUM*(T99+W99+Z99+AD99)</f>
        <v>0</v>
      </c>
      <c r="AD99" s="77">
        <f t="shared" ca="1" si="109"/>
        <v>0</v>
      </c>
      <c r="AE99" s="45">
        <f t="shared" ca="1" si="127"/>
        <v>6.3847072090583081</v>
      </c>
      <c r="AF99" s="45">
        <f t="shared" ca="1" si="110"/>
        <v>0</v>
      </c>
      <c r="AG99" s="76">
        <f t="shared" ca="1" si="111"/>
        <v>61.499049598741962</v>
      </c>
      <c r="AH99" s="45">
        <f t="shared" ca="1" si="112"/>
        <v>0</v>
      </c>
      <c r="AI99" s="77">
        <f t="shared" ca="1" si="113"/>
        <v>1.7063262377285122E-2</v>
      </c>
      <c r="AJ99" s="384">
        <f t="shared" ca="1" si="120"/>
        <v>3.3443848387063602E-2</v>
      </c>
      <c r="AU99" s="1"/>
    </row>
    <row r="100" spans="2:47" x14ac:dyDescent="0.25">
      <c r="B100" s="44"/>
      <c r="C100" s="10">
        <f t="shared" si="128"/>
        <v>0</v>
      </c>
      <c r="D100" s="91">
        <f t="shared" si="129"/>
        <v>10</v>
      </c>
      <c r="E100" s="278"/>
      <c r="F100" s="76">
        <v>16.404967741935486</v>
      </c>
      <c r="G100" s="372">
        <v>93.270963763991602</v>
      </c>
      <c r="H100" s="46">
        <f t="shared" si="96"/>
        <v>-37.740813763991596</v>
      </c>
      <c r="I100" s="45">
        <f t="shared" si="97"/>
        <v>0</v>
      </c>
      <c r="J100" s="45">
        <f t="shared" si="98"/>
        <v>0.1757835150476853</v>
      </c>
      <c r="K100" s="45">
        <f t="shared" ca="1" si="122"/>
        <v>0.56815085891056294</v>
      </c>
      <c r="L100" s="358">
        <f t="shared" si="99"/>
        <v>0.86618676922472848</v>
      </c>
      <c r="M100" s="76">
        <f t="shared" ca="1" si="117"/>
        <v>0.25347808785320641</v>
      </c>
      <c r="N100" s="45">
        <f t="shared" ca="1" si="118"/>
        <v>0.25</v>
      </c>
      <c r="O100" s="45">
        <f t="shared" ca="1" si="119"/>
        <v>0</v>
      </c>
      <c r="P100" s="46" t="str">
        <f t="shared" ca="1" si="100"/>
        <v/>
      </c>
      <c r="Q100" s="243" t="str">
        <f t="shared" ca="1" si="101"/>
        <v/>
      </c>
      <c r="R100" s="45">
        <f t="shared" ca="1" si="123"/>
        <v>0.62125047950581025</v>
      </c>
      <c r="S100" s="45">
        <f t="shared" ca="1" si="102"/>
        <v>5.0695617570641283E-2</v>
      </c>
      <c r="T100" s="77">
        <f t="shared" ca="1" si="103"/>
        <v>0</v>
      </c>
      <c r="U100" s="45">
        <f t="shared" ca="1" si="124"/>
        <v>14.556819457978575</v>
      </c>
      <c r="V100" s="45">
        <f t="shared" ca="1" si="104"/>
        <v>0.20278247028256513</v>
      </c>
      <c r="W100" s="77">
        <f t="shared" ca="1" si="105"/>
        <v>0</v>
      </c>
      <c r="X100" s="45">
        <f t="shared" ca="1" si="125"/>
        <v>0.73376733265446092</v>
      </c>
      <c r="Y100" s="45">
        <f t="shared" ca="1" si="106"/>
        <v>0</v>
      </c>
      <c r="Z100" s="77">
        <f t="shared" ca="1" si="107"/>
        <v>0</v>
      </c>
      <c r="AA100" s="45">
        <f t="shared" ca="1" si="126"/>
        <v>39.45598320739802</v>
      </c>
      <c r="AB100" s="45">
        <f t="shared" ca="1" si="108"/>
        <v>0</v>
      </c>
      <c r="AC100" s="45" cm="1">
        <f t="array" aca="1" ref="AC100" ca="1">pHUM*(T100+W100+Z100+AD100)</f>
        <v>0</v>
      </c>
      <c r="AD100" s="77">
        <f t="shared" ca="1" si="109"/>
        <v>0</v>
      </c>
      <c r="AE100" s="45">
        <f t="shared" ca="1" si="127"/>
        <v>6.3847072090583081</v>
      </c>
      <c r="AF100" s="45">
        <f t="shared" ca="1" si="110"/>
        <v>0</v>
      </c>
      <c r="AG100" s="76">
        <f t="shared" ca="1" si="111"/>
        <v>61.752527686595172</v>
      </c>
      <c r="AH100" s="45">
        <f t="shared" ca="1" si="112"/>
        <v>0</v>
      </c>
      <c r="AI100" s="77">
        <f t="shared" ca="1" si="113"/>
        <v>1.783971964509664E-2</v>
      </c>
      <c r="AJ100" s="384">
        <f t="shared" ca="1" si="120"/>
        <v>3.0988506118351244E-2</v>
      </c>
      <c r="AU100" s="1"/>
    </row>
    <row r="101" spans="2:47" x14ac:dyDescent="0.25">
      <c r="B101" s="44"/>
      <c r="C101" s="10">
        <f t="shared" si="128"/>
        <v>0</v>
      </c>
      <c r="D101" s="91">
        <f t="shared" si="129"/>
        <v>11</v>
      </c>
      <c r="E101" s="278"/>
      <c r="F101" s="76">
        <v>8.5982333333333347</v>
      </c>
      <c r="G101" s="372">
        <v>93.768190396309464</v>
      </c>
      <c r="H101" s="46">
        <f t="shared" si="96"/>
        <v>-38.238040396309458</v>
      </c>
      <c r="I101" s="45">
        <f t="shared" si="97"/>
        <v>0</v>
      </c>
      <c r="J101" s="45">
        <f t="shared" si="98"/>
        <v>0.17386998013358751</v>
      </c>
      <c r="K101" s="45">
        <f t="shared" ca="1" si="122"/>
        <v>0.56196611226520721</v>
      </c>
      <c r="L101" s="358">
        <f t="shared" si="99"/>
        <v>0.6712335176859634</v>
      </c>
      <c r="M101" s="76">
        <f t="shared" ca="1" si="117"/>
        <v>0.25347808785320641</v>
      </c>
      <c r="N101" s="45">
        <f t="shared" ca="1" si="118"/>
        <v>0.25</v>
      </c>
      <c r="O101" s="45">
        <f t="shared" ca="1" si="119"/>
        <v>0</v>
      </c>
      <c r="P101" s="46" t="str">
        <f t="shared" ca="1" si="100"/>
        <v/>
      </c>
      <c r="Q101" s="243" t="str">
        <f t="shared" ca="1" si="101"/>
        <v/>
      </c>
      <c r="R101" s="45">
        <f t="shared" ca="1" si="123"/>
        <v>0.67194609707645148</v>
      </c>
      <c r="S101" s="45">
        <f t="shared" ca="1" si="102"/>
        <v>5.0695617570641283E-2</v>
      </c>
      <c r="T101" s="77">
        <f t="shared" ca="1" si="103"/>
        <v>0</v>
      </c>
      <c r="U101" s="45">
        <f t="shared" ca="1" si="124"/>
        <v>14.759601928261141</v>
      </c>
      <c r="V101" s="45">
        <f t="shared" ca="1" si="104"/>
        <v>0.20278247028256513</v>
      </c>
      <c r="W101" s="77">
        <f t="shared" ca="1" si="105"/>
        <v>0</v>
      </c>
      <c r="X101" s="45">
        <f t="shared" ca="1" si="125"/>
        <v>0.73376733265446092</v>
      </c>
      <c r="Y101" s="45">
        <f t="shared" ca="1" si="106"/>
        <v>0</v>
      </c>
      <c r="Z101" s="77">
        <f t="shared" ca="1" si="107"/>
        <v>0</v>
      </c>
      <c r="AA101" s="45">
        <f t="shared" ca="1" si="126"/>
        <v>39.45598320739802</v>
      </c>
      <c r="AB101" s="45">
        <f t="shared" ca="1" si="108"/>
        <v>0</v>
      </c>
      <c r="AC101" s="45" cm="1">
        <f t="array" aca="1" ref="AC101" ca="1">pHUM*(T101+W101+Z101+AD101)</f>
        <v>0</v>
      </c>
      <c r="AD101" s="77">
        <f t="shared" ca="1" si="109"/>
        <v>0</v>
      </c>
      <c r="AE101" s="45">
        <f t="shared" ca="1" si="127"/>
        <v>6.3847072090583081</v>
      </c>
      <c r="AF101" s="45">
        <f t="shared" ca="1" si="110"/>
        <v>0</v>
      </c>
      <c r="AG101" s="76">
        <f t="shared" ca="1" si="111"/>
        <v>62.006005774448383</v>
      </c>
      <c r="AH101" s="45">
        <f t="shared" ca="1" si="112"/>
        <v>0</v>
      </c>
      <c r="AI101" s="77">
        <f t="shared" ca="1" si="113"/>
        <v>1.8609099951074431E-2</v>
      </c>
      <c r="AJ101" s="384">
        <f t="shared" ca="1" si="120"/>
        <v>2.477702036401519E-2</v>
      </c>
      <c r="AU101" s="1"/>
    </row>
    <row r="102" spans="2:47" x14ac:dyDescent="0.25">
      <c r="B102" s="44"/>
      <c r="C102" s="10">
        <f t="shared" si="128"/>
        <v>0</v>
      </c>
      <c r="D102" s="91">
        <f t="shared" si="129"/>
        <v>12</v>
      </c>
      <c r="E102" s="278"/>
      <c r="F102" s="76">
        <v>5.8543548387096775</v>
      </c>
      <c r="G102" s="372">
        <v>92.353978821555827</v>
      </c>
      <c r="H102" s="46">
        <f t="shared" si="96"/>
        <v>-36.823828821555821</v>
      </c>
      <c r="I102" s="45">
        <f t="shared" si="97"/>
        <v>0</v>
      </c>
      <c r="J102" s="45">
        <f t="shared" si="98"/>
        <v>0.17930557122010893</v>
      </c>
      <c r="K102" s="45">
        <f t="shared" ca="1" si="122"/>
        <v>0.57953451589882432</v>
      </c>
      <c r="L102" s="358">
        <f t="shared" si="99"/>
        <v>0.57570255434605899</v>
      </c>
      <c r="M102" s="76">
        <f t="shared" ca="1" si="117"/>
        <v>0.25347808785320641</v>
      </c>
      <c r="N102" s="45">
        <f t="shared" ca="1" si="118"/>
        <v>0.25</v>
      </c>
      <c r="O102" s="45">
        <f t="shared" ca="1" si="119"/>
        <v>0</v>
      </c>
      <c r="P102" s="46" t="str">
        <f t="shared" ca="1" si="100"/>
        <v/>
      </c>
      <c r="Q102" s="243" t="str">
        <f t="shared" ca="1" si="101"/>
        <v/>
      </c>
      <c r="R102" s="45">
        <f t="shared" ca="1" si="123"/>
        <v>0.7226417146470927</v>
      </c>
      <c r="S102" s="45">
        <f t="shared" ca="1" si="102"/>
        <v>5.0695617570641283E-2</v>
      </c>
      <c r="T102" s="77">
        <f t="shared" ca="1" si="103"/>
        <v>0</v>
      </c>
      <c r="U102" s="45">
        <f t="shared" ca="1" si="124"/>
        <v>14.962384398543707</v>
      </c>
      <c r="V102" s="45">
        <f t="shared" ca="1" si="104"/>
        <v>0.20278247028256513</v>
      </c>
      <c r="W102" s="77">
        <f t="shared" ca="1" si="105"/>
        <v>0</v>
      </c>
      <c r="X102" s="45">
        <f t="shared" ca="1" si="125"/>
        <v>0.73376733265446092</v>
      </c>
      <c r="Y102" s="45">
        <f t="shared" ca="1" si="106"/>
        <v>0</v>
      </c>
      <c r="Z102" s="77">
        <f t="shared" ca="1" si="107"/>
        <v>0</v>
      </c>
      <c r="AA102" s="45">
        <f t="shared" ca="1" si="126"/>
        <v>39.45598320739802</v>
      </c>
      <c r="AB102" s="45">
        <f t="shared" ca="1" si="108"/>
        <v>0</v>
      </c>
      <c r="AC102" s="45" cm="1">
        <f t="array" aca="1" ref="AC102" ca="1">pHUM*(T102+W102+Z102+AD102)</f>
        <v>0</v>
      </c>
      <c r="AD102" s="77">
        <f t="shared" ca="1" si="109"/>
        <v>0</v>
      </c>
      <c r="AE102" s="45">
        <f t="shared" ca="1" si="127"/>
        <v>6.3847072090583081</v>
      </c>
      <c r="AF102" s="45">
        <f t="shared" ca="1" si="110"/>
        <v>0</v>
      </c>
      <c r="AG102" s="76">
        <f t="shared" ca="1" si="111"/>
        <v>62.259483862301586</v>
      </c>
      <c r="AH102" s="45">
        <f t="shared" ca="1" si="112"/>
        <v>0</v>
      </c>
      <c r="AI102" s="77">
        <f t="shared" ca="1" si="113"/>
        <v>1.9371499609952679E-2</v>
      </c>
      <c r="AJ102" s="384">
        <f t="shared" ca="1" si="120"/>
        <v>2.2812950449356828E-2</v>
      </c>
      <c r="AU102" s="1"/>
    </row>
    <row r="103" spans="2:47" x14ac:dyDescent="0.25">
      <c r="B103" s="44"/>
      <c r="C103" s="10">
        <f t="shared" si="128"/>
        <v>1</v>
      </c>
      <c r="D103" s="91">
        <f t="shared" si="129"/>
        <v>1</v>
      </c>
      <c r="E103" s="278"/>
      <c r="F103" s="76">
        <v>2.2624333333333326</v>
      </c>
      <c r="G103" s="372">
        <v>87.461548542671366</v>
      </c>
      <c r="H103" s="46">
        <f t="shared" si="96"/>
        <v>-31.93139854267136</v>
      </c>
      <c r="I103" s="45">
        <f t="shared" si="97"/>
        <v>0</v>
      </c>
      <c r="J103" s="45">
        <f t="shared" si="98"/>
        <v>0.19789456043296222</v>
      </c>
      <c r="K103" s="45">
        <f t="shared" ca="1" si="122"/>
        <v>0.63961608944510806</v>
      </c>
      <c r="L103" s="358">
        <f t="shared" si="99"/>
        <v>0.44266298791276926</v>
      </c>
      <c r="M103" s="76">
        <f t="shared" ca="1" si="117"/>
        <v>0.25347808785320641</v>
      </c>
      <c r="N103" s="45">
        <f t="shared" ca="1" si="118"/>
        <v>0.25</v>
      </c>
      <c r="O103" s="45">
        <f t="shared" ca="1" si="119"/>
        <v>0</v>
      </c>
      <c r="P103" s="46" t="str">
        <f t="shared" ca="1" si="100"/>
        <v/>
      </c>
      <c r="Q103" s="243" t="str">
        <f t="shared" ca="1" si="101"/>
        <v/>
      </c>
      <c r="R103" s="45">
        <f t="shared" ca="1" si="123"/>
        <v>0.77333733221773393</v>
      </c>
      <c r="S103" s="45">
        <f t="shared" ca="1" si="102"/>
        <v>5.0695617570641283E-2</v>
      </c>
      <c r="T103" s="77">
        <f t="shared" ca="1" si="103"/>
        <v>0</v>
      </c>
      <c r="U103" s="45">
        <f t="shared" ca="1" si="124"/>
        <v>15.165166868826272</v>
      </c>
      <c r="V103" s="45">
        <f t="shared" ca="1" si="104"/>
        <v>0.20278247028256513</v>
      </c>
      <c r="W103" s="77">
        <f t="shared" ca="1" si="105"/>
        <v>0</v>
      </c>
      <c r="X103" s="45">
        <f t="shared" ca="1" si="125"/>
        <v>0.73376733265446092</v>
      </c>
      <c r="Y103" s="45">
        <f t="shared" ca="1" si="106"/>
        <v>0</v>
      </c>
      <c r="Z103" s="77">
        <f t="shared" ca="1" si="107"/>
        <v>0</v>
      </c>
      <c r="AA103" s="45">
        <f t="shared" ca="1" si="126"/>
        <v>39.45598320739802</v>
      </c>
      <c r="AB103" s="45">
        <f t="shared" ca="1" si="108"/>
        <v>0</v>
      </c>
      <c r="AC103" s="45" cm="1">
        <f t="array" aca="1" ref="AC103" ca="1">pHUM*(T103+W103+Z103+AD103)</f>
        <v>0</v>
      </c>
      <c r="AD103" s="77">
        <f t="shared" ca="1" si="109"/>
        <v>0</v>
      </c>
      <c r="AE103" s="45">
        <f t="shared" ca="1" si="127"/>
        <v>6.3847072090583081</v>
      </c>
      <c r="AF103" s="45">
        <f t="shared" ca="1" si="110"/>
        <v>0</v>
      </c>
      <c r="AG103" s="76">
        <f t="shared" ca="1" si="111"/>
        <v>62.512961950154789</v>
      </c>
      <c r="AH103" s="45">
        <f t="shared" ca="1" si="112"/>
        <v>0</v>
      </c>
      <c r="AI103" s="77">
        <f t="shared" ca="1" si="113"/>
        <v>2.0127013196616365E-2</v>
      </c>
      <c r="AJ103" s="384">
        <f t="shared" ca="1" si="120"/>
        <v>2.0114710190043406E-2</v>
      </c>
      <c r="AU103" s="1"/>
    </row>
    <row r="104" spans="2:47" x14ac:dyDescent="0.25">
      <c r="B104" s="44"/>
      <c r="C104" s="10">
        <f t="shared" si="128"/>
        <v>1</v>
      </c>
      <c r="D104" s="91">
        <f t="shared" si="129"/>
        <v>2</v>
      </c>
      <c r="E104" s="278"/>
      <c r="F104" s="76">
        <v>1.5363448275862068</v>
      </c>
      <c r="G104" s="375">
        <v>89.651029216467379</v>
      </c>
      <c r="H104" s="46">
        <f t="shared" si="96"/>
        <v>-34.120879216467372</v>
      </c>
      <c r="I104" s="45">
        <f t="shared" si="97"/>
        <v>0</v>
      </c>
      <c r="J104" s="45">
        <f t="shared" si="98"/>
        <v>0.18962389606700991</v>
      </c>
      <c r="K104" s="45">
        <f t="shared" ca="1" si="122"/>
        <v>0.61288442998317227</v>
      </c>
      <c r="L104" s="358">
        <f t="shared" si="99"/>
        <v>0.41613501220093307</v>
      </c>
      <c r="M104" s="76">
        <f t="shared" ca="1" si="117"/>
        <v>0.25347808785320641</v>
      </c>
      <c r="N104" s="45">
        <f t="shared" ca="1" si="118"/>
        <v>0.25</v>
      </c>
      <c r="O104" s="45">
        <f t="shared" ca="1" si="119"/>
        <v>0</v>
      </c>
      <c r="P104" s="46" t="str">
        <f t="shared" ca="1" si="100"/>
        <v/>
      </c>
      <c r="Q104" s="243" t="str">
        <f t="shared" ca="1" si="101"/>
        <v/>
      </c>
      <c r="R104" s="45">
        <f t="shared" ca="1" si="123"/>
        <v>0.82403294978837516</v>
      </c>
      <c r="S104" s="45">
        <f t="shared" ca="1" si="102"/>
        <v>5.0695617570641283E-2</v>
      </c>
      <c r="T104" s="77">
        <f t="shared" ca="1" si="103"/>
        <v>0</v>
      </c>
      <c r="U104" s="45">
        <f t="shared" ca="1" si="124"/>
        <v>15.367949339108838</v>
      </c>
      <c r="V104" s="45">
        <f t="shared" ca="1" si="104"/>
        <v>0.20278247028256513</v>
      </c>
      <c r="W104" s="77">
        <f t="shared" ca="1" si="105"/>
        <v>0</v>
      </c>
      <c r="X104" s="45">
        <f t="shared" ca="1" si="125"/>
        <v>0.73376733265446092</v>
      </c>
      <c r="Y104" s="45">
        <f t="shared" ca="1" si="106"/>
        <v>0</v>
      </c>
      <c r="Z104" s="77">
        <f t="shared" ca="1" si="107"/>
        <v>0</v>
      </c>
      <c r="AA104" s="45">
        <f t="shared" ca="1" si="126"/>
        <v>39.45598320739802</v>
      </c>
      <c r="AB104" s="45">
        <f t="shared" ca="1" si="108"/>
        <v>0</v>
      </c>
      <c r="AC104" s="45" cm="1">
        <f t="array" aca="1" ref="AC104" ca="1">pHUM*(T104+W104+Z104+AD104)</f>
        <v>0</v>
      </c>
      <c r="AD104" s="77">
        <f t="shared" ca="1" si="109"/>
        <v>0</v>
      </c>
      <c r="AE104" s="45">
        <f t="shared" ca="1" si="127"/>
        <v>6.3847072090583081</v>
      </c>
      <c r="AF104" s="45">
        <f t="shared" ca="1" si="110"/>
        <v>0</v>
      </c>
      <c r="AG104" s="76">
        <f t="shared" ca="1" si="111"/>
        <v>62.766440038008</v>
      </c>
      <c r="AH104" s="45">
        <f t="shared" ca="1" si="112"/>
        <v>0</v>
      </c>
      <c r="AI104" s="77">
        <f t="shared" ca="1" si="113"/>
        <v>2.0875733585210891E-2</v>
      </c>
      <c r="AJ104" s="384">
        <f t="shared" ca="1" si="120"/>
        <v>1.8793037942167468E-2</v>
      </c>
      <c r="AU104" s="1"/>
    </row>
    <row r="105" spans="2:47" x14ac:dyDescent="0.25">
      <c r="B105" s="44"/>
      <c r="C105" s="10">
        <f t="shared" si="128"/>
        <v>1</v>
      </c>
      <c r="D105" s="91">
        <f t="shared" si="129"/>
        <v>3</v>
      </c>
      <c r="E105" s="278"/>
      <c r="F105" s="76">
        <f t="shared" ref="F105:F155" ca="1" si="134">OFFSET(Temperature,(C105+6)*12+D105,0)</f>
        <v>-0.57999999999999996</v>
      </c>
      <c r="G105" s="46">
        <f t="shared" ref="G105:G155" ca="1" si="135">MIN(MAX(G104+OFFSET(Rainfall,(C105+6)*12+D105,0)-OFFSET(PET,(C105+6)*12+D105,0),PWP),FC)</f>
        <v>55.530150000000006</v>
      </c>
      <c r="H105" s="46">
        <f t="shared" ca="1" si="96"/>
        <v>0</v>
      </c>
      <c r="I105" s="45">
        <f t="shared" ca="1" si="97"/>
        <v>8.1834107856600266E-2</v>
      </c>
      <c r="J105" s="45">
        <f t="shared" ca="1" si="98"/>
        <v>0.29595601705647312</v>
      </c>
      <c r="K105" s="45">
        <f t="shared" ca="1" si="122"/>
        <v>0.95656105889548582</v>
      </c>
      <c r="L105" s="358">
        <f t="shared" ca="1" si="99"/>
        <v>0.34200470507454295</v>
      </c>
      <c r="M105" s="76">
        <f t="shared" ca="1" si="117"/>
        <v>0.25347808785320641</v>
      </c>
      <c r="N105" s="45">
        <f t="shared" ca="1" si="118"/>
        <v>0.25</v>
      </c>
      <c r="O105" s="45">
        <f t="shared" ca="1" si="119"/>
        <v>0</v>
      </c>
      <c r="P105" s="46" t="str">
        <f t="shared" ca="1" si="100"/>
        <v/>
      </c>
      <c r="Q105" s="243" t="str">
        <f t="shared" ca="1" si="101"/>
        <v/>
      </c>
      <c r="R105" s="45">
        <f t="shared" ca="1" si="123"/>
        <v>0.87472856735901638</v>
      </c>
      <c r="S105" s="45">
        <f t="shared" ca="1" si="102"/>
        <v>5.0695617570641283E-2</v>
      </c>
      <c r="T105" s="77">
        <f t="shared" ca="1" si="103"/>
        <v>5.7663658411893172E-2</v>
      </c>
      <c r="U105" s="45">
        <f t="shared" ca="1" si="124"/>
        <v>15.570731809391404</v>
      </c>
      <c r="V105" s="45">
        <f t="shared" ca="1" si="104"/>
        <v>0.20278247028256513</v>
      </c>
      <c r="W105" s="77">
        <f t="shared" ca="1" si="105"/>
        <v>3.1822860115727096E-2</v>
      </c>
      <c r="X105" s="45">
        <f t="shared" ca="1" si="125"/>
        <v>0.73376733265446092</v>
      </c>
      <c r="Y105" s="45">
        <f t="shared" ca="1" si="106"/>
        <v>8.0952311051852646E-3</v>
      </c>
      <c r="Z105" s="77">
        <f t="shared" ca="1" si="107"/>
        <v>3.2951745785686258E-3</v>
      </c>
      <c r="AA105" s="45">
        <f t="shared" ca="1" si="126"/>
        <v>39.45598320739802</v>
      </c>
      <c r="AB105" s="45">
        <f t="shared" ca="1" si="108"/>
        <v>0</v>
      </c>
      <c r="AC105" s="45" cm="1">
        <f t="array" aca="1" ref="AC105" ca="1">pHUM*(T105+W105+Z105+AD105)</f>
        <v>9.52380130021796E-3</v>
      </c>
      <c r="AD105" s="77">
        <f t="shared" ca="1" si="109"/>
        <v>5.3810416733437944E-3</v>
      </c>
      <c r="AE105" s="45">
        <f t="shared" ca="1" si="127"/>
        <v>6.3847072090583081</v>
      </c>
      <c r="AF105" s="45">
        <f t="shared" ca="1" si="110"/>
        <v>0</v>
      </c>
      <c r="AG105" s="76">
        <f t="shared" ca="1" si="111"/>
        <v>63.01991812586121</v>
      </c>
      <c r="AH105" s="45">
        <f t="shared" ca="1" si="112"/>
        <v>8.0543702374129472E-2</v>
      </c>
      <c r="AI105" s="77">
        <f t="shared" ca="1" si="113"/>
        <v>2.1617751987201481E-2</v>
      </c>
      <c r="AJ105" s="384">
        <f t="shared" ca="1" si="120"/>
        <v>2.4962908153667307E-2</v>
      </c>
      <c r="AU105" s="1"/>
    </row>
    <row r="106" spans="2:47" x14ac:dyDescent="0.25">
      <c r="B106" s="44"/>
      <c r="C106" s="10">
        <f t="shared" si="128"/>
        <v>1</v>
      </c>
      <c r="D106" s="91">
        <f t="shared" si="129"/>
        <v>4</v>
      </c>
      <c r="E106" s="278"/>
      <c r="F106" s="76">
        <f t="shared" ca="1" si="134"/>
        <v>7.18</v>
      </c>
      <c r="G106" s="46">
        <f t="shared" ca="1" si="135"/>
        <v>29.828585295978598</v>
      </c>
      <c r="H106" s="46">
        <f t="shared" ca="1" si="96"/>
        <v>25.701564704021408</v>
      </c>
      <c r="I106" s="45">
        <f t="shared" ca="1" si="97"/>
        <v>0.34975431431902781</v>
      </c>
      <c r="J106" s="45">
        <f t="shared" ca="1" si="98"/>
        <v>0.29147915612483932</v>
      </c>
      <c r="K106" s="45">
        <f t="shared" ca="1" si="122"/>
        <v>0.94209137223094908</v>
      </c>
      <c r="L106" s="358">
        <f t="shared" ca="1" si="99"/>
        <v>0.62308014794471589</v>
      </c>
      <c r="M106" s="76">
        <f t="shared" ca="1" si="117"/>
        <v>0.25347808785320641</v>
      </c>
      <c r="N106" s="45">
        <f t="shared" ca="1" si="118"/>
        <v>0.25</v>
      </c>
      <c r="O106" s="45">
        <f t="shared" ca="1" si="119"/>
        <v>0</v>
      </c>
      <c r="P106" s="46" t="str">
        <f t="shared" ca="1" si="100"/>
        <v/>
      </c>
      <c r="Q106" s="243" t="str">
        <f t="shared" ca="1" si="101"/>
        <v/>
      </c>
      <c r="R106" s="45">
        <f t="shared" ca="1" si="123"/>
        <v>0.86776052651776447</v>
      </c>
      <c r="S106" s="45">
        <f t="shared" ca="1" si="102"/>
        <v>5.0695617570641283E-2</v>
      </c>
      <c r="T106" s="77">
        <f t="shared" ca="1" si="103"/>
        <v>0.21939549571502354</v>
      </c>
      <c r="U106" s="45">
        <f t="shared" ca="1" si="124"/>
        <v>15.741691419558244</v>
      </c>
      <c r="V106" s="45">
        <f t="shared" ca="1" si="104"/>
        <v>0.20278247028256513</v>
      </c>
      <c r="W106" s="77">
        <f t="shared" ca="1" si="105"/>
        <v>0.13704309640375761</v>
      </c>
      <c r="X106" s="45">
        <f t="shared" ca="1" si="125"/>
        <v>0.73856738918107756</v>
      </c>
      <c r="Y106" s="45">
        <f t="shared" ca="1" si="106"/>
        <v>3.2451422752081904E-2</v>
      </c>
      <c r="Z106" s="77">
        <f t="shared" ca="1" si="107"/>
        <v>1.4071663580796848E-2</v>
      </c>
      <c r="AA106" s="45">
        <f t="shared" ca="1" si="126"/>
        <v>39.460125967024894</v>
      </c>
      <c r="AB106" s="45">
        <f t="shared" ca="1" si="108"/>
        <v>0</v>
      </c>
      <c r="AC106" s="45" cm="1">
        <f t="array" aca="1" ref="AC106" ca="1">pHUM*(T106+W106+Z106+AD106)</f>
        <v>3.8178144414214008E-2</v>
      </c>
      <c r="AD106" s="77">
        <f t="shared" ca="1" si="109"/>
        <v>2.2995545856930595E-2</v>
      </c>
      <c r="AE106" s="45">
        <f t="shared" ca="1" si="127"/>
        <v>6.3847072090583081</v>
      </c>
      <c r="AF106" s="45">
        <f t="shared" ca="1" si="110"/>
        <v>0</v>
      </c>
      <c r="AG106" s="76">
        <f t="shared" ca="1" si="111"/>
        <v>63.192852511340284</v>
      </c>
      <c r="AH106" s="45">
        <f t="shared" ca="1" si="112"/>
        <v>0.32287623439021274</v>
      </c>
      <c r="AI106" s="77">
        <f t="shared" ca="1" si="113"/>
        <v>2.1529731944172979E-2</v>
      </c>
      <c r="AJ106" s="384">
        <f t="shared" ca="1" si="120"/>
        <v>4.4607448777486125E-2</v>
      </c>
      <c r="AU106" s="1"/>
    </row>
    <row r="107" spans="2:47" x14ac:dyDescent="0.25">
      <c r="B107" s="44"/>
      <c r="C107" s="10">
        <f t="shared" si="128"/>
        <v>1</v>
      </c>
      <c r="D107" s="91">
        <f t="shared" si="129"/>
        <v>5</v>
      </c>
      <c r="E107" s="278"/>
      <c r="F107" s="76">
        <f t="shared" ca="1" si="134"/>
        <v>14.05</v>
      </c>
      <c r="G107" s="46">
        <f t="shared" ca="1" si="135"/>
        <v>27.012600000000003</v>
      </c>
      <c r="H107" s="46">
        <f t="shared" ca="1" si="96"/>
        <v>28.517550000000004</v>
      </c>
      <c r="I107" s="45">
        <f t="shared" ca="1" si="97"/>
        <v>0.75173784437395219</v>
      </c>
      <c r="J107" s="45">
        <f t="shared" ca="1" si="98"/>
        <v>0.27952512346894071</v>
      </c>
      <c r="K107" s="45">
        <f t="shared" ca="1" si="122"/>
        <v>0.90345467800480783</v>
      </c>
      <c r="L107" s="358">
        <f t="shared" ca="1" si="99"/>
        <v>0.82085140481213359</v>
      </c>
      <c r="M107" s="76">
        <f t="shared" ca="1" si="117"/>
        <v>0.25347808785320641</v>
      </c>
      <c r="N107" s="45">
        <f t="shared" ca="1" si="118"/>
        <v>0.25</v>
      </c>
      <c r="O107" s="45">
        <f t="shared" ca="1" si="119"/>
        <v>0</v>
      </c>
      <c r="P107" s="46" t="str">
        <f t="shared" ca="1" si="100"/>
        <v/>
      </c>
      <c r="Q107" s="243" t="str">
        <f t="shared" ca="1" si="101"/>
        <v/>
      </c>
      <c r="R107" s="45">
        <f t="shared" ca="1" si="123"/>
        <v>0.69906064837338233</v>
      </c>
      <c r="S107" s="45">
        <f t="shared" ca="1" si="102"/>
        <v>5.0695617570641283E-2</v>
      </c>
      <c r="T107" s="77">
        <f t="shared" ca="1" si="103"/>
        <v>0.3254219440414256</v>
      </c>
      <c r="U107" s="45">
        <f t="shared" ca="1" si="124"/>
        <v>15.807430793437051</v>
      </c>
      <c r="V107" s="45">
        <f t="shared" ca="1" si="104"/>
        <v>0.20278247028256513</v>
      </c>
      <c r="W107" s="77">
        <f t="shared" ca="1" si="105"/>
        <v>0.29430196262624975</v>
      </c>
      <c r="X107" s="45">
        <f t="shared" ca="1" si="125"/>
        <v>0.75694714835236265</v>
      </c>
      <c r="Y107" s="45">
        <f t="shared" ca="1" si="106"/>
        <v>5.7711523803779613E-2</v>
      </c>
      <c r="Z107" s="77">
        <f t="shared" ca="1" si="107"/>
        <v>3.0658260866930055E-2</v>
      </c>
      <c r="AA107" s="45">
        <f t="shared" ca="1" si="126"/>
        <v>39.475308565582175</v>
      </c>
      <c r="AB107" s="45">
        <f t="shared" ca="1" si="108"/>
        <v>0</v>
      </c>
      <c r="AC107" s="45" cm="1">
        <f t="array" aca="1" ref="AC107" ca="1">pHUM*(T107+W107+Z107+AD107)</f>
        <v>6.7895910357387776E-2</v>
      </c>
      <c r="AD107" s="77">
        <f t="shared" ca="1" si="109"/>
        <v>4.9427502042882841E-2</v>
      </c>
      <c r="AE107" s="45">
        <f t="shared" ca="1" si="127"/>
        <v>6.3847072090583081</v>
      </c>
      <c r="AF107" s="45">
        <f t="shared" ca="1" si="110"/>
        <v>0</v>
      </c>
      <c r="AG107" s="76">
        <f t="shared" ca="1" si="111"/>
        <v>63.12345436480328</v>
      </c>
      <c r="AH107" s="45">
        <f t="shared" ca="1" si="112"/>
        <v>0.57420223541632087</v>
      </c>
      <c r="AI107" s="77">
        <f t="shared" ca="1" si="113"/>
        <v>1.9125564779750678E-2</v>
      </c>
      <c r="AJ107" s="384">
        <f t="shared" ca="1" si="120"/>
        <v>5.0062758068891711E-2</v>
      </c>
      <c r="AU107" s="1"/>
    </row>
    <row r="108" spans="2:47" x14ac:dyDescent="0.25">
      <c r="B108" s="44"/>
      <c r="C108" s="10">
        <f t="shared" si="128"/>
        <v>1</v>
      </c>
      <c r="D108" s="91">
        <f t="shared" si="129"/>
        <v>6</v>
      </c>
      <c r="E108" s="278"/>
      <c r="F108" s="76">
        <f t="shared" ca="1" si="134"/>
        <v>17.96</v>
      </c>
      <c r="G108" s="46">
        <f t="shared" ca="1" si="135"/>
        <v>27.012600000000003</v>
      </c>
      <c r="H108" s="46">
        <f t="shared" ca="1" si="96"/>
        <v>28.517550000000004</v>
      </c>
      <c r="I108" s="45">
        <f t="shared" ca="1" si="97"/>
        <v>1.0549705763362276</v>
      </c>
      <c r="J108" s="45">
        <f t="shared" ca="1" si="98"/>
        <v>0.27952512346894071</v>
      </c>
      <c r="K108" s="45">
        <f t="shared" ca="1" si="122"/>
        <v>0.90345467800480783</v>
      </c>
      <c r="L108" s="358">
        <f t="shared" ca="1" si="99"/>
        <v>0.89023829243059249</v>
      </c>
      <c r="M108" s="76">
        <f t="shared" ca="1" si="117"/>
        <v>0.25347808785320641</v>
      </c>
      <c r="N108" s="45">
        <f t="shared" ca="1" si="118"/>
        <v>0.25</v>
      </c>
      <c r="O108" s="45">
        <f t="shared" ca="1" si="119"/>
        <v>0</v>
      </c>
      <c r="P108" s="46" t="str">
        <f t="shared" ca="1" si="100"/>
        <v/>
      </c>
      <c r="Q108" s="243" t="str">
        <f t="shared" ca="1" si="101"/>
        <v/>
      </c>
      <c r="R108" s="45">
        <f t="shared" ca="1" si="123"/>
        <v>0.42433432190259796</v>
      </c>
      <c r="S108" s="45">
        <f t="shared" ca="1" si="102"/>
        <v>5.0695617570641283E-2</v>
      </c>
      <c r="T108" s="77">
        <f t="shared" ca="1" si="103"/>
        <v>0.24817664373508971</v>
      </c>
      <c r="U108" s="45">
        <f t="shared" ca="1" si="124"/>
        <v>15.715911301093367</v>
      </c>
      <c r="V108" s="45">
        <f t="shared" ca="1" si="104"/>
        <v>0.20278247028256513</v>
      </c>
      <c r="W108" s="77">
        <f t="shared" ca="1" si="105"/>
        <v>0.40907733059725432</v>
      </c>
      <c r="X108" s="45">
        <f t="shared" ca="1" si="125"/>
        <v>0.78400041128921227</v>
      </c>
      <c r="Y108" s="45">
        <f t="shared" ca="1" si="106"/>
        <v>6.3568390800190153E-2</v>
      </c>
      <c r="Z108" s="77">
        <f t="shared" ca="1" si="107"/>
        <v>4.4195762477189197E-2</v>
      </c>
      <c r="AA108" s="45">
        <f t="shared" ca="1" si="126"/>
        <v>39.493776973896679</v>
      </c>
      <c r="AB108" s="45">
        <f t="shared" ca="1" si="108"/>
        <v>0</v>
      </c>
      <c r="AC108" s="45" cm="1">
        <f t="array" aca="1" ref="AC108" ca="1">pHUM*(T108+W108+Z108+AD108)</f>
        <v>7.4786342117870774E-2</v>
      </c>
      <c r="AD108" s="77">
        <f t="shared" ca="1" si="109"/>
        <v>6.9380274761574948E-2</v>
      </c>
      <c r="AE108" s="45">
        <f t="shared" ca="1" si="127"/>
        <v>6.3847072090583081</v>
      </c>
      <c r="AF108" s="45">
        <f t="shared" ca="1" si="110"/>
        <v>0</v>
      </c>
      <c r="AG108" s="76">
        <f t="shared" ca="1" si="111"/>
        <v>62.802730217240168</v>
      </c>
      <c r="AH108" s="45">
        <f t="shared" ca="1" si="112"/>
        <v>0.6324752786530472</v>
      </c>
      <c r="AI108" s="77">
        <f t="shared" ca="1" si="113"/>
        <v>1.5162755730844628E-2</v>
      </c>
      <c r="AJ108" s="384">
        <f t="shared" ca="1" si="120"/>
        <v>4.3045052581042187E-2</v>
      </c>
      <c r="AU108" s="1"/>
    </row>
    <row r="109" spans="2:47" x14ac:dyDescent="0.25">
      <c r="B109" s="44"/>
      <c r="C109" s="10">
        <f t="shared" si="128"/>
        <v>1</v>
      </c>
      <c r="D109" s="91">
        <f t="shared" si="129"/>
        <v>7</v>
      </c>
      <c r="E109" s="278"/>
      <c r="F109" s="76">
        <f t="shared" ca="1" si="134"/>
        <v>21.89</v>
      </c>
      <c r="G109" s="46">
        <f t="shared" ca="1" si="135"/>
        <v>27.012600000000003</v>
      </c>
      <c r="H109" s="46">
        <f t="shared" ca="1" si="96"/>
        <v>28.517550000000004</v>
      </c>
      <c r="I109" s="45">
        <f t="shared" ca="1" si="97"/>
        <v>1.3816368002949853</v>
      </c>
      <c r="J109" s="45">
        <f t="shared" ca="1" si="98"/>
        <v>0.27952512346894071</v>
      </c>
      <c r="K109" s="45">
        <f t="shared" ca="1" si="122"/>
        <v>0.90345467800480783</v>
      </c>
      <c r="L109" s="358">
        <f t="shared" ca="1" si="99"/>
        <v>0.9336160920992449</v>
      </c>
      <c r="M109" s="76">
        <f t="shared" ca="1" si="117"/>
        <v>0.25347808785320641</v>
      </c>
      <c r="N109" s="45">
        <f t="shared" ca="1" si="118"/>
        <v>0.25</v>
      </c>
      <c r="O109" s="45">
        <f t="shared" ca="1" si="119"/>
        <v>0</v>
      </c>
      <c r="P109" s="46" t="str">
        <f t="shared" ca="1" si="100"/>
        <v/>
      </c>
      <c r="Q109" s="243" t="str">
        <f t="shared" ca="1" si="101"/>
        <v/>
      </c>
      <c r="R109" s="45">
        <f t="shared" ca="1" si="123"/>
        <v>0.22685329573814952</v>
      </c>
      <c r="S109" s="45">
        <f t="shared" ca="1" si="102"/>
        <v>5.0695617570641283E-2</v>
      </c>
      <c r="T109" s="77">
        <f t="shared" ca="1" si="103"/>
        <v>0.15512111052998373</v>
      </c>
      <c r="U109" s="45">
        <f t="shared" ca="1" si="124"/>
        <v>15.509616440778679</v>
      </c>
      <c r="V109" s="45">
        <f t="shared" ca="1" si="104"/>
        <v>0.20278247028256513</v>
      </c>
      <c r="W109" s="77">
        <f t="shared" ca="1" si="105"/>
        <v>0.52656996324917593</v>
      </c>
      <c r="X109" s="45">
        <f t="shared" ca="1" si="125"/>
        <v>0.80337303961221329</v>
      </c>
      <c r="Y109" s="45">
        <f t="shared" ca="1" si="106"/>
        <v>6.8557569080358927E-2</v>
      </c>
      <c r="Z109" s="77">
        <f t="shared" ca="1" si="107"/>
        <v>5.87864586401406E-2</v>
      </c>
      <c r="AA109" s="45">
        <f t="shared" ca="1" si="126"/>
        <v>39.499183041252969</v>
      </c>
      <c r="AB109" s="45">
        <f t="shared" ca="1" si="108"/>
        <v>0</v>
      </c>
      <c r="AC109" s="45" cm="1">
        <f t="array" aca="1" ref="AC109" ca="1">pHUM*(T109+W109+Z109+AD109)</f>
        <v>8.0655963623951679E-2</v>
      </c>
      <c r="AD109" s="77">
        <f t="shared" ca="1" si="109"/>
        <v>9.0851231802650451E-2</v>
      </c>
      <c r="AE109" s="45">
        <f t="shared" ca="1" si="127"/>
        <v>6.3847072090583081</v>
      </c>
      <c r="AF109" s="45">
        <f t="shared" ca="1" si="110"/>
        <v>0</v>
      </c>
      <c r="AG109" s="76">
        <f t="shared" ca="1" si="111"/>
        <v>62.423733026440317</v>
      </c>
      <c r="AH109" s="45">
        <f t="shared" ca="1" si="112"/>
        <v>0.68211523151764031</v>
      </c>
      <c r="AI109" s="77">
        <f t="shared" ca="1" si="113"/>
        <v>1.2255786088909038E-2</v>
      </c>
      <c r="AJ109" s="384">
        <f t="shared" ca="1" si="120"/>
        <v>3.6488080777757892E-2</v>
      </c>
      <c r="AU109" s="1"/>
    </row>
    <row r="110" spans="2:47" x14ac:dyDescent="0.25">
      <c r="B110" s="44"/>
      <c r="C110" s="10">
        <f t="shared" si="128"/>
        <v>1</v>
      </c>
      <c r="D110" s="91">
        <f t="shared" si="129"/>
        <v>8</v>
      </c>
      <c r="E110" s="278"/>
      <c r="F110" s="76">
        <f t="shared" ca="1" si="134"/>
        <v>20.350000000000001</v>
      </c>
      <c r="G110" s="46">
        <f t="shared" ca="1" si="135"/>
        <v>27.012600000000003</v>
      </c>
      <c r="H110" s="46">
        <f t="shared" ca="1" si="96"/>
        <v>28.517550000000004</v>
      </c>
      <c r="I110" s="45">
        <f t="shared" ca="1" si="97"/>
        <v>1.2518642054104028</v>
      </c>
      <c r="J110" s="45">
        <f t="shared" ca="1" si="98"/>
        <v>0.27952512346894071</v>
      </c>
      <c r="K110" s="45">
        <f t="shared" ca="1" si="122"/>
        <v>0.90345467800480783</v>
      </c>
      <c r="L110" s="358">
        <f t="shared" ca="1" si="99"/>
        <v>0.91927514332007565</v>
      </c>
      <c r="M110" s="76">
        <f t="shared" ca="1" si="117"/>
        <v>0.25347808785320641</v>
      </c>
      <c r="N110" s="45">
        <f t="shared" ca="1" si="118"/>
        <v>0.25</v>
      </c>
      <c r="O110" s="45">
        <f t="shared" ca="1" si="119"/>
        <v>0</v>
      </c>
      <c r="P110" s="46" t="str">
        <f t="shared" ca="1" si="100"/>
        <v/>
      </c>
      <c r="Q110" s="243" t="str">
        <f t="shared" ca="1" si="101"/>
        <v/>
      </c>
      <c r="R110" s="45">
        <f t="shared" ca="1" si="123"/>
        <v>0.1224278027788071</v>
      </c>
      <c r="S110" s="45">
        <f t="shared" ca="1" si="102"/>
        <v>5.0695617570641283E-2</v>
      </c>
      <c r="T110" s="77">
        <f t="shared" ca="1" si="103"/>
        <v>7.9294244004380163E-2</v>
      </c>
      <c r="U110" s="45">
        <f t="shared" ca="1" si="124"/>
        <v>15.185828947812068</v>
      </c>
      <c r="V110" s="45">
        <f t="shared" ca="1" si="104"/>
        <v>0.20278247028256513</v>
      </c>
      <c r="W110" s="77">
        <f t="shared" ca="1" si="105"/>
        <v>0.4679047853502169</v>
      </c>
      <c r="X110" s="45">
        <f t="shared" ca="1" si="125"/>
        <v>0.81314415005243157</v>
      </c>
      <c r="Y110" s="45">
        <f t="shared" ca="1" si="106"/>
        <v>5.637538423674588E-2</v>
      </c>
      <c r="Z110" s="77">
        <f t="shared" ca="1" si="107"/>
        <v>5.410309351232101E-2</v>
      </c>
      <c r="AA110" s="45">
        <f t="shared" ca="1" si="126"/>
        <v>39.488987773074271</v>
      </c>
      <c r="AB110" s="45">
        <f t="shared" ca="1" si="108"/>
        <v>0</v>
      </c>
      <c r="AC110" s="45" cm="1">
        <f t="array" aca="1" ref="AC110" ca="1">pHUM*(T110+W110+Z110+AD110)</f>
        <v>6.6323981454995157E-2</v>
      </c>
      <c r="AD110" s="77">
        <f t="shared" ca="1" si="109"/>
        <v>8.2305524527020613E-2</v>
      </c>
      <c r="AE110" s="45">
        <f t="shared" ca="1" si="127"/>
        <v>6.3847072090583081</v>
      </c>
      <c r="AF110" s="45">
        <f t="shared" ca="1" si="110"/>
        <v>0</v>
      </c>
      <c r="AG110" s="76">
        <f t="shared" ca="1" si="111"/>
        <v>61.995095882775885</v>
      </c>
      <c r="AH110" s="45">
        <f t="shared" ca="1" si="112"/>
        <v>0.56090828170219775</v>
      </c>
      <c r="AI110" s="77">
        <f t="shared" ca="1" si="113"/>
        <v>1.0649211679259531E-2</v>
      </c>
      <c r="AJ110" s="384">
        <f t="shared" ca="1" si="120"/>
        <v>3.1218113552896609E-2</v>
      </c>
      <c r="AU110" s="1"/>
    </row>
    <row r="111" spans="2:47" x14ac:dyDescent="0.25">
      <c r="B111" s="44"/>
      <c r="C111" s="10">
        <f t="shared" si="128"/>
        <v>1</v>
      </c>
      <c r="D111" s="91">
        <f t="shared" si="129"/>
        <v>9</v>
      </c>
      <c r="E111" s="278"/>
      <c r="F111" s="76">
        <f t="shared" ca="1" si="134"/>
        <v>17.38</v>
      </c>
      <c r="G111" s="46">
        <f t="shared" ca="1" si="135"/>
        <v>27.012600000000003</v>
      </c>
      <c r="H111" s="46">
        <f t="shared" ca="1" si="96"/>
        <v>28.517550000000004</v>
      </c>
      <c r="I111" s="45">
        <f t="shared" ca="1" si="97"/>
        <v>1.0082864185928893</v>
      </c>
      <c r="J111" s="45">
        <f t="shared" ca="1" si="98"/>
        <v>0.27952512346894071</v>
      </c>
      <c r="K111" s="45">
        <f t="shared" ca="1" si="122"/>
        <v>0.90345467800480783</v>
      </c>
      <c r="L111" s="358">
        <f t="shared" ca="1" si="99"/>
        <v>0.88177917719725518</v>
      </c>
      <c r="M111" s="76">
        <f t="shared" ca="1" si="117"/>
        <v>0.25347808785320641</v>
      </c>
      <c r="N111" s="45">
        <f t="shared" ca="1" si="118"/>
        <v>0.25</v>
      </c>
      <c r="O111" s="45">
        <f t="shared" ca="1" si="119"/>
        <v>0</v>
      </c>
      <c r="P111" s="46" t="str">
        <f t="shared" ca="1" si="100"/>
        <v/>
      </c>
      <c r="Q111" s="243" t="str">
        <f t="shared" ca="1" si="101"/>
        <v/>
      </c>
      <c r="R111" s="45">
        <f t="shared" ca="1" si="123"/>
        <v>9.3829176345068224E-2</v>
      </c>
      <c r="S111" s="45">
        <f t="shared" ca="1" si="102"/>
        <v>5.0695617570641283E-2</v>
      </c>
      <c r="T111" s="77">
        <f t="shared" ca="1" si="103"/>
        <v>5.3331800666993383E-2</v>
      </c>
      <c r="U111" s="45">
        <f t="shared" ca="1" si="124"/>
        <v>14.920706632744416</v>
      </c>
      <c r="V111" s="45">
        <f t="shared" ca="1" si="104"/>
        <v>0.20278247028256513</v>
      </c>
      <c r="W111" s="77">
        <f t="shared" ca="1" si="105"/>
        <v>0.37140791106438953</v>
      </c>
      <c r="X111" s="45">
        <f t="shared" ca="1" si="125"/>
        <v>0.81541644077685649</v>
      </c>
      <c r="Y111" s="45">
        <f t="shared" ca="1" si="106"/>
        <v>4.4120588511252515E-2</v>
      </c>
      <c r="Z111" s="77">
        <f t="shared" ca="1" si="107"/>
        <v>4.3988550906135078E-2</v>
      </c>
      <c r="AA111" s="45">
        <f t="shared" ca="1" si="126"/>
        <v>39.473006230002241</v>
      </c>
      <c r="AB111" s="45">
        <f t="shared" ca="1" si="108"/>
        <v>0</v>
      </c>
      <c r="AC111" s="45" cm="1">
        <f t="array" aca="1" ref="AC111" ca="1">pHUM*(T111+W111+Z111+AD111)</f>
        <v>5.19065747191206E-2</v>
      </c>
      <c r="AD111" s="77">
        <f t="shared" ca="1" si="109"/>
        <v>6.6277788712001753E-2</v>
      </c>
      <c r="AE111" s="45">
        <f t="shared" ca="1" si="127"/>
        <v>6.3847072090583081</v>
      </c>
      <c r="AF111" s="45">
        <f t="shared" ca="1" si="110"/>
        <v>0</v>
      </c>
      <c r="AG111" s="76">
        <f t="shared" ca="1" si="111"/>
        <v>61.687665688926884</v>
      </c>
      <c r="AH111" s="45">
        <f t="shared" ca="1" si="112"/>
        <v>0.43897888811914665</v>
      </c>
      <c r="AI111" s="77">
        <f t="shared" ca="1" si="113"/>
        <v>1.0159400319787374E-2</v>
      </c>
      <c r="AJ111" s="384">
        <f t="shared" ca="1" si="120"/>
        <v>2.8567529039537076E-2</v>
      </c>
      <c r="AU111" s="1"/>
    </row>
    <row r="112" spans="2:47" x14ac:dyDescent="0.25">
      <c r="B112" s="44"/>
      <c r="C112" s="10">
        <f t="shared" si="128"/>
        <v>1</v>
      </c>
      <c r="D112" s="91">
        <f t="shared" si="129"/>
        <v>10</v>
      </c>
      <c r="E112" s="278"/>
      <c r="F112" s="76">
        <f t="shared" ca="1" si="134"/>
        <v>9.61</v>
      </c>
      <c r="G112" s="46">
        <f t="shared" ca="1" si="135"/>
        <v>27.012600000000003</v>
      </c>
      <c r="H112" s="46">
        <f t="shared" ca="1" si="96"/>
        <v>28.517550000000004</v>
      </c>
      <c r="I112" s="45">
        <f t="shared" ca="1" si="97"/>
        <v>0.45243046736638293</v>
      </c>
      <c r="J112" s="45">
        <f t="shared" ca="1" si="98"/>
        <v>0.27952512346894071</v>
      </c>
      <c r="K112" s="45">
        <f t="shared" ca="1" si="122"/>
        <v>0.90345467800480783</v>
      </c>
      <c r="L112" s="358">
        <f t="shared" ca="1" si="99"/>
        <v>0.70354868513849667</v>
      </c>
      <c r="M112" s="76">
        <f t="shared" ca="1" si="117"/>
        <v>0.25347808785320641</v>
      </c>
      <c r="N112" s="45">
        <f t="shared" ca="1" si="118"/>
        <v>0.25</v>
      </c>
      <c r="O112" s="45">
        <f t="shared" ca="1" si="119"/>
        <v>0</v>
      </c>
      <c r="P112" s="46" t="str">
        <f t="shared" ca="1" si="100"/>
        <v/>
      </c>
      <c r="Q112" s="243" t="str">
        <f t="shared" ca="1" si="101"/>
        <v/>
      </c>
      <c r="R112" s="45">
        <f t="shared" ca="1" si="123"/>
        <v>9.1192993248716103E-2</v>
      </c>
      <c r="S112" s="45">
        <f t="shared" ca="1" si="102"/>
        <v>5.0695617570641283E-2</v>
      </c>
      <c r="T112" s="77">
        <f t="shared" ca="1" si="103"/>
        <v>2.864384146282804E-2</v>
      </c>
      <c r="U112" s="45">
        <f t="shared" ca="1" si="124"/>
        <v>14.752081191962592</v>
      </c>
      <c r="V112" s="45">
        <f t="shared" ca="1" si="104"/>
        <v>0.20278247028256513</v>
      </c>
      <c r="W112" s="77">
        <f t="shared" ca="1" si="105"/>
        <v>0.16591718100316183</v>
      </c>
      <c r="X112" s="45">
        <f t="shared" ca="1" si="125"/>
        <v>0.81554847838197397</v>
      </c>
      <c r="Y112" s="45">
        <f t="shared" ca="1" si="106"/>
        <v>2.0150680183507266E-2</v>
      </c>
      <c r="Z112" s="77">
        <f t="shared" ca="1" si="107"/>
        <v>2.0043432494815331E-2</v>
      </c>
      <c r="AA112" s="45">
        <f t="shared" ca="1" si="126"/>
        <v>39.45863501600936</v>
      </c>
      <c r="AB112" s="45">
        <f t="shared" ca="1" si="108"/>
        <v>0</v>
      </c>
      <c r="AC112" s="45" cm="1">
        <f t="array" aca="1" ref="AC112" ca="1">pHUM*(T112+W112+Z112+AD112)</f>
        <v>2.3706682568832075E-2</v>
      </c>
      <c r="AD112" s="77">
        <f t="shared" ca="1" si="109"/>
        <v>2.9742599345501691E-2</v>
      </c>
      <c r="AE112" s="45">
        <f t="shared" ca="1" si="127"/>
        <v>6.3847072090583081</v>
      </c>
      <c r="AF112" s="45">
        <f t="shared" ca="1" si="110"/>
        <v>0</v>
      </c>
      <c r="AG112" s="76">
        <f t="shared" ca="1" si="111"/>
        <v>61.50216488866095</v>
      </c>
      <c r="AH112" s="45">
        <f t="shared" ca="1" si="112"/>
        <v>0.20048969155396756</v>
      </c>
      <c r="AI112" s="77">
        <f t="shared" ca="1" si="113"/>
        <v>1.0076947889589655E-2</v>
      </c>
      <c r="AJ112" s="384">
        <f t="shared" ca="1" si="120"/>
        <v>2.2608428461879937E-2</v>
      </c>
      <c r="AU112" s="1"/>
    </row>
    <row r="113" spans="2:47" x14ac:dyDescent="0.25">
      <c r="B113" s="44"/>
      <c r="C113" s="10">
        <f t="shared" si="128"/>
        <v>1</v>
      </c>
      <c r="D113" s="91">
        <f t="shared" si="129"/>
        <v>11</v>
      </c>
      <c r="E113" s="278"/>
      <c r="F113" s="76">
        <f t="shared" ca="1" si="134"/>
        <v>5.71</v>
      </c>
      <c r="G113" s="46">
        <f t="shared" ca="1" si="135"/>
        <v>27.012600000000003</v>
      </c>
      <c r="H113" s="46">
        <f t="shared" ca="1" si="96"/>
        <v>28.517550000000004</v>
      </c>
      <c r="I113" s="45">
        <f t="shared" ca="1" si="97"/>
        <v>0.24617612464957264</v>
      </c>
      <c r="J113" s="45">
        <f t="shared" ca="1" si="98"/>
        <v>0.27952512346894071</v>
      </c>
      <c r="K113" s="45">
        <f t="shared" ca="1" si="122"/>
        <v>0.90345467800480783</v>
      </c>
      <c r="L113" s="358">
        <f t="shared" ca="1" si="99"/>
        <v>0.57043958344737544</v>
      </c>
      <c r="M113" s="76">
        <f t="shared" ca="1" si="117"/>
        <v>0.25347808785320641</v>
      </c>
      <c r="N113" s="45">
        <f t="shared" ca="1" si="118"/>
        <v>0.25</v>
      </c>
      <c r="O113" s="45">
        <f t="shared" ca="1" si="119"/>
        <v>0</v>
      </c>
      <c r="P113" s="46" t="str">
        <f t="shared" ca="1" si="100"/>
        <v/>
      </c>
      <c r="Q113" s="243" t="str">
        <f t="shared" ca="1" si="101"/>
        <v/>
      </c>
      <c r="R113" s="45">
        <f t="shared" ca="1" si="123"/>
        <v>0.11324476935652934</v>
      </c>
      <c r="S113" s="45">
        <f t="shared" ca="1" si="102"/>
        <v>5.0695617570641283E-2</v>
      </c>
      <c r="T113" s="77">
        <f t="shared" ca="1" si="103"/>
        <v>2.1003761158865E-2</v>
      </c>
      <c r="U113" s="45">
        <f t="shared" ca="1" si="124"/>
        <v>14.788946481241997</v>
      </c>
      <c r="V113" s="45">
        <f t="shared" ca="1" si="104"/>
        <v>0.20278247028256513</v>
      </c>
      <c r="W113" s="77">
        <f t="shared" ca="1" si="105"/>
        <v>9.0737633918415939E-2</v>
      </c>
      <c r="X113" s="45">
        <f t="shared" ca="1" si="125"/>
        <v>0.81565572607066594</v>
      </c>
      <c r="Y113" s="45">
        <f t="shared" ca="1" si="106"/>
        <v>1.1454277561470069E-2</v>
      </c>
      <c r="Z113" s="77">
        <f t="shared" ca="1" si="107"/>
        <v>1.0969295125954992E-2</v>
      </c>
      <c r="AA113" s="45">
        <f t="shared" ca="1" si="126"/>
        <v>39.452599099232685</v>
      </c>
      <c r="AB113" s="45">
        <f t="shared" ca="1" si="108"/>
        <v>0</v>
      </c>
      <c r="AC113" s="45" cm="1">
        <f t="array" aca="1" ref="AC113" ca="1">pHUM*(T113+W113+Z113+AD113)</f>
        <v>1.3475620660553023E-2</v>
      </c>
      <c r="AD113" s="77">
        <f t="shared" ca="1" si="109"/>
        <v>1.6183826302603413E-2</v>
      </c>
      <c r="AE113" s="45">
        <f t="shared" ca="1" si="127"/>
        <v>6.3847072090583081</v>
      </c>
      <c r="AF113" s="45">
        <f t="shared" ca="1" si="110"/>
        <v>0</v>
      </c>
      <c r="AG113" s="76">
        <f t="shared" ca="1" si="111"/>
        <v>61.555153284960184</v>
      </c>
      <c r="AH113" s="45">
        <f t="shared" ca="1" si="112"/>
        <v>0.11396461828381625</v>
      </c>
      <c r="AI113" s="77">
        <f t="shared" ca="1" si="113"/>
        <v>1.0416984831639088E-2</v>
      </c>
      <c r="AJ113" s="384">
        <f t="shared" ca="1" si="120"/>
        <v>1.8949615033985179E-2</v>
      </c>
      <c r="AU113" s="1"/>
    </row>
    <row r="114" spans="2:47" x14ac:dyDescent="0.25">
      <c r="B114" s="44"/>
      <c r="C114" s="10">
        <f t="shared" si="128"/>
        <v>1</v>
      </c>
      <c r="D114" s="91">
        <f t="shared" si="129"/>
        <v>12</v>
      </c>
      <c r="E114" s="278"/>
      <c r="F114" s="76">
        <f t="shared" ca="1" si="134"/>
        <v>-0.46</v>
      </c>
      <c r="G114" s="46">
        <f t="shared" ca="1" si="135"/>
        <v>27.012600000000003</v>
      </c>
      <c r="H114" s="46">
        <f t="shared" ca="1" si="96"/>
        <v>28.517550000000004</v>
      </c>
      <c r="I114" s="45">
        <f t="shared" ca="1" si="97"/>
        <v>5.3686278337302371E-2</v>
      </c>
      <c r="J114" s="45">
        <f t="shared" ca="1" si="98"/>
        <v>0.27952512346894071</v>
      </c>
      <c r="K114" s="45">
        <f t="shared" ca="1" si="122"/>
        <v>0.90345467800480783</v>
      </c>
      <c r="L114" s="358">
        <f t="shared" ca="1" si="99"/>
        <v>0.34604490353891793</v>
      </c>
      <c r="M114" s="76">
        <f t="shared" ca="1" si="117"/>
        <v>0.25347808785320641</v>
      </c>
      <c r="N114" s="45">
        <f t="shared" ca="1" si="118"/>
        <v>0.25</v>
      </c>
      <c r="O114" s="45">
        <f t="shared" ca="1" si="119"/>
        <v>0</v>
      </c>
      <c r="P114" s="46" t="str">
        <f t="shared" ref="P114:P145" ca="1" si="136">IF(O114&gt;0,OFFSET(OW_DPMtoHUM,0,MATCH(OFFSET(OWType,C114+6+1,0),OW_Types,0)),IF(O114&gt;0,OFFSET(OW_DPMtoHUM,0,MATCH(OFFSET(OWType2,C114+6+1,0),OW_Types,0)),""))</f>
        <v/>
      </c>
      <c r="Q114" s="243" t="str">
        <f t="shared" ref="Q114:Q145" ca="1" si="137">IF(O114&gt;0,OFFSET(OW_pIOM,0,MATCH(OFFSET(OWType,C114+6+1,0),OW_Types,0)),IF(O114&gt;0,OFFSET(OW_pIOM,0,MATCH(OFFSET(OWType2,C114+6+1,0),OW_Types,0)),""))</f>
        <v/>
      </c>
      <c r="R114" s="45">
        <f t="shared" ca="1" si="123"/>
        <v>0.14293662576830563</v>
      </c>
      <c r="S114" s="45">
        <f t="shared" ca="1" si="102"/>
        <v>5.0695617570641283E-2</v>
      </c>
      <c r="T114" s="77">
        <f t="shared" ca="1" si="103"/>
        <v>6.253842517663739E-3</v>
      </c>
      <c r="U114" s="45">
        <f t="shared" ca="1" si="124"/>
        <v>14.900991317606147</v>
      </c>
      <c r="V114" s="45">
        <f t="shared" ca="1" si="104"/>
        <v>0.20278247028256513</v>
      </c>
      <c r="W114" s="77">
        <f t="shared" ca="1" si="105"/>
        <v>1.998605397354734E-2</v>
      </c>
      <c r="X114" s="45">
        <f t="shared" ca="1" si="125"/>
        <v>0.81614070850618103</v>
      </c>
      <c r="Y114" s="45">
        <f t="shared" ca="1" si="106"/>
        <v>2.6534648887245015E-3</v>
      </c>
      <c r="Z114" s="77">
        <f t="shared" ca="1" si="107"/>
        <v>2.4063013023997958E-3</v>
      </c>
      <c r="AA114" s="45">
        <f t="shared" ca="1" si="126"/>
        <v>39.449890893590634</v>
      </c>
      <c r="AB114" s="45">
        <f t="shared" ca="1" si="108"/>
        <v>0</v>
      </c>
      <c r="AC114" s="45" cm="1">
        <f t="array" aca="1" ref="AC114" ca="1">pHUM*(T114+W114+Z114+AD114)</f>
        <v>3.1217233984994134E-3</v>
      </c>
      <c r="AD114" s="77">
        <f t="shared" ca="1" si="109"/>
        <v>3.5297051218506599E-3</v>
      </c>
      <c r="AE114" s="45">
        <f t="shared" ca="1" si="127"/>
        <v>6.3847072090583081</v>
      </c>
      <c r="AF114" s="45">
        <f t="shared" ca="1" si="110"/>
        <v>0</v>
      </c>
      <c r="AG114" s="76">
        <f t="shared" ca="1" si="111"/>
        <v>61.694666754529571</v>
      </c>
      <c r="AH114" s="45">
        <f t="shared" ca="1" si="112"/>
        <v>2.640071462823762E-2</v>
      </c>
      <c r="AI114" s="77">
        <f t="shared" ca="1" si="113"/>
        <v>1.0889109300030451E-2</v>
      </c>
      <c r="AJ114" s="384">
        <f t="shared" ca="1" si="120"/>
        <v>1.2016454903641671E-2</v>
      </c>
      <c r="AU114" s="1"/>
    </row>
    <row r="115" spans="2:47" x14ac:dyDescent="0.25">
      <c r="B115" s="44"/>
      <c r="C115" s="10">
        <f t="shared" si="128"/>
        <v>2</v>
      </c>
      <c r="D115" s="91">
        <f t="shared" si="129"/>
        <v>1</v>
      </c>
      <c r="E115" s="278"/>
      <c r="F115" s="76">
        <f t="shared" ca="1" si="134"/>
        <v>-3.44</v>
      </c>
      <c r="G115" s="46">
        <f t="shared" ca="1" si="135"/>
        <v>27.012600000000003</v>
      </c>
      <c r="H115" s="46">
        <f t="shared" ca="1" si="96"/>
        <v>28.517550000000004</v>
      </c>
      <c r="I115" s="45">
        <f t="shared" ca="1" si="97"/>
        <v>1.6253779081695344E-2</v>
      </c>
      <c r="J115" s="45">
        <f t="shared" ca="1" si="98"/>
        <v>0.27952512346894071</v>
      </c>
      <c r="K115" s="45">
        <f t="shared" ca="1" si="122"/>
        <v>0.90345467800480783</v>
      </c>
      <c r="L115" s="358">
        <f t="shared" ca="1" si="99"/>
        <v>0.25329647647379749</v>
      </c>
      <c r="M115" s="76">
        <f t="shared" ref="M115:M146" ca="1" si="138">IF(PI_Def&gt;0,PI*OFFSET(PI_Month,D115,MATCH(OFFSET(LandUse,C115+6+1,0),LandUseTypes,0))/PI_Def,0)</f>
        <v>0.25347808785320641</v>
      </c>
      <c r="N115" s="45">
        <f t="shared" ref="N115:N146" ca="1" si="139">OFFSET(DPMtoRPM,0,MATCH(OFFSET(LandUse,C115+6+1,0),LandUseTypes,0))</f>
        <v>0.25</v>
      </c>
      <c r="O115" s="45">
        <f t="shared" ref="O115:O146" ca="1" si="140">IF(D115=OFFSET(OWAppDate,C115+6+1,0),OFFSET(OW_DM,0,MATCH(OFFSET(OWType,C116+6+1,0),OrgWasteTypes,0))*OFFSET(OW_pC,0,MATCH(OFFSET(OWType,C116+6+1,0),OrgWasteTypes,0))*OFFSET(OWAmount,C115+6+1,0),0)+IF(D115=OFFSET(OWAppDate2,C115+6+1,0),OFFSET(OW_DM,0,MATCH(OFFSET(OWType2,C116+6+1,0),OrgWasteTypes,0))*OFFSET(OW_pC,0,MATCH(OFFSET(OWType2,C116+6+1,0),OrgWasteTypes,0))*OFFSET(OWAmount2,C115+6+1,0),0)</f>
        <v>0</v>
      </c>
      <c r="P115" s="46" t="str">
        <f t="shared" ca="1" si="136"/>
        <v/>
      </c>
      <c r="Q115" s="243" t="str">
        <f t="shared" ca="1" si="137"/>
        <v/>
      </c>
      <c r="R115" s="45">
        <f t="shared" ca="1" si="123"/>
        <v>0.18737840082128318</v>
      </c>
      <c r="S115" s="45">
        <f t="shared" ca="1" si="102"/>
        <v>5.0695617570641283E-2</v>
      </c>
      <c r="T115" s="77">
        <f t="shared" ca="1" si="103"/>
        <v>2.5208948739468334E-3</v>
      </c>
      <c r="U115" s="45">
        <f t="shared" ca="1" si="124"/>
        <v>15.083787733915166</v>
      </c>
      <c r="V115" s="45">
        <f t="shared" ca="1" si="104"/>
        <v>0.20278247028256513</v>
      </c>
      <c r="W115" s="77">
        <f t="shared" ca="1" si="105"/>
        <v>6.1279687211149821E-3</v>
      </c>
      <c r="X115" s="45">
        <f t="shared" ca="1" si="125"/>
        <v>0.81638787209250574</v>
      </c>
      <c r="Y115" s="45">
        <f t="shared" ca="1" si="106"/>
        <v>8.6153845621568222E-4</v>
      </c>
      <c r="Z115" s="77">
        <f t="shared" ca="1" si="107"/>
        <v>7.294902311473639E-4</v>
      </c>
      <c r="AA115" s="45">
        <f t="shared" ca="1" si="126"/>
        <v>39.449482911867285</v>
      </c>
      <c r="AB115" s="45">
        <f t="shared" ca="1" si="108"/>
        <v>0</v>
      </c>
      <c r="AC115" s="45" cm="1">
        <f t="array" aca="1" ref="AC115" ca="1">pHUM*(T115+W115+Z115+AD115)</f>
        <v>1.0135746543713908E-3</v>
      </c>
      <c r="AD115" s="77">
        <f t="shared" ca="1" si="109"/>
        <v>1.0686574920591185E-3</v>
      </c>
      <c r="AE115" s="45">
        <f t="shared" ca="1" si="127"/>
        <v>6.3847072090583081</v>
      </c>
      <c r="AF115" s="45">
        <f t="shared" ca="1" si="110"/>
        <v>0</v>
      </c>
      <c r="AG115" s="76">
        <f t="shared" ca="1" si="111"/>
        <v>61.92174412775455</v>
      </c>
      <c r="AH115" s="45">
        <f t="shared" ca="1" si="112"/>
        <v>8.5718982076812261E-3</v>
      </c>
      <c r="AI115" s="77">
        <f t="shared" ca="1" si="113"/>
        <v>1.1593953649221757E-2</v>
      </c>
      <c r="AJ115" s="384">
        <f t="shared" ca="1" si="120"/>
        <v>9.3651198798694324E-3</v>
      </c>
      <c r="AU115" s="1"/>
    </row>
    <row r="116" spans="2:47" x14ac:dyDescent="0.25">
      <c r="B116" s="44"/>
      <c r="C116" s="10">
        <f t="shared" si="128"/>
        <v>2</v>
      </c>
      <c r="D116" s="91">
        <f t="shared" si="129"/>
        <v>2</v>
      </c>
      <c r="E116" s="278"/>
      <c r="F116" s="76">
        <f t="shared" ca="1" si="134"/>
        <v>-1.65</v>
      </c>
      <c r="G116" s="46">
        <f t="shared" ca="1" si="135"/>
        <v>27.012600000000003</v>
      </c>
      <c r="H116" s="46">
        <f t="shared" ca="1" si="96"/>
        <v>28.517550000000004</v>
      </c>
      <c r="I116" s="45">
        <f t="shared" ca="1" si="97"/>
        <v>3.508132091145684E-2</v>
      </c>
      <c r="J116" s="45">
        <f t="shared" ca="1" si="98"/>
        <v>0.27952512346894071</v>
      </c>
      <c r="K116" s="45">
        <f t="shared" ca="1" si="122"/>
        <v>0.90345467800480783</v>
      </c>
      <c r="L116" s="358">
        <f t="shared" ca="1" si="99"/>
        <v>0.30703519550320224</v>
      </c>
      <c r="M116" s="76">
        <f t="shared" ca="1" si="138"/>
        <v>0.25347808785320641</v>
      </c>
      <c r="N116" s="45">
        <f t="shared" ca="1" si="139"/>
        <v>0.25</v>
      </c>
      <c r="O116" s="45">
        <f t="shared" ca="1" si="140"/>
        <v>0</v>
      </c>
      <c r="P116" s="46" t="str">
        <f t="shared" ca="1" si="136"/>
        <v/>
      </c>
      <c r="Q116" s="243" t="str">
        <f t="shared" ca="1" si="137"/>
        <v/>
      </c>
      <c r="R116" s="45">
        <f t="shared" ca="1" si="123"/>
        <v>0.23555312351797764</v>
      </c>
      <c r="S116" s="45">
        <f t="shared" ca="1" si="102"/>
        <v>5.0695617570641283E-2</v>
      </c>
      <c r="T116" s="77">
        <f t="shared" ca="1" si="103"/>
        <v>6.786578040569694E-3</v>
      </c>
      <c r="U116" s="45">
        <f t="shared" ca="1" si="124"/>
        <v>15.280442235476617</v>
      </c>
      <c r="V116" s="45">
        <f t="shared" ca="1" si="104"/>
        <v>0.20278247028256513</v>
      </c>
      <c r="W116" s="77">
        <f t="shared" ca="1" si="105"/>
        <v>1.3395577402780754E-2</v>
      </c>
      <c r="X116" s="45">
        <f t="shared" ca="1" si="125"/>
        <v>0.81651992031757414</v>
      </c>
      <c r="Y116" s="45">
        <f t="shared" ca="1" si="106"/>
        <v>1.9843802211510697E-3</v>
      </c>
      <c r="Z116" s="77">
        <f t="shared" ca="1" si="107"/>
        <v>1.5739339350036006E-3</v>
      </c>
      <c r="AA116" s="45">
        <f t="shared" ca="1" si="126"/>
        <v>39.449427829029595</v>
      </c>
      <c r="AB116" s="45">
        <f t="shared" ca="1" si="108"/>
        <v>0</v>
      </c>
      <c r="AC116" s="45" cm="1">
        <f t="array" aca="1" ref="AC116" ca="1">pHUM*(T116+W116+Z116+AD116)</f>
        <v>2.3345649660600821E-3</v>
      </c>
      <c r="AD116" s="77">
        <f t="shared" ca="1" si="109"/>
        <v>2.3064959659768883E-3</v>
      </c>
      <c r="AE116" s="45">
        <f t="shared" ca="1" si="127"/>
        <v>6.3847072090583081</v>
      </c>
      <c r="AF116" s="45">
        <f t="shared" ca="1" si="110"/>
        <v>0</v>
      </c>
      <c r="AG116" s="76">
        <f t="shared" ca="1" si="111"/>
        <v>62.16665031740007</v>
      </c>
      <c r="AH116" s="45">
        <f t="shared" ca="1" si="112"/>
        <v>1.9743640157119786E-2</v>
      </c>
      <c r="AI116" s="77">
        <f t="shared" ca="1" si="113"/>
        <v>1.2351003373014152E-2</v>
      </c>
      <c r="AJ116" s="384">
        <f t="shared" ca="1" si="120"/>
        <v>1.2093218976287901E-2</v>
      </c>
      <c r="AU116" s="1"/>
    </row>
    <row r="117" spans="2:47" x14ac:dyDescent="0.25">
      <c r="B117" s="44"/>
      <c r="C117" s="10">
        <f t="shared" si="128"/>
        <v>2</v>
      </c>
      <c r="D117" s="91">
        <f t="shared" si="129"/>
        <v>3</v>
      </c>
      <c r="E117" s="278"/>
      <c r="F117" s="76">
        <f t="shared" ca="1" si="134"/>
        <v>4.68</v>
      </c>
      <c r="G117" s="46">
        <f t="shared" ca="1" si="135"/>
        <v>27.012600000000003</v>
      </c>
      <c r="H117" s="46">
        <f t="shared" ca="1" si="96"/>
        <v>28.517550000000004</v>
      </c>
      <c r="I117" s="45">
        <f t="shared" ca="1" si="97"/>
        <v>0.20228669449817699</v>
      </c>
      <c r="J117" s="45">
        <f t="shared" ca="1" si="98"/>
        <v>0.27952512346894071</v>
      </c>
      <c r="K117" s="45">
        <f t="shared" ca="1" si="122"/>
        <v>0.90345467800480783</v>
      </c>
      <c r="L117" s="358">
        <f t="shared" ca="1" si="99"/>
        <v>0.53248567772813127</v>
      </c>
      <c r="M117" s="76">
        <f t="shared" ca="1" si="138"/>
        <v>0.25347808785320641</v>
      </c>
      <c r="N117" s="45">
        <f t="shared" ca="1" si="139"/>
        <v>0.25</v>
      </c>
      <c r="O117" s="45">
        <f t="shared" ca="1" si="140"/>
        <v>0</v>
      </c>
      <c r="P117" s="46" t="str">
        <f t="shared" ca="1" si="136"/>
        <v/>
      </c>
      <c r="Q117" s="243" t="str">
        <f t="shared" ca="1" si="137"/>
        <v/>
      </c>
      <c r="R117" s="45">
        <f t="shared" ca="1" si="123"/>
        <v>0.27946216304804922</v>
      </c>
      <c r="S117" s="45">
        <f t="shared" ca="1" si="102"/>
        <v>5.0695617570641283E-2</v>
      </c>
      <c r="T117" s="77">
        <f t="shared" ca="1" si="103"/>
        <v>4.3352902973775601E-2</v>
      </c>
      <c r="U117" s="45">
        <f t="shared" ca="1" si="124"/>
        <v>15.469829128356402</v>
      </c>
      <c r="V117" s="45">
        <f t="shared" ca="1" si="104"/>
        <v>0.20278247028256513</v>
      </c>
      <c r="W117" s="77">
        <f t="shared" ca="1" si="105"/>
        <v>7.8036028029811869E-2</v>
      </c>
      <c r="X117" s="45">
        <f t="shared" ca="1" si="125"/>
        <v>0.81693036660372165</v>
      </c>
      <c r="Y117" s="45">
        <f t="shared" ca="1" si="106"/>
        <v>1.185267317705003E-2</v>
      </c>
      <c r="Z117" s="77">
        <f t="shared" ca="1" si="107"/>
        <v>9.0386039510016586E-3</v>
      </c>
      <c r="AA117" s="45">
        <f t="shared" ca="1" si="126"/>
        <v>39.449455898029683</v>
      </c>
      <c r="AB117" s="45">
        <f t="shared" ca="1" si="108"/>
        <v>0</v>
      </c>
      <c r="AC117" s="45" cm="1">
        <f t="array" aca="1" ref="AC117" ca="1">pHUM*(T117+W117+Z117+AD117)</f>
        <v>1.3944321384764743E-2</v>
      </c>
      <c r="AD117" s="77">
        <f t="shared" ca="1" si="109"/>
        <v>1.3297924935245104E-2</v>
      </c>
      <c r="AE117" s="45">
        <f t="shared" ca="1" si="127"/>
        <v>6.3847072090583081</v>
      </c>
      <c r="AF117" s="45">
        <f t="shared" ca="1" si="110"/>
        <v>0</v>
      </c>
      <c r="AG117" s="76">
        <f t="shared" ca="1" si="111"/>
        <v>62.400384765096163</v>
      </c>
      <c r="AH117" s="45">
        <f t="shared" ca="1" si="112"/>
        <v>0.11792846532801947</v>
      </c>
      <c r="AI117" s="77">
        <f t="shared" ca="1" si="113"/>
        <v>1.3037620167644526E-2</v>
      </c>
      <c r="AJ117" s="384">
        <f t="shared" ca="1" si="120"/>
        <v>2.2138778464633191E-2</v>
      </c>
      <c r="AU117" s="1"/>
    </row>
    <row r="118" spans="2:47" x14ac:dyDescent="0.25">
      <c r="B118" s="44"/>
      <c r="C118" s="10">
        <f t="shared" si="128"/>
        <v>2</v>
      </c>
      <c r="D118" s="91">
        <f t="shared" si="129"/>
        <v>4</v>
      </c>
      <c r="E118" s="278"/>
      <c r="F118" s="76">
        <f t="shared" ca="1" si="134"/>
        <v>7.69</v>
      </c>
      <c r="G118" s="46">
        <f t="shared" ca="1" si="135"/>
        <v>27.012600000000003</v>
      </c>
      <c r="H118" s="46">
        <f t="shared" ca="1" si="96"/>
        <v>28.517550000000004</v>
      </c>
      <c r="I118" s="45">
        <f t="shared" ca="1" si="97"/>
        <v>0.3433111911106958</v>
      </c>
      <c r="J118" s="45">
        <f t="shared" ca="1" si="98"/>
        <v>0.27952512346894071</v>
      </c>
      <c r="K118" s="45">
        <f t="shared" ca="1" si="122"/>
        <v>0.90345467800480783</v>
      </c>
      <c r="L118" s="358">
        <f t="shared" ca="1" si="99"/>
        <v>0.64074183470648283</v>
      </c>
      <c r="M118" s="76">
        <f t="shared" ca="1" si="138"/>
        <v>0.25347808785320641</v>
      </c>
      <c r="N118" s="45">
        <f t="shared" ca="1" si="139"/>
        <v>0.25</v>
      </c>
      <c r="O118" s="45">
        <f t="shared" ca="1" si="140"/>
        <v>0</v>
      </c>
      <c r="P118" s="46" t="str">
        <f t="shared" ca="1" si="136"/>
        <v/>
      </c>
      <c r="Q118" s="243" t="str">
        <f t="shared" ca="1" si="137"/>
        <v/>
      </c>
      <c r="R118" s="45">
        <f t="shared" ca="1" si="123"/>
        <v>0.28680487764491491</v>
      </c>
      <c r="S118" s="45">
        <f t="shared" ca="1" si="102"/>
        <v>5.0695617570641283E-2</v>
      </c>
      <c r="T118" s="77">
        <f t="shared" ca="1" si="103"/>
        <v>7.1359058973872833E-2</v>
      </c>
      <c r="U118" s="45">
        <f t="shared" ca="1" si="124"/>
        <v>15.594575570609155</v>
      </c>
      <c r="V118" s="45">
        <f t="shared" ca="1" si="104"/>
        <v>0.20278247028256513</v>
      </c>
      <c r="W118" s="77">
        <f t="shared" ca="1" si="105"/>
        <v>0.1332720673350577</v>
      </c>
      <c r="X118" s="45">
        <f t="shared" ca="1" si="125"/>
        <v>0.81974443582977008</v>
      </c>
      <c r="Y118" s="45">
        <f t="shared" ca="1" si="106"/>
        <v>2.0000892541613864E-2</v>
      </c>
      <c r="Z118" s="77">
        <f t="shared" ca="1" si="107"/>
        <v>1.5333291072684616E-2</v>
      </c>
      <c r="AA118" s="45">
        <f t="shared" ca="1" si="126"/>
        <v>39.450102294479201</v>
      </c>
      <c r="AB118" s="45">
        <f t="shared" ca="1" si="108"/>
        <v>0</v>
      </c>
      <c r="AC118" s="45" cm="1">
        <f t="array" aca="1" ref="AC118" ca="1">pHUM*(T118+W118+Z118+AD118)</f>
        <v>2.3530461813663372E-2</v>
      </c>
      <c r="AD118" s="77">
        <f t="shared" ca="1" si="109"/>
        <v>2.2566312674848484E-2</v>
      </c>
      <c r="AE118" s="45">
        <f t="shared" ca="1" si="127"/>
        <v>6.3847072090583081</v>
      </c>
      <c r="AF118" s="45">
        <f t="shared" ca="1" si="110"/>
        <v>0</v>
      </c>
      <c r="AG118" s="76">
        <f t="shared" ca="1" si="111"/>
        <v>62.535934387621346</v>
      </c>
      <c r="AH118" s="45">
        <f t="shared" ca="1" si="112"/>
        <v>0.19899937570118642</v>
      </c>
      <c r="AI118" s="77">
        <f t="shared" ca="1" si="113"/>
        <v>1.3173435481266902E-2</v>
      </c>
      <c r="AJ118" s="384">
        <f t="shared" ca="1" si="120"/>
        <v>2.6917056771658121E-2</v>
      </c>
      <c r="AU118" s="1"/>
    </row>
    <row r="119" spans="2:47" x14ac:dyDescent="0.25">
      <c r="B119" s="44"/>
      <c r="C119" s="10">
        <f t="shared" si="128"/>
        <v>2</v>
      </c>
      <c r="D119" s="91">
        <f t="shared" si="129"/>
        <v>5</v>
      </c>
      <c r="E119" s="278"/>
      <c r="F119" s="76">
        <f t="shared" ca="1" si="134"/>
        <v>15.52</v>
      </c>
      <c r="G119" s="46">
        <f t="shared" ca="1" si="135"/>
        <v>27.012600000000003</v>
      </c>
      <c r="H119" s="46">
        <f t="shared" ca="1" si="96"/>
        <v>28.517550000000004</v>
      </c>
      <c r="I119" s="45">
        <f t="shared" ca="1" si="97"/>
        <v>0.86230369296737164</v>
      </c>
      <c r="J119" s="45">
        <f t="shared" ca="1" si="98"/>
        <v>0.27952512346894071</v>
      </c>
      <c r="K119" s="45">
        <f t="shared" ca="1" si="122"/>
        <v>0.90345467800480783</v>
      </c>
      <c r="L119" s="358">
        <f t="shared" ca="1" si="99"/>
        <v>0.85046529796407655</v>
      </c>
      <c r="M119" s="76">
        <f t="shared" ca="1" si="138"/>
        <v>0.25347808785320641</v>
      </c>
      <c r="N119" s="45">
        <f t="shared" ca="1" si="139"/>
        <v>0.25</v>
      </c>
      <c r="O119" s="45">
        <f t="shared" ca="1" si="140"/>
        <v>0</v>
      </c>
      <c r="P119" s="46" t="str">
        <f t="shared" ca="1" si="136"/>
        <v/>
      </c>
      <c r="Q119" s="243" t="str">
        <f t="shared" ca="1" si="137"/>
        <v/>
      </c>
      <c r="R119" s="45">
        <f t="shared" ca="1" si="123"/>
        <v>0.26614143624168335</v>
      </c>
      <c r="S119" s="45">
        <f t="shared" ca="1" si="102"/>
        <v>5.0695617570641283E-2</v>
      </c>
      <c r="T119" s="77">
        <f t="shared" ca="1" si="103"/>
        <v>0.13641323892136842</v>
      </c>
      <c r="U119" s="45">
        <f t="shared" ca="1" si="124"/>
        <v>15.664085973556663</v>
      </c>
      <c r="V119" s="45">
        <f t="shared" ca="1" si="104"/>
        <v>0.20278247028256513</v>
      </c>
      <c r="W119" s="77">
        <f t="shared" ca="1" si="105"/>
        <v>0.33406621051806412</v>
      </c>
      <c r="X119" s="45">
        <f t="shared" ca="1" si="125"/>
        <v>0.82441203729869927</v>
      </c>
      <c r="Y119" s="45">
        <f t="shared" ca="1" si="106"/>
        <v>4.6620765474515352E-2</v>
      </c>
      <c r="Z119" s="77">
        <f t="shared" ca="1" si="107"/>
        <v>3.8186458578736621E-2</v>
      </c>
      <c r="AA119" s="45">
        <f t="shared" ca="1" si="126"/>
        <v>39.451066443618018</v>
      </c>
      <c r="AB119" s="45">
        <f t="shared" ca="1" si="108"/>
        <v>0</v>
      </c>
      <c r="AC119" s="45" cm="1">
        <f t="array" aca="1" ref="AC119" ca="1">pHUM*(T119+W119+Z119+AD119)</f>
        <v>5.4847959381782767E-2</v>
      </c>
      <c r="AD119" s="77">
        <f t="shared" ca="1" si="109"/>
        <v>5.6657277574678755E-2</v>
      </c>
      <c r="AE119" s="45">
        <f t="shared" ca="1" si="127"/>
        <v>6.3847072090583081</v>
      </c>
      <c r="AF119" s="45">
        <f t="shared" ca="1" si="110"/>
        <v>0</v>
      </c>
      <c r="AG119" s="76">
        <f t="shared" ca="1" si="111"/>
        <v>62.590413099773372</v>
      </c>
      <c r="AH119" s="45">
        <f t="shared" ca="1" si="112"/>
        <v>0.46385446073654985</v>
      </c>
      <c r="AI119" s="77">
        <f t="shared" ca="1" si="113"/>
        <v>1.288981443283428E-2</v>
      </c>
      <c r="AJ119" s="384">
        <f t="shared" ca="1" si="120"/>
        <v>3.4957905927154309E-2</v>
      </c>
      <c r="AU119" s="1"/>
    </row>
    <row r="120" spans="2:47" x14ac:dyDescent="0.25">
      <c r="B120" s="44"/>
      <c r="C120" s="10">
        <f t="shared" si="128"/>
        <v>2</v>
      </c>
      <c r="D120" s="91">
        <f t="shared" si="129"/>
        <v>6</v>
      </c>
      <c r="E120" s="278"/>
      <c r="F120" s="76">
        <f t="shared" ca="1" si="134"/>
        <v>17.8</v>
      </c>
      <c r="G120" s="46">
        <f t="shared" ca="1" si="135"/>
        <v>27.012600000000003</v>
      </c>
      <c r="H120" s="46">
        <f t="shared" ca="1" si="96"/>
        <v>28.517550000000004</v>
      </c>
      <c r="I120" s="45">
        <f t="shared" ca="1" si="97"/>
        <v>1.0420430221807615</v>
      </c>
      <c r="J120" s="45">
        <f t="shared" ca="1" si="98"/>
        <v>0.27952512346894071</v>
      </c>
      <c r="K120" s="45">
        <f t="shared" ca="1" si="122"/>
        <v>0.90345467800480783</v>
      </c>
      <c r="L120" s="358">
        <f t="shared" ca="1" si="99"/>
        <v>0.88796358149435028</v>
      </c>
      <c r="M120" s="76">
        <f t="shared" ca="1" si="138"/>
        <v>0.25347808785320641</v>
      </c>
      <c r="N120" s="45">
        <f t="shared" ca="1" si="139"/>
        <v>0.25</v>
      </c>
      <c r="O120" s="45">
        <f t="shared" ca="1" si="140"/>
        <v>0</v>
      </c>
      <c r="P120" s="46" t="str">
        <f t="shared" ca="1" si="136"/>
        <v/>
      </c>
      <c r="Q120" s="243" t="str">
        <f t="shared" ca="1" si="137"/>
        <v/>
      </c>
      <c r="R120" s="45">
        <f t="shared" ca="1" si="123"/>
        <v>0.18042381489095621</v>
      </c>
      <c r="S120" s="45">
        <f t="shared" ca="1" si="102"/>
        <v>5.0695617570641283E-2</v>
      </c>
      <c r="T120" s="77">
        <f t="shared" ca="1" si="103"/>
        <v>0.1047116061526943</v>
      </c>
      <c r="U120" s="45">
        <f t="shared" ca="1" si="124"/>
        <v>15.532802233321165</v>
      </c>
      <c r="V120" s="45">
        <f t="shared" ca="1" si="104"/>
        <v>0.20278247028256513</v>
      </c>
      <c r="W120" s="77">
        <f t="shared" ca="1" si="105"/>
        <v>0.39942094302401115</v>
      </c>
      <c r="X120" s="45">
        <f t="shared" ca="1" si="125"/>
        <v>0.83284634419447801</v>
      </c>
      <c r="Y120" s="45">
        <f t="shared" ca="1" si="106"/>
        <v>5.104541415682777E-2</v>
      </c>
      <c r="Z120" s="77">
        <f t="shared" ca="1" si="107"/>
        <v>4.6390327440184176E-2</v>
      </c>
      <c r="AA120" s="45">
        <f t="shared" ca="1" si="126"/>
        <v>39.44925712542512</v>
      </c>
      <c r="AB120" s="45">
        <f t="shared" ca="1" si="108"/>
        <v>0</v>
      </c>
      <c r="AC120" s="45" cm="1">
        <f t="array" aca="1" ref="AC120" ca="1">pHUM*(T120+W120+Z120+AD120)</f>
        <v>6.0053428419797383E-2</v>
      </c>
      <c r="AD120" s="77">
        <f t="shared" ca="1" si="109"/>
        <v>6.8453578345406663E-2</v>
      </c>
      <c r="AE120" s="45">
        <f t="shared" ca="1" si="127"/>
        <v>6.3847072090583081</v>
      </c>
      <c r="AF120" s="45">
        <f t="shared" ca="1" si="110"/>
        <v>0</v>
      </c>
      <c r="AG120" s="76">
        <f t="shared" ca="1" si="111"/>
        <v>62.380036726890026</v>
      </c>
      <c r="AH120" s="45">
        <f t="shared" ca="1" si="112"/>
        <v>0.50787761238567131</v>
      </c>
      <c r="AI120" s="77">
        <f t="shared" ca="1" si="113"/>
        <v>1.1612192504522459E-2</v>
      </c>
      <c r="AJ120" s="384">
        <f t="shared" ca="1" si="120"/>
        <v>3.2881557342718803E-2</v>
      </c>
      <c r="AU120" s="1"/>
    </row>
    <row r="121" spans="2:47" x14ac:dyDescent="0.25">
      <c r="B121" s="44"/>
      <c r="C121" s="10">
        <f t="shared" si="128"/>
        <v>2</v>
      </c>
      <c r="D121" s="91">
        <f t="shared" si="129"/>
        <v>7</v>
      </c>
      <c r="E121" s="278"/>
      <c r="F121" s="76">
        <f t="shared" ca="1" si="134"/>
        <v>22.99</v>
      </c>
      <c r="G121" s="46">
        <f t="shared" ca="1" si="135"/>
        <v>27.012600000000003</v>
      </c>
      <c r="H121" s="46">
        <f t="shared" ca="1" si="96"/>
        <v>28.517550000000004</v>
      </c>
      <c r="I121" s="45">
        <f t="shared" ca="1" si="97"/>
        <v>1.4752596357037575</v>
      </c>
      <c r="J121" s="45">
        <f t="shared" ca="1" si="98"/>
        <v>0.27952512346894071</v>
      </c>
      <c r="K121" s="45">
        <f t="shared" ca="1" si="122"/>
        <v>0.90345467800480783</v>
      </c>
      <c r="L121" s="358">
        <f t="shared" ca="1" si="99"/>
        <v>0.94206720469222516</v>
      </c>
      <c r="M121" s="76">
        <f t="shared" ca="1" si="138"/>
        <v>0.25347808785320641</v>
      </c>
      <c r="N121" s="45">
        <f t="shared" ca="1" si="139"/>
        <v>0.25</v>
      </c>
      <c r="O121" s="45">
        <f t="shared" ca="1" si="140"/>
        <v>0</v>
      </c>
      <c r="P121" s="46" t="str">
        <f t="shared" ca="1" si="136"/>
        <v/>
      </c>
      <c r="Q121" s="243" t="str">
        <f t="shared" ca="1" si="137"/>
        <v/>
      </c>
      <c r="R121" s="45">
        <f t="shared" ca="1" si="123"/>
        <v>0.12640782630890318</v>
      </c>
      <c r="S121" s="45">
        <f t="shared" ca="1" si="102"/>
        <v>5.0695617570641283E-2</v>
      </c>
      <c r="T121" s="77">
        <f t="shared" ca="1" si="103"/>
        <v>8.9436954024916152E-2</v>
      </c>
      <c r="U121" s="45">
        <f t="shared" ca="1" si="124"/>
        <v>15.336163760579719</v>
      </c>
      <c r="V121" s="45">
        <f t="shared" ca="1" si="104"/>
        <v>0.20278247028256513</v>
      </c>
      <c r="W121" s="77">
        <f t="shared" ca="1" si="105"/>
        <v>0.55531717555857585</v>
      </c>
      <c r="X121" s="45">
        <f t="shared" ca="1" si="125"/>
        <v>0.8375014309111215</v>
      </c>
      <c r="Y121" s="45">
        <f t="shared" ca="1" si="106"/>
        <v>6.6541449356336074E-2</v>
      </c>
      <c r="Z121" s="77">
        <f t="shared" ca="1" si="107"/>
        <v>6.5270458541424409E-2</v>
      </c>
      <c r="AA121" s="45">
        <f t="shared" ca="1" si="126"/>
        <v>39.440856975499514</v>
      </c>
      <c r="AB121" s="45">
        <f t="shared" ca="1" si="108"/>
        <v>0</v>
      </c>
      <c r="AC121" s="45" cm="1">
        <f t="array" aca="1" ref="AC121" ca="1">pHUM*(T121+W121+Z121+AD121)</f>
        <v>7.8284058066277737E-2</v>
      </c>
      <c r="AD121" s="77">
        <f t="shared" ca="1" si="109"/>
        <v>9.6856717688308752E-2</v>
      </c>
      <c r="AE121" s="45">
        <f t="shared" ca="1" si="127"/>
        <v>6.3847072090583081</v>
      </c>
      <c r="AF121" s="45">
        <f t="shared" ca="1" si="110"/>
        <v>0</v>
      </c>
      <c r="AG121" s="76">
        <f t="shared" ca="1" si="111"/>
        <v>62.125637202357566</v>
      </c>
      <c r="AH121" s="45">
        <f t="shared" ca="1" si="112"/>
        <v>0.66205579839061135</v>
      </c>
      <c r="AI121" s="77">
        <f t="shared" ca="1" si="113"/>
        <v>1.0773793865119379E-2</v>
      </c>
      <c r="AJ121" s="384">
        <f t="shared" ca="1" si="120"/>
        <v>3.2366352212255256E-2</v>
      </c>
      <c r="AU121" s="1"/>
    </row>
    <row r="122" spans="2:47" x14ac:dyDescent="0.25">
      <c r="B122" s="44"/>
      <c r="C122" s="10">
        <f t="shared" si="128"/>
        <v>2</v>
      </c>
      <c r="D122" s="91">
        <f t="shared" si="129"/>
        <v>8</v>
      </c>
      <c r="E122" s="278"/>
      <c r="F122" s="76">
        <f t="shared" ca="1" si="134"/>
        <v>21.76</v>
      </c>
      <c r="G122" s="46">
        <f t="shared" ca="1" si="135"/>
        <v>27.012600000000003</v>
      </c>
      <c r="H122" s="46">
        <f t="shared" ca="1" si="96"/>
        <v>28.517550000000004</v>
      </c>
      <c r="I122" s="45">
        <f t="shared" ca="1" si="97"/>
        <v>1.3706166748122235</v>
      </c>
      <c r="J122" s="45">
        <f t="shared" ca="1" si="98"/>
        <v>0.27952512346894071</v>
      </c>
      <c r="K122" s="45">
        <f t="shared" ca="1" si="122"/>
        <v>0.90345467800480783</v>
      </c>
      <c r="L122" s="358">
        <f t="shared" ca="1" si="99"/>
        <v>0.93252308258228611</v>
      </c>
      <c r="M122" s="76">
        <f t="shared" ca="1" si="138"/>
        <v>0.25347808785320641</v>
      </c>
      <c r="N122" s="45">
        <f t="shared" ca="1" si="139"/>
        <v>0.25</v>
      </c>
      <c r="O122" s="45">
        <f t="shared" ca="1" si="140"/>
        <v>0</v>
      </c>
      <c r="P122" s="46" t="str">
        <f t="shared" ca="1" si="136"/>
        <v/>
      </c>
      <c r="Q122" s="243" t="str">
        <f t="shared" ca="1" si="137"/>
        <v/>
      </c>
      <c r="R122" s="45">
        <f t="shared" ca="1" si="123"/>
        <v>8.7666489854628313E-2</v>
      </c>
      <c r="S122" s="45">
        <f t="shared" ca="1" si="102"/>
        <v>5.0695617570641283E-2</v>
      </c>
      <c r="T122" s="77">
        <f t="shared" ca="1" si="103"/>
        <v>5.9690149537508543E-2</v>
      </c>
      <c r="U122" s="45">
        <f t="shared" ca="1" si="124"/>
        <v>14.983629055303709</v>
      </c>
      <c r="V122" s="45">
        <f t="shared" ca="1" si="104"/>
        <v>0.20278247028256513</v>
      </c>
      <c r="W122" s="77">
        <f t="shared" ca="1" si="105"/>
        <v>0.50472363018836741</v>
      </c>
      <c r="X122" s="45">
        <f t="shared" ca="1" si="125"/>
        <v>0.83877242172603317</v>
      </c>
      <c r="Y122" s="45">
        <f t="shared" ca="1" si="106"/>
        <v>5.898659670895972E-2</v>
      </c>
      <c r="Z122" s="77">
        <f t="shared" ca="1" si="107"/>
        <v>6.0905464728565908E-2</v>
      </c>
      <c r="AA122" s="45">
        <f t="shared" ca="1" si="126"/>
        <v>39.422284315877484</v>
      </c>
      <c r="AB122" s="45">
        <f t="shared" ca="1" si="108"/>
        <v>0</v>
      </c>
      <c r="AC122" s="45" cm="1">
        <f t="array" aca="1" ref="AC122" ca="1">pHUM*(T122+W122+Z122+AD122)</f>
        <v>6.9395996128187906E-2</v>
      </c>
      <c r="AD122" s="77">
        <f t="shared" ca="1" si="109"/>
        <v>8.9951953248610522E-2</v>
      </c>
      <c r="AE122" s="45">
        <f t="shared" ca="1" si="127"/>
        <v>6.3847072090583081</v>
      </c>
      <c r="AF122" s="45">
        <f t="shared" ca="1" si="110"/>
        <v>0</v>
      </c>
      <c r="AG122" s="76">
        <f t="shared" ca="1" si="111"/>
        <v>61.717059491820159</v>
      </c>
      <c r="AH122" s="45">
        <f t="shared" ca="1" si="112"/>
        <v>0.58688860486590477</v>
      </c>
      <c r="AI122" s="77">
        <f t="shared" ca="1" si="113"/>
        <v>1.0111307434098445E-2</v>
      </c>
      <c r="AJ122" s="384">
        <f t="shared" ca="1" si="120"/>
        <v>3.0068451022929876E-2</v>
      </c>
      <c r="AU122" s="1"/>
    </row>
    <row r="123" spans="2:47" x14ac:dyDescent="0.25">
      <c r="B123" s="44"/>
      <c r="C123" s="10">
        <f t="shared" si="128"/>
        <v>2</v>
      </c>
      <c r="D123" s="91">
        <f t="shared" si="129"/>
        <v>9</v>
      </c>
      <c r="E123" s="278"/>
      <c r="F123" s="76">
        <f t="shared" ca="1" si="134"/>
        <v>16.16</v>
      </c>
      <c r="G123" s="46">
        <f t="shared" ca="1" si="135"/>
        <v>27.012600000000003</v>
      </c>
      <c r="H123" s="46">
        <f t="shared" ca="1" si="96"/>
        <v>28.517550000000004</v>
      </c>
      <c r="I123" s="45">
        <f t="shared" ca="1" si="97"/>
        <v>0.91183635166446475</v>
      </c>
      <c r="J123" s="45">
        <f t="shared" ca="1" si="98"/>
        <v>0.27952512346894071</v>
      </c>
      <c r="K123" s="45">
        <f t="shared" ca="1" si="122"/>
        <v>0.90345467800480783</v>
      </c>
      <c r="L123" s="358">
        <f t="shared" ca="1" si="99"/>
        <v>0.86198800670670384</v>
      </c>
      <c r="M123" s="76">
        <f t="shared" ca="1" si="138"/>
        <v>0.25347808785320641</v>
      </c>
      <c r="N123" s="45">
        <f t="shared" ca="1" si="139"/>
        <v>0.25</v>
      </c>
      <c r="O123" s="45">
        <f t="shared" ca="1" si="140"/>
        <v>0</v>
      </c>
      <c r="P123" s="46" t="str">
        <f t="shared" ca="1" si="136"/>
        <v/>
      </c>
      <c r="Q123" s="243" t="str">
        <f t="shared" ca="1" si="137"/>
        <v/>
      </c>
      <c r="R123" s="45">
        <f t="shared" ca="1" si="123"/>
        <v>7.8671957887761074E-2</v>
      </c>
      <c r="S123" s="45">
        <f t="shared" ca="1" si="102"/>
        <v>5.0695617570641283E-2</v>
      </c>
      <c r="T123" s="77">
        <f t="shared" ca="1" si="103"/>
        <v>4.187470660457155E-2</v>
      </c>
      <c r="U123" s="45">
        <f t="shared" ca="1" si="124"/>
        <v>14.681687895397907</v>
      </c>
      <c r="V123" s="45">
        <f t="shared" ca="1" si="104"/>
        <v>0.20278247028256513</v>
      </c>
      <c r="W123" s="77">
        <f t="shared" ca="1" si="105"/>
        <v>0.33089654526732681</v>
      </c>
      <c r="X123" s="45">
        <f t="shared" ca="1" si="125"/>
        <v>0.83685355370642689</v>
      </c>
      <c r="Y123" s="45">
        <f t="shared" ca="1" si="106"/>
        <v>3.9051612896085136E-2</v>
      </c>
      <c r="Z123" s="77">
        <f t="shared" ca="1" si="107"/>
        <v>4.0934021822381025E-2</v>
      </c>
      <c r="AA123" s="45">
        <f t="shared" ca="1" si="126"/>
        <v>39.401728358757062</v>
      </c>
      <c r="AB123" s="45">
        <f t="shared" ca="1" si="108"/>
        <v>0</v>
      </c>
      <c r="AC123" s="45" cm="1">
        <f t="array" aca="1" ref="AC123" ca="1">pHUM*(T123+W123+Z123+AD123)</f>
        <v>4.5943073995394282E-2</v>
      </c>
      <c r="AD123" s="77">
        <f t="shared" ca="1" si="109"/>
        <v>5.9834402890859124E-2</v>
      </c>
      <c r="AE123" s="45">
        <f t="shared" ca="1" si="127"/>
        <v>6.3847072090583081</v>
      </c>
      <c r="AF123" s="45">
        <f t="shared" ca="1" si="110"/>
        <v>0</v>
      </c>
      <c r="AG123" s="76">
        <f t="shared" ca="1" si="111"/>
        <v>61.383648974807464</v>
      </c>
      <c r="AH123" s="45">
        <f t="shared" ca="1" si="112"/>
        <v>0.38854498969365914</v>
      </c>
      <c r="AI123" s="77">
        <f t="shared" ca="1" si="113"/>
        <v>9.8965295973899685E-3</v>
      </c>
      <c r="AJ123" s="384">
        <f t="shared" ca="1" si="120"/>
        <v>2.7203793838336265E-2</v>
      </c>
      <c r="AU123" s="1"/>
    </row>
    <row r="124" spans="2:47" x14ac:dyDescent="0.25">
      <c r="B124" s="44"/>
      <c r="C124" s="10">
        <f t="shared" si="128"/>
        <v>2</v>
      </c>
      <c r="D124" s="91">
        <f t="shared" si="129"/>
        <v>10</v>
      </c>
      <c r="E124" s="278"/>
      <c r="F124" s="76">
        <f t="shared" ca="1" si="134"/>
        <v>11.21</v>
      </c>
      <c r="G124" s="46">
        <f t="shared" ca="1" si="135"/>
        <v>27.012600000000003</v>
      </c>
      <c r="H124" s="46">
        <f t="shared" ca="1" si="96"/>
        <v>28.517550000000004</v>
      </c>
      <c r="I124" s="45">
        <f t="shared" ca="1" si="97"/>
        <v>0.55341948356365211</v>
      </c>
      <c r="J124" s="45">
        <f t="shared" ca="1" si="98"/>
        <v>0.27952512346894071</v>
      </c>
      <c r="K124" s="45">
        <f t="shared" ca="1" si="122"/>
        <v>0.90345467800480783</v>
      </c>
      <c r="L124" s="358">
        <f t="shared" ca="1" si="99"/>
        <v>0.75061725573145499</v>
      </c>
      <c r="M124" s="76">
        <f t="shared" ca="1" si="138"/>
        <v>0.25347808785320641</v>
      </c>
      <c r="N124" s="45">
        <f t="shared" ca="1" si="139"/>
        <v>0.25</v>
      </c>
      <c r="O124" s="45">
        <f t="shared" ca="1" si="140"/>
        <v>0</v>
      </c>
      <c r="P124" s="46" t="str">
        <f t="shared" ca="1" si="136"/>
        <v/>
      </c>
      <c r="Q124" s="243" t="str">
        <f t="shared" ca="1" si="137"/>
        <v/>
      </c>
      <c r="R124" s="45">
        <f t="shared" ca="1" si="123"/>
        <v>8.7492868853830813E-2</v>
      </c>
      <c r="S124" s="45">
        <f t="shared" ca="1" si="102"/>
        <v>5.0695617570641283E-2</v>
      </c>
      <c r="T124" s="77">
        <f t="shared" ca="1" si="103"/>
        <v>3.2325348084135404E-2</v>
      </c>
      <c r="U124" s="45">
        <f t="shared" ca="1" si="124"/>
        <v>14.553573820413146</v>
      </c>
      <c r="V124" s="45">
        <f t="shared" ca="1" si="104"/>
        <v>0.20278247028256513</v>
      </c>
      <c r="W124" s="77">
        <f t="shared" ca="1" si="105"/>
        <v>0.19996925681257405</v>
      </c>
      <c r="X124" s="45">
        <f t="shared" ca="1" si="125"/>
        <v>0.83497114478013101</v>
      </c>
      <c r="Y124" s="45">
        <f t="shared" ca="1" si="106"/>
        <v>2.4215732932780377E-2</v>
      </c>
      <c r="Z124" s="77">
        <f t="shared" ca="1" si="107"/>
        <v>2.5032015741021686E-2</v>
      </c>
      <c r="AA124" s="45">
        <f t="shared" ca="1" si="126"/>
        <v>39.387837029861601</v>
      </c>
      <c r="AB124" s="45">
        <f t="shared" ca="1" si="108"/>
        <v>0</v>
      </c>
      <c r="AC124" s="45" cm="1">
        <f t="array" aca="1" ref="AC124" ca="1">pHUM*(T124+W124+Z124+AD124)</f>
        <v>2.8489097567976917E-2</v>
      </c>
      <c r="AD124" s="77">
        <f t="shared" ca="1" si="109"/>
        <v>3.6313244424294677E-2</v>
      </c>
      <c r="AE124" s="45">
        <f t="shared" ca="1" si="127"/>
        <v>6.3847072090583081</v>
      </c>
      <c r="AF124" s="45">
        <f t="shared" ca="1" si="110"/>
        <v>0</v>
      </c>
      <c r="AG124" s="76">
        <f t="shared" ca="1" si="111"/>
        <v>61.248582072967011</v>
      </c>
      <c r="AH124" s="45">
        <f t="shared" ca="1" si="112"/>
        <v>0.24093503456126855</v>
      </c>
      <c r="AI124" s="77">
        <f t="shared" ca="1" si="113"/>
        <v>9.9941879593445793E-3</v>
      </c>
      <c r="AJ124" s="384">
        <f t="shared" ca="1" si="120"/>
        <v>2.3922839416534725E-2</v>
      </c>
      <c r="AU124" s="1"/>
    </row>
    <row r="125" spans="2:47" x14ac:dyDescent="0.25">
      <c r="B125" s="44"/>
      <c r="C125" s="10">
        <f t="shared" si="128"/>
        <v>2</v>
      </c>
      <c r="D125" s="91">
        <f t="shared" si="129"/>
        <v>11</v>
      </c>
      <c r="E125" s="278"/>
      <c r="F125" s="76">
        <f t="shared" ca="1" si="134"/>
        <v>1.8</v>
      </c>
      <c r="G125" s="46">
        <f t="shared" ca="1" si="135"/>
        <v>27.012600000000003</v>
      </c>
      <c r="H125" s="46">
        <f t="shared" ca="1" si="96"/>
        <v>28.517550000000004</v>
      </c>
      <c r="I125" s="45">
        <f t="shared" ca="1" si="97"/>
        <v>0.10471759589279002</v>
      </c>
      <c r="J125" s="45">
        <f t="shared" ca="1" si="98"/>
        <v>0.27952512346894071</v>
      </c>
      <c r="K125" s="45">
        <f t="shared" ca="1" si="122"/>
        <v>0.90345467800480783</v>
      </c>
      <c r="L125" s="358">
        <f t="shared" ca="1" si="99"/>
        <v>0.42572038710161686</v>
      </c>
      <c r="M125" s="76">
        <f t="shared" ca="1" si="138"/>
        <v>0.25347808785320641</v>
      </c>
      <c r="N125" s="45">
        <f t="shared" ca="1" si="139"/>
        <v>0.25</v>
      </c>
      <c r="O125" s="45">
        <f t="shared" ca="1" si="140"/>
        <v>0</v>
      </c>
      <c r="P125" s="46" t="str">
        <f t="shared" ca="1" si="136"/>
        <v/>
      </c>
      <c r="Q125" s="243" t="str">
        <f t="shared" ca="1" si="137"/>
        <v/>
      </c>
      <c r="R125" s="45">
        <f t="shared" ca="1" si="123"/>
        <v>0.1058631383403367</v>
      </c>
      <c r="S125" s="45">
        <f t="shared" ca="1" si="102"/>
        <v>5.0695617570641283E-2</v>
      </c>
      <c r="T125" s="77">
        <f t="shared" ca="1" si="103"/>
        <v>8.8465042871399592E-3</v>
      </c>
      <c r="U125" s="45">
        <f t="shared" ca="1" si="124"/>
        <v>14.556387033883137</v>
      </c>
      <c r="V125" s="45">
        <f t="shared" ca="1" si="104"/>
        <v>0.20278247028256513</v>
      </c>
      <c r="W125" s="77">
        <f t="shared" ca="1" si="105"/>
        <v>3.8057907982805804E-2</v>
      </c>
      <c r="X125" s="45">
        <f t="shared" ca="1" si="125"/>
        <v>0.83415486197188971</v>
      </c>
      <c r="Y125" s="45">
        <f t="shared" ca="1" si="106"/>
        <v>4.8298929239301179E-3</v>
      </c>
      <c r="Z125" s="77">
        <f t="shared" ca="1" si="107"/>
        <v>4.7904794977310684E-3</v>
      </c>
      <c r="AA125" s="45">
        <f t="shared" ca="1" si="126"/>
        <v>39.380012883005286</v>
      </c>
      <c r="AB125" s="45">
        <f t="shared" ca="1" si="108"/>
        <v>0</v>
      </c>
      <c r="AC125" s="45" cm="1">
        <f t="array" aca="1" ref="AC125" ca="1">pHUM*(T125+W125+Z125+AD125)</f>
        <v>5.6822269693295509E-3</v>
      </c>
      <c r="AD125" s="77">
        <f t="shared" ca="1" si="109"/>
        <v>6.8723673932885743E-3</v>
      </c>
      <c r="AE125" s="45">
        <f t="shared" ca="1" si="127"/>
        <v>6.3847072090583081</v>
      </c>
      <c r="AF125" s="45">
        <f t="shared" ca="1" si="110"/>
        <v>0</v>
      </c>
      <c r="AG125" s="76">
        <f t="shared" ca="1" si="111"/>
        <v>61.261125126258953</v>
      </c>
      <c r="AH125" s="45">
        <f t="shared" ca="1" si="112"/>
        <v>4.8055139267705743E-2</v>
      </c>
      <c r="AI125" s="77">
        <f t="shared" ca="1" si="113"/>
        <v>1.0271093693857017E-2</v>
      </c>
      <c r="AJ125" s="384">
        <f t="shared" ca="1" si="120"/>
        <v>1.3944145182743783E-2</v>
      </c>
      <c r="AU125" s="1"/>
    </row>
    <row r="126" spans="2:47" x14ac:dyDescent="0.25">
      <c r="B126" s="44"/>
      <c r="C126" s="10">
        <f t="shared" si="128"/>
        <v>2</v>
      </c>
      <c r="D126" s="91">
        <f t="shared" si="129"/>
        <v>12</v>
      </c>
      <c r="E126" s="278"/>
      <c r="F126" s="76">
        <f t="shared" ca="1" si="134"/>
        <v>-0.63</v>
      </c>
      <c r="G126" s="46">
        <f t="shared" ca="1" si="135"/>
        <v>27.012600000000003</v>
      </c>
      <c r="H126" s="46">
        <f t="shared" ca="1" si="96"/>
        <v>28.517550000000004</v>
      </c>
      <c r="I126" s="45">
        <f t="shared" ca="1" si="97"/>
        <v>5.069926650983797E-2</v>
      </c>
      <c r="J126" s="45">
        <f t="shared" ca="1" si="98"/>
        <v>0.27952512346894071</v>
      </c>
      <c r="K126" s="45">
        <f t="shared" ca="1" si="122"/>
        <v>0.90345467800480783</v>
      </c>
      <c r="L126" s="358">
        <f t="shared" ca="1" si="99"/>
        <v>0.3403279781726225</v>
      </c>
      <c r="M126" s="76">
        <f t="shared" ca="1" si="138"/>
        <v>0.25347808785320641</v>
      </c>
      <c r="N126" s="45">
        <f t="shared" ca="1" si="139"/>
        <v>0.25</v>
      </c>
      <c r="O126" s="45">
        <f t="shared" ca="1" si="140"/>
        <v>0</v>
      </c>
      <c r="P126" s="46" t="str">
        <f t="shared" ca="1" si="136"/>
        <v/>
      </c>
      <c r="Q126" s="243" t="str">
        <f t="shared" ca="1" si="137"/>
        <v/>
      </c>
      <c r="R126" s="45">
        <f t="shared" ca="1" si="123"/>
        <v>0.14771225162383803</v>
      </c>
      <c r="S126" s="45">
        <f t="shared" ca="1" si="102"/>
        <v>5.0695617570641283E-2</v>
      </c>
      <c r="T126" s="77">
        <f t="shared" ca="1" si="103"/>
        <v>6.1107555464876813E-3</v>
      </c>
      <c r="U126" s="45">
        <f t="shared" ca="1" si="124"/>
        <v>14.721111596182897</v>
      </c>
      <c r="V126" s="45">
        <f t="shared" ca="1" si="104"/>
        <v>0.20278247028256513</v>
      </c>
      <c r="W126" s="77">
        <f t="shared" ca="1" si="105"/>
        <v>1.8646919192955701E-2</v>
      </c>
      <c r="X126" s="45">
        <f t="shared" ca="1" si="125"/>
        <v>0.83419427539808877</v>
      </c>
      <c r="Y126" s="45">
        <f t="shared" ca="1" si="106"/>
        <v>2.5076599987083779E-3</v>
      </c>
      <c r="Z126" s="77">
        <f t="shared" ca="1" si="107"/>
        <v>2.3228769544486336E-3</v>
      </c>
      <c r="AA126" s="45">
        <f t="shared" ca="1" si="126"/>
        <v>39.378822742581328</v>
      </c>
      <c r="AB126" s="45">
        <f t="shared" ca="1" si="108"/>
        <v>0</v>
      </c>
      <c r="AC126" s="45" cm="1">
        <f t="array" aca="1" ref="AC126" ca="1">pHUM*(T126+W126+Z126+AD126)</f>
        <v>2.9501882337745625E-3</v>
      </c>
      <c r="AD126" s="77">
        <f t="shared" ca="1" si="109"/>
        <v>3.3273218024904311E-3</v>
      </c>
      <c r="AE126" s="45">
        <f t="shared" ca="1" si="127"/>
        <v>6.3847072090583081</v>
      </c>
      <c r="AF126" s="45">
        <f t="shared" ca="1" si="110"/>
        <v>0</v>
      </c>
      <c r="AG126" s="76">
        <f t="shared" ca="1" si="111"/>
        <v>61.466548074844454</v>
      </c>
      <c r="AH126" s="45">
        <f t="shared" ca="1" si="112"/>
        <v>2.4950025263899507E-2</v>
      </c>
      <c r="AI126" s="77">
        <f t="shared" ca="1" si="113"/>
        <v>1.0940690794582555E-2</v>
      </c>
      <c r="AJ126" s="384">
        <f t="shared" ca="1" si="120"/>
        <v>1.1873916831538489E-2</v>
      </c>
      <c r="AU126" s="1"/>
    </row>
    <row r="127" spans="2:47" x14ac:dyDescent="0.25">
      <c r="B127" s="44"/>
      <c r="C127" s="10">
        <f t="shared" si="128"/>
        <v>3</v>
      </c>
      <c r="D127" s="91">
        <f t="shared" si="129"/>
        <v>1</v>
      </c>
      <c r="E127" s="278"/>
      <c r="F127" s="76">
        <f t="shared" ca="1" si="134"/>
        <v>-5.04</v>
      </c>
      <c r="G127" s="46">
        <f t="shared" ca="1" si="135"/>
        <v>27.012600000000003</v>
      </c>
      <c r="H127" s="46">
        <f t="shared" ca="1" si="96"/>
        <v>28.517550000000004</v>
      </c>
      <c r="I127" s="45">
        <f t="shared" ca="1" si="97"/>
        <v>6.847402527399577E-3</v>
      </c>
      <c r="J127" s="45">
        <f t="shared" ca="1" si="98"/>
        <v>0.27952512346894071</v>
      </c>
      <c r="K127" s="45">
        <f t="shared" ca="1" si="122"/>
        <v>0.90345467800480783</v>
      </c>
      <c r="L127" s="358">
        <f t="shared" ca="1" si="99"/>
        <v>0.21084054547214914</v>
      </c>
      <c r="M127" s="76">
        <f t="shared" ca="1" si="138"/>
        <v>0.25347808785320641</v>
      </c>
      <c r="N127" s="45">
        <f t="shared" ca="1" si="139"/>
        <v>0.25</v>
      </c>
      <c r="O127" s="45">
        <f t="shared" ca="1" si="140"/>
        <v>0</v>
      </c>
      <c r="P127" s="46" t="str">
        <f t="shared" ca="1" si="136"/>
        <v/>
      </c>
      <c r="Q127" s="243" t="str">
        <f t="shared" ca="1" si="137"/>
        <v/>
      </c>
      <c r="R127" s="45">
        <f t="shared" ca="1" si="123"/>
        <v>0.19229711364799162</v>
      </c>
      <c r="S127" s="45">
        <f t="shared" ca="1" si="102"/>
        <v>5.0695617570641283E-2</v>
      </c>
      <c r="T127" s="77">
        <f t="shared" ca="1" si="103"/>
        <v>1.0941550993349559E-3</v>
      </c>
      <c r="U127" s="45">
        <f t="shared" ca="1" si="124"/>
        <v>14.905247147272508</v>
      </c>
      <c r="V127" s="45">
        <f t="shared" ca="1" si="104"/>
        <v>0.20278247028256513</v>
      </c>
      <c r="W127" s="77">
        <f t="shared" ca="1" si="105"/>
        <v>2.5513372930454268E-3</v>
      </c>
      <c r="X127" s="45">
        <f t="shared" ca="1" si="125"/>
        <v>0.8343790584423485</v>
      </c>
      <c r="Y127" s="45">
        <f t="shared" ca="1" si="106"/>
        <v>3.6360428637083764E-4</v>
      </c>
      <c r="Z127" s="77">
        <f t="shared" ca="1" si="107"/>
        <v>3.1417394625839765E-4</v>
      </c>
      <c r="AA127" s="45">
        <f t="shared" ca="1" si="126"/>
        <v>39.378445609012616</v>
      </c>
      <c r="AB127" s="45">
        <f t="shared" ca="1" si="108"/>
        <v>0</v>
      </c>
      <c r="AC127" s="45" cm="1">
        <f t="array" aca="1" ref="AC127" ca="1">pHUM*(T127+W127+Z127+AD127)</f>
        <v>4.2776974867157373E-4</v>
      </c>
      <c r="AD127" s="77">
        <f t="shared" ca="1" si="109"/>
        <v>4.4939754897026175E-4</v>
      </c>
      <c r="AE127" s="45">
        <f t="shared" ca="1" si="127"/>
        <v>6.3847072090583081</v>
      </c>
      <c r="AF127" s="45">
        <f t="shared" ca="1" si="110"/>
        <v>0</v>
      </c>
      <c r="AG127" s="76">
        <f t="shared" ca="1" si="111"/>
        <v>61.695076137433773</v>
      </c>
      <c r="AH127" s="45">
        <f t="shared" ca="1" si="112"/>
        <v>3.6176898525666313E-3</v>
      </c>
      <c r="AI127" s="77">
        <f t="shared" ca="1" si="113"/>
        <v>1.1650624950973656E-2</v>
      </c>
      <c r="AJ127" s="384">
        <f t="shared" ca="1" si="120"/>
        <v>7.8335138087848311E-3</v>
      </c>
      <c r="AU127" s="1"/>
    </row>
    <row r="128" spans="2:47" x14ac:dyDescent="0.25">
      <c r="B128" s="44"/>
      <c r="C128" s="10">
        <f t="shared" si="128"/>
        <v>3</v>
      </c>
      <c r="D128" s="91">
        <f t="shared" si="129"/>
        <v>2</v>
      </c>
      <c r="E128" s="278"/>
      <c r="F128" s="76">
        <f t="shared" ca="1" si="134"/>
        <v>-4.4400000000000004</v>
      </c>
      <c r="G128" s="46">
        <f t="shared" ca="1" si="135"/>
        <v>27.012600000000003</v>
      </c>
      <c r="H128" s="46">
        <f t="shared" ca="1" si="96"/>
        <v>28.517550000000004</v>
      </c>
      <c r="I128" s="45">
        <f t="shared" ca="1" si="97"/>
        <v>9.6941753008840392E-3</v>
      </c>
      <c r="J128" s="45">
        <f t="shared" ca="1" si="98"/>
        <v>0.27952512346894071</v>
      </c>
      <c r="K128" s="45">
        <f t="shared" ca="1" si="122"/>
        <v>0.90345467800480783</v>
      </c>
      <c r="L128" s="358">
        <f t="shared" ca="1" si="99"/>
        <v>0.22612365929309886</v>
      </c>
      <c r="M128" s="76">
        <f t="shared" ca="1" si="138"/>
        <v>0.25347808785320641</v>
      </c>
      <c r="N128" s="45">
        <f t="shared" ca="1" si="139"/>
        <v>0.25</v>
      </c>
      <c r="O128" s="45">
        <f t="shared" ca="1" si="140"/>
        <v>0</v>
      </c>
      <c r="P128" s="46" t="str">
        <f t="shared" ca="1" si="136"/>
        <v/>
      </c>
      <c r="Q128" s="243" t="str">
        <f t="shared" ca="1" si="137"/>
        <v/>
      </c>
      <c r="R128" s="45">
        <f t="shared" ca="1" si="123"/>
        <v>0.24189857611929796</v>
      </c>
      <c r="S128" s="45">
        <f t="shared" ca="1" si="102"/>
        <v>5.0695617570641283E-2</v>
      </c>
      <c r="T128" s="77">
        <f t="shared" ca="1" si="103"/>
        <v>1.9463005090614802E-3</v>
      </c>
      <c r="U128" s="45">
        <f t="shared" ca="1" si="124"/>
        <v>15.105478280262028</v>
      </c>
      <c r="V128" s="45">
        <f t="shared" ca="1" si="104"/>
        <v>0.20278247028256513</v>
      </c>
      <c r="W128" s="77">
        <f t="shared" ca="1" si="105"/>
        <v>3.6604352821317772E-3</v>
      </c>
      <c r="X128" s="45">
        <f t="shared" ca="1" si="125"/>
        <v>0.8344284887824609</v>
      </c>
      <c r="Y128" s="45">
        <f t="shared" ca="1" si="106"/>
        <v>5.5152156409154053E-4</v>
      </c>
      <c r="Z128" s="77">
        <f t="shared" ca="1" si="107"/>
        <v>4.4478169773705205E-4</v>
      </c>
      <c r="AA128" s="45">
        <f t="shared" ca="1" si="126"/>
        <v>39.378423981212315</v>
      </c>
      <c r="AB128" s="45">
        <f t="shared" ca="1" si="108"/>
        <v>0</v>
      </c>
      <c r="AC128" s="45" cm="1">
        <f t="array" aca="1" ref="AC128" ca="1">pHUM*(T128+W128+Z128+AD128)</f>
        <v>6.4884889893122421E-4</v>
      </c>
      <c r="AD128" s="77">
        <f t="shared" ca="1" si="109"/>
        <v>6.3623043545361414E-4</v>
      </c>
      <c r="AE128" s="45">
        <f t="shared" ca="1" si="127"/>
        <v>6.3847072090583081</v>
      </c>
      <c r="AF128" s="45">
        <f t="shared" ca="1" si="110"/>
        <v>0</v>
      </c>
      <c r="AG128" s="76">
        <f t="shared" ca="1" si="111"/>
        <v>61.944936535434408</v>
      </c>
      <c r="AH128" s="45">
        <f t="shared" ca="1" si="112"/>
        <v>5.4873774613611592E-3</v>
      </c>
      <c r="AI128" s="77">
        <f t="shared" ca="1" si="113"/>
        <v>1.2432334885326059E-2</v>
      </c>
      <c r="AJ128" s="384">
        <f t="shared" ca="1" si="120"/>
        <v>8.9650249300599061E-3</v>
      </c>
      <c r="AU128" s="1"/>
    </row>
    <row r="129" spans="2:47" x14ac:dyDescent="0.25">
      <c r="B129" s="44"/>
      <c r="C129" s="10">
        <f t="shared" si="128"/>
        <v>3</v>
      </c>
      <c r="D129" s="91">
        <f t="shared" si="129"/>
        <v>3</v>
      </c>
      <c r="E129" s="278"/>
      <c r="F129" s="76">
        <f t="shared" ca="1" si="134"/>
        <v>-0.82</v>
      </c>
      <c r="G129" s="46">
        <f t="shared" ca="1" si="135"/>
        <v>27.012600000000003</v>
      </c>
      <c r="H129" s="46">
        <f t="shared" ca="1" si="96"/>
        <v>28.517550000000004</v>
      </c>
      <c r="I129" s="45">
        <f t="shared" ca="1" si="97"/>
        <v>4.749388171975074E-2</v>
      </c>
      <c r="J129" s="45">
        <f t="shared" ca="1" si="98"/>
        <v>0.27952512346894071</v>
      </c>
      <c r="K129" s="45">
        <f t="shared" ca="1" si="122"/>
        <v>0.90345467800480783</v>
      </c>
      <c r="L129" s="358">
        <f t="shared" ca="1" si="99"/>
        <v>0.33399301288143546</v>
      </c>
      <c r="M129" s="76">
        <f t="shared" ca="1" si="138"/>
        <v>0.25347808785320641</v>
      </c>
      <c r="N129" s="45">
        <f t="shared" ca="1" si="139"/>
        <v>0.25</v>
      </c>
      <c r="O129" s="45">
        <f t="shared" ca="1" si="140"/>
        <v>0</v>
      </c>
      <c r="P129" s="46" t="str">
        <f t="shared" ca="1" si="136"/>
        <v/>
      </c>
      <c r="Q129" s="243" t="str">
        <f t="shared" ca="1" si="137"/>
        <v/>
      </c>
      <c r="R129" s="45">
        <f t="shared" ca="1" si="123"/>
        <v>0.29064789318087775</v>
      </c>
      <c r="S129" s="45">
        <f t="shared" ca="1" si="102"/>
        <v>5.0695617570641283E-2</v>
      </c>
      <c r="T129" s="77">
        <f t="shared" ca="1" si="103"/>
        <v>1.1278663516856626E-2</v>
      </c>
      <c r="U129" s="45">
        <f t="shared" ca="1" si="124"/>
        <v>15.304600315262462</v>
      </c>
      <c r="V129" s="45">
        <f t="shared" ca="1" si="104"/>
        <v>0.20278247028256513</v>
      </c>
      <c r="W129" s="77">
        <f t="shared" ca="1" si="105"/>
        <v>1.8161088037824711E-2</v>
      </c>
      <c r="X129" s="45">
        <f t="shared" ca="1" si="125"/>
        <v>0.83453522864881535</v>
      </c>
      <c r="Y129" s="45">
        <f t="shared" ca="1" si="106"/>
        <v>2.8644068337387515E-3</v>
      </c>
      <c r="Z129" s="77">
        <f t="shared" ca="1" si="107"/>
        <v>2.1770977536509713E-3</v>
      </c>
      <c r="AA129" s="45">
        <f t="shared" ca="1" si="126"/>
        <v>39.378436599675794</v>
      </c>
      <c r="AB129" s="45">
        <f t="shared" ca="1" si="108"/>
        <v>0</v>
      </c>
      <c r="AC129" s="45" cm="1">
        <f t="array" aca="1" ref="AC129" ca="1">pHUM*(T129+W129+Z129+AD129)</f>
        <v>3.3698903926338256E-3</v>
      </c>
      <c r="AD129" s="77">
        <f t="shared" ca="1" si="109"/>
        <v>3.1169346525572309E-3</v>
      </c>
      <c r="AE129" s="45">
        <f t="shared" ca="1" si="127"/>
        <v>6.3847072090583081</v>
      </c>
      <c r="AF129" s="45">
        <f t="shared" ca="1" si="110"/>
        <v>0</v>
      </c>
      <c r="AG129" s="76">
        <f t="shared" ca="1" si="111"/>
        <v>62.192927245826255</v>
      </c>
      <c r="AH129" s="45">
        <f t="shared" ca="1" si="112"/>
        <v>2.8499486734516966E-2</v>
      </c>
      <c r="AI129" s="77">
        <f t="shared" ca="1" si="113"/>
        <v>1.3194324246302352E-2</v>
      </c>
      <c r="AJ129" s="384">
        <f t="shared" ca="1" si="120"/>
        <v>1.4053200611581218E-2</v>
      </c>
      <c r="AU129" s="1"/>
    </row>
    <row r="130" spans="2:47" x14ac:dyDescent="0.25">
      <c r="B130" s="44"/>
      <c r="C130" s="10">
        <f t="shared" si="128"/>
        <v>3</v>
      </c>
      <c r="D130" s="91">
        <f t="shared" si="129"/>
        <v>4</v>
      </c>
      <c r="E130" s="278"/>
      <c r="F130" s="76">
        <f t="shared" ca="1" si="134"/>
        <v>6.18</v>
      </c>
      <c r="G130" s="46">
        <f t="shared" ca="1" si="135"/>
        <v>27.012600000000003</v>
      </c>
      <c r="H130" s="46">
        <f t="shared" ca="1" si="96"/>
        <v>28.517550000000004</v>
      </c>
      <c r="I130" s="45">
        <f t="shared" ca="1" si="97"/>
        <v>0.26773980091806004</v>
      </c>
      <c r="J130" s="45">
        <f t="shared" ca="1" si="98"/>
        <v>0.27952512346894071</v>
      </c>
      <c r="K130" s="45">
        <f t="shared" ca="1" si="122"/>
        <v>0.90345467800480783</v>
      </c>
      <c r="L130" s="358">
        <f t="shared" ca="1" si="99"/>
        <v>0.58750950384279488</v>
      </c>
      <c r="M130" s="76">
        <f t="shared" ca="1" si="138"/>
        <v>0.25347808785320641</v>
      </c>
      <c r="N130" s="45">
        <f t="shared" ca="1" si="139"/>
        <v>0.25</v>
      </c>
      <c r="O130" s="45">
        <f t="shared" ca="1" si="140"/>
        <v>0</v>
      </c>
      <c r="P130" s="46" t="str">
        <f t="shared" ca="1" si="136"/>
        <v/>
      </c>
      <c r="Q130" s="243" t="str">
        <f t="shared" ca="1" si="137"/>
        <v/>
      </c>
      <c r="R130" s="45">
        <f t="shared" ca="1" si="123"/>
        <v>0.3300648472346624</v>
      </c>
      <c r="S130" s="45">
        <f t="shared" ca="1" si="102"/>
        <v>5.0695617570641283E-2</v>
      </c>
      <c r="T130" s="77">
        <f t="shared" ca="1" si="103"/>
        <v>6.6005826602023157E-2</v>
      </c>
      <c r="U130" s="45">
        <f t="shared" ca="1" si="124"/>
        <v>15.489221697507203</v>
      </c>
      <c r="V130" s="45">
        <f t="shared" ca="1" si="104"/>
        <v>0.20278247028256513</v>
      </c>
      <c r="W130" s="77">
        <f t="shared" ca="1" si="105"/>
        <v>0.10333082038281233</v>
      </c>
      <c r="X130" s="45">
        <f t="shared" ca="1" si="125"/>
        <v>0.8352225377289032</v>
      </c>
      <c r="Y130" s="45">
        <f t="shared" ca="1" si="106"/>
        <v>1.6420417863420141E-2</v>
      </c>
      <c r="Z130" s="77">
        <f t="shared" ca="1" si="107"/>
        <v>1.2209112954191949E-2</v>
      </c>
      <c r="AA130" s="45">
        <f t="shared" ca="1" si="126"/>
        <v>39.378689555415868</v>
      </c>
      <c r="AB130" s="45">
        <f t="shared" ca="1" si="108"/>
        <v>0</v>
      </c>
      <c r="AC130" s="45" cm="1">
        <f t="array" aca="1" ref="AC130" ca="1">pHUM*(T130+W130+Z130+AD130)</f>
        <v>1.9318138662847224E-2</v>
      </c>
      <c r="AD130" s="77">
        <f t="shared" ca="1" si="109"/>
        <v>1.7568150800785023E-2</v>
      </c>
      <c r="AE130" s="45">
        <f t="shared" ca="1" si="127"/>
        <v>6.3847072090583081</v>
      </c>
      <c r="AF130" s="45">
        <f t="shared" ca="1" si="110"/>
        <v>0</v>
      </c>
      <c r="AG130" s="76">
        <f t="shared" ca="1" si="111"/>
        <v>62.417905846944947</v>
      </c>
      <c r="AH130" s="45">
        <f t="shared" ca="1" si="112"/>
        <v>0.1633753542135451</v>
      </c>
      <c r="AI130" s="77">
        <f t="shared" ca="1" si="113"/>
        <v>1.381061566081607E-2</v>
      </c>
      <c r="AJ130" s="384">
        <f t="shared" ca="1" si="120"/>
        <v>2.5874609497631429E-2</v>
      </c>
      <c r="AU130" s="1"/>
    </row>
    <row r="131" spans="2:47" x14ac:dyDescent="0.25">
      <c r="B131" s="44"/>
      <c r="C131" s="10">
        <f t="shared" si="128"/>
        <v>3</v>
      </c>
      <c r="D131" s="91">
        <f t="shared" si="129"/>
        <v>5</v>
      </c>
      <c r="E131" s="278"/>
      <c r="F131" s="76">
        <f t="shared" ca="1" si="134"/>
        <v>13.58</v>
      </c>
      <c r="G131" s="46">
        <f t="shared" ca="1" si="135"/>
        <v>27.012600000000003</v>
      </c>
      <c r="H131" s="46">
        <f t="shared" ca="1" si="96"/>
        <v>28.517550000000004</v>
      </c>
      <c r="I131" s="45">
        <f t="shared" ca="1" si="97"/>
        <v>0.71743035359667851</v>
      </c>
      <c r="J131" s="45">
        <f t="shared" ca="1" si="98"/>
        <v>0.27952512346894071</v>
      </c>
      <c r="K131" s="45">
        <f t="shared" ca="1" si="122"/>
        <v>0.90345467800480783</v>
      </c>
      <c r="L131" s="358">
        <f t="shared" ca="1" si="99"/>
        <v>0.81042644426030708</v>
      </c>
      <c r="M131" s="76">
        <f t="shared" ca="1" si="138"/>
        <v>0.25347808785320641</v>
      </c>
      <c r="N131" s="45">
        <f t="shared" ca="1" si="139"/>
        <v>0.25</v>
      </c>
      <c r="O131" s="45">
        <f t="shared" ca="1" si="140"/>
        <v>0</v>
      </c>
      <c r="P131" s="46" t="str">
        <f t="shared" ca="1" si="136"/>
        <v/>
      </c>
      <c r="Q131" s="243" t="str">
        <f t="shared" ca="1" si="137"/>
        <v/>
      </c>
      <c r="R131" s="45">
        <f t="shared" ca="1" si="123"/>
        <v>0.31475463820328053</v>
      </c>
      <c r="S131" s="45">
        <f t="shared" ca="1" si="102"/>
        <v>5.0695617570641283E-2</v>
      </c>
      <c r="T131" s="77">
        <f t="shared" ca="1" si="103"/>
        <v>0.14164333115202518</v>
      </c>
      <c r="U131" s="45">
        <f t="shared" ca="1" si="124"/>
        <v>15.588673347406957</v>
      </c>
      <c r="V131" s="45">
        <f t="shared" ca="1" si="104"/>
        <v>0.20278247028256513</v>
      </c>
      <c r="W131" s="77">
        <f t="shared" ca="1" si="105"/>
        <v>0.27710223792483463</v>
      </c>
      <c r="X131" s="45">
        <f t="shared" ca="1" si="125"/>
        <v>0.83943384263813148</v>
      </c>
      <c r="Y131" s="45">
        <f t="shared" ca="1" si="106"/>
        <v>4.1092153264871208E-2</v>
      </c>
      <c r="Z131" s="77">
        <f t="shared" ca="1" si="107"/>
        <v>3.2477960104228931E-2</v>
      </c>
      <c r="AA131" s="45">
        <f t="shared" ca="1" si="126"/>
        <v>39.38043954327793</v>
      </c>
      <c r="AB131" s="45">
        <f t="shared" ca="1" si="108"/>
        <v>0</v>
      </c>
      <c r="AC131" s="45" cm="1">
        <f t="array" aca="1" ref="AC131" ca="1">pHUM*(T131+W131+Z131+AD131)</f>
        <v>4.8343709723377898E-2</v>
      </c>
      <c r="AD131" s="77">
        <f t="shared" ca="1" si="109"/>
        <v>4.7059730437741684E-2</v>
      </c>
      <c r="AE131" s="45">
        <f t="shared" ca="1" si="127"/>
        <v>6.3847072090583081</v>
      </c>
      <c r="AF131" s="45">
        <f t="shared" ca="1" si="110"/>
        <v>0</v>
      </c>
      <c r="AG131" s="76">
        <f t="shared" ca="1" si="111"/>
        <v>62.508008580584601</v>
      </c>
      <c r="AH131" s="45">
        <f t="shared" ca="1" si="112"/>
        <v>0.40884739663058134</v>
      </c>
      <c r="AI131" s="77">
        <f t="shared" ca="1" si="113"/>
        <v>1.3609593058602877E-2</v>
      </c>
      <c r="AJ131" s="384">
        <f t="shared" ca="1" si="120"/>
        <v>3.5172302689484569E-2</v>
      </c>
      <c r="AU131" s="1"/>
    </row>
    <row r="132" spans="2:47" x14ac:dyDescent="0.25">
      <c r="B132" s="44"/>
      <c r="C132" s="10">
        <f t="shared" si="128"/>
        <v>3</v>
      </c>
      <c r="D132" s="91">
        <f t="shared" si="129"/>
        <v>6</v>
      </c>
      <c r="E132" s="278"/>
      <c r="F132" s="76">
        <f t="shared" ca="1" si="134"/>
        <v>18.37</v>
      </c>
      <c r="G132" s="46">
        <f t="shared" ca="1" si="135"/>
        <v>27.012600000000003</v>
      </c>
      <c r="H132" s="46">
        <f t="shared" ca="1" si="96"/>
        <v>28.517550000000004</v>
      </c>
      <c r="I132" s="45">
        <f t="shared" ca="1" si="97"/>
        <v>1.0882596087882719</v>
      </c>
      <c r="J132" s="45">
        <f t="shared" ca="1" si="98"/>
        <v>0.27952512346894071</v>
      </c>
      <c r="K132" s="45">
        <f t="shared" ca="1" si="122"/>
        <v>0.90345467800480783</v>
      </c>
      <c r="L132" s="358">
        <f t="shared" ca="1" si="99"/>
        <v>0.89586760620832129</v>
      </c>
      <c r="M132" s="76">
        <f t="shared" ca="1" si="138"/>
        <v>0.25347808785320641</v>
      </c>
      <c r="N132" s="45">
        <f t="shared" ca="1" si="139"/>
        <v>0.25</v>
      </c>
      <c r="O132" s="45">
        <f t="shared" ca="1" si="140"/>
        <v>0</v>
      </c>
      <c r="P132" s="46" t="str">
        <f t="shared" ca="1" si="136"/>
        <v/>
      </c>
      <c r="Q132" s="243" t="str">
        <f t="shared" ca="1" si="137"/>
        <v/>
      </c>
      <c r="R132" s="45">
        <f t="shared" ca="1" si="123"/>
        <v>0.22380692462189664</v>
      </c>
      <c r="S132" s="45">
        <f t="shared" ca="1" si="102"/>
        <v>5.0695617570641283E-2</v>
      </c>
      <c r="T132" s="77">
        <f t="shared" ca="1" si="103"/>
        <v>0.13343797514188693</v>
      </c>
      <c r="U132" s="45">
        <f t="shared" ca="1" si="124"/>
        <v>15.514353579764688</v>
      </c>
      <c r="V132" s="45">
        <f t="shared" ca="1" si="104"/>
        <v>0.20278247028256513</v>
      </c>
      <c r="W132" s="77">
        <f t="shared" ca="1" si="105"/>
        <v>0.41640101935571167</v>
      </c>
      <c r="X132" s="45">
        <f t="shared" ca="1" si="125"/>
        <v>0.84804803579877386</v>
      </c>
      <c r="Y132" s="45">
        <f t="shared" ca="1" si="106"/>
        <v>5.5292250246903207E-2</v>
      </c>
      <c r="Z132" s="77">
        <f t="shared" ca="1" si="107"/>
        <v>4.9270082253367369E-2</v>
      </c>
      <c r="AA132" s="45">
        <f t="shared" ca="1" si="126"/>
        <v>39.381723522563561</v>
      </c>
      <c r="AB132" s="45">
        <f t="shared" ca="1" si="108"/>
        <v>0</v>
      </c>
      <c r="AC132" s="45" cm="1">
        <f t="array" aca="1" ref="AC132" ca="1">pHUM*(T132+W132+Z132+AD132)</f>
        <v>6.5049706172827307E-2</v>
      </c>
      <c r="AD132" s="77">
        <f t="shared" ca="1" si="109"/>
        <v>7.1364492913243746E-2</v>
      </c>
      <c r="AE132" s="45">
        <f t="shared" ca="1" si="127"/>
        <v>6.3847072090583081</v>
      </c>
      <c r="AF132" s="45">
        <f t="shared" ca="1" si="110"/>
        <v>0</v>
      </c>
      <c r="AG132" s="76">
        <f t="shared" ca="1" si="111"/>
        <v>62.35263927180722</v>
      </c>
      <c r="AH132" s="45">
        <f t="shared" ca="1" si="112"/>
        <v>0.55013161324447923</v>
      </c>
      <c r="AI132" s="77">
        <f t="shared" ca="1" si="113"/>
        <v>1.2268515782973723E-2</v>
      </c>
      <c r="AJ132" s="384">
        <f t="shared" ca="1" si="120"/>
        <v>3.5049188602592762E-2</v>
      </c>
      <c r="AU132" s="1"/>
    </row>
    <row r="133" spans="2:47" x14ac:dyDescent="0.25">
      <c r="B133" s="44"/>
      <c r="C133" s="10">
        <f t="shared" si="128"/>
        <v>3</v>
      </c>
      <c r="D133" s="91">
        <f t="shared" si="129"/>
        <v>7</v>
      </c>
      <c r="E133" s="278"/>
      <c r="F133" s="76">
        <f t="shared" ca="1" si="134"/>
        <v>22.71</v>
      </c>
      <c r="G133" s="46">
        <f t="shared" ca="1" si="135"/>
        <v>27.012600000000003</v>
      </c>
      <c r="H133" s="46">
        <f t="shared" ca="1" si="96"/>
        <v>28.517550000000004</v>
      </c>
      <c r="I133" s="45">
        <f t="shared" ca="1" si="97"/>
        <v>1.4513708414333564</v>
      </c>
      <c r="J133" s="45">
        <f t="shared" ca="1" si="98"/>
        <v>0.27952512346894071</v>
      </c>
      <c r="K133" s="45">
        <f t="shared" ca="1" si="122"/>
        <v>0.90345467800480783</v>
      </c>
      <c r="L133" s="358">
        <f t="shared" ca="1" si="99"/>
        <v>0.94004721434733285</v>
      </c>
      <c r="M133" s="76">
        <f t="shared" ca="1" si="138"/>
        <v>0.25347808785320641</v>
      </c>
      <c r="N133" s="45">
        <f t="shared" ca="1" si="139"/>
        <v>0.25</v>
      </c>
      <c r="O133" s="45">
        <f t="shared" ca="1" si="140"/>
        <v>0</v>
      </c>
      <c r="P133" s="46" t="str">
        <f t="shared" ca="1" si="136"/>
        <v/>
      </c>
      <c r="Q133" s="243" t="str">
        <f t="shared" ca="1" si="137"/>
        <v/>
      </c>
      <c r="R133" s="45">
        <f t="shared" ca="1" si="123"/>
        <v>0.14106456705065096</v>
      </c>
      <c r="S133" s="45">
        <f t="shared" ca="1" si="102"/>
        <v>5.0695617570641283E-2</v>
      </c>
      <c r="T133" s="77">
        <f t="shared" ca="1" si="103"/>
        <v>9.8977436483545914E-2</v>
      </c>
      <c r="U133" s="45">
        <f t="shared" ca="1" si="124"/>
        <v>15.300735030691541</v>
      </c>
      <c r="V133" s="45">
        <f t="shared" ca="1" si="104"/>
        <v>0.20278247028256513</v>
      </c>
      <c r="W133" s="77">
        <f t="shared" ca="1" si="105"/>
        <v>0.54522466064795605</v>
      </c>
      <c r="X133" s="45">
        <f t="shared" ca="1" si="125"/>
        <v>0.85407020379230969</v>
      </c>
      <c r="Y133" s="45">
        <f t="shared" ca="1" si="106"/>
        <v>6.6374803423876055E-2</v>
      </c>
      <c r="Z133" s="77">
        <f t="shared" ca="1" si="107"/>
        <v>6.5526367040919825E-2</v>
      </c>
      <c r="AA133" s="45">
        <f t="shared" ca="1" si="126"/>
        <v>39.375408735823143</v>
      </c>
      <c r="AB133" s="45">
        <f t="shared" ca="1" si="108"/>
        <v>0</v>
      </c>
      <c r="AC133" s="45" cm="1">
        <f t="array" aca="1" ref="AC133" ca="1">pHUM*(T133+W133+Z133+AD133)</f>
        <v>7.8088004028089492E-2</v>
      </c>
      <c r="AD133" s="77">
        <f t="shared" ca="1" si="109"/>
        <v>9.5132093837855175E-2</v>
      </c>
      <c r="AE133" s="45">
        <f t="shared" ca="1" si="127"/>
        <v>6.3847072090583081</v>
      </c>
      <c r="AF133" s="45">
        <f t="shared" ca="1" si="110"/>
        <v>0</v>
      </c>
      <c r="AG133" s="76">
        <f t="shared" ca="1" si="111"/>
        <v>62.055985746415956</v>
      </c>
      <c r="AH133" s="45">
        <f t="shared" ca="1" si="112"/>
        <v>0.66039775055831151</v>
      </c>
      <c r="AI133" s="77">
        <f t="shared" ca="1" si="113"/>
        <v>1.1005167119821989E-2</v>
      </c>
      <c r="AJ133" s="384">
        <f t="shared" ca="1" si="120"/>
        <v>3.2990527637916101E-2</v>
      </c>
      <c r="AU133" s="1"/>
    </row>
    <row r="134" spans="2:47" x14ac:dyDescent="0.25">
      <c r="B134" s="44"/>
      <c r="C134" s="10">
        <f t="shared" si="128"/>
        <v>3</v>
      </c>
      <c r="D134" s="91">
        <f t="shared" si="129"/>
        <v>8</v>
      </c>
      <c r="E134" s="278"/>
      <c r="F134" s="76">
        <f t="shared" ca="1" si="134"/>
        <v>19.329999999999998</v>
      </c>
      <c r="G134" s="46">
        <f t="shared" ca="1" si="135"/>
        <v>27.012600000000003</v>
      </c>
      <c r="H134" s="46">
        <f t="shared" ca="1" si="96"/>
        <v>28.517550000000004</v>
      </c>
      <c r="I134" s="45">
        <f t="shared" ca="1" si="97"/>
        <v>1.1670427279291871</v>
      </c>
      <c r="J134" s="45">
        <f t="shared" ca="1" si="98"/>
        <v>0.27952512346894071</v>
      </c>
      <c r="K134" s="45">
        <f t="shared" ca="1" si="122"/>
        <v>0.90345467800480783</v>
      </c>
      <c r="L134" s="358">
        <f t="shared" ca="1" si="99"/>
        <v>0.9079689727892073</v>
      </c>
      <c r="M134" s="76">
        <f t="shared" ca="1" si="138"/>
        <v>0.25347808785320641</v>
      </c>
      <c r="N134" s="45">
        <f t="shared" ca="1" si="139"/>
        <v>0.25</v>
      </c>
      <c r="O134" s="45">
        <f t="shared" ca="1" si="140"/>
        <v>0</v>
      </c>
      <c r="P134" s="46" t="str">
        <f t="shared" ca="1" si="136"/>
        <v/>
      </c>
      <c r="Q134" s="243" t="str">
        <f t="shared" ca="1" si="137"/>
        <v/>
      </c>
      <c r="R134" s="45">
        <f t="shared" ca="1" si="123"/>
        <v>9.2782748137746326E-2</v>
      </c>
      <c r="S134" s="45">
        <f t="shared" ca="1" si="102"/>
        <v>5.0695617570641283E-2</v>
      </c>
      <c r="T134" s="77">
        <f t="shared" ca="1" si="103"/>
        <v>5.7699452402506284E-2</v>
      </c>
      <c r="U134" s="45">
        <f t="shared" ca="1" si="124"/>
        <v>14.958292840326152</v>
      </c>
      <c r="V134" s="45">
        <f t="shared" ca="1" si="104"/>
        <v>0.20278247028256513</v>
      </c>
      <c r="W134" s="77">
        <f t="shared" ca="1" si="105"/>
        <v>0.43011906949977607</v>
      </c>
      <c r="X134" s="45">
        <f t="shared" ca="1" si="125"/>
        <v>0.85491864017526586</v>
      </c>
      <c r="Y134" s="45">
        <f t="shared" ca="1" si="106"/>
        <v>5.0919518657062866E-2</v>
      </c>
      <c r="Z134" s="77">
        <f t="shared" ca="1" si="107"/>
        <v>5.3150906784569456E-2</v>
      </c>
      <c r="AA134" s="45">
        <f t="shared" ca="1" si="126"/>
        <v>39.358364646013378</v>
      </c>
      <c r="AB134" s="45">
        <f t="shared" ca="1" si="108"/>
        <v>0</v>
      </c>
      <c r="AC134" s="45" cm="1">
        <f t="array" aca="1" ref="AC134" ca="1">pHUM*(T134+W134+Z134+AD134)</f>
        <v>5.9905316067132786E-2</v>
      </c>
      <c r="AD134" s="77">
        <f t="shared" ca="1" si="109"/>
        <v>7.6480418030073577E-2</v>
      </c>
      <c r="AE134" s="45">
        <f t="shared" ca="1" si="127"/>
        <v>6.3847072090583081</v>
      </c>
      <c r="AF134" s="45">
        <f t="shared" ca="1" si="110"/>
        <v>0</v>
      </c>
      <c r="AG134" s="76">
        <f t="shared" ca="1" si="111"/>
        <v>61.649066083710849</v>
      </c>
      <c r="AH134" s="45">
        <f t="shared" ca="1" si="112"/>
        <v>0.5066250119927298</v>
      </c>
      <c r="AI134" s="77">
        <f t="shared" ca="1" si="113"/>
        <v>1.0203575846926287E-2</v>
      </c>
      <c r="AJ134" s="384">
        <f t="shared" ca="1" si="120"/>
        <v>2.9543896288802829E-2</v>
      </c>
      <c r="AU134" s="1"/>
    </row>
    <row r="135" spans="2:47" x14ac:dyDescent="0.25">
      <c r="B135" s="44"/>
      <c r="C135" s="10">
        <f t="shared" si="128"/>
        <v>3</v>
      </c>
      <c r="D135" s="91">
        <f t="shared" si="129"/>
        <v>9</v>
      </c>
      <c r="E135" s="278"/>
      <c r="F135" s="76">
        <f t="shared" ca="1" si="134"/>
        <v>15.36</v>
      </c>
      <c r="G135" s="46">
        <f t="shared" ca="1" si="135"/>
        <v>27.012600000000003</v>
      </c>
      <c r="H135" s="46">
        <f t="shared" ca="1" si="96"/>
        <v>28.517550000000004</v>
      </c>
      <c r="I135" s="45">
        <f t="shared" ca="1" si="97"/>
        <v>0.85004563012661705</v>
      </c>
      <c r="J135" s="45">
        <f t="shared" ca="1" si="98"/>
        <v>0.27952512346894071</v>
      </c>
      <c r="K135" s="45">
        <f t="shared" ca="1" si="122"/>
        <v>0.90345467800480783</v>
      </c>
      <c r="L135" s="358">
        <f t="shared" ca="1" si="99"/>
        <v>0.84745728919304408</v>
      </c>
      <c r="M135" s="76">
        <f t="shared" ca="1" si="138"/>
        <v>0.25347808785320641</v>
      </c>
      <c r="N135" s="45">
        <f t="shared" ca="1" si="139"/>
        <v>0.25</v>
      </c>
      <c r="O135" s="45">
        <f t="shared" ca="1" si="140"/>
        <v>0</v>
      </c>
      <c r="P135" s="46" t="str">
        <f t="shared" ca="1" si="136"/>
        <v/>
      </c>
      <c r="Q135" s="243" t="str">
        <f t="shared" ca="1" si="137"/>
        <v/>
      </c>
      <c r="R135" s="45">
        <f t="shared" ca="1" si="123"/>
        <v>8.5778913305881332E-2</v>
      </c>
      <c r="S135" s="45">
        <f t="shared" ca="1" si="102"/>
        <v>5.0695617570641283E-2</v>
      </c>
      <c r="T135" s="77">
        <f t="shared" ca="1" si="103"/>
        <v>4.3537468133078551E-2</v>
      </c>
      <c r="U135" s="45">
        <f t="shared" ca="1" si="124"/>
        <v>14.730956241108942</v>
      </c>
      <c r="V135" s="45">
        <f t="shared" ca="1" si="104"/>
        <v>0.20278247028256513</v>
      </c>
      <c r="W135" s="77">
        <f t="shared" ca="1" si="105"/>
        <v>0.30974673181296081</v>
      </c>
      <c r="X135" s="45">
        <f t="shared" ca="1" si="125"/>
        <v>0.8526872520477593</v>
      </c>
      <c r="Y135" s="45">
        <f t="shared" ca="1" si="106"/>
        <v>3.6939619360765424E-2</v>
      </c>
      <c r="Z135" s="77">
        <f t="shared" ca="1" si="107"/>
        <v>3.8947723027163782E-2</v>
      </c>
      <c r="AA135" s="45">
        <f t="shared" ca="1" si="126"/>
        <v>39.341789544050435</v>
      </c>
      <c r="AB135" s="45">
        <f t="shared" ca="1" si="108"/>
        <v>0</v>
      </c>
      <c r="AC135" s="45" cm="1">
        <f t="array" aca="1" ref="AC135" ca="1">pHUM*(T135+W135+Z135+AD135)</f>
        <v>4.3458375718547555E-2</v>
      </c>
      <c r="AD135" s="77">
        <f t="shared" ca="1" si="109"/>
        <v>5.569772981275288E-2</v>
      </c>
      <c r="AE135" s="45">
        <f t="shared" ca="1" si="127"/>
        <v>6.3847072090583081</v>
      </c>
      <c r="AF135" s="45">
        <f t="shared" ca="1" si="110"/>
        <v>0</v>
      </c>
      <c r="AG135" s="76">
        <f t="shared" ca="1" si="111"/>
        <v>61.395919159571321</v>
      </c>
      <c r="AH135" s="45">
        <f t="shared" ca="1" si="112"/>
        <v>0.36753165770664309</v>
      </c>
      <c r="AI135" s="77">
        <f t="shared" ca="1" si="113"/>
        <v>1.0038386036324828E-2</v>
      </c>
      <c r="AJ135" s="384">
        <f t="shared" ca="1" si="120"/>
        <v>2.7128580317559159E-2</v>
      </c>
      <c r="AU135" s="1"/>
    </row>
    <row r="136" spans="2:47" x14ac:dyDescent="0.25">
      <c r="B136" s="44"/>
      <c r="C136" s="10">
        <f t="shared" si="128"/>
        <v>3</v>
      </c>
      <c r="D136" s="91">
        <f t="shared" si="129"/>
        <v>10</v>
      </c>
      <c r="E136" s="278"/>
      <c r="F136" s="76">
        <f t="shared" ca="1" si="134"/>
        <v>10.24</v>
      </c>
      <c r="G136" s="46">
        <f t="shared" ca="1" si="135"/>
        <v>27.012600000000003</v>
      </c>
      <c r="H136" s="46">
        <f t="shared" ca="1" si="96"/>
        <v>28.517550000000004</v>
      </c>
      <c r="I136" s="45">
        <f t="shared" ca="1" si="97"/>
        <v>0.49116850915432075</v>
      </c>
      <c r="J136" s="45">
        <f t="shared" ca="1" si="98"/>
        <v>0.27952512346894071</v>
      </c>
      <c r="K136" s="45">
        <f t="shared" ca="1" si="122"/>
        <v>0.90345467800480783</v>
      </c>
      <c r="L136" s="358">
        <f t="shared" ca="1" si="99"/>
        <v>0.72269796343841763</v>
      </c>
      <c r="M136" s="76">
        <f t="shared" ca="1" si="138"/>
        <v>0.25347808785320641</v>
      </c>
      <c r="N136" s="45">
        <f t="shared" ca="1" si="139"/>
        <v>0.25</v>
      </c>
      <c r="O136" s="45">
        <f t="shared" ca="1" si="140"/>
        <v>0</v>
      </c>
      <c r="P136" s="46" t="str">
        <f t="shared" ca="1" si="136"/>
        <v/>
      </c>
      <c r="Q136" s="243" t="str">
        <f t="shared" ca="1" si="137"/>
        <v/>
      </c>
      <c r="R136" s="45">
        <f t="shared" ca="1" si="123"/>
        <v>9.2937062743444071E-2</v>
      </c>
      <c r="S136" s="45">
        <f t="shared" ca="1" si="102"/>
        <v>5.0695617570641283E-2</v>
      </c>
      <c r="T136" s="77">
        <f t="shared" ca="1" si="103"/>
        <v>3.1216605957764064E-2</v>
      </c>
      <c r="U136" s="45">
        <f t="shared" ca="1" si="124"/>
        <v>14.623991979578546</v>
      </c>
      <c r="V136" s="45">
        <f t="shared" ca="1" si="104"/>
        <v>0.20278247028256513</v>
      </c>
      <c r="W136" s="77">
        <f t="shared" ca="1" si="105"/>
        <v>0.17847311131713056</v>
      </c>
      <c r="X136" s="45">
        <f t="shared" ca="1" si="125"/>
        <v>0.85067914838136094</v>
      </c>
      <c r="Y136" s="45">
        <f t="shared" ca="1" si="106"/>
        <v>2.1816363374204284E-2</v>
      </c>
      <c r="Z136" s="77">
        <f t="shared" ca="1" si="107"/>
        <v>2.2672850455041981E-2</v>
      </c>
      <c r="AA136" s="45">
        <f t="shared" ca="1" si="126"/>
        <v>39.32955018995623</v>
      </c>
      <c r="AB136" s="45">
        <f t="shared" ca="1" si="108"/>
        <v>0</v>
      </c>
      <c r="AC136" s="45" cm="1">
        <f t="array" aca="1" ref="AC136" ca="1">pHUM*(T136+W136+Z136+AD136)</f>
        <v>2.5666309852005041E-2</v>
      </c>
      <c r="AD136" s="77">
        <f t="shared" ca="1" si="109"/>
        <v>3.2182553209747194E-2</v>
      </c>
      <c r="AE136" s="45">
        <f t="shared" ca="1" si="127"/>
        <v>6.3847072090583081</v>
      </c>
      <c r="AF136" s="45">
        <f t="shared" ca="1" si="110"/>
        <v>0</v>
      </c>
      <c r="AG136" s="76">
        <f t="shared" ca="1" si="111"/>
        <v>61.281865589717881</v>
      </c>
      <c r="AH136" s="45">
        <f t="shared" ca="1" si="112"/>
        <v>0.21706244771347449</v>
      </c>
      <c r="AI136" s="77">
        <f t="shared" ca="1" si="113"/>
        <v>1.0116806983016792E-2</v>
      </c>
      <c r="AJ136" s="384">
        <f t="shared" ca="1" si="120"/>
        <v>2.3315633070157826E-2</v>
      </c>
      <c r="AU136" s="1"/>
    </row>
    <row r="137" spans="2:47" x14ac:dyDescent="0.25">
      <c r="B137" s="44"/>
      <c r="C137" s="10">
        <f t="shared" si="128"/>
        <v>3</v>
      </c>
      <c r="D137" s="91">
        <f t="shared" si="129"/>
        <v>11</v>
      </c>
      <c r="E137" s="278"/>
      <c r="F137" s="76">
        <f t="shared" ca="1" si="134"/>
        <v>1.6</v>
      </c>
      <c r="G137" s="46">
        <f t="shared" ca="1" si="135"/>
        <v>27.012600000000003</v>
      </c>
      <c r="H137" s="46">
        <f t="shared" ca="1" si="96"/>
        <v>28.517550000000004</v>
      </c>
      <c r="I137" s="45">
        <f t="shared" ca="1" si="97"/>
        <v>9.9319080037688343E-2</v>
      </c>
      <c r="J137" s="45">
        <f t="shared" ca="1" si="98"/>
        <v>0.27952512346894071</v>
      </c>
      <c r="K137" s="45">
        <f t="shared" ca="1" si="122"/>
        <v>0.90345467800480783</v>
      </c>
      <c r="L137" s="358">
        <f t="shared" ca="1" si="99"/>
        <v>0.41844375967031366</v>
      </c>
      <c r="M137" s="76">
        <f t="shared" ca="1" si="138"/>
        <v>0.25347808785320641</v>
      </c>
      <c r="N137" s="45">
        <f t="shared" ca="1" si="139"/>
        <v>0.25</v>
      </c>
      <c r="O137" s="45">
        <f t="shared" ca="1" si="140"/>
        <v>0</v>
      </c>
      <c r="P137" s="46" t="str">
        <f t="shared" ca="1" si="136"/>
        <v/>
      </c>
      <c r="Q137" s="243" t="str">
        <f t="shared" ca="1" si="137"/>
        <v/>
      </c>
      <c r="R137" s="45">
        <f t="shared" ca="1" si="123"/>
        <v>0.11241607435632128</v>
      </c>
      <c r="S137" s="45">
        <f t="shared" ca="1" si="102"/>
        <v>5.0695617570641283E-2</v>
      </c>
      <c r="T137" s="77">
        <f t="shared" ca="1" si="103"/>
        <v>8.9295880087474702E-3</v>
      </c>
      <c r="U137" s="45">
        <f t="shared" ca="1" si="124"/>
        <v>14.648301338543982</v>
      </c>
      <c r="V137" s="45">
        <f t="shared" ca="1" si="104"/>
        <v>0.20278247028256513</v>
      </c>
      <c r="W137" s="77">
        <f t="shared" ca="1" si="105"/>
        <v>3.6326278006912668E-2</v>
      </c>
      <c r="X137" s="45">
        <f t="shared" ca="1" si="125"/>
        <v>0.84982266130052331</v>
      </c>
      <c r="Y137" s="45">
        <f t="shared" ca="1" si="106"/>
        <v>4.6506765385746964E-3</v>
      </c>
      <c r="Z137" s="77">
        <f t="shared" ca="1" si="107"/>
        <v>4.6295422069391407E-3</v>
      </c>
      <c r="AA137" s="45">
        <f t="shared" ca="1" si="126"/>
        <v>39.323033946598485</v>
      </c>
      <c r="AB137" s="45">
        <f t="shared" ca="1" si="108"/>
        <v>0</v>
      </c>
      <c r="AC137" s="45" cm="1">
        <f t="array" aca="1" ref="AC137" ca="1">pHUM*(T137+W137+Z137+AD137)</f>
        <v>5.4713841630290548E-3</v>
      </c>
      <c r="AD137" s="77">
        <f t="shared" ca="1" si="109"/>
        <v>6.5086738819974338E-3</v>
      </c>
      <c r="AE137" s="45">
        <f t="shared" ca="1" si="127"/>
        <v>6.3847072090583081</v>
      </c>
      <c r="AF137" s="45">
        <f t="shared" ca="1" si="110"/>
        <v>0</v>
      </c>
      <c r="AG137" s="76">
        <f t="shared" ca="1" si="111"/>
        <v>61.318281229857618</v>
      </c>
      <c r="AH137" s="45">
        <f t="shared" ca="1" si="112"/>
        <v>4.6272021402992969E-2</v>
      </c>
      <c r="AI137" s="77">
        <f t="shared" ca="1" si="113"/>
        <v>1.0415601786497442E-2</v>
      </c>
      <c r="AJ137" s="384">
        <f t="shared" ca="1" si="120"/>
        <v>1.3898637828202443E-2</v>
      </c>
      <c r="AU137" s="1"/>
    </row>
    <row r="138" spans="2:47" x14ac:dyDescent="0.25">
      <c r="B138" s="44"/>
      <c r="C138" s="10">
        <f t="shared" si="128"/>
        <v>3</v>
      </c>
      <c r="D138" s="91">
        <f t="shared" si="129"/>
        <v>12</v>
      </c>
      <c r="E138" s="278"/>
      <c r="F138" s="76">
        <f t="shared" ca="1" si="134"/>
        <v>-3.59</v>
      </c>
      <c r="G138" s="46">
        <f t="shared" ca="1" si="135"/>
        <v>27.012600000000003</v>
      </c>
      <c r="H138" s="46">
        <f t="shared" ca="1" si="96"/>
        <v>28.517550000000004</v>
      </c>
      <c r="I138" s="45">
        <f t="shared" ca="1" si="97"/>
        <v>1.5109209527995384E-2</v>
      </c>
      <c r="J138" s="45">
        <f t="shared" ca="1" si="98"/>
        <v>0.27952512346894071</v>
      </c>
      <c r="K138" s="45">
        <f t="shared" ca="1" si="122"/>
        <v>0.90345467800480783</v>
      </c>
      <c r="L138" s="358">
        <f t="shared" ca="1" si="99"/>
        <v>0.24908644075501707</v>
      </c>
      <c r="M138" s="76">
        <f t="shared" ca="1" si="138"/>
        <v>0.25347808785320641</v>
      </c>
      <c r="N138" s="45">
        <f t="shared" ca="1" si="139"/>
        <v>0.25</v>
      </c>
      <c r="O138" s="45">
        <f t="shared" ca="1" si="140"/>
        <v>0</v>
      </c>
      <c r="P138" s="46" t="str">
        <f t="shared" ca="1" si="136"/>
        <v/>
      </c>
      <c r="Q138" s="243" t="str">
        <f t="shared" ca="1" si="137"/>
        <v/>
      </c>
      <c r="R138" s="45">
        <f t="shared" ca="1" si="123"/>
        <v>0.1541821039182151</v>
      </c>
      <c r="S138" s="45">
        <f t="shared" ca="1" si="102"/>
        <v>5.0695617570641283E-2</v>
      </c>
      <c r="T138" s="77">
        <f t="shared" ca="1" si="103"/>
        <v>1.9291377144902337E-3</v>
      </c>
      <c r="U138" s="45">
        <f t="shared" ca="1" si="124"/>
        <v>14.814757530819636</v>
      </c>
      <c r="V138" s="45">
        <f t="shared" ca="1" si="104"/>
        <v>0.20278247028256513</v>
      </c>
      <c r="W138" s="77">
        <f t="shared" ca="1" si="105"/>
        <v>5.5949251382638402E-3</v>
      </c>
      <c r="X138" s="45">
        <f t="shared" ca="1" si="125"/>
        <v>0.84984379563215884</v>
      </c>
      <c r="Y138" s="45">
        <f t="shared" ca="1" si="106"/>
        <v>7.6036561454837913E-4</v>
      </c>
      <c r="Z138" s="77">
        <f t="shared" ca="1" si="107"/>
        <v>7.0593238075329547E-4</v>
      </c>
      <c r="AA138" s="45">
        <f t="shared" ca="1" si="126"/>
        <v>39.32199665687952</v>
      </c>
      <c r="AB138" s="45">
        <f t="shared" ca="1" si="108"/>
        <v>0</v>
      </c>
      <c r="AC138" s="45" cm="1">
        <f t="array" aca="1" ref="AC138" ca="1">pHUM*(T138+W138+Z138+AD138)</f>
        <v>8.9454778182162251E-4</v>
      </c>
      <c r="AD138" s="77">
        <f t="shared" ca="1" si="109"/>
        <v>9.9019467664600378E-4</v>
      </c>
      <c r="AE138" s="45">
        <f t="shared" ca="1" si="127"/>
        <v>6.3847072090583081</v>
      </c>
      <c r="AF138" s="45">
        <f t="shared" ca="1" si="110"/>
        <v>0</v>
      </c>
      <c r="AG138" s="76">
        <f t="shared" ca="1" si="111"/>
        <v>61.525487296307837</v>
      </c>
      <c r="AH138" s="45">
        <f t="shared" ca="1" si="112"/>
        <v>7.5652765137833719E-3</v>
      </c>
      <c r="AI138" s="77">
        <f t="shared" ca="1" si="113"/>
        <v>1.108312384693459E-2</v>
      </c>
      <c r="AJ138" s="384">
        <f t="shared" ca="1" si="120"/>
        <v>8.8036979945838034E-3</v>
      </c>
      <c r="AU138" s="1"/>
    </row>
    <row r="139" spans="2:47" x14ac:dyDescent="0.25">
      <c r="B139" s="44"/>
      <c r="C139" s="10">
        <f t="shared" si="128"/>
        <v>4</v>
      </c>
      <c r="D139" s="91">
        <f t="shared" si="129"/>
        <v>1</v>
      </c>
      <c r="E139" s="278"/>
      <c r="F139" s="76">
        <f t="shared" ca="1" si="134"/>
        <v>-7.32</v>
      </c>
      <c r="G139" s="46">
        <f t="shared" ca="1" si="135"/>
        <v>27.012600000000003</v>
      </c>
      <c r="H139" s="46">
        <f t="shared" ca="1" si="96"/>
        <v>28.517550000000004</v>
      </c>
      <c r="I139" s="45">
        <f t="shared" ca="1" si="97"/>
        <v>1.2903599790233234E-3</v>
      </c>
      <c r="J139" s="45">
        <f t="shared" ca="1" si="98"/>
        <v>0.27952512346894071</v>
      </c>
      <c r="K139" s="45">
        <f t="shared" ca="1" si="122"/>
        <v>0.90345467800480783</v>
      </c>
      <c r="L139" s="358">
        <f t="shared" ca="1" si="99"/>
        <v>0.15974615302556239</v>
      </c>
      <c r="M139" s="76">
        <f t="shared" ca="1" si="138"/>
        <v>0.25347808785320641</v>
      </c>
      <c r="N139" s="45">
        <f t="shared" ca="1" si="139"/>
        <v>0.25</v>
      </c>
      <c r="O139" s="45">
        <f t="shared" ca="1" si="140"/>
        <v>0</v>
      </c>
      <c r="P139" s="46" t="str">
        <f t="shared" ca="1" si="136"/>
        <v/>
      </c>
      <c r="Q139" s="243" t="str">
        <f t="shared" ca="1" si="137"/>
        <v/>
      </c>
      <c r="R139" s="45">
        <f t="shared" ca="1" si="123"/>
        <v>0.20294858377436614</v>
      </c>
      <c r="S139" s="45">
        <f t="shared" ca="1" si="102"/>
        <v>5.0695617570641283E-2</v>
      </c>
      <c r="T139" s="77">
        <f t="shared" ca="1" si="103"/>
        <v>2.1811331894440819E-4</v>
      </c>
      <c r="U139" s="45">
        <f t="shared" ca="1" si="124"/>
        <v>15.011945075963938</v>
      </c>
      <c r="V139" s="45">
        <f t="shared" ca="1" si="104"/>
        <v>0.20278247028256513</v>
      </c>
      <c r="W139" s="77">
        <f t="shared" ca="1" si="105"/>
        <v>4.8426251737899761E-4</v>
      </c>
      <c r="X139" s="45">
        <f t="shared" ca="1" si="125"/>
        <v>0.8498982288659539</v>
      </c>
      <c r="Y139" s="45">
        <f t="shared" ca="1" si="106"/>
        <v>6.9871079904524399E-5</v>
      </c>
      <c r="Z139" s="77">
        <f t="shared" ca="1" si="107"/>
        <v>6.0314966046599444E-5</v>
      </c>
      <c r="AA139" s="45">
        <f t="shared" ca="1" si="126"/>
        <v>39.321901009984693</v>
      </c>
      <c r="AB139" s="45">
        <f t="shared" ca="1" si="108"/>
        <v>0</v>
      </c>
      <c r="AC139" s="45" cm="1">
        <f t="array" aca="1" ref="AC139" ca="1">pHUM*(T139+W139+Z139+AD139)</f>
        <v>8.2201270475911058E-5</v>
      </c>
      <c r="AD139" s="77">
        <f t="shared" ca="1" si="109"/>
        <v>8.4565588004583949E-5</v>
      </c>
      <c r="AE139" s="45">
        <f t="shared" ca="1" si="127"/>
        <v>6.3847072090583081</v>
      </c>
      <c r="AF139" s="45">
        <f t="shared" ca="1" si="110"/>
        <v>0</v>
      </c>
      <c r="AG139" s="76">
        <f t="shared" ca="1" si="111"/>
        <v>61.771400107647253</v>
      </c>
      <c r="AH139" s="45">
        <f t="shared" ca="1" si="112"/>
        <v>6.9518403999415388E-4</v>
      </c>
      <c r="AI139" s="77">
        <f t="shared" ca="1" si="113"/>
        <v>1.1856699084460699E-2</v>
      </c>
      <c r="AJ139" s="384">
        <f t="shared" ca="1" si="120"/>
        <v>6.0401566384027383E-3</v>
      </c>
      <c r="AU139" s="1"/>
    </row>
    <row r="140" spans="2:47" x14ac:dyDescent="0.25">
      <c r="B140" s="44"/>
      <c r="C140" s="10">
        <f t="shared" si="128"/>
        <v>4</v>
      </c>
      <c r="D140" s="91">
        <f t="shared" si="129"/>
        <v>2</v>
      </c>
      <c r="E140" s="278"/>
      <c r="F140" s="76">
        <f t="shared" ca="1" si="134"/>
        <v>-7.56</v>
      </c>
      <c r="G140" s="46">
        <f t="shared" ca="1" si="135"/>
        <v>27.012600000000003</v>
      </c>
      <c r="H140" s="46">
        <f t="shared" ca="1" si="96"/>
        <v>28.517550000000004</v>
      </c>
      <c r="I140" s="45">
        <f t="shared" ca="1" si="97"/>
        <v>1.0386103497602255E-3</v>
      </c>
      <c r="J140" s="45">
        <f t="shared" ca="1" si="98"/>
        <v>0.27952512346894071</v>
      </c>
      <c r="K140" s="45">
        <f t="shared" ca="1" si="122"/>
        <v>0.90345467800480783</v>
      </c>
      <c r="L140" s="358">
        <f t="shared" ca="1" si="99"/>
        <v>0.15499691161362872</v>
      </c>
      <c r="M140" s="76">
        <f t="shared" ca="1" si="138"/>
        <v>0.25347808785320641</v>
      </c>
      <c r="N140" s="45">
        <f t="shared" ca="1" si="139"/>
        <v>0.25</v>
      </c>
      <c r="O140" s="45">
        <f t="shared" ca="1" si="140"/>
        <v>0</v>
      </c>
      <c r="P140" s="46" t="str">
        <f t="shared" ca="1" si="136"/>
        <v/>
      </c>
      <c r="Q140" s="243" t="str">
        <f t="shared" ca="1" si="137"/>
        <v/>
      </c>
      <c r="R140" s="45">
        <f t="shared" ca="1" si="123"/>
        <v>0.25342608802606303</v>
      </c>
      <c r="S140" s="45">
        <f t="shared" ca="1" si="102"/>
        <v>5.0695617570641283E-2</v>
      </c>
      <c r="T140" s="77">
        <f t="shared" ca="1" si="103"/>
        <v>2.1924757091749882E-4</v>
      </c>
      <c r="U140" s="45">
        <f t="shared" ca="1" si="124"/>
        <v>15.214243283729125</v>
      </c>
      <c r="V140" s="45">
        <f t="shared" ca="1" si="104"/>
        <v>0.20278247028256513</v>
      </c>
      <c r="W140" s="77">
        <f t="shared" ca="1" si="105"/>
        <v>3.9503663482051118E-4</v>
      </c>
      <c r="X140" s="45">
        <f t="shared" ca="1" si="125"/>
        <v>0.84990778497981179</v>
      </c>
      <c r="Y140" s="45">
        <f t="shared" ca="1" si="106"/>
        <v>6.0275415735092573E-5</v>
      </c>
      <c r="Z140" s="77">
        <f t="shared" ca="1" si="107"/>
        <v>4.8548379558628712E-5</v>
      </c>
      <c r="AA140" s="45">
        <f t="shared" ca="1" si="126"/>
        <v>39.321898645667162</v>
      </c>
      <c r="AB140" s="45">
        <f t="shared" ca="1" si="108"/>
        <v>0</v>
      </c>
      <c r="AC140" s="45" cm="1">
        <f t="array" aca="1" ref="AC140" ca="1">pHUM*(T140+W140+Z140+AD140)</f>
        <v>7.0912253805991267E-5</v>
      </c>
      <c r="AD140" s="77">
        <f t="shared" ca="1" si="109"/>
        <v>6.8066825930800649E-5</v>
      </c>
      <c r="AE140" s="45">
        <f t="shared" ca="1" si="127"/>
        <v>6.3847072090583081</v>
      </c>
      <c r="AF140" s="45">
        <f t="shared" ca="1" si="110"/>
        <v>0</v>
      </c>
      <c r="AG140" s="76">
        <f t="shared" ca="1" si="111"/>
        <v>62.024183011460465</v>
      </c>
      <c r="AH140" s="45">
        <f t="shared" ca="1" si="112"/>
        <v>5.9971174168635562E-4</v>
      </c>
      <c r="AI140" s="77">
        <f t="shared" ca="1" si="113"/>
        <v>1.264975818963225E-2</v>
      </c>
      <c r="AJ140" s="384">
        <f t="shared" ca="1" si="120"/>
        <v>6.2525788380607406E-3</v>
      </c>
      <c r="AU140" s="1"/>
    </row>
    <row r="141" spans="2:47" x14ac:dyDescent="0.25">
      <c r="B141" s="44"/>
      <c r="C141" s="10">
        <f t="shared" si="128"/>
        <v>4</v>
      </c>
      <c r="D141" s="91">
        <f t="shared" si="129"/>
        <v>3</v>
      </c>
      <c r="E141" s="278"/>
      <c r="F141" s="76">
        <f t="shared" ca="1" si="134"/>
        <v>-3.72</v>
      </c>
      <c r="G141" s="46">
        <f t="shared" ca="1" si="135"/>
        <v>27.012600000000003</v>
      </c>
      <c r="H141" s="46">
        <f t="shared" ca="1" si="96"/>
        <v>28.517550000000004</v>
      </c>
      <c r="I141" s="45">
        <f t="shared" ca="1" si="97"/>
        <v>1.416534540335657E-2</v>
      </c>
      <c r="J141" s="45">
        <f t="shared" ca="1" si="98"/>
        <v>0.27952512346894071</v>
      </c>
      <c r="K141" s="45">
        <f t="shared" ca="1" si="122"/>
        <v>0.90345467800480783</v>
      </c>
      <c r="L141" s="358">
        <f t="shared" ca="1" si="99"/>
        <v>0.24547574864616473</v>
      </c>
      <c r="M141" s="76">
        <f t="shared" ca="1" si="138"/>
        <v>0.25347808785320641</v>
      </c>
      <c r="N141" s="45">
        <f t="shared" ca="1" si="139"/>
        <v>0.25</v>
      </c>
      <c r="O141" s="45">
        <f t="shared" ca="1" si="140"/>
        <v>0</v>
      </c>
      <c r="P141" s="46" t="str">
        <f t="shared" ca="1" si="136"/>
        <v/>
      </c>
      <c r="Q141" s="243" t="str">
        <f t="shared" ca="1" si="137"/>
        <v/>
      </c>
      <c r="R141" s="45">
        <f t="shared" ca="1" si="123"/>
        <v>0.3039024580257868</v>
      </c>
      <c r="S141" s="45">
        <f t="shared" ca="1" si="102"/>
        <v>5.0695617570641283E-2</v>
      </c>
      <c r="T141" s="77">
        <f t="shared" ca="1" si="103"/>
        <v>3.5663121420806184E-3</v>
      </c>
      <c r="U141" s="45">
        <f t="shared" ca="1" si="124"/>
        <v>15.41663071737687</v>
      </c>
      <c r="V141" s="45">
        <f t="shared" ca="1" si="104"/>
        <v>0.20278247028256513</v>
      </c>
      <c r="W141" s="77">
        <f t="shared" ca="1" si="105"/>
        <v>5.4585808860984743E-3</v>
      </c>
      <c r="X141" s="45">
        <f t="shared" ca="1" si="125"/>
        <v>0.84991951201598825</v>
      </c>
      <c r="Y141" s="45">
        <f t="shared" ca="1" si="106"/>
        <v>8.7540348356448963E-4</v>
      </c>
      <c r="Z141" s="77">
        <f t="shared" ca="1" si="107"/>
        <v>6.6190931163512506E-4</v>
      </c>
      <c r="AA141" s="45">
        <f t="shared" ca="1" si="126"/>
        <v>39.321901491095034</v>
      </c>
      <c r="AB141" s="45">
        <f t="shared" ca="1" si="108"/>
        <v>0</v>
      </c>
      <c r="AC141" s="45" cm="1">
        <f t="array" aca="1" ref="AC141" ca="1">pHUM*(T141+W141+Z141+AD141)</f>
        <v>1.0298864512523409E-3</v>
      </c>
      <c r="AD141" s="77">
        <f t="shared" ca="1" si="109"/>
        <v>9.2833623568335996E-4</v>
      </c>
      <c r="AE141" s="45">
        <f t="shared" ca="1" si="127"/>
        <v>6.3847072090583081</v>
      </c>
      <c r="AF141" s="45">
        <f t="shared" ca="1" si="110"/>
        <v>0</v>
      </c>
      <c r="AG141" s="76">
        <f t="shared" ca="1" si="111"/>
        <v>62.277061387571983</v>
      </c>
      <c r="AH141" s="45">
        <f t="shared" ca="1" si="112"/>
        <v>8.709848640680749E-3</v>
      </c>
      <c r="AI141" s="77">
        <f t="shared" ca="1" si="113"/>
        <v>1.3435646126782122E-2</v>
      </c>
      <c r="AJ141" s="384">
        <f t="shared" ca="1" si="120"/>
        <v>1.0517664430708118E-2</v>
      </c>
      <c r="AU141" s="1"/>
    </row>
    <row r="142" spans="2:47" x14ac:dyDescent="0.25">
      <c r="B142" s="44"/>
      <c r="C142" s="10">
        <f t="shared" si="128"/>
        <v>4</v>
      </c>
      <c r="D142" s="91">
        <f t="shared" si="129"/>
        <v>4</v>
      </c>
      <c r="E142" s="278"/>
      <c r="F142" s="76">
        <f t="shared" ca="1" si="134"/>
        <v>5.88</v>
      </c>
      <c r="G142" s="46">
        <f t="shared" ca="1" si="135"/>
        <v>27.012600000000003</v>
      </c>
      <c r="H142" s="46">
        <f t="shared" ca="1" si="96"/>
        <v>28.517550000000004</v>
      </c>
      <c r="I142" s="45">
        <f t="shared" ca="1" si="97"/>
        <v>0.2538659245156123</v>
      </c>
      <c r="J142" s="45">
        <f t="shared" ca="1" si="98"/>
        <v>0.27952512346894071</v>
      </c>
      <c r="K142" s="45">
        <f t="shared" ca="1" si="122"/>
        <v>0.90345467800480783</v>
      </c>
      <c r="L142" s="358">
        <f t="shared" ca="1" si="99"/>
        <v>0.57663575359475594</v>
      </c>
      <c r="M142" s="76">
        <f t="shared" ca="1" si="138"/>
        <v>0.25347808785320641</v>
      </c>
      <c r="N142" s="45">
        <f t="shared" ca="1" si="139"/>
        <v>0.25</v>
      </c>
      <c r="O142" s="45">
        <f t="shared" ca="1" si="140"/>
        <v>0</v>
      </c>
      <c r="P142" s="46" t="str">
        <f t="shared" ca="1" si="136"/>
        <v/>
      </c>
      <c r="Q142" s="243" t="str">
        <f t="shared" ca="1" si="137"/>
        <v/>
      </c>
      <c r="R142" s="45">
        <f t="shared" ca="1" si="123"/>
        <v>0.35103176345434745</v>
      </c>
      <c r="S142" s="45">
        <f t="shared" ca="1" si="102"/>
        <v>5.0695617570641283E-2</v>
      </c>
      <c r="T142" s="77">
        <f t="shared" ca="1" si="103"/>
        <v>6.6933045427999882E-2</v>
      </c>
      <c r="U142" s="45">
        <f t="shared" ca="1" si="124"/>
        <v>15.613954606773337</v>
      </c>
      <c r="V142" s="45">
        <f t="shared" ca="1" si="104"/>
        <v>0.20278247028256513</v>
      </c>
      <c r="W142" s="77">
        <f t="shared" ca="1" si="105"/>
        <v>9.8782475155921839E-2</v>
      </c>
      <c r="X142" s="45">
        <f t="shared" ca="1" si="125"/>
        <v>0.85013300618791765</v>
      </c>
      <c r="Y142" s="45">
        <f t="shared" ca="1" si="106"/>
        <v>1.6009995718384809E-2</v>
      </c>
      <c r="Z142" s="77">
        <f t="shared" ca="1" si="107"/>
        <v>1.1787604626546497E-2</v>
      </c>
      <c r="AA142" s="45">
        <f t="shared" ca="1" si="126"/>
        <v>39.322003041310602</v>
      </c>
      <c r="AB142" s="45">
        <f t="shared" ca="1" si="108"/>
        <v>0</v>
      </c>
      <c r="AC142" s="45" cm="1">
        <f t="array" aca="1" ref="AC142" ca="1">pHUM*(T142+W142+Z142+AD142)</f>
        <v>1.8835289080452716E-2</v>
      </c>
      <c r="AD142" s="77">
        <f t="shared" ca="1" si="109"/>
        <v>1.6634008505036116E-2</v>
      </c>
      <c r="AE142" s="45">
        <f t="shared" ca="1" si="127"/>
        <v>6.3847072090583081</v>
      </c>
      <c r="AF142" s="45">
        <f t="shared" ca="1" si="110"/>
        <v>0</v>
      </c>
      <c r="AG142" s="76">
        <f t="shared" ca="1" si="111"/>
        <v>62.521829626784509</v>
      </c>
      <c r="AH142" s="45">
        <f t="shared" ca="1" si="112"/>
        <v>0.15929184891666684</v>
      </c>
      <c r="AI142" s="77">
        <f t="shared" ca="1" si="113"/>
        <v>1.4164768116781641E-2</v>
      </c>
      <c r="AJ142" s="384">
        <f t="shared" ca="1" si="120"/>
        <v>2.6046947453219893E-2</v>
      </c>
      <c r="AU142" s="1"/>
    </row>
    <row r="143" spans="2:47" x14ac:dyDescent="0.25">
      <c r="B143" s="44"/>
      <c r="C143" s="10">
        <f t="shared" si="128"/>
        <v>4</v>
      </c>
      <c r="D143" s="91">
        <f t="shared" si="129"/>
        <v>5</v>
      </c>
      <c r="E143" s="278"/>
      <c r="F143" s="76">
        <f t="shared" ca="1" si="134"/>
        <v>13.3</v>
      </c>
      <c r="G143" s="46">
        <f t="shared" ca="1" si="135"/>
        <v>27.012600000000003</v>
      </c>
      <c r="H143" s="46">
        <f t="shared" ca="1" si="96"/>
        <v>28.517550000000004</v>
      </c>
      <c r="I143" s="45">
        <f t="shared" ca="1" si="97"/>
        <v>0.69725265541392489</v>
      </c>
      <c r="J143" s="45">
        <f t="shared" ca="1" si="98"/>
        <v>0.27952512346894071</v>
      </c>
      <c r="K143" s="45">
        <f t="shared" ca="1" si="122"/>
        <v>0.90345467800480783</v>
      </c>
      <c r="L143" s="358">
        <f t="shared" ca="1" si="99"/>
        <v>0.80399103068855049</v>
      </c>
      <c r="M143" s="76">
        <f t="shared" ca="1" si="138"/>
        <v>0.25347808785320641</v>
      </c>
      <c r="N143" s="45">
        <f t="shared" ca="1" si="139"/>
        <v>0.25</v>
      </c>
      <c r="O143" s="45">
        <f t="shared" ca="1" si="140"/>
        <v>0</v>
      </c>
      <c r="P143" s="46" t="str">
        <f t="shared" ca="1" si="136"/>
        <v/>
      </c>
      <c r="Q143" s="243" t="str">
        <f t="shared" ca="1" si="137"/>
        <v/>
      </c>
      <c r="R143" s="45">
        <f t="shared" ca="1" si="123"/>
        <v>0.33479433559698885</v>
      </c>
      <c r="S143" s="45">
        <f t="shared" ca="1" si="102"/>
        <v>5.0695617570641283E-2</v>
      </c>
      <c r="T143" s="77">
        <f t="shared" ca="1" si="103"/>
        <v>0.1475391079165653</v>
      </c>
      <c r="U143" s="45">
        <f t="shared" ca="1" si="124"/>
        <v>15.717954601899981</v>
      </c>
      <c r="V143" s="45">
        <f t="shared" ca="1" si="104"/>
        <v>0.20278247028256513</v>
      </c>
      <c r="W143" s="77">
        <f t="shared" ca="1" si="105"/>
        <v>0.27161049794738262</v>
      </c>
      <c r="X143" s="45">
        <f t="shared" ca="1" si="125"/>
        <v>0.85435539727975596</v>
      </c>
      <c r="Y143" s="45">
        <f t="shared" ca="1" si="106"/>
        <v>4.0983403194383136E-2</v>
      </c>
      <c r="Z143" s="77">
        <f t="shared" ca="1" si="107"/>
        <v>3.2143316792722719E-2</v>
      </c>
      <c r="AA143" s="45">
        <f t="shared" ca="1" si="126"/>
        <v>39.324204321886015</v>
      </c>
      <c r="AB143" s="45">
        <f t="shared" ca="1" si="108"/>
        <v>0</v>
      </c>
      <c r="AC143" s="45" cm="1">
        <f t="array" aca="1" ref="AC143" ca="1">pHUM*(T143+W143+Z143+AD143)</f>
        <v>4.8215768463980166E-2</v>
      </c>
      <c r="AD143" s="77">
        <f t="shared" ca="1" si="109"/>
        <v>4.5671634112560075E-2</v>
      </c>
      <c r="AE143" s="45">
        <f t="shared" ca="1" si="127"/>
        <v>6.3847072090583081</v>
      </c>
      <c r="AF143" s="45">
        <f t="shared" ca="1" si="110"/>
        <v>0</v>
      </c>
      <c r="AG143" s="76">
        <f t="shared" ca="1" si="111"/>
        <v>62.616015865721046</v>
      </c>
      <c r="AH143" s="45">
        <f t="shared" ca="1" si="112"/>
        <v>0.40776538511086741</v>
      </c>
      <c r="AI143" s="77">
        <f t="shared" ca="1" si="113"/>
        <v>1.3950840747604927E-2</v>
      </c>
      <c r="AJ143" s="384">
        <f t="shared" ca="1" si="120"/>
        <v>3.5767896466287752E-2</v>
      </c>
      <c r="AU143" s="1"/>
    </row>
    <row r="144" spans="2:47" x14ac:dyDescent="0.25">
      <c r="B144" s="44"/>
      <c r="C144" s="10">
        <f t="shared" si="128"/>
        <v>4</v>
      </c>
      <c r="D144" s="91">
        <f t="shared" si="129"/>
        <v>6</v>
      </c>
      <c r="E144" s="278"/>
      <c r="F144" s="76">
        <f t="shared" ca="1" si="134"/>
        <v>18.579999999999998</v>
      </c>
      <c r="G144" s="46">
        <f t="shared" ca="1" si="135"/>
        <v>27.012600000000003</v>
      </c>
      <c r="H144" s="46">
        <f t="shared" ca="1" si="96"/>
        <v>28.517550000000004</v>
      </c>
      <c r="I144" s="45">
        <f t="shared" ca="1" si="97"/>
        <v>1.1053966357180092</v>
      </c>
      <c r="J144" s="45">
        <f t="shared" ca="1" si="98"/>
        <v>0.27952512346894071</v>
      </c>
      <c r="K144" s="45">
        <f t="shared" ca="1" si="122"/>
        <v>0.90345467800480783</v>
      </c>
      <c r="L144" s="358">
        <f t="shared" ca="1" si="99"/>
        <v>0.89864190578209513</v>
      </c>
      <c r="M144" s="76">
        <f t="shared" ca="1" si="138"/>
        <v>0.25347808785320641</v>
      </c>
      <c r="N144" s="45">
        <f t="shared" ca="1" si="139"/>
        <v>0.25</v>
      </c>
      <c r="O144" s="45">
        <f t="shared" ca="1" si="140"/>
        <v>0</v>
      </c>
      <c r="P144" s="46" t="str">
        <f t="shared" ca="1" si="136"/>
        <v/>
      </c>
      <c r="Q144" s="243" t="str">
        <f t="shared" ca="1" si="137"/>
        <v/>
      </c>
      <c r="R144" s="45">
        <f t="shared" ca="1" si="123"/>
        <v>0.23795084525106483</v>
      </c>
      <c r="S144" s="45">
        <f t="shared" ca="1" si="102"/>
        <v>5.0695617570641283E-2</v>
      </c>
      <c r="T144" s="77">
        <f t="shared" ca="1" si="103"/>
        <v>0.14323320511855114</v>
      </c>
      <c r="U144" s="45">
        <f t="shared" ca="1" si="124"/>
        <v>15.649126574235165</v>
      </c>
      <c r="V144" s="45">
        <f t="shared" ca="1" si="104"/>
        <v>0.20278247028256513</v>
      </c>
      <c r="W144" s="77">
        <f t="shared" ca="1" si="105"/>
        <v>0.42654143330385513</v>
      </c>
      <c r="X144" s="45">
        <f t="shared" ca="1" si="125"/>
        <v>0.8631954836814163</v>
      </c>
      <c r="Y144" s="45">
        <f t="shared" ca="1" si="106"/>
        <v>5.7156279811018118E-2</v>
      </c>
      <c r="Z144" s="77">
        <f t="shared" ca="1" si="107"/>
        <v>5.0916085911967238E-2</v>
      </c>
      <c r="AA144" s="45">
        <f t="shared" ca="1" si="126"/>
        <v>39.326748456237439</v>
      </c>
      <c r="AB144" s="45">
        <f t="shared" ca="1" si="108"/>
        <v>0</v>
      </c>
      <c r="AC144" s="45" cm="1">
        <f t="array" aca="1" ref="AC144" ca="1">pHUM*(T144+W144+Z144+AD144)</f>
        <v>6.7242682130609549E-2</v>
      </c>
      <c r="AD144" s="77">
        <f t="shared" ca="1" si="109"/>
        <v>7.238605916596938E-2</v>
      </c>
      <c r="AE144" s="45">
        <f t="shared" ca="1" si="127"/>
        <v>6.3847072090583081</v>
      </c>
      <c r="AF144" s="45">
        <f t="shared" ca="1" si="110"/>
        <v>0</v>
      </c>
      <c r="AG144" s="76">
        <f t="shared" ca="1" si="111"/>
        <v>62.461728568463393</v>
      </c>
      <c r="AH144" s="45">
        <f t="shared" ca="1" si="112"/>
        <v>0.56867782155871538</v>
      </c>
      <c r="AI144" s="77">
        <f t="shared" ca="1" si="113"/>
        <v>1.2528141665346826E-2</v>
      </c>
      <c r="AJ144" s="384">
        <f t="shared" ca="1" si="120"/>
        <v>3.5901705699808995E-2</v>
      </c>
      <c r="AU144" s="1"/>
    </row>
    <row r="145" spans="2:47" x14ac:dyDescent="0.25">
      <c r="B145" s="44"/>
      <c r="C145" s="10">
        <f t="shared" si="128"/>
        <v>4</v>
      </c>
      <c r="D145" s="91">
        <f t="shared" si="129"/>
        <v>7</v>
      </c>
      <c r="E145" s="278"/>
      <c r="F145" s="76">
        <f t="shared" ca="1" si="134"/>
        <v>20.88</v>
      </c>
      <c r="G145" s="46">
        <f t="shared" ca="1" si="135"/>
        <v>27.012600000000003</v>
      </c>
      <c r="H145" s="46">
        <f t="shared" ca="1" si="96"/>
        <v>28.517550000000004</v>
      </c>
      <c r="I145" s="45">
        <f t="shared" ca="1" si="97"/>
        <v>1.2963209464812457</v>
      </c>
      <c r="J145" s="45">
        <f t="shared" ca="1" si="98"/>
        <v>0.27952512346894071</v>
      </c>
      <c r="K145" s="45">
        <f t="shared" ca="1" si="122"/>
        <v>0.90345467800480783</v>
      </c>
      <c r="L145" s="358">
        <f t="shared" ca="1" si="99"/>
        <v>0.92456370800230281</v>
      </c>
      <c r="M145" s="76">
        <f t="shared" ca="1" si="138"/>
        <v>0.25347808785320641</v>
      </c>
      <c r="N145" s="45">
        <f t="shared" ca="1" si="139"/>
        <v>0.25</v>
      </c>
      <c r="O145" s="45">
        <f t="shared" ca="1" si="140"/>
        <v>0</v>
      </c>
      <c r="P145" s="46" t="str">
        <f t="shared" ca="1" si="136"/>
        <v/>
      </c>
      <c r="Q145" s="243" t="str">
        <f t="shared" ca="1" si="137"/>
        <v/>
      </c>
      <c r="R145" s="45">
        <f t="shared" ca="1" si="123"/>
        <v>0.145413257703155</v>
      </c>
      <c r="S145" s="45">
        <f t="shared" ca="1" si="102"/>
        <v>5.0695617570641283E-2</v>
      </c>
      <c r="T145" s="77">
        <f t="shared" ca="1" si="103"/>
        <v>9.6044771651824942E-2</v>
      </c>
      <c r="U145" s="45">
        <f t="shared" ca="1" si="124"/>
        <v>15.425367611213876</v>
      </c>
      <c r="V145" s="45">
        <f t="shared" ca="1" si="104"/>
        <v>0.20278247028256513</v>
      </c>
      <c r="W145" s="77">
        <f t="shared" ca="1" si="105"/>
        <v>0.4918920034226133</v>
      </c>
      <c r="X145" s="45">
        <f t="shared" ca="1" si="125"/>
        <v>0.86943567758046714</v>
      </c>
      <c r="Y145" s="45">
        <f t="shared" ca="1" si="106"/>
        <v>6.0418236862176511E-2</v>
      </c>
      <c r="Z145" s="77">
        <f t="shared" ca="1" si="107"/>
        <v>5.9830492774066713E-2</v>
      </c>
      <c r="AA145" s="45">
        <f t="shared" ca="1" si="126"/>
        <v>39.321605079202079</v>
      </c>
      <c r="AB145" s="45">
        <f t="shared" ca="1" si="108"/>
        <v>0</v>
      </c>
      <c r="AC145" s="45" cm="1">
        <f t="array" aca="1" ref="AC145" ca="1">pHUM*(T145+W145+Z145+AD145)</f>
        <v>7.1080278661384139E-2</v>
      </c>
      <c r="AD145" s="77">
        <f t="shared" ca="1" si="109"/>
        <v>8.4863991702557304E-2</v>
      </c>
      <c r="AE145" s="45">
        <f t="shared" ca="1" si="127"/>
        <v>6.3847072090583081</v>
      </c>
      <c r="AF145" s="45">
        <f t="shared" ca="1" si="110"/>
        <v>0</v>
      </c>
      <c r="AG145" s="76">
        <f t="shared" ca="1" si="111"/>
        <v>62.146528834757881</v>
      </c>
      <c r="AH145" s="45">
        <f t="shared" ca="1" si="112"/>
        <v>0.60113274402750161</v>
      </c>
      <c r="AI145" s="77">
        <f t="shared" ca="1" si="113"/>
        <v>1.1121711193872031E-2</v>
      </c>
      <c r="AJ145" s="384">
        <f t="shared" ca="1" si="120"/>
        <v>3.2790760554494147E-2</v>
      </c>
      <c r="AU145" s="1"/>
    </row>
    <row r="146" spans="2:47" x14ac:dyDescent="0.25">
      <c r="B146" s="44"/>
      <c r="C146" s="10">
        <f t="shared" si="128"/>
        <v>4</v>
      </c>
      <c r="D146" s="91">
        <f t="shared" si="129"/>
        <v>8</v>
      </c>
      <c r="E146" s="278"/>
      <c r="F146" s="76">
        <f t="shared" ca="1" si="134"/>
        <v>19.38</v>
      </c>
      <c r="G146" s="46">
        <f t="shared" ca="1" si="135"/>
        <v>27.012600000000003</v>
      </c>
      <c r="H146" s="46">
        <f t="shared" ref="H146:H209" ca="1" si="141">FC-G146</f>
        <v>28.517550000000004</v>
      </c>
      <c r="I146" s="45">
        <f t="shared" ref="I146:I209" ca="1" si="142">PRODUCT(47.91/(1+EXP(106.06/(F146+18.27))), IF(IF(H146&lt;=0,1-((1-RM_PWP)*(G146-FC)/(WSAT-FC)),IF(H146&lt;=Wat1bar,1,1-((1-RM_PWP)*(H146-Wat1bar)/(FC-Wat1bar))))&lt;=RM_PWP,RM_PWP,IF(H146&lt;=0,1-((1-RM_PWP)*(G146-FC)/(WSAT-FC)),IF(H146&lt;=Wat1bar,1,1-((1-RM_PWP)*(H146-Wat1bar)/(FC-Wat1bar))))),0.56+(ATAN(3.14*0.45*(SoilpH-5)))/3.14,EXP(-0.09*SoilSal))</f>
        <v>1.1711755949831784</v>
      </c>
      <c r="J146" s="45">
        <f t="shared" ref="J146:J209" ca="1" si="143">POWER(((G146/150)-$J$9),$M$9)*POWER(($L$9-(G146/150)),$N$9)</f>
        <v>0.27952512346894071</v>
      </c>
      <c r="K146" s="45">
        <f t="shared" ca="1" si="122"/>
        <v>0.90345467800480783</v>
      </c>
      <c r="L146" s="358">
        <f t="shared" ref="L146:L209" ca="1" si="144">1/(1+EXP(-(F146-3.8)/6.7))+1/(1+EXP((F146-62.2)/7.1))-1</f>
        <v>0.9085593811553081</v>
      </c>
      <c r="M146" s="76">
        <f t="shared" ca="1" si="138"/>
        <v>0.25347808785320641</v>
      </c>
      <c r="N146" s="45">
        <f t="shared" ca="1" si="139"/>
        <v>0.25</v>
      </c>
      <c r="O146" s="45">
        <f t="shared" ca="1" si="140"/>
        <v>0</v>
      </c>
      <c r="P146" s="46" t="str">
        <f t="shared" ref="P146:P162" ca="1" si="145">IF(O146&gt;0,OFFSET(OW_DPMtoHUM,0,MATCH(OFFSET(OWType,C146+6+1,0),OW_Types,0)),IF(O146&gt;0,OFFSET(OW_DPMtoHUM,0,MATCH(OFFSET(OWType2,C146+6+1,0),OW_Types,0)),""))</f>
        <v/>
      </c>
      <c r="Q146" s="243" t="str">
        <f t="shared" ref="Q146:Q162" ca="1" si="146">IF(O146&gt;0,OFFSET(OW_pIOM,0,MATCH(OFFSET(OWType,C146+6+1,0),OW_Types,0)),IF(O146&gt;0,OFFSET(OW_pIOM,0,MATCH(OFFSET(OWType2,C146+6+1,0),OW_Types,0)),""))</f>
        <v/>
      </c>
      <c r="R146" s="45">
        <f t="shared" ca="1" si="123"/>
        <v>0.10006410362197134</v>
      </c>
      <c r="S146" s="45">
        <f t="shared" ref="S146:S162" ca="1" si="147">M146*N146/(1+N146) +   IF(O146&gt;0,O146*P146*(1-Q146)/(1+P146),0)</f>
        <v>5.0695617570641283E-2</v>
      </c>
      <c r="T146" s="77">
        <f t="shared" ref="T146:T209" ca="1" si="148">R146*(1-EXP(-kDPM*I146))</f>
        <v>6.2357646571145404E-2</v>
      </c>
      <c r="U146" s="45">
        <f t="shared" ca="1" si="124"/>
        <v>15.136258078073828</v>
      </c>
      <c r="V146" s="45">
        <f t="shared" ref="V146:V209" ca="1" si="149">M146*1/(1+N146)</f>
        <v>0.20278247028256513</v>
      </c>
      <c r="W146" s="77">
        <f t="shared" ref="W146:W209" ca="1" si="150">U146*(1-EXP(-kRPM*I146))</f>
        <v>0.43675523663800125</v>
      </c>
      <c r="X146" s="45">
        <f t="shared" ca="1" si="125"/>
        <v>0.87002342166857694</v>
      </c>
      <c r="Y146" s="45">
        <f t="shared" ref="Y146:Y209" ca="1" si="151">pBIO*(T146+W146+Z146+AD146)</f>
        <v>5.1957858010710692E-2</v>
      </c>
      <c r="Z146" s="77">
        <f t="shared" ref="Z146:Z209" ca="1" si="152">X146*(1-EXP(-kBIO*I146))</f>
        <v>5.4275428780737864E-2</v>
      </c>
      <c r="AA146" s="45">
        <f t="shared" ca="1" si="126"/>
        <v>39.307821366160908</v>
      </c>
      <c r="AB146" s="45">
        <f t="shared" ref="AB146:AB209" ca="1" si="153">IF(O146&gt;0,O146*(1-Q146)/(1+P146),0)</f>
        <v>0</v>
      </c>
      <c r="AC146" s="45" cm="1">
        <f t="array" aca="1" ref="AC146" ca="1">pHUM*(T146+W146+Z146+AD146)</f>
        <v>6.1126891777306694E-2</v>
      </c>
      <c r="AD146" s="77">
        <f t="shared" ref="AD146:AD209" ca="1" si="154">AA146*(1-EXP(-kHUM*I146))</f>
        <v>7.6652432906340009E-2</v>
      </c>
      <c r="AE146" s="45">
        <f t="shared" ca="1" si="127"/>
        <v>6.3847072090583081</v>
      </c>
      <c r="AF146" s="45">
        <f t="shared" ref="AF146:AF209" ca="1" si="155">IF(O146&gt;0,O146*Q146,0)</f>
        <v>0</v>
      </c>
      <c r="AG146" s="76">
        <f t="shared" ref="AG146:AG209" ca="1" si="156">R146+U146+X146+AA146+AE146</f>
        <v>61.798874178583588</v>
      </c>
      <c r="AH146" s="45">
        <f t="shared" ref="AH146:AH209" ca="1" si="157">p_CO2*(T146+W146+Z146+AD146)</f>
        <v>0.51695599510820722</v>
      </c>
      <c r="AI146" s="77">
        <f t="shared" ref="AI146:AI209" ca="1" si="158">((kRPM*U146)+(kDPM*R146)+(kBIO*X146)+(kHUM*AA146))/(U146+R146+AA146+X146)</f>
        <v>1.0379250654232513E-2</v>
      </c>
      <c r="AJ146" s="384">
        <f t="shared" ca="1" si="120"/>
        <v>3.0072079831998666E-2</v>
      </c>
      <c r="AU146" s="1"/>
    </row>
    <row r="147" spans="2:47" x14ac:dyDescent="0.25">
      <c r="B147" s="44"/>
      <c r="C147" s="10">
        <f t="shared" si="128"/>
        <v>4</v>
      </c>
      <c r="D147" s="91">
        <f t="shared" si="129"/>
        <v>9</v>
      </c>
      <c r="E147" s="278"/>
      <c r="F147" s="76">
        <f t="shared" ca="1" si="134"/>
        <v>16.57</v>
      </c>
      <c r="G147" s="46">
        <f t="shared" ca="1" si="135"/>
        <v>27.012600000000003</v>
      </c>
      <c r="H147" s="46">
        <f t="shared" ca="1" si="141"/>
        <v>28.517550000000004</v>
      </c>
      <c r="I147" s="45">
        <f t="shared" ca="1" si="142"/>
        <v>0.9439672665218134</v>
      </c>
      <c r="J147" s="45">
        <f t="shared" ca="1" si="143"/>
        <v>0.27952512346894071</v>
      </c>
      <c r="K147" s="45">
        <f t="shared" ca="1" si="122"/>
        <v>0.90345467800480783</v>
      </c>
      <c r="L147" s="358">
        <f t="shared" ca="1" si="144"/>
        <v>0.86895066774150642</v>
      </c>
      <c r="M147" s="76">
        <f t="shared" ref="M147:M162" ca="1" si="159">IF(PI_Def&gt;0,PI*OFFSET(PI_Month,D147,MATCH(OFFSET(LandUse,C147+6+1,0),LandUseTypes,0))/PI_Def,0)</f>
        <v>0.25347808785320641</v>
      </c>
      <c r="N147" s="45">
        <f t="shared" ref="N147:N162" ca="1" si="160">OFFSET(DPMtoRPM,0,MATCH(OFFSET(LandUse,C147+6+1,0),LandUseTypes,0))</f>
        <v>0.25</v>
      </c>
      <c r="O147" s="45">
        <f t="shared" ref="O147:O162" ca="1" si="161">IF(D147=OFFSET(OWAppDate,C147+6+1,0),OFFSET(OW_DM,0,MATCH(OFFSET(OWType,C148+6+1,0),OrgWasteTypes,0))*OFFSET(OW_pC,0,MATCH(OFFSET(OWType,C148+6+1,0),OrgWasteTypes,0))*OFFSET(OWAmount,C147+6+1,0),0)+IF(D147=OFFSET(OWAppDate2,C147+6+1,0),OFFSET(OW_DM,0,MATCH(OFFSET(OWType2,C148+6+1,0),OrgWasteTypes,0))*OFFSET(OW_pC,0,MATCH(OFFSET(OWType2,C148+6+1,0),OrgWasteTypes,0))*OFFSET(OWAmount2,C147+6+1,0),0)</f>
        <v>0</v>
      </c>
      <c r="P147" s="46" t="str">
        <f t="shared" ca="1" si="145"/>
        <v/>
      </c>
      <c r="Q147" s="243" t="str">
        <f t="shared" ca="1" si="146"/>
        <v/>
      </c>
      <c r="R147" s="45">
        <f t="shared" ca="1" si="123"/>
        <v>8.8402074621467208E-2</v>
      </c>
      <c r="S147" s="45">
        <f t="shared" ca="1" si="147"/>
        <v>5.0695617570641283E-2</v>
      </c>
      <c r="T147" s="77">
        <f t="shared" ca="1" si="148"/>
        <v>4.8146195868705575E-2</v>
      </c>
      <c r="U147" s="45">
        <f t="shared" ca="1" si="124"/>
        <v>14.902285311718392</v>
      </c>
      <c r="V147" s="45">
        <f t="shared" ca="1" si="149"/>
        <v>0.20278247028256513</v>
      </c>
      <c r="W147" s="77">
        <f t="shared" ca="1" si="150"/>
        <v>0.34756448914820903</v>
      </c>
      <c r="X147" s="45">
        <f t="shared" ca="1" si="125"/>
        <v>0.86770585089854979</v>
      </c>
      <c r="Y147" s="45">
        <f t="shared" ca="1" si="151"/>
        <v>4.1347539446814116E-2</v>
      </c>
      <c r="Z147" s="77">
        <f t="shared" ca="1" si="152"/>
        <v>4.3900253889172097E-2</v>
      </c>
      <c r="AA147" s="45">
        <f t="shared" ca="1" si="126"/>
        <v>39.292295825031871</v>
      </c>
      <c r="AB147" s="45">
        <f t="shared" ca="1" si="153"/>
        <v>0</v>
      </c>
      <c r="AC147" s="45" cm="1">
        <f t="array" aca="1" ref="AC147" ca="1">pHUM*(T147+W147+Z147+AD147)</f>
        <v>4.8644164055075427E-2</v>
      </c>
      <c r="AD147" s="77">
        <f t="shared" ca="1" si="154"/>
        <v>6.1769132368727261E-2</v>
      </c>
      <c r="AE147" s="45">
        <f t="shared" ca="1" si="127"/>
        <v>6.3847072090583081</v>
      </c>
      <c r="AF147" s="45">
        <f t="shared" ca="1" si="155"/>
        <v>0</v>
      </c>
      <c r="AG147" s="76">
        <f t="shared" ca="1" si="156"/>
        <v>61.535396271328587</v>
      </c>
      <c r="AH147" s="45">
        <f t="shared" ca="1" si="157"/>
        <v>0.41138836777292448</v>
      </c>
      <c r="AI147" s="77">
        <f t="shared" ca="1" si="158"/>
        <v>1.0143780963226039E-2</v>
      </c>
      <c r="AJ147" s="384">
        <f t="shared" ref="AJ147:AJ210" ca="1" si="162">(530)*(1-EXP((-$AJ$9*L147*K147*AI147)))</f>
        <v>2.8108646719112729E-2</v>
      </c>
      <c r="AU147" s="1"/>
    </row>
    <row r="148" spans="2:47" x14ac:dyDescent="0.25">
      <c r="B148" s="44"/>
      <c r="C148" s="10">
        <f t="shared" si="128"/>
        <v>4</v>
      </c>
      <c r="D148" s="91">
        <f t="shared" si="129"/>
        <v>10</v>
      </c>
      <c r="E148" s="278"/>
      <c r="F148" s="76">
        <f t="shared" ca="1" si="134"/>
        <v>10.87</v>
      </c>
      <c r="G148" s="46">
        <f t="shared" ca="1" si="135"/>
        <v>27.012600000000003</v>
      </c>
      <c r="H148" s="46">
        <f t="shared" ca="1" si="141"/>
        <v>28.517550000000004</v>
      </c>
      <c r="I148" s="45">
        <f t="shared" ca="1" si="142"/>
        <v>0.53125146958099567</v>
      </c>
      <c r="J148" s="45">
        <f t="shared" ca="1" si="143"/>
        <v>0.27952512346894071</v>
      </c>
      <c r="K148" s="45">
        <f t="shared" ref="K148:K211" ca="1" si="163">J148/$I$15</f>
        <v>0.90345467800480783</v>
      </c>
      <c r="L148" s="358">
        <f t="shared" ca="1" si="144"/>
        <v>0.74105246316705919</v>
      </c>
      <c r="M148" s="76">
        <f t="shared" ca="1" si="159"/>
        <v>0.25347808785320641</v>
      </c>
      <c r="N148" s="45">
        <f t="shared" ca="1" si="160"/>
        <v>0.25</v>
      </c>
      <c r="O148" s="45">
        <f t="shared" ca="1" si="161"/>
        <v>0</v>
      </c>
      <c r="P148" s="46" t="str">
        <f t="shared" ca="1" si="145"/>
        <v/>
      </c>
      <c r="Q148" s="243" t="str">
        <f t="shared" ca="1" si="146"/>
        <v/>
      </c>
      <c r="R148" s="45">
        <f t="shared" ref="R148:R211" ca="1" si="164">R147+S148-T147</f>
        <v>9.0951496323402908E-2</v>
      </c>
      <c r="S148" s="45">
        <f t="shared" ca="1" si="147"/>
        <v>5.0695617570641283E-2</v>
      </c>
      <c r="T148" s="77">
        <f t="shared" ca="1" si="148"/>
        <v>3.2533920583983196E-2</v>
      </c>
      <c r="U148" s="45">
        <f t="shared" ref="U148:U211" ca="1" si="165">U147+V148-W147</f>
        <v>14.75750329285275</v>
      </c>
      <c r="V148" s="45">
        <f t="shared" ca="1" si="149"/>
        <v>0.20278247028256513</v>
      </c>
      <c r="W148" s="77">
        <f t="shared" ca="1" si="150"/>
        <v>0.1947028188064891</v>
      </c>
      <c r="X148" s="45">
        <f t="shared" ref="X148:X211" ca="1" si="166">X147+Y147-Z147</f>
        <v>0.86515313645619185</v>
      </c>
      <c r="Y148" s="45">
        <f t="shared" ca="1" si="151"/>
        <v>2.3660977384317494E-2</v>
      </c>
      <c r="Z148" s="77">
        <f t="shared" ca="1" si="152"/>
        <v>2.4913025975668433E-2</v>
      </c>
      <c r="AA148" s="45">
        <f t="shared" ref="AA148:AA211" ca="1" si="167">AA147+AC147+AB148-AD147</f>
        <v>39.279170856718224</v>
      </c>
      <c r="AB148" s="45">
        <f t="shared" ca="1" si="153"/>
        <v>0</v>
      </c>
      <c r="AC148" s="45" cm="1">
        <f t="array" aca="1" ref="AC148" ca="1">pHUM*(T148+W148+Z148+AD148)</f>
        <v>2.7836443981549993E-2</v>
      </c>
      <c r="AD148" s="77">
        <f t="shared" ca="1" si="154"/>
        <v>3.4763136492036009E-2</v>
      </c>
      <c r="AE148" s="45">
        <f t="shared" ref="AE148:AE211" ca="1" si="168">AE147+AF148</f>
        <v>6.3847072090583081</v>
      </c>
      <c r="AF148" s="45">
        <f t="shared" ca="1" si="155"/>
        <v>0</v>
      </c>
      <c r="AG148" s="76">
        <f t="shared" ca="1" si="156"/>
        <v>61.377485991408875</v>
      </c>
      <c r="AH148" s="45">
        <f t="shared" ca="1" si="157"/>
        <v>0.23541548049230923</v>
      </c>
      <c r="AI148" s="77">
        <f t="shared" ca="1" si="158"/>
        <v>1.0142771751869652E-2</v>
      </c>
      <c r="AJ148" s="384">
        <f t="shared" ca="1" si="162"/>
        <v>2.3969129218769369E-2</v>
      </c>
      <c r="AU148" s="1"/>
    </row>
    <row r="149" spans="2:47" x14ac:dyDescent="0.25">
      <c r="B149" s="44"/>
      <c r="C149" s="10">
        <f t="shared" ref="C149:C161" si="169">IF(D149=1,C148+1,C148)</f>
        <v>4</v>
      </c>
      <c r="D149" s="91">
        <f t="shared" ref="D149:D212" si="170">IF(D148+1&lt;13,D148+1,1)</f>
        <v>11</v>
      </c>
      <c r="E149" s="278"/>
      <c r="F149" s="76">
        <f t="shared" ca="1" si="134"/>
        <v>1.4</v>
      </c>
      <c r="G149" s="46">
        <f t="shared" ca="1" si="135"/>
        <v>28.536243189942063</v>
      </c>
      <c r="H149" s="46">
        <f t="shared" ca="1" si="141"/>
        <v>26.993906810057943</v>
      </c>
      <c r="I149" s="45">
        <f t="shared" ca="1" si="142"/>
        <v>9.940372096718314E-2</v>
      </c>
      <c r="J149" s="45">
        <f t="shared" ca="1" si="143"/>
        <v>0.28648639837560558</v>
      </c>
      <c r="K149" s="45">
        <f t="shared" ca="1" si="163"/>
        <v>0.92595425264501963</v>
      </c>
      <c r="L149" s="358">
        <f t="shared" ca="1" si="144"/>
        <v>0.41120226021724715</v>
      </c>
      <c r="M149" s="76">
        <f t="shared" ca="1" si="159"/>
        <v>0.25347808785320641</v>
      </c>
      <c r="N149" s="45">
        <f t="shared" ca="1" si="160"/>
        <v>0.25</v>
      </c>
      <c r="O149" s="45">
        <f t="shared" ca="1" si="161"/>
        <v>0</v>
      </c>
      <c r="P149" s="46" t="str">
        <f t="shared" ca="1" si="145"/>
        <v/>
      </c>
      <c r="Q149" s="243" t="str">
        <f t="shared" ca="1" si="146"/>
        <v/>
      </c>
      <c r="R149" s="45">
        <f t="shared" ca="1" si="164"/>
        <v>0.109113193310061</v>
      </c>
      <c r="S149" s="45">
        <f t="shared" ca="1" si="147"/>
        <v>5.0695617570641283E-2</v>
      </c>
      <c r="T149" s="77">
        <f t="shared" ca="1" si="148"/>
        <v>8.6743136419835439E-3</v>
      </c>
      <c r="U149" s="45">
        <f t="shared" ca="1" si="165"/>
        <v>14.765582944328827</v>
      </c>
      <c r="V149" s="45">
        <f t="shared" ca="1" si="149"/>
        <v>0.20278247028256513</v>
      </c>
      <c r="W149" s="77">
        <f t="shared" ca="1" si="150"/>
        <v>3.6648291105911959E-2</v>
      </c>
      <c r="X149" s="45">
        <f t="shared" ca="1" si="166"/>
        <v>0.86390108786484088</v>
      </c>
      <c r="Y149" s="45">
        <f t="shared" ca="1" si="151"/>
        <v>4.662598483335367E-3</v>
      </c>
      <c r="Z149" s="77">
        <f t="shared" ca="1" si="152"/>
        <v>4.7102364017520227E-3</v>
      </c>
      <c r="AA149" s="45">
        <f t="shared" ca="1" si="167"/>
        <v>39.272244164207734</v>
      </c>
      <c r="AB149" s="45">
        <f t="shared" ca="1" si="153"/>
        <v>0</v>
      </c>
      <c r="AC149" s="45" cm="1">
        <f t="array" aca="1" ref="AC149" ca="1">pHUM*(T149+W149+Z149+AD149)</f>
        <v>5.4854099803945504E-3</v>
      </c>
      <c r="AD149" s="77">
        <f t="shared" ca="1" si="154"/>
        <v>6.5058064017402481E-3</v>
      </c>
      <c r="AE149" s="45">
        <f t="shared" ca="1" si="168"/>
        <v>6.3847072090583081</v>
      </c>
      <c r="AF149" s="45">
        <f t="shared" ca="1" si="155"/>
        <v>0</v>
      </c>
      <c r="AG149" s="76">
        <f t="shared" ca="1" si="156"/>
        <v>61.395548598769764</v>
      </c>
      <c r="AH149" s="45">
        <f t="shared" ca="1" si="157"/>
        <v>4.6390639087657858E-2</v>
      </c>
      <c r="AI149" s="77">
        <f t="shared" ca="1" si="158"/>
        <v>1.0416774590787433E-2</v>
      </c>
      <c r="AJ149" s="384">
        <f t="shared" ca="1" si="162"/>
        <v>1.3999826487607336E-2</v>
      </c>
      <c r="AU149" s="1"/>
    </row>
    <row r="150" spans="2:47" x14ac:dyDescent="0.25">
      <c r="B150" s="44"/>
      <c r="C150" s="10">
        <f t="shared" si="169"/>
        <v>4</v>
      </c>
      <c r="D150" s="91">
        <f t="shared" si="170"/>
        <v>12</v>
      </c>
      <c r="E150" s="278"/>
      <c r="F150" s="76">
        <f t="shared" ca="1" si="134"/>
        <v>-1.78</v>
      </c>
      <c r="G150" s="46">
        <f t="shared" ca="1" si="135"/>
        <v>32.216243189942062</v>
      </c>
      <c r="H150" s="46">
        <f t="shared" ca="1" si="141"/>
        <v>23.313906810057944</v>
      </c>
      <c r="I150" s="45">
        <f t="shared" ca="1" si="142"/>
        <v>3.9789790397057247E-2</v>
      </c>
      <c r="J150" s="45">
        <f t="shared" ca="1" si="143"/>
        <v>0.29882189650486002</v>
      </c>
      <c r="K150" s="45">
        <f t="shared" ca="1" si="163"/>
        <v>0.96582388351071458</v>
      </c>
      <c r="L150" s="358">
        <f t="shared" ca="1" si="144"/>
        <v>0.30292377267304249</v>
      </c>
      <c r="M150" s="76">
        <f t="shared" ca="1" si="159"/>
        <v>0.25347808785320641</v>
      </c>
      <c r="N150" s="45">
        <f t="shared" ca="1" si="160"/>
        <v>0.25</v>
      </c>
      <c r="O150" s="45">
        <f t="shared" ca="1" si="161"/>
        <v>0</v>
      </c>
      <c r="P150" s="46" t="str">
        <f t="shared" ca="1" si="145"/>
        <v/>
      </c>
      <c r="Q150" s="243" t="str">
        <f t="shared" ca="1" si="146"/>
        <v/>
      </c>
      <c r="R150" s="45">
        <f t="shared" ca="1" si="164"/>
        <v>0.15113449723871875</v>
      </c>
      <c r="S150" s="45">
        <f t="shared" ca="1" si="147"/>
        <v>5.0695617570641283E-2</v>
      </c>
      <c r="T150" s="77">
        <f t="shared" ca="1" si="148"/>
        <v>4.929168944278711E-3</v>
      </c>
      <c r="U150" s="45">
        <f t="shared" ca="1" si="165"/>
        <v>14.93171712350548</v>
      </c>
      <c r="V150" s="45">
        <f t="shared" ca="1" si="149"/>
        <v>0.20278247028256513</v>
      </c>
      <c r="W150" s="77">
        <f t="shared" ca="1" si="150"/>
        <v>1.4845862219300447E-2</v>
      </c>
      <c r="X150" s="45">
        <f t="shared" ca="1" si="166"/>
        <v>0.86385344994642421</v>
      </c>
      <c r="Y150" s="45">
        <f t="shared" ca="1" si="151"/>
        <v>2.0012947439820234E-3</v>
      </c>
      <c r="Z150" s="77">
        <f t="shared" ca="1" si="152"/>
        <v>1.88842302141782E-3</v>
      </c>
      <c r="AA150" s="45">
        <f t="shared" ca="1" si="167"/>
        <v>39.271223767786388</v>
      </c>
      <c r="AB150" s="45">
        <f t="shared" ca="1" si="153"/>
        <v>0</v>
      </c>
      <c r="AC150" s="45" cm="1">
        <f t="array" aca="1" ref="AC150" ca="1">pHUM*(T150+W150+Z150+AD150)</f>
        <v>2.3544644046847333E-3</v>
      </c>
      <c r="AD150" s="77">
        <f t="shared" ca="1" si="154"/>
        <v>2.604236584614986E-3</v>
      </c>
      <c r="AE150" s="45">
        <f t="shared" ca="1" si="168"/>
        <v>6.3847072090583081</v>
      </c>
      <c r="AF150" s="45">
        <f t="shared" ca="1" si="155"/>
        <v>0</v>
      </c>
      <c r="AG150" s="76">
        <f t="shared" ca="1" si="156"/>
        <v>61.602636047535313</v>
      </c>
      <c r="AH150" s="45">
        <f t="shared" ca="1" si="157"/>
        <v>1.9911931620945213E-2</v>
      </c>
      <c r="AI150" s="77">
        <f t="shared" ca="1" si="158"/>
        <v>1.1087020732053809E-2</v>
      </c>
      <c r="AJ150" s="384">
        <f t="shared" ca="1" si="162"/>
        <v>1.1449632966404888E-2</v>
      </c>
      <c r="AU150" s="1"/>
    </row>
    <row r="151" spans="2:47" x14ac:dyDescent="0.25">
      <c r="B151" s="44"/>
      <c r="C151" s="10">
        <f t="shared" si="169"/>
        <v>5</v>
      </c>
      <c r="D151" s="91">
        <f t="shared" si="170"/>
        <v>1</v>
      </c>
      <c r="E151" s="278"/>
      <c r="F151" s="76">
        <f t="shared" ca="1" si="134"/>
        <v>-8.2799999999999994</v>
      </c>
      <c r="G151" s="46">
        <f t="shared" ca="1" si="135"/>
        <v>27.676243189942063</v>
      </c>
      <c r="H151" s="46">
        <f t="shared" ca="1" si="141"/>
        <v>27.853906810057943</v>
      </c>
      <c r="I151" s="45">
        <f t="shared" ca="1" si="142"/>
        <v>5.2124139735228647E-4</v>
      </c>
      <c r="J151" s="45">
        <f t="shared" ca="1" si="143"/>
        <v>0.28271042830183513</v>
      </c>
      <c r="K151" s="45">
        <f t="shared" ca="1" si="163"/>
        <v>0.91374991914963299</v>
      </c>
      <c r="L151" s="358">
        <f t="shared" ca="1" si="144"/>
        <v>0.14143923467074027</v>
      </c>
      <c r="M151" s="76">
        <f t="shared" ca="1" si="159"/>
        <v>0.25347808785320641</v>
      </c>
      <c r="N151" s="45">
        <f t="shared" ca="1" si="160"/>
        <v>0.25</v>
      </c>
      <c r="O151" s="45">
        <f t="shared" ca="1" si="161"/>
        <v>0</v>
      </c>
      <c r="P151" s="46" t="str">
        <f t="shared" ca="1" si="145"/>
        <v/>
      </c>
      <c r="Q151" s="243" t="str">
        <f t="shared" ca="1" si="146"/>
        <v/>
      </c>
      <c r="R151" s="45">
        <f t="shared" ca="1" si="164"/>
        <v>0.19690094586508131</v>
      </c>
      <c r="S151" s="45">
        <f t="shared" ca="1" si="147"/>
        <v>5.0695617570641283E-2</v>
      </c>
      <c r="T151" s="77">
        <f t="shared" ca="1" si="148"/>
        <v>8.550886430783229E-5</v>
      </c>
      <c r="U151" s="45">
        <f t="shared" ca="1" si="165"/>
        <v>15.119653731568746</v>
      </c>
      <c r="V151" s="45">
        <f t="shared" ca="1" si="149"/>
        <v>0.20278247028256513</v>
      </c>
      <c r="W151" s="77">
        <f t="shared" ca="1" si="150"/>
        <v>1.9702345225069669E-4</v>
      </c>
      <c r="X151" s="45">
        <f t="shared" ca="1" si="166"/>
        <v>0.86396632166898846</v>
      </c>
      <c r="Y151" s="45">
        <f t="shared" ca="1" si="151"/>
        <v>2.815574788025648E-5</v>
      </c>
      <c r="Z151" s="77">
        <f t="shared" ca="1" si="152"/>
        <v>2.4768070671818475E-5</v>
      </c>
      <c r="AA151" s="45">
        <f t="shared" ca="1" si="167"/>
        <v>39.270973995606454</v>
      </c>
      <c r="AB151" s="45">
        <f t="shared" ca="1" si="153"/>
        <v>0</v>
      </c>
      <c r="AC151" s="45" cm="1">
        <f t="array" aca="1" ref="AC151" ca="1">pHUM*(T151+W151+Z151+AD151)</f>
        <v>3.3124409270889975E-5</v>
      </c>
      <c r="AD151" s="77">
        <f t="shared" ca="1" si="154"/>
        <v>3.4116080783601064E-5</v>
      </c>
      <c r="AE151" s="45">
        <f t="shared" ca="1" si="168"/>
        <v>6.3847072090583081</v>
      </c>
      <c r="AF151" s="45">
        <f t="shared" ca="1" si="155"/>
        <v>0</v>
      </c>
      <c r="AG151" s="76">
        <f t="shared" ca="1" si="156"/>
        <v>61.836202203767577</v>
      </c>
      <c r="AH151" s="45">
        <f t="shared" ca="1" si="157"/>
        <v>2.8013631086280214E-4</v>
      </c>
      <c r="AI151" s="77">
        <f t="shared" ca="1" si="158"/>
        <v>1.1812940948188272E-2</v>
      </c>
      <c r="AJ151" s="384">
        <f t="shared" ca="1" si="162"/>
        <v>5.3889378265215004E-3</v>
      </c>
      <c r="AU151" s="1"/>
    </row>
    <row r="152" spans="2:47" x14ac:dyDescent="0.25">
      <c r="B152" s="44"/>
      <c r="C152" s="10">
        <f t="shared" si="169"/>
        <v>5</v>
      </c>
      <c r="D152" s="91">
        <f t="shared" si="170"/>
        <v>2</v>
      </c>
      <c r="E152" s="278"/>
      <c r="F152" s="76">
        <f t="shared" ca="1" si="134"/>
        <v>-13.02</v>
      </c>
      <c r="G152" s="46">
        <f t="shared" ca="1" si="135"/>
        <v>27.012600000000003</v>
      </c>
      <c r="H152" s="46">
        <f t="shared" ca="1" si="141"/>
        <v>28.517550000000004</v>
      </c>
      <c r="I152" s="45">
        <f t="shared" ca="1" si="142"/>
        <v>3.4968020066039631E-8</v>
      </c>
      <c r="J152" s="45">
        <f t="shared" ca="1" si="143"/>
        <v>0.27952512346894071</v>
      </c>
      <c r="K152" s="45">
        <f t="shared" ca="1" si="163"/>
        <v>0.90345467800480783</v>
      </c>
      <c r="L152" s="358">
        <f t="shared" ca="1" si="144"/>
        <v>7.5103934893711255E-2</v>
      </c>
      <c r="M152" s="76">
        <f t="shared" ca="1" si="159"/>
        <v>0.25347808785320641</v>
      </c>
      <c r="N152" s="45">
        <f t="shared" ca="1" si="160"/>
        <v>0.25</v>
      </c>
      <c r="O152" s="45">
        <f t="shared" ca="1" si="161"/>
        <v>0</v>
      </c>
      <c r="P152" s="46" t="str">
        <f t="shared" ca="1" si="145"/>
        <v/>
      </c>
      <c r="Q152" s="243" t="str">
        <f t="shared" ca="1" si="146"/>
        <v/>
      </c>
      <c r="R152" s="45">
        <f t="shared" ca="1" si="164"/>
        <v>0.24751105457141476</v>
      </c>
      <c r="S152" s="45">
        <f t="shared" ca="1" si="147"/>
        <v>5.0695617570641283E-2</v>
      </c>
      <c r="T152" s="77">
        <f t="shared" ca="1" si="148"/>
        <v>7.212476161879541E-9</v>
      </c>
      <c r="U152" s="45">
        <f t="shared" ca="1" si="165"/>
        <v>15.322239178399062</v>
      </c>
      <c r="V152" s="45">
        <f t="shared" ca="1" si="149"/>
        <v>0.20278247028256513</v>
      </c>
      <c r="W152" s="77">
        <f t="shared" ca="1" si="150"/>
        <v>1.3394708994213655E-8</v>
      </c>
      <c r="X152" s="45">
        <f t="shared" ca="1" si="166"/>
        <v>0.86396970934619688</v>
      </c>
      <c r="Y152" s="45">
        <f t="shared" ca="1" si="151"/>
        <v>2.0251963389735299E-9</v>
      </c>
      <c r="Z152" s="77">
        <f t="shared" ca="1" si="152"/>
        <v>1.6616220731035546E-9</v>
      </c>
      <c r="AA152" s="45">
        <f t="shared" ca="1" si="167"/>
        <v>39.270973003934941</v>
      </c>
      <c r="AB152" s="45">
        <f t="shared" ca="1" si="153"/>
        <v>0</v>
      </c>
      <c r="AC152" s="45" cm="1">
        <f t="array" aca="1" ref="AC152" ca="1">pHUM*(T152+W152+Z152+AD152)</f>
        <v>2.382583928204153E-9</v>
      </c>
      <c r="AD152" s="77">
        <f t="shared" ca="1" si="154"/>
        <v>2.2887141702605092E-9</v>
      </c>
      <c r="AE152" s="45">
        <f t="shared" ca="1" si="168"/>
        <v>6.3847072090583081</v>
      </c>
      <c r="AF152" s="45">
        <f t="shared" ca="1" si="155"/>
        <v>0</v>
      </c>
      <c r="AG152" s="76">
        <f t="shared" ca="1" si="156"/>
        <v>62.089400155309917</v>
      </c>
      <c r="AH152" s="45">
        <f t="shared" ca="1" si="157"/>
        <v>2.0149741132279579E-8</v>
      </c>
      <c r="AI152" s="77">
        <f t="shared" ca="1" si="158"/>
        <v>1.2607288724627014E-2</v>
      </c>
      <c r="AJ152" s="384">
        <f t="shared" ca="1" si="162"/>
        <v>3.0195319058790027E-3</v>
      </c>
      <c r="AU152" s="1"/>
    </row>
    <row r="153" spans="2:47" x14ac:dyDescent="0.25">
      <c r="B153" s="44"/>
      <c r="C153" s="10">
        <f t="shared" si="169"/>
        <v>5</v>
      </c>
      <c r="D153" s="91">
        <f t="shared" si="170"/>
        <v>3</v>
      </c>
      <c r="E153" s="278"/>
      <c r="F153" s="76">
        <f t="shared" ca="1" si="134"/>
        <v>-3.52</v>
      </c>
      <c r="G153" s="46">
        <f t="shared" ca="1" si="135"/>
        <v>29.742600000000003</v>
      </c>
      <c r="H153" s="46">
        <f t="shared" ca="1" si="141"/>
        <v>25.787550000000003</v>
      </c>
      <c r="I153" s="45">
        <f t="shared" ca="1" si="142"/>
        <v>1.7216068766348798E-2</v>
      </c>
      <c r="J153" s="45">
        <f t="shared" ca="1" si="143"/>
        <v>0.2911707845539237</v>
      </c>
      <c r="K153" s="45">
        <f t="shared" ca="1" si="163"/>
        <v>0.94109468279262609</v>
      </c>
      <c r="L153" s="358">
        <f t="shared" ca="1" si="144"/>
        <v>0.2510452916114092</v>
      </c>
      <c r="M153" s="76">
        <f t="shared" ca="1" si="159"/>
        <v>0.25347808785320641</v>
      </c>
      <c r="N153" s="45">
        <f t="shared" ca="1" si="160"/>
        <v>0.25</v>
      </c>
      <c r="O153" s="45">
        <f t="shared" ca="1" si="161"/>
        <v>0</v>
      </c>
      <c r="P153" s="46" t="str">
        <f t="shared" ca="1" si="145"/>
        <v/>
      </c>
      <c r="Q153" s="243" t="str">
        <f t="shared" ca="1" si="146"/>
        <v/>
      </c>
      <c r="R153" s="45">
        <f t="shared" ca="1" si="164"/>
        <v>0.29820666492957987</v>
      </c>
      <c r="S153" s="45">
        <f t="shared" ca="1" si="147"/>
        <v>5.0695617570641283E-2</v>
      </c>
      <c r="T153" s="77">
        <f t="shared" ca="1" si="148"/>
        <v>4.2477452354790909E-3</v>
      </c>
      <c r="U153" s="45">
        <f t="shared" ca="1" si="165"/>
        <v>15.525021635286919</v>
      </c>
      <c r="V153" s="45">
        <f t="shared" ca="1" si="149"/>
        <v>0.20278247028256513</v>
      </c>
      <c r="W153" s="77">
        <f t="shared" ca="1" si="150"/>
        <v>6.6805582368002761E-3</v>
      </c>
      <c r="X153" s="45">
        <f t="shared" ca="1" si="166"/>
        <v>0.86396970970977116</v>
      </c>
      <c r="Y153" s="45">
        <f t="shared" ca="1" si="151"/>
        <v>1.0615869678924749E-3</v>
      </c>
      <c r="Z153" s="77">
        <f t="shared" ca="1" si="152"/>
        <v>8.1769171578566647E-4</v>
      </c>
      <c r="AA153" s="45">
        <f t="shared" ca="1" si="167"/>
        <v>39.270973004028811</v>
      </c>
      <c r="AB153" s="45">
        <f t="shared" ca="1" si="153"/>
        <v>0</v>
      </c>
      <c r="AC153" s="45" cm="1">
        <f t="array" aca="1" ref="AC153" ca="1">pHUM*(T153+W153+Z153+AD153)</f>
        <v>1.2489258445793822E-3</v>
      </c>
      <c r="AD153" s="77">
        <f t="shared" ca="1" si="154"/>
        <v>1.1268034535807157E-3</v>
      </c>
      <c r="AE153" s="45">
        <f t="shared" ca="1" si="168"/>
        <v>6.3847072090583081</v>
      </c>
      <c r="AF153" s="45">
        <f t="shared" ca="1" si="155"/>
        <v>0</v>
      </c>
      <c r="AG153" s="76">
        <f t="shared" ca="1" si="156"/>
        <v>62.342878223013386</v>
      </c>
      <c r="AH153" s="45">
        <f t="shared" ca="1" si="157"/>
        <v>1.0562285829173892E-2</v>
      </c>
      <c r="AI153" s="77">
        <f t="shared" ca="1" si="158"/>
        <v>1.3395738944195231E-2</v>
      </c>
      <c r="AJ153" s="384">
        <f t="shared" ca="1" si="162"/>
        <v>1.1171142645450827E-2</v>
      </c>
      <c r="AU153" s="1"/>
    </row>
    <row r="154" spans="2:47" x14ac:dyDescent="0.25">
      <c r="B154" s="44"/>
      <c r="C154" s="10">
        <f t="shared" si="169"/>
        <v>5</v>
      </c>
      <c r="D154" s="91">
        <f t="shared" si="170"/>
        <v>4</v>
      </c>
      <c r="E154" s="278"/>
      <c r="F154" s="76">
        <f t="shared" ca="1" si="134"/>
        <v>6.08</v>
      </c>
      <c r="G154" s="46">
        <f t="shared" ca="1" si="135"/>
        <v>27.012600000000003</v>
      </c>
      <c r="H154" s="46">
        <f t="shared" ca="1" si="141"/>
        <v>28.517550000000004</v>
      </c>
      <c r="I154" s="45">
        <f t="shared" ca="1" si="142"/>
        <v>0.26307228538649535</v>
      </c>
      <c r="J154" s="45">
        <f t="shared" ca="1" si="143"/>
        <v>0.27952512346894071</v>
      </c>
      <c r="K154" s="45">
        <f t="shared" ca="1" si="163"/>
        <v>0.90345467800480783</v>
      </c>
      <c r="L154" s="358">
        <f t="shared" ca="1" si="144"/>
        <v>0.58389398806465831</v>
      </c>
      <c r="M154" s="76">
        <f t="shared" ca="1" si="159"/>
        <v>0.25347808785320641</v>
      </c>
      <c r="N154" s="45">
        <f t="shared" ca="1" si="160"/>
        <v>0.25</v>
      </c>
      <c r="O154" s="45">
        <f t="shared" ca="1" si="161"/>
        <v>0</v>
      </c>
      <c r="P154" s="46" t="str">
        <f t="shared" ca="1" si="145"/>
        <v/>
      </c>
      <c r="Q154" s="243" t="str">
        <f t="shared" ca="1" si="146"/>
        <v/>
      </c>
      <c r="R154" s="45">
        <f t="shared" ca="1" si="164"/>
        <v>0.34465453726474204</v>
      </c>
      <c r="S154" s="45">
        <f t="shared" ca="1" si="147"/>
        <v>5.0695617570641283E-2</v>
      </c>
      <c r="T154" s="77">
        <f t="shared" ca="1" si="148"/>
        <v>6.7848877792729134E-2</v>
      </c>
      <c r="U154" s="45">
        <f t="shared" ca="1" si="165"/>
        <v>15.721123547332684</v>
      </c>
      <c r="V154" s="45">
        <f t="shared" ca="1" si="149"/>
        <v>0.20278247028256513</v>
      </c>
      <c r="W154" s="77">
        <f t="shared" ca="1" si="150"/>
        <v>0.10305553784593421</v>
      </c>
      <c r="X154" s="45">
        <f t="shared" ca="1" si="166"/>
        <v>0.86421360496187793</v>
      </c>
      <c r="Y154" s="45">
        <f t="shared" ca="1" si="151"/>
        <v>1.6537484557434558E-2</v>
      </c>
      <c r="Z154" s="77">
        <f t="shared" ca="1" si="152"/>
        <v>1.2414258268356161E-2</v>
      </c>
      <c r="AA154" s="45">
        <f t="shared" ca="1" si="167"/>
        <v>39.271095126419809</v>
      </c>
      <c r="AB154" s="45">
        <f t="shared" ca="1" si="153"/>
        <v>0</v>
      </c>
      <c r="AC154" s="45" cm="1">
        <f t="array" aca="1" ref="AC154" ca="1">pHUM*(T154+W154+Z154+AD154)</f>
        <v>1.945586418521713E-2</v>
      </c>
      <c r="AD154" s="77">
        <f t="shared" ca="1" si="154"/>
        <v>1.7214787020642833E-2</v>
      </c>
      <c r="AE154" s="45">
        <f t="shared" ca="1" si="168"/>
        <v>6.3847072090583081</v>
      </c>
      <c r="AF154" s="45">
        <f t="shared" ca="1" si="155"/>
        <v>0</v>
      </c>
      <c r="AG154" s="76">
        <f t="shared" ca="1" si="156"/>
        <v>62.585794025037416</v>
      </c>
      <c r="AH154" s="45">
        <f t="shared" ca="1" si="157"/>
        <v>0.16454011218501066</v>
      </c>
      <c r="AI154" s="77">
        <f t="shared" ca="1" si="158"/>
        <v>1.4114029131704895E-2</v>
      </c>
      <c r="AJ154" s="384">
        <f t="shared" ca="1" si="162"/>
        <v>2.6280324008449707E-2</v>
      </c>
      <c r="AU154" s="1"/>
    </row>
    <row r="155" spans="2:47" x14ac:dyDescent="0.25">
      <c r="B155" s="44"/>
      <c r="C155" s="10">
        <f t="shared" si="169"/>
        <v>5</v>
      </c>
      <c r="D155" s="91">
        <f t="shared" si="170"/>
        <v>5</v>
      </c>
      <c r="E155" s="278"/>
      <c r="F155" s="76">
        <f t="shared" ca="1" si="134"/>
        <v>16.079999999999998</v>
      </c>
      <c r="G155" s="46">
        <f t="shared" ca="1" si="135"/>
        <v>27.012600000000003</v>
      </c>
      <c r="H155" s="46">
        <f t="shared" ca="1" si="141"/>
        <v>28.517550000000004</v>
      </c>
      <c r="I155" s="45">
        <f t="shared" ca="1" si="142"/>
        <v>0.90560233354751607</v>
      </c>
      <c r="J155" s="45">
        <f t="shared" ca="1" si="143"/>
        <v>0.27952512346894071</v>
      </c>
      <c r="K155" s="45">
        <f t="shared" ca="1" si="163"/>
        <v>0.90345467800480783</v>
      </c>
      <c r="L155" s="358">
        <f t="shared" ca="1" si="144"/>
        <v>0.86059167822175908</v>
      </c>
      <c r="M155" s="76">
        <f t="shared" ca="1" si="159"/>
        <v>0.25347808785320641</v>
      </c>
      <c r="N155" s="45">
        <f t="shared" ca="1" si="160"/>
        <v>0.25</v>
      </c>
      <c r="O155" s="45">
        <f t="shared" ca="1" si="161"/>
        <v>0</v>
      </c>
      <c r="P155" s="46" t="str">
        <f t="shared" ca="1" si="145"/>
        <v/>
      </c>
      <c r="Q155" s="243" t="str">
        <f t="shared" ca="1" si="146"/>
        <v/>
      </c>
      <c r="R155" s="45">
        <f t="shared" ca="1" si="164"/>
        <v>0.32750127704265419</v>
      </c>
      <c r="S155" s="45">
        <f t="shared" ca="1" si="147"/>
        <v>5.0695617570641283E-2</v>
      </c>
      <c r="T155" s="77">
        <f t="shared" ca="1" si="148"/>
        <v>0.17352118168356717</v>
      </c>
      <c r="U155" s="45">
        <f t="shared" ca="1" si="165"/>
        <v>15.820850479769316</v>
      </c>
      <c r="V155" s="45">
        <f t="shared" ca="1" si="149"/>
        <v>0.20278247028256513</v>
      </c>
      <c r="W155" s="77">
        <f t="shared" ca="1" si="150"/>
        <v>0.35416074030097977</v>
      </c>
      <c r="X155" s="45">
        <f t="shared" ca="1" si="166"/>
        <v>0.86833683125095629</v>
      </c>
      <c r="Y155" s="45">
        <f t="shared" ca="1" si="151"/>
        <v>5.1880665311436758E-2</v>
      </c>
      <c r="Z155" s="77">
        <f t="shared" ca="1" si="152"/>
        <v>4.2190788185074407E-2</v>
      </c>
      <c r="AA155" s="45">
        <f t="shared" ca="1" si="167"/>
        <v>39.273336203584385</v>
      </c>
      <c r="AB155" s="45">
        <f t="shared" ca="1" si="153"/>
        <v>0</v>
      </c>
      <c r="AC155" s="45" cm="1">
        <f t="array" aca="1" ref="AC155" ca="1">pHUM*(T155+W155+Z155+AD155)</f>
        <v>6.1036076836984421E-2</v>
      </c>
      <c r="AD155" s="77">
        <f t="shared" ca="1" si="154"/>
        <v>5.9231996413763609E-2</v>
      </c>
      <c r="AE155" s="45">
        <f t="shared" ca="1" si="168"/>
        <v>6.3847072090583081</v>
      </c>
      <c r="AF155" s="45">
        <f t="shared" ca="1" si="155"/>
        <v>0</v>
      </c>
      <c r="AG155" s="76">
        <f t="shared" ca="1" si="156"/>
        <v>62.674732000705617</v>
      </c>
      <c r="AH155" s="45">
        <f t="shared" ca="1" si="157"/>
        <v>0.51618796443496395</v>
      </c>
      <c r="AI155" s="77">
        <f t="shared" ca="1" si="158"/>
        <v>1.3886174003554679E-2</v>
      </c>
      <c r="AJ155" s="384">
        <f t="shared" ca="1" si="162"/>
        <v>3.8108389989024438E-2</v>
      </c>
      <c r="AU155" s="1"/>
    </row>
    <row r="156" spans="2:47" x14ac:dyDescent="0.25">
      <c r="B156" s="44"/>
      <c r="C156" s="10">
        <f t="shared" si="169"/>
        <v>5</v>
      </c>
      <c r="D156" s="91">
        <f t="shared" si="170"/>
        <v>6</v>
      </c>
      <c r="E156" s="278"/>
      <c r="F156" s="76">
        <f t="shared" ref="F156:F162" ca="1" si="171">OFFSET(Temperature,(C156+6)*12+D156,0)</f>
        <v>17.399999999999999</v>
      </c>
      <c r="G156" s="46">
        <f t="shared" ref="G156:G162" ca="1" si="172">MIN(MAX(G155+OFFSET(Rainfall,(C156+6)*12+D156,0)-OFFSET(PET,(C156+6)*12+D156,0),PWP),FC)</f>
        <v>27.012600000000003</v>
      </c>
      <c r="H156" s="46">
        <f t="shared" ca="1" si="141"/>
        <v>28.517550000000004</v>
      </c>
      <c r="I156" s="45">
        <f t="shared" ca="1" si="142"/>
        <v>1.0098878501236044</v>
      </c>
      <c r="J156" s="45">
        <f t="shared" ca="1" si="143"/>
        <v>0.27952512346894071</v>
      </c>
      <c r="K156" s="45">
        <f t="shared" ca="1" si="163"/>
        <v>0.90345467800480783</v>
      </c>
      <c r="L156" s="358">
        <f t="shared" ca="1" si="144"/>
        <v>0.88208077264421947</v>
      </c>
      <c r="M156" s="76">
        <f t="shared" ca="1" si="159"/>
        <v>0.25347808785320641</v>
      </c>
      <c r="N156" s="45">
        <f t="shared" ca="1" si="160"/>
        <v>0.25</v>
      </c>
      <c r="O156" s="45">
        <f t="shared" ca="1" si="161"/>
        <v>0</v>
      </c>
      <c r="P156" s="46" t="str">
        <f t="shared" ca="1" si="145"/>
        <v/>
      </c>
      <c r="Q156" s="243" t="str">
        <f t="shared" ca="1" si="146"/>
        <v/>
      </c>
      <c r="R156" s="45">
        <f t="shared" ca="1" si="164"/>
        <v>0.2046757129297283</v>
      </c>
      <c r="S156" s="45">
        <f t="shared" ca="1" si="147"/>
        <v>5.0695617570641283E-2</v>
      </c>
      <c r="T156" s="77">
        <f t="shared" ca="1" si="148"/>
        <v>0.11645395421372452</v>
      </c>
      <c r="U156" s="45">
        <f t="shared" ca="1" si="165"/>
        <v>15.6694722097509</v>
      </c>
      <c r="V156" s="45">
        <f t="shared" ca="1" si="149"/>
        <v>0.20278247028256513</v>
      </c>
      <c r="W156" s="77">
        <f t="shared" ca="1" si="150"/>
        <v>0.39065797980963063</v>
      </c>
      <c r="X156" s="45">
        <f t="shared" ca="1" si="166"/>
        <v>0.87802670837731867</v>
      </c>
      <c r="Y156" s="45">
        <f t="shared" ca="1" si="151"/>
        <v>5.1179422213603921E-2</v>
      </c>
      <c r="Z156" s="77">
        <f t="shared" ca="1" si="152"/>
        <v>4.7439292052116312E-2</v>
      </c>
      <c r="AA156" s="45">
        <f t="shared" ca="1" si="167"/>
        <v>39.275140284007605</v>
      </c>
      <c r="AB156" s="45">
        <f t="shared" ca="1" si="153"/>
        <v>0</v>
      </c>
      <c r="AC156" s="45" cm="1">
        <f t="array" aca="1" ref="AC156" ca="1">pHUM*(T156+W156+Z156+AD156)</f>
        <v>6.0211084957181089E-2</v>
      </c>
      <c r="AD156" s="77">
        <f t="shared" ca="1" si="154"/>
        <v>6.6050209960831802E-2</v>
      </c>
      <c r="AE156" s="45">
        <f t="shared" ca="1" si="168"/>
        <v>6.3847072090583081</v>
      </c>
      <c r="AF156" s="45">
        <f t="shared" ca="1" si="155"/>
        <v>0</v>
      </c>
      <c r="AG156" s="76">
        <f t="shared" ca="1" si="156"/>
        <v>62.412022124123858</v>
      </c>
      <c r="AH156" s="45">
        <f t="shared" ca="1" si="157"/>
        <v>0.50921092886551833</v>
      </c>
      <c r="AI156" s="77">
        <f t="shared" ca="1" si="158"/>
        <v>1.2066434675256177E-2</v>
      </c>
      <c r="AJ156" s="384">
        <f t="shared" ca="1" si="162"/>
        <v>3.3941410382890558E-2</v>
      </c>
      <c r="AU156" s="1"/>
    </row>
    <row r="157" spans="2:47" x14ac:dyDescent="0.25">
      <c r="B157" s="44"/>
      <c r="C157" s="10">
        <f t="shared" si="169"/>
        <v>5</v>
      </c>
      <c r="D157" s="91">
        <f t="shared" si="170"/>
        <v>7</v>
      </c>
      <c r="E157" s="278"/>
      <c r="F157" s="76">
        <f t="shared" ca="1" si="171"/>
        <v>21.29</v>
      </c>
      <c r="G157" s="46">
        <f t="shared" ca="1" si="172"/>
        <v>27.012600000000003</v>
      </c>
      <c r="H157" s="46">
        <f t="shared" ca="1" si="141"/>
        <v>28.517550000000004</v>
      </c>
      <c r="I157" s="45">
        <f t="shared" ca="1" si="142"/>
        <v>1.3308669995183955</v>
      </c>
      <c r="J157" s="45">
        <f t="shared" ca="1" si="143"/>
        <v>0.27952512346894071</v>
      </c>
      <c r="K157" s="45">
        <f t="shared" ca="1" si="163"/>
        <v>0.90345467800480783</v>
      </c>
      <c r="L157" s="358">
        <f t="shared" ca="1" si="144"/>
        <v>0.92839591561968593</v>
      </c>
      <c r="M157" s="76">
        <f t="shared" ca="1" si="159"/>
        <v>0.25347808785320641</v>
      </c>
      <c r="N157" s="45">
        <f t="shared" ca="1" si="160"/>
        <v>0.25</v>
      </c>
      <c r="O157" s="45">
        <f t="shared" ca="1" si="161"/>
        <v>0</v>
      </c>
      <c r="P157" s="46" t="str">
        <f t="shared" ca="1" si="145"/>
        <v/>
      </c>
      <c r="Q157" s="243" t="str">
        <f t="shared" ca="1" si="146"/>
        <v/>
      </c>
      <c r="R157" s="45">
        <f t="shared" ca="1" si="164"/>
        <v>0.13891737628664508</v>
      </c>
      <c r="S157" s="45">
        <f t="shared" ca="1" si="147"/>
        <v>5.0695617570641283E-2</v>
      </c>
      <c r="T157" s="77">
        <f t="shared" ca="1" si="148"/>
        <v>9.3092664317211193E-2</v>
      </c>
      <c r="U157" s="45">
        <f t="shared" ca="1" si="165"/>
        <v>15.481596700223836</v>
      </c>
      <c r="V157" s="45">
        <f t="shared" ca="1" si="149"/>
        <v>0.20278247028256513</v>
      </c>
      <c r="W157" s="77">
        <f t="shared" ca="1" si="150"/>
        <v>0.506623807012617</v>
      </c>
      <c r="X157" s="45">
        <f t="shared" ca="1" si="166"/>
        <v>0.88176683853880633</v>
      </c>
      <c r="Y157" s="45">
        <f t="shared" ca="1" si="151"/>
        <v>6.1764934844081909E-2</v>
      </c>
      <c r="Z157" s="77">
        <f t="shared" ca="1" si="152"/>
        <v>6.2237678158662872E-2</v>
      </c>
      <c r="AA157" s="45">
        <f t="shared" ca="1" si="167"/>
        <v>39.269301159003952</v>
      </c>
      <c r="AB157" s="45">
        <f t="shared" ca="1" si="153"/>
        <v>0</v>
      </c>
      <c r="AC157" s="45" cm="1">
        <f t="array" aca="1" ref="AC157" ca="1">pHUM*(T157+W157+Z157+AD157)</f>
        <v>7.2664629228331654E-2</v>
      </c>
      <c r="AD157" s="77">
        <f t="shared" ca="1" si="154"/>
        <v>8.7007163535811227E-2</v>
      </c>
      <c r="AE157" s="45">
        <f t="shared" ca="1" si="168"/>
        <v>6.3847072090583081</v>
      </c>
      <c r="AF157" s="45">
        <f t="shared" ca="1" si="155"/>
        <v>0</v>
      </c>
      <c r="AG157" s="76">
        <f t="shared" ca="1" si="156"/>
        <v>62.156289283111548</v>
      </c>
      <c r="AH157" s="45">
        <f t="shared" ca="1" si="157"/>
        <v>0.61453174895188878</v>
      </c>
      <c r="AI157" s="77">
        <f t="shared" ca="1" si="158"/>
        <v>1.1058506612026701E-2</v>
      </c>
      <c r="AJ157" s="384">
        <f t="shared" ca="1" si="162"/>
        <v>3.2739553988537784E-2</v>
      </c>
      <c r="AU157" s="1"/>
    </row>
    <row r="158" spans="2:47" x14ac:dyDescent="0.25">
      <c r="B158" s="44"/>
      <c r="C158" s="10">
        <f t="shared" si="169"/>
        <v>5</v>
      </c>
      <c r="D158" s="91">
        <f t="shared" si="170"/>
        <v>8</v>
      </c>
      <c r="E158" s="278"/>
      <c r="F158" s="76">
        <f t="shared" ca="1" si="171"/>
        <v>21.81</v>
      </c>
      <c r="G158" s="46">
        <f t="shared" ca="1" si="172"/>
        <v>27.012600000000003</v>
      </c>
      <c r="H158" s="46">
        <f t="shared" ca="1" si="141"/>
        <v>28.517550000000004</v>
      </c>
      <c r="I158" s="45">
        <f t="shared" ca="1" si="142"/>
        <v>1.3748539373542934</v>
      </c>
      <c r="J158" s="45">
        <f t="shared" ca="1" si="143"/>
        <v>0.27952512346894071</v>
      </c>
      <c r="K158" s="45">
        <f t="shared" ca="1" si="163"/>
        <v>0.90345467800480783</v>
      </c>
      <c r="L158" s="358">
        <f t="shared" ca="1" si="144"/>
        <v>0.93294591915671865</v>
      </c>
      <c r="M158" s="76">
        <f t="shared" ca="1" si="159"/>
        <v>0.25347808785320641</v>
      </c>
      <c r="N158" s="45">
        <f t="shared" ca="1" si="160"/>
        <v>0.25</v>
      </c>
      <c r="O158" s="45">
        <f t="shared" ca="1" si="161"/>
        <v>0</v>
      </c>
      <c r="P158" s="46" t="str">
        <f t="shared" ca="1" si="145"/>
        <v/>
      </c>
      <c r="Q158" s="243" t="str">
        <f t="shared" ca="1" si="146"/>
        <v/>
      </c>
      <c r="R158" s="45">
        <f t="shared" ca="1" si="164"/>
        <v>9.6520329540075167E-2</v>
      </c>
      <c r="S158" s="45">
        <f t="shared" ca="1" si="147"/>
        <v>5.0695617570641283E-2</v>
      </c>
      <c r="T158" s="77">
        <f t="shared" ca="1" si="148"/>
        <v>6.5827101645557107E-2</v>
      </c>
      <c r="U158" s="45">
        <f t="shared" ca="1" si="165"/>
        <v>15.177755363493784</v>
      </c>
      <c r="V158" s="45">
        <f t="shared" ca="1" si="149"/>
        <v>0.20278247028256513</v>
      </c>
      <c r="W158" s="77">
        <f t="shared" ca="1" si="150"/>
        <v>0.51281633819149242</v>
      </c>
      <c r="X158" s="45">
        <f t="shared" ca="1" si="166"/>
        <v>0.88129409522422542</v>
      </c>
      <c r="Y158" s="45">
        <f t="shared" ca="1" si="151"/>
        <v>6.0421737674757496E-2</v>
      </c>
      <c r="Z158" s="77">
        <f t="shared" ca="1" si="152"/>
        <v>6.4183524281352988E-2</v>
      </c>
      <c r="AA158" s="45">
        <f t="shared" ca="1" si="167"/>
        <v>39.254958624696478</v>
      </c>
      <c r="AB158" s="45">
        <f t="shared" ca="1" si="153"/>
        <v>0</v>
      </c>
      <c r="AC158" s="45" cm="1">
        <f t="array" aca="1" ref="AC158" ca="1">pHUM*(T158+W158+Z158+AD158)</f>
        <v>7.1084397264420576E-2</v>
      </c>
      <c r="AD158" s="77">
        <f t="shared" ca="1" si="154"/>
        <v>8.9846746269755612E-2</v>
      </c>
      <c r="AE158" s="45">
        <f t="shared" ca="1" si="168"/>
        <v>6.3847072090583081</v>
      </c>
      <c r="AF158" s="45">
        <f t="shared" ca="1" si="155"/>
        <v>0</v>
      </c>
      <c r="AG158" s="76">
        <f t="shared" ca="1" si="156"/>
        <v>61.795235622012868</v>
      </c>
      <c r="AH158" s="45">
        <f t="shared" ca="1" si="157"/>
        <v>0.60116757544898003</v>
      </c>
      <c r="AI158" s="77">
        <f t="shared" ca="1" si="158"/>
        <v>1.0354956264624909E-2</v>
      </c>
      <c r="AJ158" s="384">
        <f t="shared" ca="1" si="162"/>
        <v>3.0806941634180518E-2</v>
      </c>
      <c r="AU158" s="1"/>
    </row>
    <row r="159" spans="2:47" x14ac:dyDescent="0.25">
      <c r="B159" s="44"/>
      <c r="C159" s="10">
        <f t="shared" si="169"/>
        <v>5</v>
      </c>
      <c r="D159" s="91">
        <f t="shared" si="170"/>
        <v>9</v>
      </c>
      <c r="E159" s="278"/>
      <c r="F159" s="76">
        <f t="shared" ca="1" si="171"/>
        <v>19.09</v>
      </c>
      <c r="G159" s="46">
        <f t="shared" ca="1" si="172"/>
        <v>27.012600000000003</v>
      </c>
      <c r="H159" s="46">
        <f t="shared" ca="1" si="141"/>
        <v>28.517550000000004</v>
      </c>
      <c r="I159" s="45">
        <f t="shared" ca="1" si="142"/>
        <v>1.1472439462064867</v>
      </c>
      <c r="J159" s="45">
        <f t="shared" ca="1" si="143"/>
        <v>0.27952512346894071</v>
      </c>
      <c r="K159" s="45">
        <f t="shared" ca="1" si="163"/>
        <v>0.90345467800480783</v>
      </c>
      <c r="L159" s="358">
        <f t="shared" ca="1" si="144"/>
        <v>0.90508116523032656</v>
      </c>
      <c r="M159" s="76">
        <f t="shared" ca="1" si="159"/>
        <v>0.25347808785320641</v>
      </c>
      <c r="N159" s="45">
        <f t="shared" ca="1" si="160"/>
        <v>0.25</v>
      </c>
      <c r="O159" s="45">
        <f t="shared" ca="1" si="161"/>
        <v>0</v>
      </c>
      <c r="P159" s="46" t="str">
        <f t="shared" ca="1" si="145"/>
        <v/>
      </c>
      <c r="Q159" s="243" t="str">
        <f t="shared" ca="1" si="146"/>
        <v/>
      </c>
      <c r="R159" s="45">
        <f t="shared" ca="1" si="164"/>
        <v>8.1388845465159343E-2</v>
      </c>
      <c r="S159" s="45">
        <f t="shared" ca="1" si="147"/>
        <v>5.0695617570641283E-2</v>
      </c>
      <c r="T159" s="77">
        <f t="shared" ca="1" si="148"/>
        <v>5.0101878867923076E-2</v>
      </c>
      <c r="U159" s="45">
        <f t="shared" ca="1" si="165"/>
        <v>14.867721495584858</v>
      </c>
      <c r="V159" s="45">
        <f t="shared" ca="1" si="149"/>
        <v>0.20278247028256513</v>
      </c>
      <c r="W159" s="77">
        <f t="shared" ca="1" si="150"/>
        <v>0.42036549896900949</v>
      </c>
      <c r="X159" s="45">
        <f t="shared" ca="1" si="166"/>
        <v>0.87753230861762987</v>
      </c>
      <c r="Y159" s="45">
        <f t="shared" ca="1" si="151"/>
        <v>4.9404467375263689E-2</v>
      </c>
      <c r="Z159" s="77">
        <f t="shared" ca="1" si="152"/>
        <v>5.3660161539028001E-2</v>
      </c>
      <c r="AA159" s="45">
        <f t="shared" ca="1" si="167"/>
        <v>39.236196275691142</v>
      </c>
      <c r="AB159" s="45">
        <f t="shared" ca="1" si="153"/>
        <v>0</v>
      </c>
      <c r="AC159" s="45" cm="1">
        <f t="array" aca="1" ref="AC159" ca="1">pHUM*(T159+W159+Z159+AD159)</f>
        <v>5.8122902794427868E-2</v>
      </c>
      <c r="AD159" s="77">
        <f t="shared" ca="1" si="154"/>
        <v>7.4950802535205502E-2</v>
      </c>
      <c r="AE159" s="45">
        <f t="shared" ca="1" si="168"/>
        <v>6.3847072090583081</v>
      </c>
      <c r="AF159" s="45">
        <f t="shared" ca="1" si="155"/>
        <v>0</v>
      </c>
      <c r="AG159" s="76">
        <f t="shared" ca="1" si="156"/>
        <v>61.447546134417095</v>
      </c>
      <c r="AH159" s="45">
        <f t="shared" ca="1" si="157"/>
        <v>0.49155097174147455</v>
      </c>
      <c r="AI159" s="77">
        <f t="shared" ca="1" si="158"/>
        <v>1.0046249403532813E-2</v>
      </c>
      <c r="AJ159" s="384">
        <f t="shared" ca="1" si="162"/>
        <v>2.8995865220150518E-2</v>
      </c>
      <c r="AU159" s="1"/>
    </row>
    <row r="160" spans="2:47" x14ac:dyDescent="0.25">
      <c r="B160" s="44"/>
      <c r="C160" s="10">
        <f t="shared" si="169"/>
        <v>5</v>
      </c>
      <c r="D160" s="91">
        <f t="shared" si="170"/>
        <v>10</v>
      </c>
      <c r="E160" s="278"/>
      <c r="F160" s="76">
        <f t="shared" ca="1" si="171"/>
        <v>9.02</v>
      </c>
      <c r="G160" s="46">
        <f t="shared" ca="1" si="172"/>
        <v>27.012600000000003</v>
      </c>
      <c r="H160" s="46">
        <f t="shared" ca="1" si="141"/>
        <v>28.517550000000004</v>
      </c>
      <c r="I160" s="45">
        <f t="shared" ca="1" si="142"/>
        <v>0.41742778729268759</v>
      </c>
      <c r="J160" s="45">
        <f t="shared" ca="1" si="143"/>
        <v>0.27952512346894071</v>
      </c>
      <c r="K160" s="45">
        <f t="shared" ca="1" si="163"/>
        <v>0.90345467800480783</v>
      </c>
      <c r="L160" s="358">
        <f t="shared" ca="1" si="144"/>
        <v>0.68492882381082199</v>
      </c>
      <c r="M160" s="76">
        <f t="shared" ca="1" si="159"/>
        <v>0.25347808785320641</v>
      </c>
      <c r="N160" s="45">
        <f t="shared" ca="1" si="160"/>
        <v>0.25</v>
      </c>
      <c r="O160" s="45">
        <f t="shared" ca="1" si="161"/>
        <v>0</v>
      </c>
      <c r="P160" s="46" t="str">
        <f t="shared" ca="1" si="145"/>
        <v/>
      </c>
      <c r="Q160" s="243" t="str">
        <f t="shared" ca="1" si="146"/>
        <v/>
      </c>
      <c r="R160" s="45">
        <f t="shared" ca="1" si="164"/>
        <v>8.1982584167877542E-2</v>
      </c>
      <c r="S160" s="45">
        <f t="shared" ca="1" si="147"/>
        <v>5.0695617570641283E-2</v>
      </c>
      <c r="T160" s="77">
        <f t="shared" ca="1" si="148"/>
        <v>2.4086465507838724E-2</v>
      </c>
      <c r="U160" s="45">
        <f t="shared" ca="1" si="165"/>
        <v>14.650138466898415</v>
      </c>
      <c r="V160" s="45">
        <f t="shared" ca="1" si="149"/>
        <v>0.20278247028256513</v>
      </c>
      <c r="W160" s="77">
        <f t="shared" ca="1" si="150"/>
        <v>0.15208941250147717</v>
      </c>
      <c r="X160" s="45">
        <f t="shared" ca="1" si="166"/>
        <v>0.87327661445386562</v>
      </c>
      <c r="Y160" s="45">
        <f t="shared" ca="1" si="151"/>
        <v>1.8412720236318306E-2</v>
      </c>
      <c r="Z160" s="77">
        <f t="shared" ca="1" si="152"/>
        <v>1.9820747660748459E-2</v>
      </c>
      <c r="AA160" s="45">
        <f t="shared" ca="1" si="167"/>
        <v>39.219368375950367</v>
      </c>
      <c r="AB160" s="45">
        <f t="shared" ca="1" si="153"/>
        <v>0</v>
      </c>
      <c r="AC160" s="45" cm="1">
        <f t="array" aca="1" ref="AC160" ca="1">pHUM*(T160+W160+Z160+AD160)</f>
        <v>2.16620238074333E-2</v>
      </c>
      <c r="AD160" s="77">
        <f t="shared" ca="1" si="154"/>
        <v>2.7275934389366291E-2</v>
      </c>
      <c r="AE160" s="45">
        <f t="shared" ca="1" si="168"/>
        <v>6.3847072090583081</v>
      </c>
      <c r="AF160" s="45">
        <f t="shared" ca="1" si="155"/>
        <v>0</v>
      </c>
      <c r="AG160" s="76">
        <f t="shared" ca="1" si="156"/>
        <v>61.209473250528831</v>
      </c>
      <c r="AH160" s="45">
        <f t="shared" ca="1" si="157"/>
        <v>0.18319781601567905</v>
      </c>
      <c r="AI160" s="77">
        <f t="shared" ca="1" si="158"/>
        <v>9.9949010115746671E-3</v>
      </c>
      <c r="AJ160" s="384">
        <f t="shared" ca="1" si="162"/>
        <v>2.1830891211803705E-2</v>
      </c>
      <c r="AU160" s="1"/>
    </row>
    <row r="161" spans="2:47" x14ac:dyDescent="0.25">
      <c r="B161" s="44"/>
      <c r="C161" s="10">
        <f t="shared" si="169"/>
        <v>5</v>
      </c>
      <c r="D161" s="91">
        <f t="shared" si="170"/>
        <v>11</v>
      </c>
      <c r="E161" s="278"/>
      <c r="F161" s="76">
        <f t="shared" ca="1" si="171"/>
        <v>5.62</v>
      </c>
      <c r="G161" s="46">
        <f t="shared" ca="1" si="172"/>
        <v>27.012600000000003</v>
      </c>
      <c r="H161" s="46">
        <f t="shared" ca="1" si="141"/>
        <v>28.517550000000004</v>
      </c>
      <c r="I161" s="45">
        <f t="shared" ca="1" si="142"/>
        <v>0.24215575259059691</v>
      </c>
      <c r="J161" s="45">
        <f t="shared" ca="1" si="143"/>
        <v>0.27952512346894071</v>
      </c>
      <c r="K161" s="45">
        <f t="shared" ca="1" si="163"/>
        <v>0.90345467800480783</v>
      </c>
      <c r="L161" s="358">
        <f t="shared" ca="1" si="144"/>
        <v>0.5671500175141555</v>
      </c>
      <c r="M161" s="76">
        <f t="shared" ca="1" si="159"/>
        <v>0.25347808785320641</v>
      </c>
      <c r="N161" s="45">
        <f t="shared" ca="1" si="160"/>
        <v>0.25</v>
      </c>
      <c r="O161" s="45">
        <f t="shared" ca="1" si="161"/>
        <v>0</v>
      </c>
      <c r="P161" s="46" t="str">
        <f t="shared" ca="1" si="145"/>
        <v/>
      </c>
      <c r="Q161" s="243" t="str">
        <f t="shared" ca="1" si="146"/>
        <v/>
      </c>
      <c r="R161" s="45">
        <f t="shared" ca="1" si="164"/>
        <v>0.10859173623068011</v>
      </c>
      <c r="S161" s="45">
        <f t="shared" ca="1" si="147"/>
        <v>5.0695617570641283E-2</v>
      </c>
      <c r="T161" s="77">
        <f t="shared" ca="1" si="148"/>
        <v>1.9843917491014686E-2</v>
      </c>
      <c r="U161" s="45">
        <f t="shared" ca="1" si="165"/>
        <v>14.700831524679504</v>
      </c>
      <c r="V161" s="45">
        <f t="shared" ca="1" si="149"/>
        <v>0.20278247028256513</v>
      </c>
      <c r="W161" s="77">
        <f t="shared" ca="1" si="150"/>
        <v>8.8728425816534132E-2</v>
      </c>
      <c r="X161" s="45">
        <f t="shared" ca="1" si="166"/>
        <v>0.87186858702943548</v>
      </c>
      <c r="Y161" s="45">
        <f t="shared" ca="1" si="151"/>
        <v>1.1209850714461816E-2</v>
      </c>
      <c r="Z161" s="77">
        <f t="shared" ca="1" si="152"/>
        <v>1.1535053960002071E-2</v>
      </c>
      <c r="AA161" s="45">
        <f t="shared" ca="1" si="167"/>
        <v>39.213754465368432</v>
      </c>
      <c r="AB161" s="45">
        <f t="shared" ca="1" si="153"/>
        <v>0</v>
      </c>
      <c r="AC161" s="45" cm="1">
        <f t="array" aca="1" ref="AC161" ca="1">pHUM*(T161+W161+Z161+AD161)</f>
        <v>1.3188059664072724E-2</v>
      </c>
      <c r="AD161" s="77">
        <f t="shared" ca="1" si="154"/>
        <v>1.5823200426816866E-2</v>
      </c>
      <c r="AE161" s="45">
        <f t="shared" ca="1" si="168"/>
        <v>6.3847072090583081</v>
      </c>
      <c r="AF161" s="45">
        <f t="shared" ca="1" si="155"/>
        <v>0</v>
      </c>
      <c r="AG161" s="76">
        <f t="shared" ca="1" si="156"/>
        <v>61.279753522366356</v>
      </c>
      <c r="AH161" s="45">
        <f t="shared" ca="1" si="157"/>
        <v>0.11153268731583321</v>
      </c>
      <c r="AI161" s="77">
        <f t="shared" ca="1" si="158"/>
        <v>1.0407549856332843E-2</v>
      </c>
      <c r="AJ161" s="384">
        <f t="shared" ca="1" si="162"/>
        <v>1.8823275875761158E-2</v>
      </c>
      <c r="AU161" s="1"/>
    </row>
    <row r="162" spans="2:47" ht="15.75" thickBot="1" x14ac:dyDescent="0.3">
      <c r="B162" s="44"/>
      <c r="C162" s="10">
        <f>IF(D162=1,C161+1,C161)</f>
        <v>5</v>
      </c>
      <c r="D162" s="91">
        <f t="shared" si="170"/>
        <v>12</v>
      </c>
      <c r="E162" s="278"/>
      <c r="F162" s="76">
        <f t="shared" ca="1" si="171"/>
        <v>3.68</v>
      </c>
      <c r="G162" s="46">
        <f t="shared" ca="1" si="172"/>
        <v>27.012600000000003</v>
      </c>
      <c r="H162" s="46">
        <f t="shared" ca="1" si="141"/>
        <v>28.517550000000004</v>
      </c>
      <c r="I162" s="45">
        <f t="shared" ca="1" si="142"/>
        <v>0.16418562454767627</v>
      </c>
      <c r="J162" s="45">
        <f t="shared" ca="1" si="143"/>
        <v>0.27952512346894071</v>
      </c>
      <c r="K162" s="45">
        <f t="shared" ca="1" si="163"/>
        <v>0.90345467800480783</v>
      </c>
      <c r="L162" s="358">
        <f t="shared" ca="1" si="144"/>
        <v>0.49525928680467546</v>
      </c>
      <c r="M162" s="76">
        <f t="shared" ca="1" si="159"/>
        <v>0.25347808785320641</v>
      </c>
      <c r="N162" s="45">
        <f t="shared" ca="1" si="160"/>
        <v>0.25</v>
      </c>
      <c r="O162" s="45">
        <f t="shared" ca="1" si="161"/>
        <v>0</v>
      </c>
      <c r="P162" s="46" t="str">
        <f t="shared" ca="1" si="145"/>
        <v/>
      </c>
      <c r="Q162" s="243" t="str">
        <f t="shared" ca="1" si="146"/>
        <v/>
      </c>
      <c r="R162" s="45">
        <f t="shared" ca="1" si="164"/>
        <v>0.1394434363103067</v>
      </c>
      <c r="S162" s="45">
        <f t="shared" ca="1" si="147"/>
        <v>5.0695617570641283E-2</v>
      </c>
      <c r="T162" s="77">
        <f t="shared" ca="1" si="148"/>
        <v>1.7831187991365179E-2</v>
      </c>
      <c r="U162" s="45">
        <f t="shared" ca="1" si="165"/>
        <v>14.814885569145536</v>
      </c>
      <c r="V162" s="45">
        <f t="shared" ca="1" si="149"/>
        <v>0.20278247028256513</v>
      </c>
      <c r="W162" s="77">
        <f t="shared" ca="1" si="150"/>
        <v>6.0685150425466294E-2</v>
      </c>
      <c r="X162" s="45">
        <f t="shared" ca="1" si="166"/>
        <v>0.87154338378389518</v>
      </c>
      <c r="Y162" s="45">
        <f t="shared" ca="1" si="151"/>
        <v>8.0058993565262273E-3</v>
      </c>
      <c r="Z162" s="77">
        <f t="shared" ca="1" si="152"/>
        <v>7.8347910711000831E-3</v>
      </c>
      <c r="AA162" s="45">
        <f t="shared" ca="1" si="167"/>
        <v>39.21111932460569</v>
      </c>
      <c r="AB162" s="45">
        <f t="shared" ca="1" si="153"/>
        <v>0</v>
      </c>
      <c r="AC162" s="45" cm="1">
        <f t="array" aca="1" ref="AC162" ca="1">pHUM*(T162+W162+Z162+AD162)</f>
        <v>9.4187051253249738E-3</v>
      </c>
      <c r="AD162" s="77">
        <f t="shared" ca="1" si="154"/>
        <v>1.0728368922303149E-2</v>
      </c>
      <c r="AE162" s="45">
        <f t="shared" ca="1" si="168"/>
        <v>6.3847072090583081</v>
      </c>
      <c r="AF162" s="45">
        <f t="shared" ca="1" si="155"/>
        <v>0</v>
      </c>
      <c r="AG162" s="76">
        <f t="shared" ca="1" si="156"/>
        <v>61.42169892290373</v>
      </c>
      <c r="AH162" s="45">
        <f t="shared" ca="1" si="157"/>
        <v>7.9654893928383513E-2</v>
      </c>
      <c r="AI162" s="77">
        <f t="shared" ca="1" si="158"/>
        <v>1.0899246775487904E-2</v>
      </c>
      <c r="AJ162" s="384">
        <f t="shared" ca="1" si="162"/>
        <v>1.7213870467160941E-2</v>
      </c>
      <c r="AU162" s="1"/>
    </row>
    <row r="163" spans="2:47" x14ac:dyDescent="0.25">
      <c r="B163" s="44"/>
      <c r="C163" s="309">
        <f>IF(D163=1,C162+1,C162)</f>
        <v>6</v>
      </c>
      <c r="D163" s="310">
        <f t="shared" si="170"/>
        <v>1</v>
      </c>
      <c r="E163" s="311"/>
      <c r="F163" s="312">
        <f t="shared" ref="F163:Q163" si="173">F91</f>
        <v>0.85587096774193583</v>
      </c>
      <c r="G163" s="313">
        <f t="shared" si="173"/>
        <v>78.439554282868485</v>
      </c>
      <c r="H163" s="46">
        <f t="shared" si="141"/>
        <v>-22.909404282868479</v>
      </c>
      <c r="I163" s="45">
        <f t="shared" si="142"/>
        <v>0</v>
      </c>
      <c r="J163" s="45">
        <f t="shared" si="143"/>
        <v>0.23072180944359474</v>
      </c>
      <c r="K163" s="45">
        <f t="shared" ca="1" si="163"/>
        <v>0.74571722023659515</v>
      </c>
      <c r="L163" s="358">
        <f t="shared" si="144"/>
        <v>0.39170179323548027</v>
      </c>
      <c r="M163" s="312">
        <f t="shared" ca="1" si="173"/>
        <v>0.25347808785320641</v>
      </c>
      <c r="N163" s="314">
        <f t="shared" ca="1" si="173"/>
        <v>0.25</v>
      </c>
      <c r="O163" s="314">
        <f t="shared" ca="1" si="173"/>
        <v>0</v>
      </c>
      <c r="P163" s="313" t="str">
        <f t="shared" ca="1" si="173"/>
        <v/>
      </c>
      <c r="Q163" s="315" t="str">
        <f t="shared" ca="1" si="173"/>
        <v/>
      </c>
      <c r="R163" s="323">
        <f t="shared" ca="1" si="164"/>
        <v>0.1723078658895828</v>
      </c>
      <c r="S163" s="323">
        <f ca="1">M163*N163/(1+N163) +   IF(O163&gt;0,O163*P163*(1-Q163)/(1+P163),0)</f>
        <v>5.0695617570641283E-2</v>
      </c>
      <c r="T163" s="379">
        <f t="shared" ca="1" si="148"/>
        <v>0</v>
      </c>
      <c r="U163" s="323">
        <f t="shared" ca="1" si="165"/>
        <v>14.956982889002635</v>
      </c>
      <c r="V163" s="323">
        <f t="shared" ca="1" si="149"/>
        <v>0.20278247028256513</v>
      </c>
      <c r="W163" s="379">
        <f t="shared" ca="1" si="150"/>
        <v>0</v>
      </c>
      <c r="X163" s="323">
        <f t="shared" ca="1" si="166"/>
        <v>0.87171449206932128</v>
      </c>
      <c r="Y163" s="323">
        <f t="shared" ca="1" si="151"/>
        <v>0</v>
      </c>
      <c r="Z163" s="379">
        <f t="shared" ca="1" si="152"/>
        <v>0</v>
      </c>
      <c r="AA163" s="323">
        <f t="shared" ca="1" si="167"/>
        <v>39.209809660808716</v>
      </c>
      <c r="AB163" s="323">
        <f t="shared" ca="1" si="153"/>
        <v>0</v>
      </c>
      <c r="AC163" s="323" cm="1">
        <f t="array" aca="1" ref="AC163" ca="1">pHUM*(T163+W163+Z163+AD163)</f>
        <v>0</v>
      </c>
      <c r="AD163" s="379">
        <f t="shared" ca="1" si="154"/>
        <v>0</v>
      </c>
      <c r="AE163" s="323">
        <f t="shared" ca="1" si="168"/>
        <v>6.3847072090583081</v>
      </c>
      <c r="AF163" s="323">
        <f t="shared" ca="1" si="155"/>
        <v>0</v>
      </c>
      <c r="AG163" s="324">
        <f t="shared" ca="1" si="156"/>
        <v>61.595522116828562</v>
      </c>
      <c r="AH163" s="323">
        <f t="shared" ca="1" si="157"/>
        <v>0</v>
      </c>
      <c r="AI163" s="77">
        <f t="shared" ca="1" si="158"/>
        <v>1.1425450635930269E-2</v>
      </c>
      <c r="AJ163" s="384">
        <f t="shared" ca="1" si="162"/>
        <v>1.1780082781361889E-2</v>
      </c>
      <c r="AU163" s="1"/>
    </row>
    <row r="164" spans="2:47" x14ac:dyDescent="0.25">
      <c r="B164" s="44"/>
      <c r="C164" s="10">
        <f>IF(D164=1,C163+1,C163)</f>
        <v>6</v>
      </c>
      <c r="D164" s="91">
        <f t="shared" si="170"/>
        <v>2</v>
      </c>
      <c r="E164" s="278"/>
      <c r="F164" s="76">
        <f t="shared" ref="F164:Q164" si="174">F92</f>
        <v>0.91042857142857181</v>
      </c>
      <c r="G164" s="46">
        <f t="shared" si="174"/>
        <v>77.312634079068317</v>
      </c>
      <c r="H164" s="46">
        <f t="shared" si="141"/>
        <v>-21.782484079068311</v>
      </c>
      <c r="I164" s="45">
        <f t="shared" si="142"/>
        <v>0</v>
      </c>
      <c r="J164" s="45">
        <f t="shared" si="143"/>
        <v>0.23463537609132465</v>
      </c>
      <c r="K164" s="45">
        <f t="shared" ca="1" si="163"/>
        <v>0.75836628037006848</v>
      </c>
      <c r="L164" s="358">
        <f t="shared" si="144"/>
        <v>0.39364266736760256</v>
      </c>
      <c r="M164" s="76">
        <f t="shared" ca="1" si="174"/>
        <v>0.25347808785320641</v>
      </c>
      <c r="N164" s="45">
        <f t="shared" ca="1" si="174"/>
        <v>0.25</v>
      </c>
      <c r="O164" s="45">
        <f t="shared" ca="1" si="174"/>
        <v>0</v>
      </c>
      <c r="P164" s="46" t="str">
        <f t="shared" ca="1" si="174"/>
        <v/>
      </c>
      <c r="Q164" s="243" t="str">
        <f t="shared" ca="1" si="174"/>
        <v/>
      </c>
      <c r="R164" s="45">
        <f t="shared" ca="1" si="164"/>
        <v>0.22300348346022408</v>
      </c>
      <c r="S164" s="45">
        <f ca="1">M164*N164/(1+N164) +   IF(O164&gt;0,O164*P164*(1-Q164)/(1+P164),0)</f>
        <v>5.0695617570641283E-2</v>
      </c>
      <c r="T164" s="77">
        <f t="shared" ca="1" si="148"/>
        <v>0</v>
      </c>
      <c r="U164" s="45">
        <f t="shared" ca="1" si="165"/>
        <v>15.159765359285201</v>
      </c>
      <c r="V164" s="45">
        <f t="shared" ca="1" si="149"/>
        <v>0.20278247028256513</v>
      </c>
      <c r="W164" s="77">
        <f t="shared" ca="1" si="150"/>
        <v>0</v>
      </c>
      <c r="X164" s="45">
        <f t="shared" ca="1" si="166"/>
        <v>0.87171449206932128</v>
      </c>
      <c r="Y164" s="45">
        <f t="shared" ca="1" si="151"/>
        <v>0</v>
      </c>
      <c r="Z164" s="77">
        <f t="shared" ca="1" si="152"/>
        <v>0</v>
      </c>
      <c r="AA164" s="45">
        <f t="shared" ca="1" si="167"/>
        <v>39.209809660808716</v>
      </c>
      <c r="AB164" s="45">
        <f t="shared" ca="1" si="153"/>
        <v>0</v>
      </c>
      <c r="AC164" s="45" cm="1">
        <f t="array" aca="1" ref="AC164" ca="1">pHUM*(T164+W164+Z164+AD164)</f>
        <v>0</v>
      </c>
      <c r="AD164" s="77">
        <f t="shared" ca="1" si="154"/>
        <v>0</v>
      </c>
      <c r="AE164" s="45">
        <f t="shared" ca="1" si="168"/>
        <v>6.3847072090583081</v>
      </c>
      <c r="AF164" s="45">
        <f t="shared" ca="1" si="155"/>
        <v>0</v>
      </c>
      <c r="AG164" s="76">
        <f t="shared" ca="1" si="156"/>
        <v>61.849000204681772</v>
      </c>
      <c r="AH164" s="45">
        <f t="shared" ca="1" si="157"/>
        <v>0</v>
      </c>
      <c r="AI164" s="77">
        <f t="shared" ca="1" si="158"/>
        <v>1.2226322799865484E-2</v>
      </c>
      <c r="AJ164" s="384">
        <f t="shared" ca="1" si="162"/>
        <v>1.2883143928239527E-2</v>
      </c>
      <c r="AU164" s="1"/>
    </row>
    <row r="165" spans="2:47" x14ac:dyDescent="0.25">
      <c r="C165" s="10">
        <f t="shared" ref="C165:C228" si="175">IF(D165=1,C164+1,C164)</f>
        <v>6</v>
      </c>
      <c r="D165" s="91">
        <f t="shared" si="170"/>
        <v>3</v>
      </c>
      <c r="E165" s="278"/>
      <c r="F165" s="76">
        <f t="shared" ref="F165:Q165" si="176">F93</f>
        <v>1.7499333333333336</v>
      </c>
      <c r="G165" s="46">
        <f t="shared" si="176"/>
        <v>89.127050621045186</v>
      </c>
      <c r="H165" s="46">
        <f t="shared" si="141"/>
        <v>-33.596900621045179</v>
      </c>
      <c r="I165" s="45">
        <f t="shared" si="142"/>
        <v>0</v>
      </c>
      <c r="J165" s="45">
        <f t="shared" si="143"/>
        <v>0.19161115755788954</v>
      </c>
      <c r="K165" s="45">
        <f t="shared" ca="1" si="163"/>
        <v>0.61930746869995335</v>
      </c>
      <c r="L165" s="358">
        <f t="shared" si="144"/>
        <v>0.42389567243620196</v>
      </c>
      <c r="M165" s="76">
        <f t="shared" ca="1" si="176"/>
        <v>0.25347808785320641</v>
      </c>
      <c r="N165" s="45">
        <f t="shared" ca="1" si="176"/>
        <v>0.25</v>
      </c>
      <c r="O165" s="45">
        <f t="shared" ca="1" si="176"/>
        <v>0</v>
      </c>
      <c r="P165" s="46" t="str">
        <f t="shared" ca="1" si="176"/>
        <v/>
      </c>
      <c r="Q165" s="243" t="str">
        <f t="shared" ca="1" si="176"/>
        <v/>
      </c>
      <c r="R165" s="45">
        <f t="shared" ca="1" si="164"/>
        <v>0.27369910103086537</v>
      </c>
      <c r="S165" s="45">
        <f t="shared" ref="S165:S228" ca="1" si="177">M165*N165/(1+N165) +   IF(O165&gt;0,O165*P165*(1-Q165)/(1+P165),0)</f>
        <v>5.0695617570641283E-2</v>
      </c>
      <c r="T165" s="77">
        <f t="shared" ca="1" si="148"/>
        <v>0</v>
      </c>
      <c r="U165" s="45">
        <f t="shared" ca="1" si="165"/>
        <v>15.362547829567767</v>
      </c>
      <c r="V165" s="45">
        <f t="shared" ca="1" si="149"/>
        <v>0.20278247028256513</v>
      </c>
      <c r="W165" s="77">
        <f t="shared" ca="1" si="150"/>
        <v>0</v>
      </c>
      <c r="X165" s="45">
        <f t="shared" ca="1" si="166"/>
        <v>0.87171449206932128</v>
      </c>
      <c r="Y165" s="45">
        <f t="shared" ca="1" si="151"/>
        <v>0</v>
      </c>
      <c r="Z165" s="77">
        <f t="shared" ca="1" si="152"/>
        <v>0</v>
      </c>
      <c r="AA165" s="45">
        <f t="shared" ca="1" si="167"/>
        <v>39.209809660808716</v>
      </c>
      <c r="AB165" s="45">
        <f t="shared" ca="1" si="153"/>
        <v>0</v>
      </c>
      <c r="AC165" s="45" cm="1">
        <f t="array" aca="1" ref="AC165" ca="1">pHUM*(T165+W165+Z165+AD165)</f>
        <v>0</v>
      </c>
      <c r="AD165" s="77">
        <f t="shared" ca="1" si="154"/>
        <v>0</v>
      </c>
      <c r="AE165" s="45">
        <f t="shared" ca="1" si="168"/>
        <v>6.3847072090583081</v>
      </c>
      <c r="AF165" s="45">
        <f t="shared" ca="1" si="155"/>
        <v>0</v>
      </c>
      <c r="AG165" s="76">
        <f t="shared" ca="1" si="156"/>
        <v>62.102478292534975</v>
      </c>
      <c r="AH165" s="45">
        <f t="shared" ca="1" si="157"/>
        <v>0</v>
      </c>
      <c r="AI165" s="77">
        <f t="shared" ca="1" si="158"/>
        <v>1.3019908112916983E-2</v>
      </c>
      <c r="AJ165" s="384">
        <f t="shared" ca="1" si="162"/>
        <v>1.2064751338811686E-2</v>
      </c>
      <c r="AU165" s="1"/>
    </row>
    <row r="166" spans="2:47" x14ac:dyDescent="0.25">
      <c r="C166" s="10">
        <f t="shared" si="175"/>
        <v>6</v>
      </c>
      <c r="D166" s="91">
        <f t="shared" si="170"/>
        <v>4</v>
      </c>
      <c r="E166" s="278"/>
      <c r="F166" s="76">
        <f t="shared" ref="F166:Q166" si="178">F94</f>
        <v>5.3144</v>
      </c>
      <c r="G166" s="46">
        <f t="shared" si="178"/>
        <v>88.517400984298064</v>
      </c>
      <c r="H166" s="46">
        <f t="shared" si="141"/>
        <v>-32.987250984298058</v>
      </c>
      <c r="I166" s="45">
        <f t="shared" si="142"/>
        <v>0</v>
      </c>
      <c r="J166" s="45">
        <f t="shared" si="143"/>
        <v>0.19391725365845511</v>
      </c>
      <c r="K166" s="45">
        <f t="shared" ca="1" si="163"/>
        <v>0.62676101449980381</v>
      </c>
      <c r="L166" s="358">
        <f t="shared" si="144"/>
        <v>0.55593677468735669</v>
      </c>
      <c r="M166" s="76">
        <f t="shared" ca="1" si="178"/>
        <v>0.25347808785320641</v>
      </c>
      <c r="N166" s="45">
        <f t="shared" ca="1" si="178"/>
        <v>0.25</v>
      </c>
      <c r="O166" s="45">
        <f t="shared" ca="1" si="178"/>
        <v>0</v>
      </c>
      <c r="P166" s="46" t="str">
        <f t="shared" ca="1" si="178"/>
        <v/>
      </c>
      <c r="Q166" s="243" t="str">
        <f t="shared" ca="1" si="178"/>
        <v/>
      </c>
      <c r="R166" s="45">
        <f t="shared" ca="1" si="164"/>
        <v>0.32439471860150665</v>
      </c>
      <c r="S166" s="45">
        <f t="shared" ca="1" si="177"/>
        <v>5.0695617570641283E-2</v>
      </c>
      <c r="T166" s="77">
        <f t="shared" ca="1" si="148"/>
        <v>0</v>
      </c>
      <c r="U166" s="45">
        <f t="shared" ca="1" si="165"/>
        <v>15.565330299850332</v>
      </c>
      <c r="V166" s="45">
        <f t="shared" ca="1" si="149"/>
        <v>0.20278247028256513</v>
      </c>
      <c r="W166" s="77">
        <f t="shared" ca="1" si="150"/>
        <v>0</v>
      </c>
      <c r="X166" s="45">
        <f t="shared" ca="1" si="166"/>
        <v>0.87171449206932128</v>
      </c>
      <c r="Y166" s="45">
        <f t="shared" ca="1" si="151"/>
        <v>0</v>
      </c>
      <c r="Z166" s="77">
        <f t="shared" ca="1" si="152"/>
        <v>0</v>
      </c>
      <c r="AA166" s="45">
        <f t="shared" ca="1" si="167"/>
        <v>39.209809660808716</v>
      </c>
      <c r="AB166" s="45">
        <f t="shared" ca="1" si="153"/>
        <v>0</v>
      </c>
      <c r="AC166" s="45" cm="1">
        <f t="array" aca="1" ref="AC166" ca="1">pHUM*(T166+W166+Z166+AD166)</f>
        <v>0</v>
      </c>
      <c r="AD166" s="77">
        <f t="shared" ca="1" si="154"/>
        <v>0</v>
      </c>
      <c r="AE166" s="45">
        <f t="shared" ca="1" si="168"/>
        <v>6.3847072090583081</v>
      </c>
      <c r="AF166" s="45">
        <f t="shared" ca="1" si="155"/>
        <v>0</v>
      </c>
      <c r="AG166" s="76">
        <f t="shared" ca="1" si="156"/>
        <v>62.355956380388179</v>
      </c>
      <c r="AH166" s="45">
        <f t="shared" ca="1" si="157"/>
        <v>0</v>
      </c>
      <c r="AI166" s="77">
        <f t="shared" ca="1" si="158"/>
        <v>1.3806305575395949E-2</v>
      </c>
      <c r="AJ166" s="384">
        <f t="shared" ca="1" si="162"/>
        <v>1.6980403304118763E-2</v>
      </c>
      <c r="AU166" s="1"/>
    </row>
    <row r="167" spans="2:47" x14ac:dyDescent="0.25">
      <c r="C167" s="10">
        <f t="shared" si="175"/>
        <v>6</v>
      </c>
      <c r="D167" s="91">
        <f t="shared" si="170"/>
        <v>5</v>
      </c>
      <c r="E167" s="278"/>
      <c r="F167" s="76">
        <f t="shared" ref="F167:Q167" si="179">F95</f>
        <v>12.662516129032257</v>
      </c>
      <c r="G167" s="46">
        <f t="shared" si="179"/>
        <v>89.413014608233681</v>
      </c>
      <c r="H167" s="46">
        <f t="shared" si="141"/>
        <v>-33.882864608233675</v>
      </c>
      <c r="I167" s="45">
        <f t="shared" si="142"/>
        <v>0</v>
      </c>
      <c r="J167" s="45">
        <f t="shared" si="143"/>
        <v>0.19052718077467024</v>
      </c>
      <c r="K167" s="45">
        <f t="shared" ca="1" si="163"/>
        <v>0.6158039414194908</v>
      </c>
      <c r="L167" s="358">
        <f t="shared" si="144"/>
        <v>0.78870900469063665</v>
      </c>
      <c r="M167" s="76">
        <f t="shared" ca="1" si="179"/>
        <v>0.25347808785320641</v>
      </c>
      <c r="N167" s="45">
        <f t="shared" ca="1" si="179"/>
        <v>0.25</v>
      </c>
      <c r="O167" s="45">
        <f t="shared" ca="1" si="179"/>
        <v>0</v>
      </c>
      <c r="P167" s="46" t="str">
        <f t="shared" ca="1" si="179"/>
        <v/>
      </c>
      <c r="Q167" s="243" t="str">
        <f t="shared" ca="1" si="179"/>
        <v/>
      </c>
      <c r="R167" s="45">
        <f t="shared" ca="1" si="164"/>
        <v>0.37509033617214793</v>
      </c>
      <c r="S167" s="45">
        <f t="shared" ca="1" si="177"/>
        <v>5.0695617570641283E-2</v>
      </c>
      <c r="T167" s="77">
        <f t="shared" ca="1" si="148"/>
        <v>0</v>
      </c>
      <c r="U167" s="45">
        <f t="shared" ca="1" si="165"/>
        <v>15.768112770132898</v>
      </c>
      <c r="V167" s="45">
        <f t="shared" ca="1" si="149"/>
        <v>0.20278247028256513</v>
      </c>
      <c r="W167" s="77">
        <f t="shared" ca="1" si="150"/>
        <v>0</v>
      </c>
      <c r="X167" s="45">
        <f t="shared" ca="1" si="166"/>
        <v>0.87171449206932128</v>
      </c>
      <c r="Y167" s="45">
        <f t="shared" ca="1" si="151"/>
        <v>0</v>
      </c>
      <c r="Z167" s="77">
        <f t="shared" ca="1" si="152"/>
        <v>0</v>
      </c>
      <c r="AA167" s="45">
        <f t="shared" ca="1" si="167"/>
        <v>39.209809660808716</v>
      </c>
      <c r="AB167" s="45">
        <f t="shared" ca="1" si="153"/>
        <v>0</v>
      </c>
      <c r="AC167" s="45" cm="1">
        <f t="array" aca="1" ref="AC167" ca="1">pHUM*(T167+W167+Z167+AD167)</f>
        <v>0</v>
      </c>
      <c r="AD167" s="77">
        <f t="shared" ca="1" si="154"/>
        <v>0</v>
      </c>
      <c r="AE167" s="45">
        <f t="shared" ca="1" si="168"/>
        <v>6.3847072090583081</v>
      </c>
      <c r="AF167" s="45">
        <f t="shared" ca="1" si="155"/>
        <v>0</v>
      </c>
      <c r="AG167" s="76">
        <f t="shared" ca="1" si="156"/>
        <v>62.609434468241389</v>
      </c>
      <c r="AH167" s="45">
        <f t="shared" ca="1" si="157"/>
        <v>0</v>
      </c>
      <c r="AI167" s="77">
        <f t="shared" ca="1" si="158"/>
        <v>1.4585612402320109E-2</v>
      </c>
      <c r="AJ167" s="384">
        <f t="shared" ca="1" si="162"/>
        <v>2.5004823058442094E-2</v>
      </c>
      <c r="AU167" s="1"/>
    </row>
    <row r="168" spans="2:47" x14ac:dyDescent="0.25">
      <c r="C168" s="10">
        <f t="shared" si="175"/>
        <v>6</v>
      </c>
      <c r="D168" s="91">
        <f t="shared" si="170"/>
        <v>6</v>
      </c>
      <c r="E168" s="278"/>
      <c r="F168" s="76">
        <f t="shared" ref="F168:Q168" si="180">F96</f>
        <v>17.952400000000004</v>
      </c>
      <c r="G168" s="46">
        <f t="shared" si="180"/>
        <v>83.948488098886401</v>
      </c>
      <c r="H168" s="46">
        <f t="shared" si="141"/>
        <v>-28.418338098886395</v>
      </c>
      <c r="I168" s="45">
        <f t="shared" si="142"/>
        <v>0</v>
      </c>
      <c r="J168" s="45">
        <f t="shared" si="143"/>
        <v>0.21095121603234232</v>
      </c>
      <c r="K168" s="45">
        <f t="shared" ca="1" si="163"/>
        <v>0.68181657730811884</v>
      </c>
      <c r="L168" s="358">
        <f t="shared" si="144"/>
        <v>0.89013124354981255</v>
      </c>
      <c r="M168" s="76">
        <f t="shared" ca="1" si="180"/>
        <v>0.25347808785320641</v>
      </c>
      <c r="N168" s="45">
        <f t="shared" ca="1" si="180"/>
        <v>0.25</v>
      </c>
      <c r="O168" s="45">
        <f t="shared" ca="1" si="180"/>
        <v>0</v>
      </c>
      <c r="P168" s="46" t="str">
        <f t="shared" ca="1" si="180"/>
        <v/>
      </c>
      <c r="Q168" s="243" t="str">
        <f t="shared" ca="1" si="180"/>
        <v/>
      </c>
      <c r="R168" s="45">
        <f t="shared" ca="1" si="164"/>
        <v>0.42578595374278921</v>
      </c>
      <c r="S168" s="45">
        <f t="shared" ca="1" si="177"/>
        <v>5.0695617570641283E-2</v>
      </c>
      <c r="T168" s="77">
        <f t="shared" ca="1" si="148"/>
        <v>0</v>
      </c>
      <c r="U168" s="45">
        <f t="shared" ca="1" si="165"/>
        <v>15.970895240415464</v>
      </c>
      <c r="V168" s="45">
        <f t="shared" ca="1" si="149"/>
        <v>0.20278247028256513</v>
      </c>
      <c r="W168" s="77">
        <f t="shared" ca="1" si="150"/>
        <v>0</v>
      </c>
      <c r="X168" s="45">
        <f t="shared" ca="1" si="166"/>
        <v>0.87171449206932128</v>
      </c>
      <c r="Y168" s="45">
        <f t="shared" ca="1" si="151"/>
        <v>0</v>
      </c>
      <c r="Z168" s="77">
        <f t="shared" ca="1" si="152"/>
        <v>0</v>
      </c>
      <c r="AA168" s="45">
        <f t="shared" ca="1" si="167"/>
        <v>39.209809660808716</v>
      </c>
      <c r="AB168" s="45">
        <f t="shared" ca="1" si="153"/>
        <v>0</v>
      </c>
      <c r="AC168" s="45" cm="1">
        <f t="array" aca="1" ref="AC168" ca="1">pHUM*(T168+W168+Z168+AD168)</f>
        <v>0</v>
      </c>
      <c r="AD168" s="77">
        <f t="shared" ca="1" si="154"/>
        <v>0</v>
      </c>
      <c r="AE168" s="45">
        <f t="shared" ca="1" si="168"/>
        <v>6.3847072090583081</v>
      </c>
      <c r="AF168" s="45">
        <f t="shared" ca="1" si="155"/>
        <v>0</v>
      </c>
      <c r="AG168" s="76">
        <f t="shared" ca="1" si="156"/>
        <v>62.862912556094599</v>
      </c>
      <c r="AH168" s="45">
        <f t="shared" ca="1" si="157"/>
        <v>0</v>
      </c>
      <c r="AI168" s="77">
        <f t="shared" ca="1" si="158"/>
        <v>1.5357924063476306E-2</v>
      </c>
      <c r="AJ168" s="384">
        <f t="shared" ca="1" si="162"/>
        <v>3.2899608973924188E-2</v>
      </c>
      <c r="AU168" s="1"/>
    </row>
    <row r="169" spans="2:47" x14ac:dyDescent="0.25">
      <c r="C169" s="10">
        <f t="shared" si="175"/>
        <v>6</v>
      </c>
      <c r="D169" s="91">
        <f t="shared" si="170"/>
        <v>7</v>
      </c>
      <c r="E169" s="278"/>
      <c r="F169" s="76">
        <f t="shared" ref="F169:Q169" si="181">F97</f>
        <v>21.363032258064525</v>
      </c>
      <c r="G169" s="46">
        <f t="shared" si="181"/>
        <v>73.679575814389409</v>
      </c>
      <c r="H169" s="46">
        <f t="shared" si="141"/>
        <v>-18.149425814389403</v>
      </c>
      <c r="I169" s="45">
        <f t="shared" si="142"/>
        <v>0</v>
      </c>
      <c r="J169" s="45">
        <f t="shared" si="143"/>
        <v>0.2468878570948656</v>
      </c>
      <c r="K169" s="45">
        <f t="shared" ca="1" si="163"/>
        <v>0.79796759113040194</v>
      </c>
      <c r="L169" s="358">
        <f t="shared" si="144"/>
        <v>0.92905557700722019</v>
      </c>
      <c r="M169" s="76">
        <f t="shared" ca="1" si="181"/>
        <v>0.25347808785320641</v>
      </c>
      <c r="N169" s="45">
        <f t="shared" ca="1" si="181"/>
        <v>0.25</v>
      </c>
      <c r="O169" s="45">
        <f t="shared" ca="1" si="181"/>
        <v>0</v>
      </c>
      <c r="P169" s="46" t="str">
        <f t="shared" ca="1" si="181"/>
        <v/>
      </c>
      <c r="Q169" s="243" t="str">
        <f t="shared" ca="1" si="181"/>
        <v/>
      </c>
      <c r="R169" s="45">
        <f t="shared" ca="1" si="164"/>
        <v>0.4764815713134305</v>
      </c>
      <c r="S169" s="45">
        <f t="shared" ca="1" si="177"/>
        <v>5.0695617570641283E-2</v>
      </c>
      <c r="T169" s="77">
        <f t="shared" ca="1" si="148"/>
        <v>0</v>
      </c>
      <c r="U169" s="45">
        <f t="shared" ca="1" si="165"/>
        <v>16.17367771069803</v>
      </c>
      <c r="V169" s="45">
        <f t="shared" ca="1" si="149"/>
        <v>0.20278247028256513</v>
      </c>
      <c r="W169" s="77">
        <f t="shared" ca="1" si="150"/>
        <v>0</v>
      </c>
      <c r="X169" s="45">
        <f t="shared" ca="1" si="166"/>
        <v>0.87171449206932128</v>
      </c>
      <c r="Y169" s="45">
        <f t="shared" ca="1" si="151"/>
        <v>0</v>
      </c>
      <c r="Z169" s="77">
        <f t="shared" ca="1" si="152"/>
        <v>0</v>
      </c>
      <c r="AA169" s="45">
        <f t="shared" ca="1" si="167"/>
        <v>39.209809660808716</v>
      </c>
      <c r="AB169" s="45">
        <f t="shared" ca="1" si="153"/>
        <v>0</v>
      </c>
      <c r="AC169" s="45" cm="1">
        <f t="array" aca="1" ref="AC169" ca="1">pHUM*(T169+W169+Z169+AD169)</f>
        <v>0</v>
      </c>
      <c r="AD169" s="77">
        <f t="shared" ca="1" si="154"/>
        <v>0</v>
      </c>
      <c r="AE169" s="45">
        <f t="shared" ca="1" si="168"/>
        <v>6.3847072090583081</v>
      </c>
      <c r="AF169" s="45">
        <f t="shared" ca="1" si="155"/>
        <v>0</v>
      </c>
      <c r="AG169" s="76">
        <f t="shared" ca="1" si="156"/>
        <v>63.11639064394781</v>
      </c>
      <c r="AH169" s="45">
        <f t="shared" ca="1" si="157"/>
        <v>0</v>
      </c>
      <c r="AI169" s="77">
        <f t="shared" ca="1" si="158"/>
        <v>1.612333432240913E-2</v>
      </c>
      <c r="AJ169" s="384">
        <f t="shared" ca="1" si="162"/>
        <v>4.2190494867738737E-2</v>
      </c>
      <c r="AU169" s="1"/>
    </row>
    <row r="170" spans="2:47" x14ac:dyDescent="0.25">
      <c r="C170" s="10">
        <f t="shared" si="175"/>
        <v>6</v>
      </c>
      <c r="D170" s="91">
        <f t="shared" si="170"/>
        <v>8</v>
      </c>
      <c r="E170" s="278"/>
      <c r="F170" s="76">
        <f t="shared" ref="F170:Q170" si="182">F98</f>
        <v>21.84690322580645</v>
      </c>
      <c r="G170" s="46">
        <f t="shared" si="182"/>
        <v>71.917724933598876</v>
      </c>
      <c r="H170" s="46">
        <f t="shared" si="141"/>
        <v>-16.38757493359887</v>
      </c>
      <c r="I170" s="45">
        <f t="shared" si="142"/>
        <v>0</v>
      </c>
      <c r="J170" s="45">
        <f t="shared" si="143"/>
        <v>0.25260629061506468</v>
      </c>
      <c r="K170" s="45">
        <f t="shared" ca="1" si="163"/>
        <v>0.81645017133846476</v>
      </c>
      <c r="L170" s="358">
        <f t="shared" si="144"/>
        <v>0.93325603418156189</v>
      </c>
      <c r="M170" s="76">
        <f t="shared" ca="1" si="182"/>
        <v>0.25347808785320641</v>
      </c>
      <c r="N170" s="45">
        <f t="shared" ca="1" si="182"/>
        <v>0.25</v>
      </c>
      <c r="O170" s="45">
        <f t="shared" ca="1" si="182"/>
        <v>0</v>
      </c>
      <c r="P170" s="46" t="str">
        <f t="shared" ca="1" si="182"/>
        <v/>
      </c>
      <c r="Q170" s="243" t="str">
        <f t="shared" ca="1" si="182"/>
        <v/>
      </c>
      <c r="R170" s="45">
        <f t="shared" ca="1" si="164"/>
        <v>0.52717718888407172</v>
      </c>
      <c r="S170" s="45">
        <f t="shared" ca="1" si="177"/>
        <v>5.0695617570641283E-2</v>
      </c>
      <c r="T170" s="77">
        <f t="shared" ca="1" si="148"/>
        <v>0</v>
      </c>
      <c r="U170" s="45">
        <f t="shared" ca="1" si="165"/>
        <v>16.376460180980594</v>
      </c>
      <c r="V170" s="45">
        <f t="shared" ca="1" si="149"/>
        <v>0.20278247028256513</v>
      </c>
      <c r="W170" s="77">
        <f t="shared" ca="1" si="150"/>
        <v>0</v>
      </c>
      <c r="X170" s="45">
        <f t="shared" ca="1" si="166"/>
        <v>0.87171449206932128</v>
      </c>
      <c r="Y170" s="45">
        <f t="shared" ca="1" si="151"/>
        <v>0</v>
      </c>
      <c r="Z170" s="77">
        <f t="shared" ca="1" si="152"/>
        <v>0</v>
      </c>
      <c r="AA170" s="45">
        <f t="shared" ca="1" si="167"/>
        <v>39.209809660808716</v>
      </c>
      <c r="AB170" s="45">
        <f t="shared" ca="1" si="153"/>
        <v>0</v>
      </c>
      <c r="AC170" s="45" cm="1">
        <f t="array" aca="1" ref="AC170" ca="1">pHUM*(T170+W170+Z170+AD170)</f>
        <v>0</v>
      </c>
      <c r="AD170" s="77">
        <f t="shared" ca="1" si="154"/>
        <v>0</v>
      </c>
      <c r="AE170" s="45">
        <f t="shared" ca="1" si="168"/>
        <v>6.3847072090583081</v>
      </c>
      <c r="AF170" s="45">
        <f t="shared" ca="1" si="155"/>
        <v>0</v>
      </c>
      <c r="AG170" s="76">
        <f t="shared" ca="1" si="156"/>
        <v>63.369868731801006</v>
      </c>
      <c r="AH170" s="45">
        <f t="shared" ca="1" si="157"/>
        <v>0</v>
      </c>
      <c r="AI170" s="77">
        <f t="shared" ca="1" si="158"/>
        <v>1.6881935274368941E-2</v>
      </c>
      <c r="AJ170" s="384">
        <f t="shared" ca="1" si="162"/>
        <v>4.5402965311278631E-2</v>
      </c>
      <c r="AU170" s="1"/>
    </row>
    <row r="171" spans="2:47" x14ac:dyDescent="0.25">
      <c r="C171" s="10">
        <f t="shared" si="175"/>
        <v>6</v>
      </c>
      <c r="D171" s="91">
        <f t="shared" si="170"/>
        <v>9</v>
      </c>
      <c r="E171" s="278"/>
      <c r="F171" s="76">
        <f t="shared" ref="F171:Q171" si="183">F99</f>
        <v>19.915099999999999</v>
      </c>
      <c r="G171" s="46">
        <f t="shared" si="183"/>
        <v>90.121120170480822</v>
      </c>
      <c r="H171" s="46">
        <f t="shared" si="141"/>
        <v>-34.590970170480816</v>
      </c>
      <c r="I171" s="45">
        <f t="shared" si="142"/>
        <v>0</v>
      </c>
      <c r="J171" s="45">
        <f t="shared" si="143"/>
        <v>0.18783711693191202</v>
      </c>
      <c r="K171" s="45">
        <f t="shared" ca="1" si="163"/>
        <v>0.60710937138331467</v>
      </c>
      <c r="L171" s="358">
        <f t="shared" si="144"/>
        <v>0.91464137695305081</v>
      </c>
      <c r="M171" s="76">
        <f t="shared" ca="1" si="183"/>
        <v>0.25347808785320641</v>
      </c>
      <c r="N171" s="45">
        <f t="shared" ca="1" si="183"/>
        <v>0.25</v>
      </c>
      <c r="O171" s="45">
        <f t="shared" ca="1" si="183"/>
        <v>0</v>
      </c>
      <c r="P171" s="46" t="str">
        <f t="shared" ca="1" si="183"/>
        <v/>
      </c>
      <c r="Q171" s="243" t="str">
        <f t="shared" ca="1" si="183"/>
        <v/>
      </c>
      <c r="R171" s="45">
        <f t="shared" ca="1" si="164"/>
        <v>0.57787280645471295</v>
      </c>
      <c r="S171" s="45">
        <f t="shared" ca="1" si="177"/>
        <v>5.0695617570641283E-2</v>
      </c>
      <c r="T171" s="77">
        <f t="shared" ca="1" si="148"/>
        <v>0</v>
      </c>
      <c r="U171" s="45">
        <f t="shared" ca="1" si="165"/>
        <v>16.579242651263158</v>
      </c>
      <c r="V171" s="45">
        <f t="shared" ca="1" si="149"/>
        <v>0.20278247028256513</v>
      </c>
      <c r="W171" s="77">
        <f t="shared" ca="1" si="150"/>
        <v>0</v>
      </c>
      <c r="X171" s="45">
        <f t="shared" ca="1" si="166"/>
        <v>0.87171449206932128</v>
      </c>
      <c r="Y171" s="45">
        <f t="shared" ca="1" si="151"/>
        <v>0</v>
      </c>
      <c r="Z171" s="77">
        <f t="shared" ca="1" si="152"/>
        <v>0</v>
      </c>
      <c r="AA171" s="45">
        <f t="shared" ca="1" si="167"/>
        <v>39.209809660808716</v>
      </c>
      <c r="AB171" s="45">
        <f t="shared" ca="1" si="153"/>
        <v>0</v>
      </c>
      <c r="AC171" s="45" cm="1">
        <f t="array" aca="1" ref="AC171" ca="1">pHUM*(T171+W171+Z171+AD171)</f>
        <v>0</v>
      </c>
      <c r="AD171" s="77">
        <f t="shared" ca="1" si="154"/>
        <v>0</v>
      </c>
      <c r="AE171" s="45">
        <f t="shared" ca="1" si="168"/>
        <v>6.3847072090583081</v>
      </c>
      <c r="AF171" s="45">
        <f t="shared" ca="1" si="155"/>
        <v>0</v>
      </c>
      <c r="AG171" s="76">
        <f t="shared" ca="1" si="156"/>
        <v>63.623346819654216</v>
      </c>
      <c r="AH171" s="45">
        <f t="shared" ca="1" si="157"/>
        <v>0</v>
      </c>
      <c r="AI171" s="77">
        <f t="shared" ca="1" si="158"/>
        <v>1.7633817383251607E-2</v>
      </c>
      <c r="AJ171" s="384">
        <f t="shared" ca="1" si="162"/>
        <v>3.45620948578651E-2</v>
      </c>
      <c r="AU171" s="1"/>
    </row>
    <row r="172" spans="2:47" x14ac:dyDescent="0.25">
      <c r="C172" s="10">
        <f t="shared" si="175"/>
        <v>6</v>
      </c>
      <c r="D172" s="91">
        <f t="shared" si="170"/>
        <v>10</v>
      </c>
      <c r="E172" s="278"/>
      <c r="F172" s="76">
        <f t="shared" ref="F172:Q172" si="184">F100</f>
        <v>16.404967741935486</v>
      </c>
      <c r="G172" s="46">
        <f t="shared" si="184"/>
        <v>93.270963763991602</v>
      </c>
      <c r="H172" s="46">
        <f t="shared" si="141"/>
        <v>-37.740813763991596</v>
      </c>
      <c r="I172" s="45">
        <f t="shared" si="142"/>
        <v>0</v>
      </c>
      <c r="J172" s="45">
        <f t="shared" si="143"/>
        <v>0.1757835150476853</v>
      </c>
      <c r="K172" s="45">
        <f t="shared" ca="1" si="163"/>
        <v>0.56815085891056294</v>
      </c>
      <c r="L172" s="358">
        <f t="shared" si="144"/>
        <v>0.86618676922472848</v>
      </c>
      <c r="M172" s="76">
        <f t="shared" ca="1" si="184"/>
        <v>0.25347808785320641</v>
      </c>
      <c r="N172" s="45">
        <f t="shared" ca="1" si="184"/>
        <v>0.25</v>
      </c>
      <c r="O172" s="45">
        <f t="shared" ca="1" si="184"/>
        <v>0</v>
      </c>
      <c r="P172" s="46" t="str">
        <f t="shared" ca="1" si="184"/>
        <v/>
      </c>
      <c r="Q172" s="243" t="str">
        <f t="shared" ca="1" si="184"/>
        <v/>
      </c>
      <c r="R172" s="45">
        <f t="shared" ca="1" si="164"/>
        <v>0.62856842402535418</v>
      </c>
      <c r="S172" s="45">
        <f t="shared" ca="1" si="177"/>
        <v>5.0695617570641283E-2</v>
      </c>
      <c r="T172" s="77">
        <f t="shared" ca="1" si="148"/>
        <v>0</v>
      </c>
      <c r="U172" s="45">
        <f t="shared" ca="1" si="165"/>
        <v>16.782025121545722</v>
      </c>
      <c r="V172" s="45">
        <f t="shared" ca="1" si="149"/>
        <v>0.20278247028256513</v>
      </c>
      <c r="W172" s="77">
        <f t="shared" ca="1" si="150"/>
        <v>0</v>
      </c>
      <c r="X172" s="45">
        <f t="shared" ca="1" si="166"/>
        <v>0.87171449206932128</v>
      </c>
      <c r="Y172" s="45">
        <f t="shared" ca="1" si="151"/>
        <v>0</v>
      </c>
      <c r="Z172" s="77">
        <f t="shared" ca="1" si="152"/>
        <v>0</v>
      </c>
      <c r="AA172" s="45">
        <f t="shared" ca="1" si="167"/>
        <v>39.209809660808716</v>
      </c>
      <c r="AB172" s="45">
        <f t="shared" ca="1" si="153"/>
        <v>0</v>
      </c>
      <c r="AC172" s="45" cm="1">
        <f t="array" aca="1" ref="AC172" ca="1">pHUM*(T172+W172+Z172+AD172)</f>
        <v>0</v>
      </c>
      <c r="AD172" s="77">
        <f t="shared" ca="1" si="154"/>
        <v>0</v>
      </c>
      <c r="AE172" s="45">
        <f t="shared" ca="1" si="168"/>
        <v>6.3847072090583081</v>
      </c>
      <c r="AF172" s="45">
        <f t="shared" ca="1" si="155"/>
        <v>0</v>
      </c>
      <c r="AG172" s="76">
        <f t="shared" ca="1" si="156"/>
        <v>63.876824907507419</v>
      </c>
      <c r="AH172" s="45">
        <f t="shared" ca="1" si="157"/>
        <v>0</v>
      </c>
      <c r="AI172" s="77">
        <f t="shared" ca="1" si="158"/>
        <v>1.8379069517561058E-2</v>
      </c>
      <c r="AJ172" s="384">
        <f t="shared" ca="1" si="162"/>
        <v>3.1925356234833169E-2</v>
      </c>
      <c r="AU172" s="1"/>
    </row>
    <row r="173" spans="2:47" x14ac:dyDescent="0.25">
      <c r="C173" s="10">
        <f t="shared" si="175"/>
        <v>6</v>
      </c>
      <c r="D173" s="91">
        <f t="shared" si="170"/>
        <v>11</v>
      </c>
      <c r="E173" s="278"/>
      <c r="F173" s="76">
        <f t="shared" ref="F173:Q173" si="185">F101</f>
        <v>8.5982333333333347</v>
      </c>
      <c r="G173" s="46">
        <f t="shared" si="185"/>
        <v>93.768190396309464</v>
      </c>
      <c r="H173" s="46">
        <f t="shared" si="141"/>
        <v>-38.238040396309458</v>
      </c>
      <c r="I173" s="45">
        <f t="shared" si="142"/>
        <v>0</v>
      </c>
      <c r="J173" s="45">
        <f t="shared" si="143"/>
        <v>0.17386998013358751</v>
      </c>
      <c r="K173" s="45">
        <f t="shared" ca="1" si="163"/>
        <v>0.56196611226520721</v>
      </c>
      <c r="L173" s="358">
        <f t="shared" si="144"/>
        <v>0.6712335176859634</v>
      </c>
      <c r="M173" s="76">
        <f t="shared" ca="1" si="185"/>
        <v>0.25347808785320641</v>
      </c>
      <c r="N173" s="45">
        <f t="shared" ca="1" si="185"/>
        <v>0.25</v>
      </c>
      <c r="O173" s="45">
        <f t="shared" ca="1" si="185"/>
        <v>0</v>
      </c>
      <c r="P173" s="46" t="str">
        <f t="shared" ca="1" si="185"/>
        <v/>
      </c>
      <c r="Q173" s="243" t="str">
        <f t="shared" ca="1" si="185"/>
        <v/>
      </c>
      <c r="R173" s="45">
        <f t="shared" ca="1" si="164"/>
        <v>0.6792640415959954</v>
      </c>
      <c r="S173" s="45">
        <f t="shared" ca="1" si="177"/>
        <v>5.0695617570641283E-2</v>
      </c>
      <c r="T173" s="77">
        <f t="shared" ca="1" si="148"/>
        <v>0</v>
      </c>
      <c r="U173" s="45">
        <f t="shared" ca="1" si="165"/>
        <v>16.984807591828286</v>
      </c>
      <c r="V173" s="45">
        <f t="shared" ca="1" si="149"/>
        <v>0.20278247028256513</v>
      </c>
      <c r="W173" s="77">
        <f t="shared" ca="1" si="150"/>
        <v>0</v>
      </c>
      <c r="X173" s="45">
        <f t="shared" ca="1" si="166"/>
        <v>0.87171449206932128</v>
      </c>
      <c r="Y173" s="45">
        <f t="shared" ca="1" si="151"/>
        <v>0</v>
      </c>
      <c r="Z173" s="77">
        <f t="shared" ca="1" si="152"/>
        <v>0</v>
      </c>
      <c r="AA173" s="45">
        <f t="shared" ca="1" si="167"/>
        <v>39.209809660808716</v>
      </c>
      <c r="AB173" s="45">
        <f t="shared" ca="1" si="153"/>
        <v>0</v>
      </c>
      <c r="AC173" s="45" cm="1">
        <f t="array" aca="1" ref="AC173" ca="1">pHUM*(T173+W173+Z173+AD173)</f>
        <v>0</v>
      </c>
      <c r="AD173" s="77">
        <f t="shared" ca="1" si="154"/>
        <v>0</v>
      </c>
      <c r="AE173" s="45">
        <f t="shared" ca="1" si="168"/>
        <v>6.3847072090583081</v>
      </c>
      <c r="AF173" s="45">
        <f t="shared" ca="1" si="155"/>
        <v>0</v>
      </c>
      <c r="AG173" s="76">
        <f t="shared" ca="1" si="156"/>
        <v>64.130302995360623</v>
      </c>
      <c r="AH173" s="45">
        <f t="shared" ca="1" si="157"/>
        <v>0</v>
      </c>
      <c r="AI173" s="77">
        <f t="shared" ca="1" si="158"/>
        <v>1.9117778985424654E-2</v>
      </c>
      <c r="AJ173" s="384">
        <f t="shared" ca="1" si="162"/>
        <v>2.5454283002522837E-2</v>
      </c>
      <c r="AU173" s="1"/>
    </row>
    <row r="174" spans="2:47" x14ac:dyDescent="0.25">
      <c r="C174" s="10">
        <f t="shared" si="175"/>
        <v>6</v>
      </c>
      <c r="D174" s="91">
        <f t="shared" si="170"/>
        <v>12</v>
      </c>
      <c r="E174" s="278"/>
      <c r="F174" s="76">
        <f t="shared" ref="F174:Q174" si="186">F102</f>
        <v>5.8543548387096775</v>
      </c>
      <c r="G174" s="46">
        <f t="shared" si="186"/>
        <v>92.353978821555827</v>
      </c>
      <c r="H174" s="46">
        <f t="shared" si="141"/>
        <v>-36.823828821555821</v>
      </c>
      <c r="I174" s="45">
        <f t="shared" si="142"/>
        <v>0</v>
      </c>
      <c r="J174" s="45">
        <f t="shared" si="143"/>
        <v>0.17930557122010893</v>
      </c>
      <c r="K174" s="45">
        <f t="shared" ca="1" si="163"/>
        <v>0.57953451589882432</v>
      </c>
      <c r="L174" s="358">
        <f t="shared" si="144"/>
        <v>0.57570255434605899</v>
      </c>
      <c r="M174" s="76">
        <f t="shared" ca="1" si="186"/>
        <v>0.25347808785320641</v>
      </c>
      <c r="N174" s="45">
        <f t="shared" ca="1" si="186"/>
        <v>0.25</v>
      </c>
      <c r="O174" s="45">
        <f t="shared" ca="1" si="186"/>
        <v>0</v>
      </c>
      <c r="P174" s="46" t="str">
        <f t="shared" ca="1" si="186"/>
        <v/>
      </c>
      <c r="Q174" s="243" t="str">
        <f t="shared" ca="1" si="186"/>
        <v/>
      </c>
      <c r="R174" s="45">
        <f t="shared" ca="1" si="164"/>
        <v>0.72995965916663663</v>
      </c>
      <c r="S174" s="45">
        <f t="shared" ca="1" si="177"/>
        <v>5.0695617570641283E-2</v>
      </c>
      <c r="T174" s="77">
        <f t="shared" ca="1" si="148"/>
        <v>0</v>
      </c>
      <c r="U174" s="45">
        <f t="shared" ca="1" si="165"/>
        <v>17.18759006211085</v>
      </c>
      <c r="V174" s="45">
        <f t="shared" ca="1" si="149"/>
        <v>0.20278247028256513</v>
      </c>
      <c r="W174" s="77">
        <f t="shared" ca="1" si="150"/>
        <v>0</v>
      </c>
      <c r="X174" s="45">
        <f t="shared" ca="1" si="166"/>
        <v>0.87171449206932128</v>
      </c>
      <c r="Y174" s="45">
        <f t="shared" ca="1" si="151"/>
        <v>0</v>
      </c>
      <c r="Z174" s="77">
        <f t="shared" ca="1" si="152"/>
        <v>0</v>
      </c>
      <c r="AA174" s="45">
        <f t="shared" ca="1" si="167"/>
        <v>39.209809660808716</v>
      </c>
      <c r="AB174" s="45">
        <f t="shared" ca="1" si="153"/>
        <v>0</v>
      </c>
      <c r="AC174" s="45" cm="1">
        <f t="array" aca="1" ref="AC174" ca="1">pHUM*(T174+W174+Z174+AD174)</f>
        <v>0</v>
      </c>
      <c r="AD174" s="77">
        <f t="shared" ca="1" si="154"/>
        <v>0</v>
      </c>
      <c r="AE174" s="45">
        <f t="shared" ca="1" si="168"/>
        <v>6.3847072090583081</v>
      </c>
      <c r="AF174" s="45">
        <f t="shared" ca="1" si="155"/>
        <v>0</v>
      </c>
      <c r="AG174" s="76">
        <f t="shared" ca="1" si="156"/>
        <v>64.383781083213833</v>
      </c>
      <c r="AH174" s="45">
        <f t="shared" ca="1" si="157"/>
        <v>0</v>
      </c>
      <c r="AI174" s="77">
        <f t="shared" ca="1" si="158"/>
        <v>1.9850031568690432E-2</v>
      </c>
      <c r="AJ174" s="384">
        <f t="shared" ca="1" si="162"/>
        <v>2.3376483749796284E-2</v>
      </c>
      <c r="AU174" s="1"/>
    </row>
    <row r="175" spans="2:47" x14ac:dyDescent="0.25">
      <c r="C175" s="10">
        <f t="shared" si="175"/>
        <v>7</v>
      </c>
      <c r="D175" s="91">
        <f t="shared" si="170"/>
        <v>1</v>
      </c>
      <c r="E175" s="278"/>
      <c r="F175" s="76">
        <f t="shared" ref="F175:Q175" si="187">F103</f>
        <v>2.2624333333333326</v>
      </c>
      <c r="G175" s="46">
        <f t="shared" si="187"/>
        <v>87.461548542671366</v>
      </c>
      <c r="H175" s="46">
        <f t="shared" si="141"/>
        <v>-31.93139854267136</v>
      </c>
      <c r="I175" s="45">
        <f t="shared" si="142"/>
        <v>0</v>
      </c>
      <c r="J175" s="45">
        <f t="shared" si="143"/>
        <v>0.19789456043296222</v>
      </c>
      <c r="K175" s="45">
        <f t="shared" ca="1" si="163"/>
        <v>0.63961608944510806</v>
      </c>
      <c r="L175" s="358">
        <f t="shared" si="144"/>
        <v>0.44266298791276926</v>
      </c>
      <c r="M175" s="76">
        <f t="shared" ca="1" si="187"/>
        <v>0.25347808785320641</v>
      </c>
      <c r="N175" s="45">
        <f t="shared" ca="1" si="187"/>
        <v>0.25</v>
      </c>
      <c r="O175" s="45">
        <f t="shared" ca="1" si="187"/>
        <v>0</v>
      </c>
      <c r="P175" s="46" t="str">
        <f t="shared" ca="1" si="187"/>
        <v/>
      </c>
      <c r="Q175" s="243" t="str">
        <f t="shared" ca="1" si="187"/>
        <v/>
      </c>
      <c r="R175" s="45">
        <f t="shared" ca="1" si="164"/>
        <v>0.78065527673727786</v>
      </c>
      <c r="S175" s="45">
        <f t="shared" ca="1" si="177"/>
        <v>5.0695617570641283E-2</v>
      </c>
      <c r="T175" s="77">
        <f t="shared" ca="1" si="148"/>
        <v>0</v>
      </c>
      <c r="U175" s="45">
        <f t="shared" ca="1" si="165"/>
        <v>17.390372532393414</v>
      </c>
      <c r="V175" s="45">
        <f t="shared" ca="1" si="149"/>
        <v>0.20278247028256513</v>
      </c>
      <c r="W175" s="77">
        <f t="shared" ca="1" si="150"/>
        <v>0</v>
      </c>
      <c r="X175" s="45">
        <f t="shared" ca="1" si="166"/>
        <v>0.87171449206932128</v>
      </c>
      <c r="Y175" s="45">
        <f t="shared" ca="1" si="151"/>
        <v>0</v>
      </c>
      <c r="Z175" s="77">
        <f t="shared" ca="1" si="152"/>
        <v>0</v>
      </c>
      <c r="AA175" s="45">
        <f t="shared" ca="1" si="167"/>
        <v>39.209809660808716</v>
      </c>
      <c r="AB175" s="45">
        <f t="shared" ca="1" si="153"/>
        <v>0</v>
      </c>
      <c r="AC175" s="45" cm="1">
        <f t="array" aca="1" ref="AC175" ca="1">pHUM*(T175+W175+Z175+AD175)</f>
        <v>0</v>
      </c>
      <c r="AD175" s="77">
        <f t="shared" ca="1" si="154"/>
        <v>0</v>
      </c>
      <c r="AE175" s="45">
        <f t="shared" ca="1" si="168"/>
        <v>6.3847072090583081</v>
      </c>
      <c r="AF175" s="45">
        <f t="shared" ca="1" si="155"/>
        <v>0</v>
      </c>
      <c r="AG175" s="76">
        <f t="shared" ca="1" si="156"/>
        <v>64.637259171067043</v>
      </c>
      <c r="AH175" s="45">
        <f t="shared" ca="1" si="157"/>
        <v>0</v>
      </c>
      <c r="AI175" s="77">
        <f t="shared" ca="1" si="158"/>
        <v>2.057591155613404E-2</v>
      </c>
      <c r="AJ175" s="384">
        <f t="shared" ca="1" si="162"/>
        <v>2.0563325449084457E-2</v>
      </c>
      <c r="AU175" s="1"/>
    </row>
    <row r="176" spans="2:47" x14ac:dyDescent="0.25">
      <c r="C176" s="10">
        <f t="shared" si="175"/>
        <v>7</v>
      </c>
      <c r="D176" s="91">
        <f t="shared" si="170"/>
        <v>2</v>
      </c>
      <c r="E176" s="278"/>
      <c r="F176" s="76">
        <f t="shared" ref="F176:Q176" si="188">F104</f>
        <v>1.5363448275862068</v>
      </c>
      <c r="G176" s="46">
        <f t="shared" si="188"/>
        <v>89.651029216467379</v>
      </c>
      <c r="H176" s="46">
        <f t="shared" si="141"/>
        <v>-34.120879216467372</v>
      </c>
      <c r="I176" s="45">
        <f t="shared" si="142"/>
        <v>0</v>
      </c>
      <c r="J176" s="45">
        <f t="shared" si="143"/>
        <v>0.18962389606700991</v>
      </c>
      <c r="K176" s="45">
        <f t="shared" ca="1" si="163"/>
        <v>0.61288442998317227</v>
      </c>
      <c r="L176" s="358">
        <f t="shared" si="144"/>
        <v>0.41613501220093307</v>
      </c>
      <c r="M176" s="76">
        <f t="shared" ca="1" si="188"/>
        <v>0.25347808785320641</v>
      </c>
      <c r="N176" s="45">
        <f t="shared" ca="1" si="188"/>
        <v>0.25</v>
      </c>
      <c r="O176" s="45">
        <f t="shared" ca="1" si="188"/>
        <v>0</v>
      </c>
      <c r="P176" s="46" t="str">
        <f t="shared" ca="1" si="188"/>
        <v/>
      </c>
      <c r="Q176" s="243" t="str">
        <f t="shared" ca="1" si="188"/>
        <v/>
      </c>
      <c r="R176" s="45">
        <f t="shared" ca="1" si="164"/>
        <v>0.83135089430791909</v>
      </c>
      <c r="S176" s="45">
        <f t="shared" ca="1" si="177"/>
        <v>5.0695617570641283E-2</v>
      </c>
      <c r="T176" s="77">
        <f t="shared" ca="1" si="148"/>
        <v>0</v>
      </c>
      <c r="U176" s="45">
        <f t="shared" ca="1" si="165"/>
        <v>17.593155002675978</v>
      </c>
      <c r="V176" s="45">
        <f t="shared" ca="1" si="149"/>
        <v>0.20278247028256513</v>
      </c>
      <c r="W176" s="77">
        <f t="shared" ca="1" si="150"/>
        <v>0</v>
      </c>
      <c r="X176" s="45">
        <f t="shared" ca="1" si="166"/>
        <v>0.87171449206932128</v>
      </c>
      <c r="Y176" s="45">
        <f t="shared" ca="1" si="151"/>
        <v>0</v>
      </c>
      <c r="Z176" s="77">
        <f t="shared" ca="1" si="152"/>
        <v>0</v>
      </c>
      <c r="AA176" s="45">
        <f t="shared" ca="1" si="167"/>
        <v>39.209809660808716</v>
      </c>
      <c r="AB176" s="45">
        <f t="shared" ca="1" si="153"/>
        <v>0</v>
      </c>
      <c r="AC176" s="45" cm="1">
        <f t="array" aca="1" ref="AC176" ca="1">pHUM*(T176+W176+Z176+AD176)</f>
        <v>0</v>
      </c>
      <c r="AD176" s="77">
        <f t="shared" ca="1" si="154"/>
        <v>0</v>
      </c>
      <c r="AE176" s="45">
        <f t="shared" ca="1" si="168"/>
        <v>6.3847072090583081</v>
      </c>
      <c r="AF176" s="45">
        <f t="shared" ca="1" si="155"/>
        <v>0</v>
      </c>
      <c r="AG176" s="76">
        <f t="shared" ca="1" si="156"/>
        <v>64.89073725892024</v>
      </c>
      <c r="AH176" s="45">
        <f t="shared" ca="1" si="157"/>
        <v>0</v>
      </c>
      <c r="AI176" s="77">
        <f t="shared" ca="1" si="158"/>
        <v>2.1295501775802552E-2</v>
      </c>
      <c r="AJ176" s="384">
        <f t="shared" ca="1" si="162"/>
        <v>1.917092056007097E-2</v>
      </c>
      <c r="AU176" s="1"/>
    </row>
    <row r="177" spans="3:47" x14ac:dyDescent="0.25">
      <c r="C177" s="10">
        <f t="shared" si="175"/>
        <v>7</v>
      </c>
      <c r="D177" s="91">
        <f t="shared" si="170"/>
        <v>3</v>
      </c>
      <c r="E177" s="278"/>
      <c r="F177" s="76">
        <f t="shared" ref="F177:Q177" ca="1" si="189">F105</f>
        <v>-0.57999999999999996</v>
      </c>
      <c r="G177" s="46">
        <f t="shared" ca="1" si="189"/>
        <v>55.530150000000006</v>
      </c>
      <c r="H177" s="46">
        <f t="shared" ca="1" si="141"/>
        <v>0</v>
      </c>
      <c r="I177" s="45">
        <f t="shared" ca="1" si="142"/>
        <v>8.1834107856600266E-2</v>
      </c>
      <c r="J177" s="45">
        <f t="shared" ca="1" si="143"/>
        <v>0.29595601705647312</v>
      </c>
      <c r="K177" s="45">
        <f t="shared" ca="1" si="163"/>
        <v>0.95656105889548582</v>
      </c>
      <c r="L177" s="358">
        <f t="shared" ca="1" si="144"/>
        <v>0.34200470507454295</v>
      </c>
      <c r="M177" s="76">
        <f t="shared" ca="1" si="189"/>
        <v>0.25347808785320641</v>
      </c>
      <c r="N177" s="45">
        <f t="shared" ca="1" si="189"/>
        <v>0.25</v>
      </c>
      <c r="O177" s="45">
        <f t="shared" ca="1" si="189"/>
        <v>0</v>
      </c>
      <c r="P177" s="46" t="str">
        <f t="shared" ca="1" si="189"/>
        <v/>
      </c>
      <c r="Q177" s="243" t="str">
        <f t="shared" ca="1" si="189"/>
        <v/>
      </c>
      <c r="R177" s="45">
        <f t="shared" ca="1" si="164"/>
        <v>0.88204651187856031</v>
      </c>
      <c r="S177" s="45">
        <f t="shared" ca="1" si="177"/>
        <v>5.0695617570641283E-2</v>
      </c>
      <c r="T177" s="77">
        <f t="shared" ca="1" si="148"/>
        <v>5.8146070292330793E-2</v>
      </c>
      <c r="U177" s="45">
        <f t="shared" ca="1" si="165"/>
        <v>17.795937472958542</v>
      </c>
      <c r="V177" s="45">
        <f t="shared" ca="1" si="149"/>
        <v>0.20278247028256513</v>
      </c>
      <c r="W177" s="77">
        <f t="shared" ca="1" si="150"/>
        <v>3.6370649482808132E-2</v>
      </c>
      <c r="X177" s="45">
        <f t="shared" ca="1" si="166"/>
        <v>0.87171449206932128</v>
      </c>
      <c r="Y177" s="45">
        <f t="shared" ca="1" si="151"/>
        <v>8.558377890522299E-3</v>
      </c>
      <c r="Z177" s="77">
        <f t="shared" ca="1" si="152"/>
        <v>3.9146624634342478E-3</v>
      </c>
      <c r="AA177" s="45">
        <f t="shared" ca="1" si="167"/>
        <v>39.209809660808716</v>
      </c>
      <c r="AB177" s="45">
        <f t="shared" ca="1" si="153"/>
        <v>0</v>
      </c>
      <c r="AC177" s="45" cm="1">
        <f t="array" aca="1" ref="AC177" ca="1">pHUM*(T177+W177+Z177+AD177)</f>
        <v>1.0068679871202706E-2</v>
      </c>
      <c r="AD177" s="77">
        <f t="shared" ca="1" si="154"/>
        <v>5.347468308662731E-3</v>
      </c>
      <c r="AE177" s="45">
        <f t="shared" ca="1" si="168"/>
        <v>6.3847072090583081</v>
      </c>
      <c r="AF177" s="45">
        <f t="shared" ca="1" si="155"/>
        <v>0</v>
      </c>
      <c r="AG177" s="76">
        <f t="shared" ca="1" si="156"/>
        <v>65.14421534677345</v>
      </c>
      <c r="AH177" s="45">
        <f t="shared" ca="1" si="157"/>
        <v>8.515179278551091E-2</v>
      </c>
      <c r="AI177" s="77">
        <f t="shared" ca="1" si="158"/>
        <v>2.2008883626521081E-2</v>
      </c>
      <c r="AJ177" s="384">
        <f t="shared" ca="1" si="162"/>
        <v>2.5414553130138628E-2</v>
      </c>
      <c r="AU177" s="1"/>
    </row>
    <row r="178" spans="3:47" x14ac:dyDescent="0.25">
      <c r="C178" s="10">
        <f t="shared" si="175"/>
        <v>7</v>
      </c>
      <c r="D178" s="91">
        <f t="shared" si="170"/>
        <v>4</v>
      </c>
      <c r="E178" s="278"/>
      <c r="F178" s="76">
        <f t="shared" ref="F178:Q178" ca="1" si="190">F106</f>
        <v>7.18</v>
      </c>
      <c r="G178" s="46">
        <f t="shared" ca="1" si="190"/>
        <v>29.828585295978598</v>
      </c>
      <c r="H178" s="46">
        <f t="shared" ca="1" si="141"/>
        <v>25.701564704021408</v>
      </c>
      <c r="I178" s="45">
        <f t="shared" ca="1" si="142"/>
        <v>0.34975431431902781</v>
      </c>
      <c r="J178" s="45">
        <f t="shared" ca="1" si="143"/>
        <v>0.29147915612483932</v>
      </c>
      <c r="K178" s="45">
        <f t="shared" ca="1" si="163"/>
        <v>0.94209137223094908</v>
      </c>
      <c r="L178" s="358">
        <f t="shared" ca="1" si="144"/>
        <v>0.62308014794471589</v>
      </c>
      <c r="M178" s="76">
        <f t="shared" ca="1" si="190"/>
        <v>0.25347808785320641</v>
      </c>
      <c r="N178" s="45">
        <f t="shared" ca="1" si="190"/>
        <v>0.25</v>
      </c>
      <c r="O178" s="45">
        <f t="shared" ca="1" si="190"/>
        <v>0</v>
      </c>
      <c r="P178" s="46" t="str">
        <f t="shared" ca="1" si="190"/>
        <v/>
      </c>
      <c r="Q178" s="243" t="str">
        <f t="shared" ca="1" si="190"/>
        <v/>
      </c>
      <c r="R178" s="45">
        <f t="shared" ca="1" si="164"/>
        <v>0.87459605915687078</v>
      </c>
      <c r="S178" s="45">
        <f t="shared" ca="1" si="177"/>
        <v>5.0695617570641283E-2</v>
      </c>
      <c r="T178" s="77">
        <f t="shared" ca="1" si="148"/>
        <v>0.22112372029542826</v>
      </c>
      <c r="U178" s="45">
        <f t="shared" ca="1" si="165"/>
        <v>17.962349293758297</v>
      </c>
      <c r="V178" s="45">
        <f t="shared" ca="1" si="149"/>
        <v>0.20278247028256513</v>
      </c>
      <c r="W178" s="77">
        <f t="shared" ca="1" si="150"/>
        <v>0.15637556983514836</v>
      </c>
      <c r="X178" s="45">
        <f t="shared" ca="1" si="166"/>
        <v>0.87635820749640936</v>
      </c>
      <c r="Y178" s="45">
        <f t="shared" ca="1" si="151"/>
        <v>3.4392942238969847E-2</v>
      </c>
      <c r="Z178" s="77">
        <f t="shared" ca="1" si="152"/>
        <v>1.6696943370100775E-2</v>
      </c>
      <c r="AA178" s="45">
        <f t="shared" ca="1" si="167"/>
        <v>39.214530872371256</v>
      </c>
      <c r="AB178" s="45">
        <f t="shared" ca="1" si="153"/>
        <v>0</v>
      </c>
      <c r="AC178" s="45" cm="1">
        <f t="array" aca="1" ref="AC178" ca="1">pHUM*(T178+W178+Z178+AD178)</f>
        <v>4.0462284987023346E-2</v>
      </c>
      <c r="AD178" s="77">
        <f t="shared" ca="1" si="154"/>
        <v>2.2852424335573454E-2</v>
      </c>
      <c r="AE178" s="45">
        <f t="shared" ca="1" si="168"/>
        <v>6.3847072090583081</v>
      </c>
      <c r="AF178" s="45">
        <f t="shared" ca="1" si="155"/>
        <v>0</v>
      </c>
      <c r="AG178" s="76">
        <f t="shared" ca="1" si="156"/>
        <v>65.312541641841136</v>
      </c>
      <c r="AH178" s="45">
        <f t="shared" ca="1" si="157"/>
        <v>0.34219343061025764</v>
      </c>
      <c r="AI178" s="77">
        <f t="shared" ca="1" si="158"/>
        <v>2.1915721949373808E-2</v>
      </c>
      <c r="AJ178" s="384">
        <f t="shared" ca="1" si="162"/>
        <v>4.5407147159376438E-2</v>
      </c>
      <c r="AU178" s="1"/>
    </row>
    <row r="179" spans="3:47" x14ac:dyDescent="0.25">
      <c r="C179" s="10">
        <f t="shared" si="175"/>
        <v>7</v>
      </c>
      <c r="D179" s="91">
        <f t="shared" si="170"/>
        <v>5</v>
      </c>
      <c r="E179" s="278"/>
      <c r="F179" s="76">
        <f t="shared" ref="F179:Q179" ca="1" si="191">F107</f>
        <v>14.05</v>
      </c>
      <c r="G179" s="46">
        <f t="shared" ca="1" si="191"/>
        <v>27.012600000000003</v>
      </c>
      <c r="H179" s="46">
        <f t="shared" ca="1" si="141"/>
        <v>28.517550000000004</v>
      </c>
      <c r="I179" s="45">
        <f t="shared" ca="1" si="142"/>
        <v>0.75173784437395219</v>
      </c>
      <c r="J179" s="45">
        <f t="shared" ca="1" si="143"/>
        <v>0.27952512346894071</v>
      </c>
      <c r="K179" s="45">
        <f t="shared" ca="1" si="163"/>
        <v>0.90345467800480783</v>
      </c>
      <c r="L179" s="358">
        <f t="shared" ca="1" si="144"/>
        <v>0.82085140481213359</v>
      </c>
      <c r="M179" s="76">
        <f t="shared" ca="1" si="191"/>
        <v>0.25347808785320641</v>
      </c>
      <c r="N179" s="45">
        <f t="shared" ca="1" si="191"/>
        <v>0.25</v>
      </c>
      <c r="O179" s="45">
        <f t="shared" ca="1" si="191"/>
        <v>0</v>
      </c>
      <c r="P179" s="46" t="str">
        <f t="shared" ca="1" si="191"/>
        <v/>
      </c>
      <c r="Q179" s="243" t="str">
        <f t="shared" ca="1" si="191"/>
        <v/>
      </c>
      <c r="R179" s="45">
        <f t="shared" ca="1" si="164"/>
        <v>0.70416795643208385</v>
      </c>
      <c r="S179" s="45">
        <f t="shared" ca="1" si="177"/>
        <v>5.0695617570641283E-2</v>
      </c>
      <c r="T179" s="77">
        <f t="shared" ca="1" si="148"/>
        <v>0.3277994632468742</v>
      </c>
      <c r="U179" s="45">
        <f t="shared" ca="1" si="165"/>
        <v>18.008756194205713</v>
      </c>
      <c r="V179" s="45">
        <f t="shared" ca="1" si="149"/>
        <v>0.20278247028256513</v>
      </c>
      <c r="W179" s="77">
        <f t="shared" ca="1" si="150"/>
        <v>0.33528612977466515</v>
      </c>
      <c r="X179" s="45">
        <f t="shared" ca="1" si="166"/>
        <v>0.89405420636527844</v>
      </c>
      <c r="Y179" s="45">
        <f t="shared" ca="1" si="151"/>
        <v>6.1720299318617611E-2</v>
      </c>
      <c r="Z179" s="77">
        <f t="shared" ca="1" si="152"/>
        <v>3.62114411126142E-2</v>
      </c>
      <c r="AA179" s="45">
        <f t="shared" ca="1" si="167"/>
        <v>39.232140733022703</v>
      </c>
      <c r="AB179" s="45">
        <f t="shared" ca="1" si="153"/>
        <v>0</v>
      </c>
      <c r="AC179" s="45" cm="1">
        <f t="array" aca="1" ref="AC179" ca="1">pHUM*(T179+W179+Z179+AD179)</f>
        <v>7.2612116845432492E-2</v>
      </c>
      <c r="AD179" s="77">
        <f t="shared" ca="1" si="154"/>
        <v>4.9123028715698368E-2</v>
      </c>
      <c r="AE179" s="45">
        <f t="shared" ca="1" si="168"/>
        <v>6.3847072090583081</v>
      </c>
      <c r="AF179" s="45">
        <f t="shared" ca="1" si="155"/>
        <v>0</v>
      </c>
      <c r="AG179" s="76">
        <f t="shared" ca="1" si="156"/>
        <v>65.223826299084081</v>
      </c>
      <c r="AH179" s="45">
        <f t="shared" ca="1" si="157"/>
        <v>0.61408764668580196</v>
      </c>
      <c r="AI179" s="77">
        <f t="shared" ca="1" si="158"/>
        <v>1.9571765104522455E-2</v>
      </c>
      <c r="AJ179" s="384">
        <f t="shared" ca="1" si="162"/>
        <v>5.1230668115836986E-2</v>
      </c>
      <c r="AU179" s="1"/>
    </row>
    <row r="180" spans="3:47" x14ac:dyDescent="0.25">
      <c r="C180" s="10">
        <f t="shared" si="175"/>
        <v>7</v>
      </c>
      <c r="D180" s="91">
        <f t="shared" si="170"/>
        <v>6</v>
      </c>
      <c r="E180" s="278"/>
      <c r="F180" s="76">
        <f t="shared" ref="F180:Q180" ca="1" si="192">F108</f>
        <v>17.96</v>
      </c>
      <c r="G180" s="46">
        <f t="shared" ca="1" si="192"/>
        <v>27.012600000000003</v>
      </c>
      <c r="H180" s="46">
        <f t="shared" ca="1" si="141"/>
        <v>28.517550000000004</v>
      </c>
      <c r="I180" s="45">
        <f t="shared" ca="1" si="142"/>
        <v>1.0549705763362276</v>
      </c>
      <c r="J180" s="45">
        <f t="shared" ca="1" si="143"/>
        <v>0.27952512346894071</v>
      </c>
      <c r="K180" s="45">
        <f t="shared" ca="1" si="163"/>
        <v>0.90345467800480783</v>
      </c>
      <c r="L180" s="358">
        <f t="shared" ca="1" si="144"/>
        <v>0.89023829243059249</v>
      </c>
      <c r="M180" s="76">
        <f t="shared" ca="1" si="192"/>
        <v>0.25347808785320641</v>
      </c>
      <c r="N180" s="45">
        <f t="shared" ca="1" si="192"/>
        <v>0.25</v>
      </c>
      <c r="O180" s="45">
        <f t="shared" ca="1" si="192"/>
        <v>0</v>
      </c>
      <c r="P180" s="46" t="str">
        <f t="shared" ca="1" si="192"/>
        <v/>
      </c>
      <c r="Q180" s="243" t="str">
        <f t="shared" ca="1" si="192"/>
        <v/>
      </c>
      <c r="R180" s="45">
        <f t="shared" ca="1" si="164"/>
        <v>0.42706411075585099</v>
      </c>
      <c r="S180" s="45">
        <f t="shared" ca="1" si="177"/>
        <v>5.0695617570641283E-2</v>
      </c>
      <c r="T180" s="77">
        <f t="shared" ca="1" si="148"/>
        <v>0.24977319108169183</v>
      </c>
      <c r="U180" s="45">
        <f t="shared" ca="1" si="165"/>
        <v>17.876252534713611</v>
      </c>
      <c r="V180" s="45">
        <f t="shared" ca="1" si="149"/>
        <v>0.20278247028256513</v>
      </c>
      <c r="W180" s="77">
        <f t="shared" ca="1" si="150"/>
        <v>0.46530993512761115</v>
      </c>
      <c r="X180" s="45">
        <f t="shared" ca="1" si="166"/>
        <v>0.91956306457128179</v>
      </c>
      <c r="Y180" s="45">
        <f t="shared" ca="1" si="151"/>
        <v>6.8933125088636901E-2</v>
      </c>
      <c r="Z180" s="77">
        <f t="shared" ca="1" si="152"/>
        <v>5.1837716153437657E-2</v>
      </c>
      <c r="AA180" s="45">
        <f t="shared" ca="1" si="167"/>
        <v>39.255629821152439</v>
      </c>
      <c r="AB180" s="45">
        <f t="shared" ca="1" si="153"/>
        <v>0</v>
      </c>
      <c r="AC180" s="45" cm="1">
        <f t="array" aca="1" ref="AC180" ca="1">pHUM*(T180+W180+Z180+AD180)</f>
        <v>8.109779422192577E-2</v>
      </c>
      <c r="AD180" s="77">
        <f t="shared" ca="1" si="154"/>
        <v>6.8961912271150116E-2</v>
      </c>
      <c r="AE180" s="45">
        <f t="shared" ca="1" si="168"/>
        <v>6.3847072090583081</v>
      </c>
      <c r="AF180" s="45">
        <f t="shared" ca="1" si="155"/>
        <v>0</v>
      </c>
      <c r="AG180" s="76">
        <f t="shared" ca="1" si="156"/>
        <v>64.863216740251488</v>
      </c>
      <c r="AH180" s="45">
        <f t="shared" ca="1" si="157"/>
        <v>0.68585183532332816</v>
      </c>
      <c r="AI180" s="77">
        <f t="shared" ca="1" si="158"/>
        <v>1.5711670799241108E-2</v>
      </c>
      <c r="AJ180" s="384">
        <f t="shared" ca="1" si="162"/>
        <v>4.4603284088428063E-2</v>
      </c>
      <c r="AU180" s="1"/>
    </row>
    <row r="181" spans="3:47" x14ac:dyDescent="0.25">
      <c r="C181" s="10">
        <f t="shared" si="175"/>
        <v>7</v>
      </c>
      <c r="D181" s="91">
        <f t="shared" si="170"/>
        <v>7</v>
      </c>
      <c r="E181" s="278"/>
      <c r="F181" s="76">
        <f t="shared" ref="F181:Q181" ca="1" si="193">F109</f>
        <v>21.89</v>
      </c>
      <c r="G181" s="46">
        <f t="shared" ca="1" si="193"/>
        <v>27.012600000000003</v>
      </c>
      <c r="H181" s="46">
        <f t="shared" ca="1" si="141"/>
        <v>28.517550000000004</v>
      </c>
      <c r="I181" s="45">
        <f t="shared" ca="1" si="142"/>
        <v>1.3816368002949853</v>
      </c>
      <c r="J181" s="45">
        <f t="shared" ca="1" si="143"/>
        <v>0.27952512346894071</v>
      </c>
      <c r="K181" s="45">
        <f t="shared" ca="1" si="163"/>
        <v>0.90345467800480783</v>
      </c>
      <c r="L181" s="358">
        <f t="shared" ca="1" si="144"/>
        <v>0.9336160920992449</v>
      </c>
      <c r="M181" s="76">
        <f t="shared" ca="1" si="193"/>
        <v>0.25347808785320641</v>
      </c>
      <c r="N181" s="45">
        <f t="shared" ca="1" si="193"/>
        <v>0.25</v>
      </c>
      <c r="O181" s="45">
        <f t="shared" ca="1" si="193"/>
        <v>0</v>
      </c>
      <c r="P181" s="46" t="str">
        <f t="shared" ca="1" si="193"/>
        <v/>
      </c>
      <c r="Q181" s="243" t="str">
        <f t="shared" ca="1" si="193"/>
        <v/>
      </c>
      <c r="R181" s="45">
        <f t="shared" ca="1" si="164"/>
        <v>0.22798653724480045</v>
      </c>
      <c r="S181" s="45">
        <f t="shared" ca="1" si="177"/>
        <v>5.0695617570641283E-2</v>
      </c>
      <c r="T181" s="77">
        <f t="shared" ca="1" si="148"/>
        <v>0.15589601521205312</v>
      </c>
      <c r="U181" s="45">
        <f t="shared" ca="1" si="165"/>
        <v>17.613725069868565</v>
      </c>
      <c r="V181" s="45">
        <f t="shared" ca="1" si="149"/>
        <v>0.20278247028256513</v>
      </c>
      <c r="W181" s="77">
        <f t="shared" ca="1" si="150"/>
        <v>0.5980069589816448</v>
      </c>
      <c r="X181" s="45">
        <f t="shared" ca="1" si="166"/>
        <v>0.93665847350648102</v>
      </c>
      <c r="Y181" s="45">
        <f t="shared" ca="1" si="151"/>
        <v>7.5273118710656256E-2</v>
      </c>
      <c r="Z181" s="77">
        <f t="shared" ca="1" si="152"/>
        <v>6.8539559952503146E-2</v>
      </c>
      <c r="AA181" s="45">
        <f t="shared" ca="1" si="167"/>
        <v>39.267765703103215</v>
      </c>
      <c r="AB181" s="45">
        <f t="shared" ca="1" si="153"/>
        <v>0</v>
      </c>
      <c r="AC181" s="45" cm="1">
        <f t="array" aca="1" ref="AC181" ca="1">pHUM*(T181+W181+Z181+AD181)</f>
        <v>8.8556610247830903E-2</v>
      </c>
      <c r="AD181" s="77">
        <f t="shared" ca="1" si="154"/>
        <v>9.031895369934291E-2</v>
      </c>
      <c r="AE181" s="45">
        <f t="shared" ca="1" si="168"/>
        <v>6.3847072090583081</v>
      </c>
      <c r="AF181" s="45">
        <f t="shared" ca="1" si="155"/>
        <v>0</v>
      </c>
      <c r="AG181" s="76">
        <f t="shared" ca="1" si="156"/>
        <v>64.430842992781365</v>
      </c>
      <c r="AH181" s="45">
        <f t="shared" ca="1" si="157"/>
        <v>0.74893175888705688</v>
      </c>
      <c r="AI181" s="77">
        <f t="shared" ca="1" si="158"/>
        <v>1.2874145538010038E-2</v>
      </c>
      <c r="AJ181" s="384">
        <f t="shared" ca="1" si="162"/>
        <v>3.8329001750866398E-2</v>
      </c>
      <c r="AU181" s="1"/>
    </row>
    <row r="182" spans="3:47" x14ac:dyDescent="0.25">
      <c r="C182" s="10">
        <f t="shared" si="175"/>
        <v>7</v>
      </c>
      <c r="D182" s="91">
        <f t="shared" si="170"/>
        <v>8</v>
      </c>
      <c r="E182" s="278"/>
      <c r="F182" s="76">
        <f t="shared" ref="F182:Q182" ca="1" si="194">F110</f>
        <v>20.350000000000001</v>
      </c>
      <c r="G182" s="46">
        <f t="shared" ca="1" si="194"/>
        <v>27.012600000000003</v>
      </c>
      <c r="H182" s="46">
        <f t="shared" ca="1" si="141"/>
        <v>28.517550000000004</v>
      </c>
      <c r="I182" s="45">
        <f t="shared" ca="1" si="142"/>
        <v>1.2518642054104028</v>
      </c>
      <c r="J182" s="45">
        <f t="shared" ca="1" si="143"/>
        <v>0.27952512346894071</v>
      </c>
      <c r="K182" s="45">
        <f t="shared" ca="1" si="163"/>
        <v>0.90345467800480783</v>
      </c>
      <c r="L182" s="358">
        <f t="shared" ca="1" si="144"/>
        <v>0.91927514332007565</v>
      </c>
      <c r="M182" s="76">
        <f t="shared" ca="1" si="194"/>
        <v>0.25347808785320641</v>
      </c>
      <c r="N182" s="45">
        <f t="shared" ca="1" si="194"/>
        <v>0.25</v>
      </c>
      <c r="O182" s="45">
        <f t="shared" ca="1" si="194"/>
        <v>0</v>
      </c>
      <c r="P182" s="46" t="str">
        <f t="shared" ca="1" si="194"/>
        <v/>
      </c>
      <c r="Q182" s="243" t="str">
        <f t="shared" ca="1" si="194"/>
        <v/>
      </c>
      <c r="R182" s="45">
        <f t="shared" ca="1" si="164"/>
        <v>0.12278613960338861</v>
      </c>
      <c r="S182" s="45">
        <f t="shared" ca="1" si="177"/>
        <v>5.0695617570641283E-2</v>
      </c>
      <c r="T182" s="77">
        <f t="shared" ca="1" si="148"/>
        <v>7.9526332198068123E-2</v>
      </c>
      <c r="U182" s="45">
        <f t="shared" ca="1" si="165"/>
        <v>17.218500581169483</v>
      </c>
      <c r="V182" s="45">
        <f t="shared" ca="1" si="149"/>
        <v>0.20278247028256513</v>
      </c>
      <c r="W182" s="77">
        <f t="shared" ca="1" si="150"/>
        <v>0.530535333051112</v>
      </c>
      <c r="X182" s="45">
        <f t="shared" ca="1" si="166"/>
        <v>0.94339203226463408</v>
      </c>
      <c r="Y182" s="45">
        <f t="shared" ca="1" si="151"/>
        <v>6.2235852238820964E-2</v>
      </c>
      <c r="Z182" s="77">
        <f t="shared" ca="1" si="152"/>
        <v>6.2769224050988948E-2</v>
      </c>
      <c r="AA182" s="45">
        <f t="shared" ca="1" si="167"/>
        <v>39.266003359651698</v>
      </c>
      <c r="AB182" s="45">
        <f t="shared" ca="1" si="153"/>
        <v>0</v>
      </c>
      <c r="AC182" s="45" cm="1">
        <f t="array" aca="1" ref="AC182" ca="1">pHUM*(T182+W182+Z182+AD182)</f>
        <v>7.321864969273055E-2</v>
      </c>
      <c r="AD182" s="77">
        <f t="shared" ca="1" si="154"/>
        <v>8.1840765865351175E-2</v>
      </c>
      <c r="AE182" s="45">
        <f t="shared" ca="1" si="168"/>
        <v>6.3847072090583081</v>
      </c>
      <c r="AF182" s="45">
        <f t="shared" ca="1" si="155"/>
        <v>0</v>
      </c>
      <c r="AG182" s="76">
        <f t="shared" ca="1" si="156"/>
        <v>63.935389321747508</v>
      </c>
      <c r="AH182" s="45">
        <f t="shared" ca="1" si="157"/>
        <v>0.61921715323396886</v>
      </c>
      <c r="AI182" s="77">
        <f t="shared" ca="1" si="158"/>
        <v>1.1296376938962927E-2</v>
      </c>
      <c r="AJ182" s="384">
        <f t="shared" ca="1" si="162"/>
        <v>3.3115216173693618E-2</v>
      </c>
      <c r="AU182" s="1"/>
    </row>
    <row r="183" spans="3:47" x14ac:dyDescent="0.25">
      <c r="C183" s="10">
        <f t="shared" si="175"/>
        <v>7</v>
      </c>
      <c r="D183" s="91">
        <f t="shared" si="170"/>
        <v>9</v>
      </c>
      <c r="E183" s="278"/>
      <c r="F183" s="76">
        <f t="shared" ref="F183:Q183" ca="1" si="195">F111</f>
        <v>17.38</v>
      </c>
      <c r="G183" s="46">
        <f t="shared" ca="1" si="195"/>
        <v>27.012600000000003</v>
      </c>
      <c r="H183" s="46">
        <f t="shared" ca="1" si="141"/>
        <v>28.517550000000004</v>
      </c>
      <c r="I183" s="45">
        <f t="shared" ca="1" si="142"/>
        <v>1.0082864185928893</v>
      </c>
      <c r="J183" s="45">
        <f t="shared" ca="1" si="143"/>
        <v>0.27952512346894071</v>
      </c>
      <c r="K183" s="45">
        <f t="shared" ca="1" si="163"/>
        <v>0.90345467800480783</v>
      </c>
      <c r="L183" s="358">
        <f t="shared" ca="1" si="144"/>
        <v>0.88177917719725518</v>
      </c>
      <c r="M183" s="76">
        <f t="shared" ca="1" si="195"/>
        <v>0.25347808785320641</v>
      </c>
      <c r="N183" s="45">
        <f t="shared" ca="1" si="195"/>
        <v>0.25</v>
      </c>
      <c r="O183" s="45">
        <f t="shared" ca="1" si="195"/>
        <v>0</v>
      </c>
      <c r="P183" s="46" t="str">
        <f t="shared" ca="1" si="195"/>
        <v/>
      </c>
      <c r="Q183" s="243" t="str">
        <f t="shared" ca="1" si="195"/>
        <v/>
      </c>
      <c r="R183" s="45">
        <f t="shared" ca="1" si="164"/>
        <v>9.3955424975961765E-2</v>
      </c>
      <c r="S183" s="45">
        <f t="shared" ca="1" si="177"/>
        <v>5.0695617570641283E-2</v>
      </c>
      <c r="T183" s="77">
        <f t="shared" ca="1" si="148"/>
        <v>5.3403559442670299E-2</v>
      </c>
      <c r="U183" s="45">
        <f t="shared" ca="1" si="165"/>
        <v>16.890747718400934</v>
      </c>
      <c r="V183" s="45">
        <f t="shared" ca="1" si="149"/>
        <v>0.20278247028256513</v>
      </c>
      <c r="W183" s="77">
        <f t="shared" ca="1" si="150"/>
        <v>0.42044639579198095</v>
      </c>
      <c r="X183" s="45">
        <f t="shared" ca="1" si="166"/>
        <v>0.94285866045246602</v>
      </c>
      <c r="Y183" s="45">
        <f t="shared" ca="1" si="151"/>
        <v>4.8707693007075024E-2</v>
      </c>
      <c r="Z183" s="77">
        <f t="shared" ca="1" si="152"/>
        <v>5.0863563828919052E-2</v>
      </c>
      <c r="AA183" s="45">
        <f t="shared" ca="1" si="167"/>
        <v>39.257381243479081</v>
      </c>
      <c r="AB183" s="45">
        <f t="shared" ca="1" si="153"/>
        <v>0</v>
      </c>
      <c r="AC183" s="45" cm="1">
        <f t="array" aca="1" ref="AC183" ca="1">pHUM*(T183+W183+Z183+AD183)</f>
        <v>5.7303168243617683E-2</v>
      </c>
      <c r="AD183" s="77">
        <f t="shared" ca="1" si="154"/>
        <v>6.5915740095422157E-2</v>
      </c>
      <c r="AE183" s="45">
        <f t="shared" ca="1" si="168"/>
        <v>6.3847072090583081</v>
      </c>
      <c r="AF183" s="45">
        <f t="shared" ca="1" si="155"/>
        <v>0</v>
      </c>
      <c r="AG183" s="76">
        <f t="shared" ca="1" si="156"/>
        <v>63.569650256366749</v>
      </c>
      <c r="AH183" s="45">
        <f t="shared" ca="1" si="157"/>
        <v>0.4846183979082998</v>
      </c>
      <c r="AI183" s="77">
        <f t="shared" ca="1" si="158"/>
        <v>1.0804436318015878E-2</v>
      </c>
      <c r="AJ183" s="384">
        <f t="shared" ca="1" si="162"/>
        <v>3.0381273539408227E-2</v>
      </c>
      <c r="AU183" s="1"/>
    </row>
    <row r="184" spans="3:47" x14ac:dyDescent="0.25">
      <c r="C184" s="10">
        <f t="shared" si="175"/>
        <v>7</v>
      </c>
      <c r="D184" s="91">
        <f t="shared" si="170"/>
        <v>10</v>
      </c>
      <c r="E184" s="278"/>
      <c r="F184" s="76">
        <f t="shared" ref="F184:Q184" ca="1" si="196">F112</f>
        <v>9.61</v>
      </c>
      <c r="G184" s="46">
        <f t="shared" ca="1" si="196"/>
        <v>27.012600000000003</v>
      </c>
      <c r="H184" s="46">
        <f t="shared" ca="1" si="141"/>
        <v>28.517550000000004</v>
      </c>
      <c r="I184" s="45">
        <f t="shared" ca="1" si="142"/>
        <v>0.45243046736638293</v>
      </c>
      <c r="J184" s="45">
        <f t="shared" ca="1" si="143"/>
        <v>0.27952512346894071</v>
      </c>
      <c r="K184" s="45">
        <f t="shared" ca="1" si="163"/>
        <v>0.90345467800480783</v>
      </c>
      <c r="L184" s="358">
        <f t="shared" ca="1" si="144"/>
        <v>0.70354868513849667</v>
      </c>
      <c r="M184" s="76">
        <f t="shared" ca="1" si="196"/>
        <v>0.25347808785320641</v>
      </c>
      <c r="N184" s="45">
        <f t="shared" ca="1" si="196"/>
        <v>0.25</v>
      </c>
      <c r="O184" s="45">
        <f t="shared" ca="1" si="196"/>
        <v>0</v>
      </c>
      <c r="P184" s="46" t="str">
        <f t="shared" ca="1" si="196"/>
        <v/>
      </c>
      <c r="Q184" s="243" t="str">
        <f t="shared" ca="1" si="196"/>
        <v/>
      </c>
      <c r="R184" s="45">
        <f t="shared" ca="1" si="164"/>
        <v>9.1247483103932742E-2</v>
      </c>
      <c r="S184" s="45">
        <f t="shared" ca="1" si="177"/>
        <v>5.0695617570641283E-2</v>
      </c>
      <c r="T184" s="77">
        <f t="shared" ca="1" si="148"/>
        <v>2.8660956799418658E-2</v>
      </c>
      <c r="U184" s="45">
        <f t="shared" ca="1" si="165"/>
        <v>16.673083792891518</v>
      </c>
      <c r="V184" s="45">
        <f t="shared" ca="1" si="149"/>
        <v>0.20278247028256513</v>
      </c>
      <c r="W184" s="77">
        <f t="shared" ca="1" si="150"/>
        <v>0.18752276546940799</v>
      </c>
      <c r="X184" s="45">
        <f t="shared" ca="1" si="166"/>
        <v>0.94070278963062193</v>
      </c>
      <c r="Y184" s="45">
        <f t="shared" ca="1" si="151"/>
        <v>2.2174462969602089E-2</v>
      </c>
      <c r="Z184" s="77">
        <f t="shared" ca="1" si="152"/>
        <v>2.3119303587020936E-2</v>
      </c>
      <c r="AA184" s="45">
        <f t="shared" ca="1" si="167"/>
        <v>39.248768671627282</v>
      </c>
      <c r="AB184" s="45">
        <f t="shared" ca="1" si="153"/>
        <v>0</v>
      </c>
      <c r="AC184" s="45" cm="1">
        <f t="array" aca="1" ref="AC184" ca="1">pHUM*(T184+W184+Z184+AD184)</f>
        <v>2.6087603493649518E-2</v>
      </c>
      <c r="AD184" s="77">
        <f t="shared" ca="1" si="154"/>
        <v>2.9584409114275276E-2</v>
      </c>
      <c r="AE184" s="45">
        <f t="shared" ca="1" si="168"/>
        <v>6.3847072090583081</v>
      </c>
      <c r="AF184" s="45">
        <f t="shared" ca="1" si="155"/>
        <v>0</v>
      </c>
      <c r="AG184" s="76">
        <f t="shared" ca="1" si="156"/>
        <v>63.33850994631166</v>
      </c>
      <c r="AH184" s="45">
        <f t="shared" ca="1" si="157"/>
        <v>0.22062536850687126</v>
      </c>
      <c r="AI184" s="77">
        <f t="shared" ca="1" si="158"/>
        <v>1.0710784928131741E-2</v>
      </c>
      <c r="AJ184" s="384">
        <f t="shared" ca="1" si="162"/>
        <v>2.4030459678958671E-2</v>
      </c>
      <c r="AU184" s="1"/>
    </row>
    <row r="185" spans="3:47" x14ac:dyDescent="0.25">
      <c r="C185" s="10">
        <f t="shared" si="175"/>
        <v>7</v>
      </c>
      <c r="D185" s="91">
        <f t="shared" si="170"/>
        <v>11</v>
      </c>
      <c r="E185" s="278"/>
      <c r="F185" s="76">
        <f t="shared" ref="F185:Q185" ca="1" si="197">F113</f>
        <v>5.71</v>
      </c>
      <c r="G185" s="46">
        <f t="shared" ca="1" si="197"/>
        <v>27.012600000000003</v>
      </c>
      <c r="H185" s="46">
        <f t="shared" ca="1" si="141"/>
        <v>28.517550000000004</v>
      </c>
      <c r="I185" s="45">
        <f t="shared" ca="1" si="142"/>
        <v>0.24617612464957264</v>
      </c>
      <c r="J185" s="45">
        <f t="shared" ca="1" si="143"/>
        <v>0.27952512346894071</v>
      </c>
      <c r="K185" s="45">
        <f t="shared" ca="1" si="163"/>
        <v>0.90345467800480783</v>
      </c>
      <c r="L185" s="358">
        <f t="shared" ca="1" si="144"/>
        <v>0.57043958344737544</v>
      </c>
      <c r="M185" s="76">
        <f t="shared" ca="1" si="197"/>
        <v>0.25347808785320641</v>
      </c>
      <c r="N185" s="45">
        <f t="shared" ca="1" si="197"/>
        <v>0.25</v>
      </c>
      <c r="O185" s="45">
        <f t="shared" ca="1" si="197"/>
        <v>0</v>
      </c>
      <c r="P185" s="46" t="str">
        <f t="shared" ca="1" si="197"/>
        <v/>
      </c>
      <c r="Q185" s="243" t="str">
        <f t="shared" ca="1" si="197"/>
        <v/>
      </c>
      <c r="R185" s="45">
        <f t="shared" ca="1" si="164"/>
        <v>0.11328214387515537</v>
      </c>
      <c r="S185" s="45">
        <f t="shared" ca="1" si="177"/>
        <v>5.0695617570641283E-2</v>
      </c>
      <c r="T185" s="77">
        <f t="shared" ca="1" si="148"/>
        <v>2.1010693094592442E-2</v>
      </c>
      <c r="U185" s="45">
        <f t="shared" ca="1" si="165"/>
        <v>16.688343497704675</v>
      </c>
      <c r="V185" s="45">
        <f t="shared" ca="1" si="149"/>
        <v>0.20278247028256513</v>
      </c>
      <c r="W185" s="77">
        <f t="shared" ca="1" si="150"/>
        <v>0.10239139109199981</v>
      </c>
      <c r="X185" s="45">
        <f t="shared" ca="1" si="166"/>
        <v>0.93975794901320309</v>
      </c>
      <c r="Y185" s="45">
        <f t="shared" ca="1" si="151"/>
        <v>1.2546527900111909E-2</v>
      </c>
      <c r="Z185" s="77">
        <f t="shared" ca="1" si="152"/>
        <v>1.2638276125820873E-2</v>
      </c>
      <c r="AA185" s="45">
        <f t="shared" ca="1" si="167"/>
        <v>39.245271866006654</v>
      </c>
      <c r="AB185" s="45">
        <f t="shared" ca="1" si="153"/>
        <v>0</v>
      </c>
      <c r="AC185" s="45" cm="1">
        <f t="array" aca="1" ref="AC185" ca="1">pHUM*(T185+W185+Z185+AD185)</f>
        <v>1.4760621058955188E-2</v>
      </c>
      <c r="AD185" s="77">
        <f t="shared" ca="1" si="154"/>
        <v>1.6098778726348933E-2</v>
      </c>
      <c r="AE185" s="45">
        <f t="shared" ca="1" si="168"/>
        <v>6.3847072090583081</v>
      </c>
      <c r="AF185" s="45">
        <f t="shared" ca="1" si="155"/>
        <v>0</v>
      </c>
      <c r="AG185" s="76">
        <f t="shared" ca="1" si="156"/>
        <v>63.371362665657998</v>
      </c>
      <c r="AH185" s="45">
        <f t="shared" ca="1" si="157"/>
        <v>0.12483199007969498</v>
      </c>
      <c r="AI185" s="77">
        <f t="shared" ca="1" si="158"/>
        <v>1.1032510025494151E-2</v>
      </c>
      <c r="AJ185" s="384">
        <f t="shared" ca="1" si="162"/>
        <v>2.0069300318686922E-2</v>
      </c>
      <c r="AU185" s="1"/>
    </row>
    <row r="186" spans="3:47" x14ac:dyDescent="0.25">
      <c r="C186" s="10">
        <f t="shared" si="175"/>
        <v>7</v>
      </c>
      <c r="D186" s="91">
        <f t="shared" si="170"/>
        <v>12</v>
      </c>
      <c r="E186" s="278"/>
      <c r="F186" s="76">
        <f t="shared" ref="F186:Q186" ca="1" si="198">F114</f>
        <v>-0.46</v>
      </c>
      <c r="G186" s="46">
        <f t="shared" ca="1" si="198"/>
        <v>27.012600000000003</v>
      </c>
      <c r="H186" s="46">
        <f t="shared" ca="1" si="141"/>
        <v>28.517550000000004</v>
      </c>
      <c r="I186" s="45">
        <f t="shared" ca="1" si="142"/>
        <v>5.3686278337302371E-2</v>
      </c>
      <c r="J186" s="45">
        <f t="shared" ca="1" si="143"/>
        <v>0.27952512346894071</v>
      </c>
      <c r="K186" s="45">
        <f t="shared" ca="1" si="163"/>
        <v>0.90345467800480783</v>
      </c>
      <c r="L186" s="358">
        <f t="shared" ca="1" si="144"/>
        <v>0.34604490353891793</v>
      </c>
      <c r="M186" s="76">
        <f t="shared" ca="1" si="198"/>
        <v>0.25347808785320641</v>
      </c>
      <c r="N186" s="45">
        <f t="shared" ca="1" si="198"/>
        <v>0.25</v>
      </c>
      <c r="O186" s="45">
        <f t="shared" ca="1" si="198"/>
        <v>0</v>
      </c>
      <c r="P186" s="46" t="str">
        <f t="shared" ca="1" si="198"/>
        <v/>
      </c>
      <c r="Q186" s="243" t="str">
        <f t="shared" ca="1" si="198"/>
        <v/>
      </c>
      <c r="R186" s="45">
        <f t="shared" ca="1" si="164"/>
        <v>0.14296706835120421</v>
      </c>
      <c r="S186" s="45">
        <f t="shared" ca="1" si="177"/>
        <v>5.0695617570641283E-2</v>
      </c>
      <c r="T186" s="77">
        <f t="shared" ca="1" si="148"/>
        <v>6.2551744584329813E-3</v>
      </c>
      <c r="U186" s="45">
        <f t="shared" ca="1" si="165"/>
        <v>16.788734576895241</v>
      </c>
      <c r="V186" s="45">
        <f t="shared" ca="1" si="149"/>
        <v>0.20278247028256513</v>
      </c>
      <c r="W186" s="77">
        <f t="shared" ca="1" si="150"/>
        <v>2.2518002208680808E-2</v>
      </c>
      <c r="X186" s="45">
        <f t="shared" ca="1" si="166"/>
        <v>0.93966620078749408</v>
      </c>
      <c r="Y186" s="45">
        <f t="shared" ca="1" si="151"/>
        <v>2.8908931421891041E-3</v>
      </c>
      <c r="Z186" s="77">
        <f t="shared" ca="1" si="152"/>
        <v>2.7705026586832614E-3</v>
      </c>
      <c r="AA186" s="45">
        <f t="shared" ca="1" si="167"/>
        <v>39.243933708339256</v>
      </c>
      <c r="AB186" s="45">
        <f t="shared" ca="1" si="153"/>
        <v>0</v>
      </c>
      <c r="AC186" s="45" cm="1">
        <f t="array" aca="1" ref="AC186" ca="1">pHUM*(T186+W186+Z186+AD186)</f>
        <v>3.4010507555165929E-3</v>
      </c>
      <c r="AD186" s="77">
        <f t="shared" ca="1" si="154"/>
        <v>3.5112774883338878E-3</v>
      </c>
      <c r="AE186" s="45">
        <f t="shared" ca="1" si="168"/>
        <v>6.3847072090583081</v>
      </c>
      <c r="AF186" s="45">
        <f t="shared" ca="1" si="155"/>
        <v>0</v>
      </c>
      <c r="AG186" s="76">
        <f t="shared" ca="1" si="156"/>
        <v>63.500008763431502</v>
      </c>
      <c r="AH186" s="45">
        <f t="shared" ca="1" si="157"/>
        <v>2.8763012916425239E-2</v>
      </c>
      <c r="AI186" s="77">
        <f t="shared" ca="1" si="158"/>
        <v>1.1484589373091348E-2</v>
      </c>
      <c r="AJ186" s="384">
        <f t="shared" ca="1" si="162"/>
        <v>1.2673576959537636E-2</v>
      </c>
      <c r="AU186" s="1"/>
    </row>
    <row r="187" spans="3:47" x14ac:dyDescent="0.25">
      <c r="C187" s="10">
        <f t="shared" si="175"/>
        <v>8</v>
      </c>
      <c r="D187" s="91">
        <f t="shared" si="170"/>
        <v>1</v>
      </c>
      <c r="E187" s="278"/>
      <c r="F187" s="76">
        <f t="shared" ref="F187:Q187" ca="1" si="199">F115</f>
        <v>-3.44</v>
      </c>
      <c r="G187" s="46">
        <f t="shared" ca="1" si="199"/>
        <v>27.012600000000003</v>
      </c>
      <c r="H187" s="46">
        <f t="shared" ca="1" si="141"/>
        <v>28.517550000000004</v>
      </c>
      <c r="I187" s="45">
        <f t="shared" ca="1" si="142"/>
        <v>1.6253779081695344E-2</v>
      </c>
      <c r="J187" s="45">
        <f t="shared" ca="1" si="143"/>
        <v>0.27952512346894071</v>
      </c>
      <c r="K187" s="45">
        <f t="shared" ca="1" si="163"/>
        <v>0.90345467800480783</v>
      </c>
      <c r="L187" s="358">
        <f t="shared" ca="1" si="144"/>
        <v>0.25329647647379749</v>
      </c>
      <c r="M187" s="76">
        <f t="shared" ca="1" si="199"/>
        <v>0.25347808785320641</v>
      </c>
      <c r="N187" s="45">
        <f t="shared" ca="1" si="199"/>
        <v>0.25</v>
      </c>
      <c r="O187" s="45">
        <f t="shared" ca="1" si="199"/>
        <v>0</v>
      </c>
      <c r="P187" s="46" t="str">
        <f t="shared" ca="1" si="199"/>
        <v/>
      </c>
      <c r="Q187" s="243" t="str">
        <f t="shared" ca="1" si="199"/>
        <v/>
      </c>
      <c r="R187" s="45">
        <f t="shared" ca="1" si="164"/>
        <v>0.1874075114634125</v>
      </c>
      <c r="S187" s="45">
        <f t="shared" ca="1" si="177"/>
        <v>5.0695617570641283E-2</v>
      </c>
      <c r="T187" s="77">
        <f t="shared" ca="1" si="148"/>
        <v>2.5212865139021298E-3</v>
      </c>
      <c r="U187" s="45">
        <f t="shared" ca="1" si="165"/>
        <v>16.968999044969124</v>
      </c>
      <c r="V187" s="45">
        <f t="shared" ca="1" si="149"/>
        <v>0.20278247028256513</v>
      </c>
      <c r="W187" s="77">
        <f t="shared" ca="1" si="150"/>
        <v>6.8938583073795481E-3</v>
      </c>
      <c r="X187" s="45">
        <f t="shared" ca="1" si="166"/>
        <v>0.93978659127099995</v>
      </c>
      <c r="Y187" s="45">
        <f t="shared" ca="1" si="151"/>
        <v>9.333654690548849E-4</v>
      </c>
      <c r="Z187" s="77">
        <f t="shared" ca="1" si="152"/>
        <v>8.3975419176461369E-4</v>
      </c>
      <c r="AA187" s="45">
        <f t="shared" ca="1" si="167"/>
        <v>39.243823481606434</v>
      </c>
      <c r="AB187" s="45">
        <f t="shared" ca="1" si="153"/>
        <v>0</v>
      </c>
      <c r="AC187" s="45" cm="1">
        <f t="array" aca="1" ref="AC187" ca="1">pHUM*(T187+W187+Z187+AD187)</f>
        <v>1.0980770224175117E-3</v>
      </c>
      <c r="AD187" s="77">
        <f t="shared" ca="1" si="154"/>
        <v>1.0630863292772927E-3</v>
      </c>
      <c r="AE187" s="45">
        <f t="shared" ca="1" si="168"/>
        <v>6.3847072090583081</v>
      </c>
      <c r="AF187" s="45">
        <f t="shared" ca="1" si="155"/>
        <v>0</v>
      </c>
      <c r="AG187" s="76">
        <f t="shared" ca="1" si="156"/>
        <v>63.724723838368277</v>
      </c>
      <c r="AH187" s="45">
        <f t="shared" ca="1" si="157"/>
        <v>9.2865428508511899E-3</v>
      </c>
      <c r="AI187" s="77">
        <f t="shared" ca="1" si="158"/>
        <v>1.2164149547463796E-2</v>
      </c>
      <c r="AJ187" s="384">
        <f t="shared" ca="1" si="162"/>
        <v>9.8256964531850954E-3</v>
      </c>
      <c r="AU187" s="1"/>
    </row>
    <row r="188" spans="3:47" x14ac:dyDescent="0.25">
      <c r="C188" s="10">
        <f t="shared" si="175"/>
        <v>8</v>
      </c>
      <c r="D188" s="91">
        <f t="shared" si="170"/>
        <v>2</v>
      </c>
      <c r="E188" s="278"/>
      <c r="F188" s="76">
        <f t="shared" ref="F188:Q188" ca="1" si="200">F116</f>
        <v>-1.65</v>
      </c>
      <c r="G188" s="46">
        <f t="shared" ca="1" si="200"/>
        <v>27.012600000000003</v>
      </c>
      <c r="H188" s="46">
        <f t="shared" ca="1" si="141"/>
        <v>28.517550000000004</v>
      </c>
      <c r="I188" s="45">
        <f t="shared" ca="1" si="142"/>
        <v>3.508132091145684E-2</v>
      </c>
      <c r="J188" s="45">
        <f t="shared" ca="1" si="143"/>
        <v>0.27952512346894071</v>
      </c>
      <c r="K188" s="45">
        <f t="shared" ca="1" si="163"/>
        <v>0.90345467800480783</v>
      </c>
      <c r="L188" s="358">
        <f t="shared" ca="1" si="144"/>
        <v>0.30703519550320224</v>
      </c>
      <c r="M188" s="76">
        <f t="shared" ca="1" si="200"/>
        <v>0.25347808785320641</v>
      </c>
      <c r="N188" s="45">
        <f t="shared" ca="1" si="200"/>
        <v>0.25</v>
      </c>
      <c r="O188" s="45">
        <f t="shared" ca="1" si="200"/>
        <v>0</v>
      </c>
      <c r="P188" s="46" t="str">
        <f t="shared" ca="1" si="200"/>
        <v/>
      </c>
      <c r="Q188" s="243" t="str">
        <f t="shared" ca="1" si="200"/>
        <v/>
      </c>
      <c r="R188" s="45">
        <f t="shared" ca="1" si="164"/>
        <v>0.23558184252015166</v>
      </c>
      <c r="S188" s="45">
        <f t="shared" ca="1" si="177"/>
        <v>5.0695617570641283E-2</v>
      </c>
      <c r="T188" s="77">
        <f t="shared" ca="1" si="148"/>
        <v>6.7874054706907232E-3</v>
      </c>
      <c r="U188" s="45">
        <f t="shared" ca="1" si="165"/>
        <v>17.164887656944309</v>
      </c>
      <c r="V188" s="45">
        <f t="shared" ca="1" si="149"/>
        <v>0.20278247028256513</v>
      </c>
      <c r="W188" s="77">
        <f t="shared" ca="1" si="150"/>
        <v>1.5047573733487665E-2</v>
      </c>
      <c r="X188" s="45">
        <f t="shared" ca="1" si="166"/>
        <v>0.93988020254829019</v>
      </c>
      <c r="Y188" s="45">
        <f t="shared" ca="1" si="151"/>
        <v>2.139303216010096E-3</v>
      </c>
      <c r="Z188" s="77">
        <f t="shared" ca="1" si="152"/>
        <v>1.8117247464745927E-3</v>
      </c>
      <c r="AA188" s="45">
        <f t="shared" ca="1" si="167"/>
        <v>39.243858472299578</v>
      </c>
      <c r="AB188" s="45">
        <f t="shared" ca="1" si="153"/>
        <v>0</v>
      </c>
      <c r="AC188" s="45" cm="1">
        <f t="array" aca="1" ref="AC188" ca="1">pHUM*(T188+W188+Z188+AD188)</f>
        <v>2.5168273129530542E-3</v>
      </c>
      <c r="AD188" s="77">
        <f t="shared" ca="1" si="154"/>
        <v>2.294476909728946E-3</v>
      </c>
      <c r="AE188" s="45">
        <f t="shared" ca="1" si="168"/>
        <v>6.3847072090583081</v>
      </c>
      <c r="AF188" s="45">
        <f t="shared" ca="1" si="155"/>
        <v>0</v>
      </c>
      <c r="AG188" s="76">
        <f t="shared" ca="1" si="156"/>
        <v>63.968915383370636</v>
      </c>
      <c r="AH188" s="45">
        <f t="shared" ca="1" si="157"/>
        <v>2.1285050331418774E-2</v>
      </c>
      <c r="AI188" s="77">
        <f t="shared" ca="1" si="158"/>
        <v>1.2894858833576786E-2</v>
      </c>
      <c r="AJ188" s="384">
        <f t="shared" ca="1" si="162"/>
        <v>1.2625716995926517E-2</v>
      </c>
      <c r="AU188" s="1"/>
    </row>
    <row r="189" spans="3:47" x14ac:dyDescent="0.25">
      <c r="C189" s="10">
        <f t="shared" si="175"/>
        <v>8</v>
      </c>
      <c r="D189" s="91">
        <f t="shared" si="170"/>
        <v>3</v>
      </c>
      <c r="E189" s="278"/>
      <c r="F189" s="76">
        <f t="shared" ref="F189:Q189" ca="1" si="201">F117</f>
        <v>4.68</v>
      </c>
      <c r="G189" s="46">
        <f t="shared" ca="1" si="201"/>
        <v>27.012600000000003</v>
      </c>
      <c r="H189" s="46">
        <f t="shared" ca="1" si="141"/>
        <v>28.517550000000004</v>
      </c>
      <c r="I189" s="45">
        <f t="shared" ca="1" si="142"/>
        <v>0.20228669449817699</v>
      </c>
      <c r="J189" s="45">
        <f t="shared" ca="1" si="143"/>
        <v>0.27952512346894071</v>
      </c>
      <c r="K189" s="45">
        <f t="shared" ca="1" si="163"/>
        <v>0.90345467800480783</v>
      </c>
      <c r="L189" s="358">
        <f t="shared" ca="1" si="144"/>
        <v>0.53248567772813127</v>
      </c>
      <c r="M189" s="76">
        <f t="shared" ca="1" si="201"/>
        <v>0.25347808785320641</v>
      </c>
      <c r="N189" s="45">
        <f t="shared" ca="1" si="201"/>
        <v>0.25</v>
      </c>
      <c r="O189" s="45">
        <f t="shared" ca="1" si="201"/>
        <v>0</v>
      </c>
      <c r="P189" s="46" t="str">
        <f t="shared" ca="1" si="201"/>
        <v/>
      </c>
      <c r="Q189" s="243" t="str">
        <f t="shared" ca="1" si="201"/>
        <v/>
      </c>
      <c r="R189" s="45">
        <f t="shared" ca="1" si="164"/>
        <v>0.27949005462010218</v>
      </c>
      <c r="S189" s="45">
        <f t="shared" ca="1" si="177"/>
        <v>5.0695617570641283E-2</v>
      </c>
      <c r="T189" s="77">
        <f t="shared" ca="1" si="148"/>
        <v>4.3357229787122385E-2</v>
      </c>
      <c r="U189" s="45">
        <f t="shared" ca="1" si="165"/>
        <v>17.352622553493386</v>
      </c>
      <c r="V189" s="45">
        <f t="shared" ca="1" si="149"/>
        <v>0.20278247028256513</v>
      </c>
      <c r="W189" s="77">
        <f t="shared" ca="1" si="150"/>
        <v>8.7533593858061282E-2</v>
      </c>
      <c r="X189" s="45">
        <f t="shared" ca="1" si="166"/>
        <v>0.94020778101782565</v>
      </c>
      <c r="Y189" s="45">
        <f t="shared" ca="1" si="151"/>
        <v>1.2743042772980847E-2</v>
      </c>
      <c r="Z189" s="77">
        <f t="shared" ca="1" si="152"/>
        <v>1.0402558298328663E-2</v>
      </c>
      <c r="AA189" s="45">
        <f t="shared" ca="1" si="167"/>
        <v>39.244080822702799</v>
      </c>
      <c r="AB189" s="45">
        <f t="shared" ca="1" si="153"/>
        <v>0</v>
      </c>
      <c r="AC189" s="45" cm="1">
        <f t="array" aca="1" ref="AC189" ca="1">pHUM*(T189+W189+Z189+AD189)</f>
        <v>1.4991815027036292E-2</v>
      </c>
      <c r="AD189" s="77">
        <f t="shared" ca="1" si="154"/>
        <v>1.3228695530856701E-2</v>
      </c>
      <c r="AE189" s="45">
        <f t="shared" ca="1" si="168"/>
        <v>6.3847072090583081</v>
      </c>
      <c r="AF189" s="45">
        <f t="shared" ca="1" si="155"/>
        <v>0</v>
      </c>
      <c r="AG189" s="76">
        <f t="shared" ca="1" si="156"/>
        <v>64.201108420892425</v>
      </c>
      <c r="AH189" s="45">
        <f t="shared" ca="1" si="157"/>
        <v>0.12678721967435191</v>
      </c>
      <c r="AI189" s="77">
        <f t="shared" ca="1" si="158"/>
        <v>1.3557436221992509E-2</v>
      </c>
      <c r="AJ189" s="384">
        <f t="shared" ca="1" si="162"/>
        <v>2.3021442814490367E-2</v>
      </c>
      <c r="AU189" s="1"/>
    </row>
    <row r="190" spans="3:47" x14ac:dyDescent="0.25">
      <c r="C190" s="10">
        <f t="shared" si="175"/>
        <v>8</v>
      </c>
      <c r="D190" s="91">
        <f t="shared" si="170"/>
        <v>4</v>
      </c>
      <c r="E190" s="278"/>
      <c r="F190" s="76">
        <f t="shared" ref="F190:Q190" ca="1" si="202">F118</f>
        <v>7.69</v>
      </c>
      <c r="G190" s="46">
        <f t="shared" ca="1" si="202"/>
        <v>27.012600000000003</v>
      </c>
      <c r="H190" s="46">
        <f t="shared" ca="1" si="141"/>
        <v>28.517550000000004</v>
      </c>
      <c r="I190" s="45">
        <f t="shared" ca="1" si="142"/>
        <v>0.3433111911106958</v>
      </c>
      <c r="J190" s="45">
        <f t="shared" ca="1" si="143"/>
        <v>0.27952512346894071</v>
      </c>
      <c r="K190" s="45">
        <f t="shared" ca="1" si="163"/>
        <v>0.90345467800480783</v>
      </c>
      <c r="L190" s="358">
        <f t="shared" ca="1" si="144"/>
        <v>0.64074183470648283</v>
      </c>
      <c r="M190" s="76">
        <f t="shared" ca="1" si="202"/>
        <v>0.25347808785320641</v>
      </c>
      <c r="N190" s="45">
        <f t="shared" ca="1" si="202"/>
        <v>0.25</v>
      </c>
      <c r="O190" s="45">
        <f t="shared" ca="1" si="202"/>
        <v>0</v>
      </c>
      <c r="P190" s="46" t="str">
        <f t="shared" ca="1" si="202"/>
        <v/>
      </c>
      <c r="Q190" s="243" t="str">
        <f t="shared" ca="1" si="202"/>
        <v/>
      </c>
      <c r="R190" s="45">
        <f t="shared" ca="1" si="164"/>
        <v>0.2868284424036211</v>
      </c>
      <c r="S190" s="45">
        <f t="shared" ca="1" si="177"/>
        <v>5.0695617570641283E-2</v>
      </c>
      <c r="T190" s="77">
        <f t="shared" ca="1" si="148"/>
        <v>7.1364922050609972E-2</v>
      </c>
      <c r="U190" s="45">
        <f t="shared" ca="1" si="165"/>
        <v>17.467871429917889</v>
      </c>
      <c r="V190" s="45">
        <f t="shared" ca="1" si="149"/>
        <v>0.20278247028256513</v>
      </c>
      <c r="W190" s="77">
        <f t="shared" ca="1" si="150"/>
        <v>0.14928135279267571</v>
      </c>
      <c r="X190" s="45">
        <f t="shared" ca="1" si="166"/>
        <v>0.94254826549247783</v>
      </c>
      <c r="Y190" s="45">
        <f t="shared" ca="1" si="151"/>
        <v>2.150141675846921E-2</v>
      </c>
      <c r="Z190" s="77">
        <f t="shared" ca="1" si="152"/>
        <v>1.7630332422105505E-2</v>
      </c>
      <c r="AA190" s="45">
        <f t="shared" ca="1" si="167"/>
        <v>39.245843942198981</v>
      </c>
      <c r="AB190" s="45">
        <f t="shared" ca="1" si="153"/>
        <v>0</v>
      </c>
      <c r="AC190" s="45" cm="1">
        <f t="array" aca="1" ref="AC190" ca="1">pHUM*(T190+W190+Z190+AD190)</f>
        <v>2.5295784421728484E-2</v>
      </c>
      <c r="AD190" s="77">
        <f t="shared" ca="1" si="154"/>
        <v>2.2449472474800388E-2</v>
      </c>
      <c r="AE190" s="45">
        <f t="shared" ca="1" si="168"/>
        <v>6.3847072090583081</v>
      </c>
      <c r="AF190" s="45">
        <f t="shared" ca="1" si="155"/>
        <v>0</v>
      </c>
      <c r="AG190" s="76">
        <f t="shared" ca="1" si="156"/>
        <v>64.32779928907128</v>
      </c>
      <c r="AH190" s="45">
        <f t="shared" ca="1" si="157"/>
        <v>0.2139288785599939</v>
      </c>
      <c r="AI190" s="77">
        <f t="shared" ca="1" si="158"/>
        <v>1.3685330792525053E-2</v>
      </c>
      <c r="AJ190" s="384">
        <f t="shared" ca="1" si="162"/>
        <v>2.7962976166282516E-2</v>
      </c>
      <c r="AU190" s="1"/>
    </row>
    <row r="191" spans="3:47" x14ac:dyDescent="0.25">
      <c r="C191" s="10">
        <f t="shared" si="175"/>
        <v>8</v>
      </c>
      <c r="D191" s="91">
        <f t="shared" si="170"/>
        <v>5</v>
      </c>
      <c r="E191" s="278"/>
      <c r="F191" s="76">
        <f t="shared" ref="F191:Q191" ca="1" si="203">F119</f>
        <v>15.52</v>
      </c>
      <c r="G191" s="46">
        <f t="shared" ca="1" si="203"/>
        <v>27.012600000000003</v>
      </c>
      <c r="H191" s="46">
        <f t="shared" ca="1" si="141"/>
        <v>28.517550000000004</v>
      </c>
      <c r="I191" s="45">
        <f t="shared" ca="1" si="142"/>
        <v>0.86230369296737164</v>
      </c>
      <c r="J191" s="45">
        <f t="shared" ca="1" si="143"/>
        <v>0.27952512346894071</v>
      </c>
      <c r="K191" s="45">
        <f t="shared" ca="1" si="163"/>
        <v>0.90345467800480783</v>
      </c>
      <c r="L191" s="358">
        <f t="shared" ca="1" si="144"/>
        <v>0.85046529796407655</v>
      </c>
      <c r="M191" s="76">
        <f t="shared" ca="1" si="203"/>
        <v>0.25347808785320641</v>
      </c>
      <c r="N191" s="45">
        <f t="shared" ca="1" si="203"/>
        <v>0.25</v>
      </c>
      <c r="O191" s="45">
        <f t="shared" ca="1" si="203"/>
        <v>0</v>
      </c>
      <c r="P191" s="46" t="str">
        <f t="shared" ca="1" si="203"/>
        <v/>
      </c>
      <c r="Q191" s="243" t="str">
        <f t="shared" ca="1" si="203"/>
        <v/>
      </c>
      <c r="R191" s="45">
        <f t="shared" ca="1" si="164"/>
        <v>0.26615913792365242</v>
      </c>
      <c r="S191" s="45">
        <f t="shared" ca="1" si="177"/>
        <v>5.0695617570641283E-2</v>
      </c>
      <c r="T191" s="77">
        <f t="shared" ca="1" si="148"/>
        <v>0.13642231208113587</v>
      </c>
      <c r="U191" s="45">
        <f t="shared" ca="1" si="165"/>
        <v>17.521372547407775</v>
      </c>
      <c r="V191" s="45">
        <f t="shared" ca="1" si="149"/>
        <v>0.20278247028256513</v>
      </c>
      <c r="W191" s="77">
        <f t="shared" ca="1" si="150"/>
        <v>0.37367635365823482</v>
      </c>
      <c r="X191" s="45">
        <f t="shared" ca="1" si="166"/>
        <v>0.94641934982884146</v>
      </c>
      <c r="Y191" s="45">
        <f t="shared" ca="1" si="151"/>
        <v>5.0330144177728596E-2</v>
      </c>
      <c r="Z191" s="77">
        <f t="shared" ca="1" si="152"/>
        <v>4.3837791862880796E-2</v>
      </c>
      <c r="AA191" s="45">
        <f t="shared" ca="1" si="167"/>
        <v>39.248690254145913</v>
      </c>
      <c r="AB191" s="45">
        <f t="shared" ca="1" si="153"/>
        <v>0</v>
      </c>
      <c r="AC191" s="45" cm="1">
        <f t="array" aca="1" ref="AC191" ca="1">pHUM*(T191+W191+Z191+AD191)</f>
        <v>5.9211934326739525E-2</v>
      </c>
      <c r="AD191" s="77">
        <f t="shared" ca="1" si="154"/>
        <v>5.6366636915881514E-2</v>
      </c>
      <c r="AE191" s="45">
        <f t="shared" ca="1" si="168"/>
        <v>6.3847072090583081</v>
      </c>
      <c r="AF191" s="45">
        <f t="shared" ca="1" si="155"/>
        <v>0</v>
      </c>
      <c r="AG191" s="76">
        <f t="shared" ca="1" si="156"/>
        <v>64.367348498364493</v>
      </c>
      <c r="AH191" s="45">
        <f t="shared" ca="1" si="157"/>
        <v>0.50076101601366496</v>
      </c>
      <c r="AI191" s="77">
        <f t="shared" ca="1" si="158"/>
        <v>1.3405756033212871E-2</v>
      </c>
      <c r="AJ191" s="384">
        <f t="shared" ca="1" si="162"/>
        <v>3.6357120739904936E-2</v>
      </c>
      <c r="AU191" s="1"/>
    </row>
    <row r="192" spans="3:47" x14ac:dyDescent="0.25">
      <c r="C192" s="10">
        <f t="shared" si="175"/>
        <v>8</v>
      </c>
      <c r="D192" s="91">
        <f t="shared" si="170"/>
        <v>6</v>
      </c>
      <c r="E192" s="278"/>
      <c r="F192" s="76">
        <f t="shared" ref="F192:Q192" ca="1" si="204">F120</f>
        <v>17.8</v>
      </c>
      <c r="G192" s="46">
        <f t="shared" ca="1" si="204"/>
        <v>27.012600000000003</v>
      </c>
      <c r="H192" s="46">
        <f t="shared" ca="1" si="141"/>
        <v>28.517550000000004</v>
      </c>
      <c r="I192" s="45">
        <f t="shared" ca="1" si="142"/>
        <v>1.0420430221807615</v>
      </c>
      <c r="J192" s="45">
        <f t="shared" ca="1" si="143"/>
        <v>0.27952512346894071</v>
      </c>
      <c r="K192" s="45">
        <f t="shared" ca="1" si="163"/>
        <v>0.90345467800480783</v>
      </c>
      <c r="L192" s="358">
        <f t="shared" ca="1" si="144"/>
        <v>0.88796358149435028</v>
      </c>
      <c r="M192" s="76">
        <f t="shared" ca="1" si="204"/>
        <v>0.25347808785320641</v>
      </c>
      <c r="N192" s="45">
        <f t="shared" ca="1" si="204"/>
        <v>0.25</v>
      </c>
      <c r="O192" s="45">
        <f t="shared" ca="1" si="204"/>
        <v>0</v>
      </c>
      <c r="P192" s="46" t="str">
        <f t="shared" ca="1" si="204"/>
        <v/>
      </c>
      <c r="Q192" s="243" t="str">
        <f t="shared" ca="1" si="204"/>
        <v/>
      </c>
      <c r="R192" s="45">
        <f t="shared" ca="1" si="164"/>
        <v>0.18043244341315784</v>
      </c>
      <c r="S192" s="45">
        <f t="shared" ca="1" si="177"/>
        <v>5.0695617570641283E-2</v>
      </c>
      <c r="T192" s="77">
        <f t="shared" ca="1" si="148"/>
        <v>0.10471661384205616</v>
      </c>
      <c r="U192" s="45">
        <f t="shared" ca="1" si="165"/>
        <v>17.350478664032103</v>
      </c>
      <c r="V192" s="45">
        <f t="shared" ca="1" si="149"/>
        <v>0.20278247028256513</v>
      </c>
      <c r="W192" s="77">
        <f t="shared" ca="1" si="150"/>
        <v>0.4461618995598266</v>
      </c>
      <c r="X192" s="45">
        <f t="shared" ca="1" si="166"/>
        <v>0.95291170214368925</v>
      </c>
      <c r="Y192" s="45">
        <f t="shared" ca="1" si="151"/>
        <v>5.5423663018346073E-2</v>
      </c>
      <c r="Z192" s="77">
        <f t="shared" ca="1" si="152"/>
        <v>5.3078081199701442E-2</v>
      </c>
      <c r="AA192" s="45">
        <f t="shared" ca="1" si="167"/>
        <v>39.251535551556771</v>
      </c>
      <c r="AB192" s="45">
        <f t="shared" ca="1" si="153"/>
        <v>0</v>
      </c>
      <c r="AC192" s="45" cm="1">
        <f t="array" aca="1" ref="AC192" ca="1">pHUM*(T192+W192+Z192+AD192)</f>
        <v>6.5204309433348318E-2</v>
      </c>
      <c r="AD192" s="77">
        <f t="shared" ca="1" si="154"/>
        <v>6.8110485718735861E-2</v>
      </c>
      <c r="AE192" s="45">
        <f t="shared" ca="1" si="168"/>
        <v>6.3847072090583081</v>
      </c>
      <c r="AF192" s="45">
        <f t="shared" ca="1" si="155"/>
        <v>0</v>
      </c>
      <c r="AG192" s="76">
        <f t="shared" ca="1" si="156"/>
        <v>64.120065570204034</v>
      </c>
      <c r="AH192" s="45">
        <f t="shared" ca="1" si="157"/>
        <v>0.55143910786862582</v>
      </c>
      <c r="AI192" s="77">
        <f t="shared" ca="1" si="158"/>
        <v>1.2158090389914776E-2</v>
      </c>
      <c r="AJ192" s="384">
        <f t="shared" ca="1" si="162"/>
        <v>3.4427293827280492E-2</v>
      </c>
      <c r="AU192" s="1"/>
    </row>
    <row r="193" spans="3:47" x14ac:dyDescent="0.25">
      <c r="C193" s="10">
        <f t="shared" si="175"/>
        <v>8</v>
      </c>
      <c r="D193" s="91">
        <f t="shared" si="170"/>
        <v>7</v>
      </c>
      <c r="E193" s="278"/>
      <c r="F193" s="76">
        <f t="shared" ref="F193:Q193" ca="1" si="205">F121</f>
        <v>22.99</v>
      </c>
      <c r="G193" s="46">
        <f t="shared" ca="1" si="205"/>
        <v>27.012600000000003</v>
      </c>
      <c r="H193" s="46">
        <f t="shared" ca="1" si="141"/>
        <v>28.517550000000004</v>
      </c>
      <c r="I193" s="45">
        <f t="shared" ca="1" si="142"/>
        <v>1.4752596357037575</v>
      </c>
      <c r="J193" s="45">
        <f t="shared" ca="1" si="143"/>
        <v>0.27952512346894071</v>
      </c>
      <c r="K193" s="45">
        <f t="shared" ca="1" si="163"/>
        <v>0.90345467800480783</v>
      </c>
      <c r="L193" s="358">
        <f t="shared" ca="1" si="144"/>
        <v>0.94206720469222516</v>
      </c>
      <c r="M193" s="76">
        <f t="shared" ca="1" si="205"/>
        <v>0.25347808785320641</v>
      </c>
      <c r="N193" s="45">
        <f t="shared" ca="1" si="205"/>
        <v>0.25</v>
      </c>
      <c r="O193" s="45">
        <f t="shared" ca="1" si="205"/>
        <v>0</v>
      </c>
      <c r="P193" s="46" t="str">
        <f t="shared" ca="1" si="205"/>
        <v/>
      </c>
      <c r="Q193" s="243" t="str">
        <f t="shared" ca="1" si="205"/>
        <v/>
      </c>
      <c r="R193" s="45">
        <f t="shared" ca="1" si="164"/>
        <v>0.12641144714174296</v>
      </c>
      <c r="S193" s="45">
        <f t="shared" ca="1" si="177"/>
        <v>5.0695617570641283E-2</v>
      </c>
      <c r="T193" s="77">
        <f t="shared" ca="1" si="148"/>
        <v>8.9439515862024505E-2</v>
      </c>
      <c r="U193" s="45">
        <f t="shared" ca="1" si="165"/>
        <v>17.107099234754841</v>
      </c>
      <c r="V193" s="45">
        <f t="shared" ca="1" si="149"/>
        <v>0.20278247028256513</v>
      </c>
      <c r="W193" s="77">
        <f t="shared" ca="1" si="150"/>
        <v>0.61944213542260917</v>
      </c>
      <c r="X193" s="45">
        <f t="shared" ca="1" si="166"/>
        <v>0.95525728396233378</v>
      </c>
      <c r="Y193" s="45">
        <f t="shared" ca="1" si="151"/>
        <v>7.2547779522491543E-2</v>
      </c>
      <c r="Z193" s="77">
        <f t="shared" ca="1" si="152"/>
        <v>7.4447730652144994E-2</v>
      </c>
      <c r="AA193" s="45">
        <f t="shared" ca="1" si="167"/>
        <v>39.248629375271385</v>
      </c>
      <c r="AB193" s="45">
        <f t="shared" ca="1" si="153"/>
        <v>0</v>
      </c>
      <c r="AC193" s="45" cm="1">
        <f t="array" aca="1" ref="AC193" ca="1">pHUM*(T193+W193+Z193+AD193)</f>
        <v>8.535032884999004E-2</v>
      </c>
      <c r="AD193" s="77">
        <f t="shared" ca="1" si="154"/>
        <v>9.6384655572144221E-2</v>
      </c>
      <c r="AE193" s="45">
        <f t="shared" ca="1" si="168"/>
        <v>6.3847072090583081</v>
      </c>
      <c r="AF193" s="45">
        <f t="shared" ca="1" si="155"/>
        <v>0</v>
      </c>
      <c r="AG193" s="76">
        <f t="shared" ca="1" si="156"/>
        <v>63.822104550188605</v>
      </c>
      <c r="AH193" s="45">
        <f t="shared" ca="1" si="157"/>
        <v>0.72181592913644133</v>
      </c>
      <c r="AI193" s="77">
        <f t="shared" ca="1" si="158"/>
        <v>1.1333624372476259E-2</v>
      </c>
      <c r="AJ193" s="384">
        <f t="shared" ca="1" si="162"/>
        <v>3.404812648561073E-2</v>
      </c>
      <c r="AU193" s="1"/>
    </row>
    <row r="194" spans="3:47" x14ac:dyDescent="0.25">
      <c r="C194" s="10">
        <f t="shared" si="175"/>
        <v>8</v>
      </c>
      <c r="D194" s="91">
        <f t="shared" si="170"/>
        <v>8</v>
      </c>
      <c r="E194" s="278"/>
      <c r="F194" s="76">
        <f t="shared" ref="F194:Q194" ca="1" si="206">F122</f>
        <v>21.76</v>
      </c>
      <c r="G194" s="46">
        <f t="shared" ca="1" si="206"/>
        <v>27.012600000000003</v>
      </c>
      <c r="H194" s="46">
        <f t="shared" ca="1" si="141"/>
        <v>28.517550000000004</v>
      </c>
      <c r="I194" s="45">
        <f t="shared" ca="1" si="142"/>
        <v>1.3706166748122235</v>
      </c>
      <c r="J194" s="45">
        <f t="shared" ca="1" si="143"/>
        <v>0.27952512346894071</v>
      </c>
      <c r="K194" s="45">
        <f t="shared" ca="1" si="163"/>
        <v>0.90345467800480783</v>
      </c>
      <c r="L194" s="358">
        <f t="shared" ca="1" si="144"/>
        <v>0.93252308258228611</v>
      </c>
      <c r="M194" s="76">
        <f t="shared" ca="1" si="206"/>
        <v>0.25347808785320641</v>
      </c>
      <c r="N194" s="45">
        <f t="shared" ca="1" si="206"/>
        <v>0.25</v>
      </c>
      <c r="O194" s="45">
        <f t="shared" ca="1" si="206"/>
        <v>0</v>
      </c>
      <c r="P194" s="46" t="str">
        <f t="shared" ca="1" si="206"/>
        <v/>
      </c>
      <c r="Q194" s="243" t="str">
        <f t="shared" ca="1" si="206"/>
        <v/>
      </c>
      <c r="R194" s="45">
        <f t="shared" ca="1" si="164"/>
        <v>8.7667548850359739E-2</v>
      </c>
      <c r="S194" s="45">
        <f t="shared" ca="1" si="177"/>
        <v>5.0695617570641283E-2</v>
      </c>
      <c r="T194" s="77">
        <f t="shared" ca="1" si="148"/>
        <v>5.9690870583984493E-2</v>
      </c>
      <c r="U194" s="45">
        <f t="shared" ca="1" si="165"/>
        <v>16.690439569614796</v>
      </c>
      <c r="V194" s="45">
        <f t="shared" ca="1" si="149"/>
        <v>0.20278247028256513</v>
      </c>
      <c r="W194" s="77">
        <f t="shared" ca="1" si="150"/>
        <v>0.56221755209788216</v>
      </c>
      <c r="X194" s="45">
        <f t="shared" ca="1" si="166"/>
        <v>0.95335733283268032</v>
      </c>
      <c r="Y194" s="45">
        <f t="shared" ca="1" si="151"/>
        <v>6.4379435515308378E-2</v>
      </c>
      <c r="Z194" s="77">
        <f t="shared" ca="1" si="152"/>
        <v>6.9225775555513014E-2</v>
      </c>
      <c r="AA194" s="45">
        <f t="shared" ca="1" si="167"/>
        <v>39.237595048549231</v>
      </c>
      <c r="AB194" s="45">
        <f t="shared" ca="1" si="153"/>
        <v>0</v>
      </c>
      <c r="AC194" s="45" cm="1">
        <f t="array" aca="1" ref="AC194" ca="1">pHUM*(T194+W194+Z194+AD194)</f>
        <v>7.574051237095103E-2</v>
      </c>
      <c r="AD194" s="77">
        <f t="shared" ca="1" si="154"/>
        <v>8.9530537781989772E-2</v>
      </c>
      <c r="AE194" s="45">
        <f t="shared" ca="1" si="168"/>
        <v>6.3847072090583081</v>
      </c>
      <c r="AF194" s="45">
        <f t="shared" ca="1" si="155"/>
        <v>0</v>
      </c>
      <c r="AG194" s="76">
        <f t="shared" ca="1" si="156"/>
        <v>63.353766708905368</v>
      </c>
      <c r="AH194" s="45">
        <f t="shared" ca="1" si="157"/>
        <v>0.64054478813311011</v>
      </c>
      <c r="AI194" s="77">
        <f t="shared" ca="1" si="158"/>
        <v>1.0675056431360169E-2</v>
      </c>
      <c r="AJ194" s="384">
        <f t="shared" ca="1" si="162"/>
        <v>3.1744846638808166E-2</v>
      </c>
      <c r="AU194" s="1"/>
    </row>
    <row r="195" spans="3:47" x14ac:dyDescent="0.25">
      <c r="C195" s="10">
        <f t="shared" si="175"/>
        <v>8</v>
      </c>
      <c r="D195" s="91">
        <f t="shared" si="170"/>
        <v>9</v>
      </c>
      <c r="E195" s="278"/>
      <c r="F195" s="76">
        <f t="shared" ref="F195:Q195" ca="1" si="207">F123</f>
        <v>16.16</v>
      </c>
      <c r="G195" s="46">
        <f t="shared" ca="1" si="207"/>
        <v>27.012600000000003</v>
      </c>
      <c r="H195" s="46">
        <f t="shared" ca="1" si="141"/>
        <v>28.517550000000004</v>
      </c>
      <c r="I195" s="45">
        <f t="shared" ca="1" si="142"/>
        <v>0.91183635166446475</v>
      </c>
      <c r="J195" s="45">
        <f t="shared" ca="1" si="143"/>
        <v>0.27952512346894071</v>
      </c>
      <c r="K195" s="45">
        <f t="shared" ca="1" si="163"/>
        <v>0.90345467800480783</v>
      </c>
      <c r="L195" s="358">
        <f t="shared" ca="1" si="144"/>
        <v>0.86198800670670384</v>
      </c>
      <c r="M195" s="76">
        <f t="shared" ca="1" si="207"/>
        <v>0.25347808785320641</v>
      </c>
      <c r="N195" s="45">
        <f t="shared" ca="1" si="207"/>
        <v>0.25</v>
      </c>
      <c r="O195" s="45">
        <f t="shared" ca="1" si="207"/>
        <v>0</v>
      </c>
      <c r="P195" s="46" t="str">
        <f t="shared" ca="1" si="207"/>
        <v/>
      </c>
      <c r="Q195" s="243" t="str">
        <f t="shared" ca="1" si="207"/>
        <v/>
      </c>
      <c r="R195" s="45">
        <f t="shared" ca="1" si="164"/>
        <v>7.8672295837016529E-2</v>
      </c>
      <c r="S195" s="45">
        <f t="shared" ca="1" si="177"/>
        <v>5.0695617570641283E-2</v>
      </c>
      <c r="T195" s="77">
        <f t="shared" ca="1" si="148"/>
        <v>4.1874886484751211E-2</v>
      </c>
      <c r="U195" s="45">
        <f t="shared" ca="1" si="165"/>
        <v>16.331004487799479</v>
      </c>
      <c r="V195" s="45">
        <f t="shared" ca="1" si="149"/>
        <v>0.20278247028256513</v>
      </c>
      <c r="W195" s="77">
        <f t="shared" ca="1" si="150"/>
        <v>0.3680689171612172</v>
      </c>
      <c r="X195" s="45">
        <f t="shared" ca="1" si="166"/>
        <v>0.94851099279247575</v>
      </c>
      <c r="Y195" s="45">
        <f t="shared" ca="1" si="151"/>
        <v>4.2545263950797239E-2</v>
      </c>
      <c r="Z195" s="77">
        <f t="shared" ca="1" si="152"/>
        <v>4.6395656092721824E-2</v>
      </c>
      <c r="AA195" s="45">
        <f t="shared" ca="1" si="167"/>
        <v>39.223805023138191</v>
      </c>
      <c r="AB195" s="45">
        <f t="shared" ca="1" si="153"/>
        <v>0</v>
      </c>
      <c r="AC195" s="45" cm="1">
        <f t="array" aca="1" ref="AC195" ca="1">pHUM*(T195+W195+Z195+AD195)</f>
        <v>5.0053251706820276E-2</v>
      </c>
      <c r="AD195" s="77">
        <f t="shared" ca="1" si="154"/>
        <v>5.9564213308052685E-2</v>
      </c>
      <c r="AE195" s="45">
        <f t="shared" ca="1" si="168"/>
        <v>6.3847072090583081</v>
      </c>
      <c r="AF195" s="45">
        <f t="shared" ca="1" si="155"/>
        <v>0</v>
      </c>
      <c r="AG195" s="76">
        <f t="shared" ca="1" si="156"/>
        <v>62.966700008625466</v>
      </c>
      <c r="AH195" s="45">
        <f t="shared" ca="1" si="157"/>
        <v>0.42330515738912544</v>
      </c>
      <c r="AI195" s="77">
        <f t="shared" ca="1" si="158"/>
        <v>1.0451672739703171E-2</v>
      </c>
      <c r="AJ195" s="384">
        <f t="shared" ca="1" si="162"/>
        <v>2.8729741911405204E-2</v>
      </c>
      <c r="AU195" s="1"/>
    </row>
    <row r="196" spans="3:47" x14ac:dyDescent="0.25">
      <c r="C196" s="10">
        <f t="shared" si="175"/>
        <v>8</v>
      </c>
      <c r="D196" s="91">
        <f t="shared" si="170"/>
        <v>10</v>
      </c>
      <c r="E196" s="278"/>
      <c r="F196" s="76">
        <f t="shared" ref="F196:Q196" ca="1" si="208">F124</f>
        <v>11.21</v>
      </c>
      <c r="G196" s="46">
        <f t="shared" ca="1" si="208"/>
        <v>27.012600000000003</v>
      </c>
      <c r="H196" s="46">
        <f t="shared" ca="1" si="141"/>
        <v>28.517550000000004</v>
      </c>
      <c r="I196" s="45">
        <f t="shared" ca="1" si="142"/>
        <v>0.55341948356365211</v>
      </c>
      <c r="J196" s="45">
        <f t="shared" ca="1" si="143"/>
        <v>0.27952512346894071</v>
      </c>
      <c r="K196" s="45">
        <f t="shared" ca="1" si="163"/>
        <v>0.90345467800480783</v>
      </c>
      <c r="L196" s="358">
        <f t="shared" ca="1" si="144"/>
        <v>0.75061725573145499</v>
      </c>
      <c r="M196" s="76">
        <f t="shared" ca="1" si="208"/>
        <v>0.25347808785320641</v>
      </c>
      <c r="N196" s="45">
        <f t="shared" ca="1" si="208"/>
        <v>0.25</v>
      </c>
      <c r="O196" s="45">
        <f t="shared" ca="1" si="208"/>
        <v>0</v>
      </c>
      <c r="P196" s="46" t="str">
        <f t="shared" ca="1" si="208"/>
        <v/>
      </c>
      <c r="Q196" s="243" t="str">
        <f t="shared" ca="1" si="208"/>
        <v/>
      </c>
      <c r="R196" s="45">
        <f t="shared" ca="1" si="164"/>
        <v>8.7493026922906586E-2</v>
      </c>
      <c r="S196" s="45">
        <f t="shared" ca="1" si="177"/>
        <v>5.0695617570641283E-2</v>
      </c>
      <c r="T196" s="77">
        <f t="shared" ca="1" si="148"/>
        <v>3.2325406484756646E-2</v>
      </c>
      <c r="U196" s="45">
        <f t="shared" ca="1" si="165"/>
        <v>16.165718040920826</v>
      </c>
      <c r="V196" s="45">
        <f t="shared" ca="1" si="149"/>
        <v>0.20278247028256513</v>
      </c>
      <c r="W196" s="77">
        <f t="shared" ca="1" si="150"/>
        <v>0.22212046761671561</v>
      </c>
      <c r="X196" s="45">
        <f t="shared" ca="1" si="166"/>
        <v>0.94466060065055124</v>
      </c>
      <c r="Y196" s="45">
        <f t="shared" ca="1" si="151"/>
        <v>2.6300486141351567E-2</v>
      </c>
      <c r="Z196" s="77">
        <f t="shared" ca="1" si="152"/>
        <v>2.8320450560760858E-2</v>
      </c>
      <c r="AA196" s="45">
        <f t="shared" ca="1" si="167"/>
        <v>39.214294061536961</v>
      </c>
      <c r="AB196" s="45">
        <f t="shared" ca="1" si="153"/>
        <v>0</v>
      </c>
      <c r="AC196" s="45" cm="1">
        <f t="array" aca="1" ref="AC196" ca="1">pHUM*(T196+W196+Z196+AD196)</f>
        <v>3.0941748401590082E-2</v>
      </c>
      <c r="AD196" s="77">
        <f t="shared" ca="1" si="154"/>
        <v>3.6153248123352522E-2</v>
      </c>
      <c r="AE196" s="45">
        <f t="shared" ca="1" si="168"/>
        <v>6.3847072090583081</v>
      </c>
      <c r="AF196" s="45">
        <f t="shared" ca="1" si="155"/>
        <v>0</v>
      </c>
      <c r="AG196" s="76">
        <f t="shared" ca="1" si="156"/>
        <v>62.796872939089553</v>
      </c>
      <c r="AH196" s="45">
        <f t="shared" ca="1" si="157"/>
        <v>0.261677338242644</v>
      </c>
      <c r="AI196" s="77">
        <f t="shared" ca="1" si="158"/>
        <v>1.0536154549384801E-2</v>
      </c>
      <c r="AJ196" s="384">
        <f t="shared" ca="1" si="162"/>
        <v>2.522010051176915E-2</v>
      </c>
      <c r="AU196" s="1"/>
    </row>
    <row r="197" spans="3:47" x14ac:dyDescent="0.25">
      <c r="C197" s="10">
        <f t="shared" si="175"/>
        <v>8</v>
      </c>
      <c r="D197" s="91">
        <f t="shared" si="170"/>
        <v>11</v>
      </c>
      <c r="E197" s="278"/>
      <c r="F197" s="76">
        <f t="shared" ref="F197:Q197" ca="1" si="209">F125</f>
        <v>1.8</v>
      </c>
      <c r="G197" s="46">
        <f t="shared" ca="1" si="209"/>
        <v>27.012600000000003</v>
      </c>
      <c r="H197" s="46">
        <f t="shared" ca="1" si="141"/>
        <v>28.517550000000004</v>
      </c>
      <c r="I197" s="45">
        <f t="shared" ca="1" si="142"/>
        <v>0.10471759589279002</v>
      </c>
      <c r="J197" s="45">
        <f t="shared" ca="1" si="143"/>
        <v>0.27952512346894071</v>
      </c>
      <c r="K197" s="45">
        <f t="shared" ca="1" si="163"/>
        <v>0.90345467800480783</v>
      </c>
      <c r="L197" s="358">
        <f t="shared" ca="1" si="144"/>
        <v>0.42572038710161686</v>
      </c>
      <c r="M197" s="76">
        <f t="shared" ca="1" si="209"/>
        <v>0.25347808785320641</v>
      </c>
      <c r="N197" s="45">
        <f t="shared" ca="1" si="209"/>
        <v>0.25</v>
      </c>
      <c r="O197" s="45">
        <f t="shared" ca="1" si="209"/>
        <v>0</v>
      </c>
      <c r="P197" s="46" t="str">
        <f t="shared" ca="1" si="209"/>
        <v/>
      </c>
      <c r="Q197" s="243" t="str">
        <f t="shared" ca="1" si="209"/>
        <v/>
      </c>
      <c r="R197" s="45">
        <f t="shared" ca="1" si="164"/>
        <v>0.10586323800879122</v>
      </c>
      <c r="S197" s="45">
        <f t="shared" ca="1" si="177"/>
        <v>5.0695617570641283E-2</v>
      </c>
      <c r="T197" s="77">
        <f t="shared" ca="1" si="148"/>
        <v>8.8465126159825002E-3</v>
      </c>
      <c r="U197" s="45">
        <f t="shared" ca="1" si="165"/>
        <v>16.146380043586674</v>
      </c>
      <c r="V197" s="45">
        <f t="shared" ca="1" si="149"/>
        <v>0.20278247028256513</v>
      </c>
      <c r="W197" s="77">
        <f t="shared" ca="1" si="150"/>
        <v>4.2214970275512603E-2</v>
      </c>
      <c r="X197" s="45">
        <f t="shared" ca="1" si="166"/>
        <v>0.94264063623114203</v>
      </c>
      <c r="Y197" s="45">
        <f t="shared" ca="1" si="151"/>
        <v>5.2216352251375671E-3</v>
      </c>
      <c r="Z197" s="77">
        <f t="shared" ca="1" si="152"/>
        <v>5.413503951674661E-3</v>
      </c>
      <c r="AA197" s="45">
        <f t="shared" ca="1" si="167"/>
        <v>39.209082561815194</v>
      </c>
      <c r="AB197" s="45">
        <f t="shared" ca="1" si="153"/>
        <v>0</v>
      </c>
      <c r="AC197" s="45" cm="1">
        <f t="array" aca="1" ref="AC197" ca="1">pHUM*(T197+W197+Z197+AD197)</f>
        <v>6.1431002648677261E-3</v>
      </c>
      <c r="AD197" s="77">
        <f t="shared" ca="1" si="154"/>
        <v>6.8425376426137574E-3</v>
      </c>
      <c r="AE197" s="45">
        <f t="shared" ca="1" si="168"/>
        <v>6.3847072090583081</v>
      </c>
      <c r="AF197" s="45">
        <f t="shared" ca="1" si="155"/>
        <v>0</v>
      </c>
      <c r="AG197" s="76">
        <f t="shared" ca="1" si="156"/>
        <v>62.788673688700108</v>
      </c>
      <c r="AH197" s="45">
        <f t="shared" ca="1" si="157"/>
        <v>5.1952788995778237E-2</v>
      </c>
      <c r="AI197" s="77">
        <f t="shared" ca="1" si="158"/>
        <v>1.0798399652370196E-2</v>
      </c>
      <c r="AJ197" s="384">
        <f t="shared" ca="1" si="162"/>
        <v>1.4660011415533747E-2</v>
      </c>
      <c r="AU197" s="1"/>
    </row>
    <row r="198" spans="3:47" x14ac:dyDescent="0.25">
      <c r="C198" s="10">
        <f t="shared" si="175"/>
        <v>8</v>
      </c>
      <c r="D198" s="91">
        <f t="shared" si="170"/>
        <v>12</v>
      </c>
      <c r="E198" s="278"/>
      <c r="F198" s="76">
        <f t="shared" ref="F198:Q198" ca="1" si="210">F126</f>
        <v>-0.63</v>
      </c>
      <c r="G198" s="46">
        <f t="shared" ca="1" si="210"/>
        <v>27.012600000000003</v>
      </c>
      <c r="H198" s="46">
        <f t="shared" ca="1" si="141"/>
        <v>28.517550000000004</v>
      </c>
      <c r="I198" s="45">
        <f t="shared" ca="1" si="142"/>
        <v>5.069926650983797E-2</v>
      </c>
      <c r="J198" s="45">
        <f t="shared" ca="1" si="143"/>
        <v>0.27952512346894071</v>
      </c>
      <c r="K198" s="45">
        <f t="shared" ca="1" si="163"/>
        <v>0.90345467800480783</v>
      </c>
      <c r="L198" s="358">
        <f t="shared" ca="1" si="144"/>
        <v>0.3403279781726225</v>
      </c>
      <c r="M198" s="76">
        <f t="shared" ca="1" si="210"/>
        <v>0.25347808785320641</v>
      </c>
      <c r="N198" s="45">
        <f t="shared" ca="1" si="210"/>
        <v>0.25</v>
      </c>
      <c r="O198" s="45">
        <f t="shared" ca="1" si="210"/>
        <v>0</v>
      </c>
      <c r="P198" s="46" t="str">
        <f t="shared" ca="1" si="210"/>
        <v/>
      </c>
      <c r="Q198" s="243" t="str">
        <f t="shared" ca="1" si="210"/>
        <v/>
      </c>
      <c r="R198" s="45">
        <f t="shared" ca="1" si="164"/>
        <v>0.14771234296345001</v>
      </c>
      <c r="S198" s="45">
        <f t="shared" ca="1" si="177"/>
        <v>5.0695617570641283E-2</v>
      </c>
      <c r="T198" s="77">
        <f t="shared" ca="1" si="148"/>
        <v>6.1107593251454049E-3</v>
      </c>
      <c r="U198" s="45">
        <f t="shared" ca="1" si="165"/>
        <v>16.306947543593726</v>
      </c>
      <c r="V198" s="45">
        <f t="shared" ca="1" si="149"/>
        <v>0.20278247028256513</v>
      </c>
      <c r="W198" s="77">
        <f t="shared" ca="1" si="150"/>
        <v>2.0655663883969499E-2</v>
      </c>
      <c r="X198" s="45">
        <f t="shared" ca="1" si="166"/>
        <v>0.94244876750460493</v>
      </c>
      <c r="Y198" s="45">
        <f t="shared" ca="1" si="151"/>
        <v>2.6969879573374585E-3</v>
      </c>
      <c r="Z198" s="77">
        <f t="shared" ca="1" si="152"/>
        <v>2.6243197626119562E-3</v>
      </c>
      <c r="AA198" s="45">
        <f t="shared" ca="1" si="167"/>
        <v>39.208383124437447</v>
      </c>
      <c r="AB198" s="45">
        <f t="shared" ca="1" si="153"/>
        <v>0</v>
      </c>
      <c r="AC198" s="45" cm="1">
        <f t="array" aca="1" ref="AC198" ca="1">pHUM*(T198+W198+Z198+AD198)</f>
        <v>3.1729270086323044E-3</v>
      </c>
      <c r="AD198" s="77">
        <f t="shared" ca="1" si="154"/>
        <v>3.3129204715729114E-3</v>
      </c>
      <c r="AE198" s="45">
        <f t="shared" ca="1" si="168"/>
        <v>6.3847072090583081</v>
      </c>
      <c r="AF198" s="45">
        <f t="shared" ca="1" si="155"/>
        <v>0</v>
      </c>
      <c r="AG198" s="76">
        <f t="shared" ca="1" si="156"/>
        <v>62.990198987557534</v>
      </c>
      <c r="AH198" s="45">
        <f t="shared" ca="1" si="157"/>
        <v>2.6833748477330013E-2</v>
      </c>
      <c r="AI198" s="77">
        <f t="shared" ca="1" si="158"/>
        <v>1.144675675077015E-2</v>
      </c>
      <c r="AJ198" s="384">
        <f t="shared" ca="1" si="162"/>
        <v>1.2423143088124977E-2</v>
      </c>
      <c r="AU198" s="1"/>
    </row>
    <row r="199" spans="3:47" x14ac:dyDescent="0.25">
      <c r="C199" s="10">
        <f t="shared" si="175"/>
        <v>9</v>
      </c>
      <c r="D199" s="91">
        <f t="shared" si="170"/>
        <v>1</v>
      </c>
      <c r="E199" s="278"/>
      <c r="F199" s="76">
        <f t="shared" ref="F199:Q199" ca="1" si="211">F127</f>
        <v>-5.04</v>
      </c>
      <c r="G199" s="46">
        <f t="shared" ca="1" si="211"/>
        <v>27.012600000000003</v>
      </c>
      <c r="H199" s="46">
        <f t="shared" ca="1" si="141"/>
        <v>28.517550000000004</v>
      </c>
      <c r="I199" s="45">
        <f t="shared" ca="1" si="142"/>
        <v>6.847402527399577E-3</v>
      </c>
      <c r="J199" s="45">
        <f t="shared" ca="1" si="143"/>
        <v>0.27952512346894071</v>
      </c>
      <c r="K199" s="45">
        <f t="shared" ca="1" si="163"/>
        <v>0.90345467800480783</v>
      </c>
      <c r="L199" s="358">
        <f t="shared" ca="1" si="144"/>
        <v>0.21084054547214914</v>
      </c>
      <c r="M199" s="76">
        <f t="shared" ca="1" si="211"/>
        <v>0.25347808785320641</v>
      </c>
      <c r="N199" s="45">
        <f t="shared" ca="1" si="211"/>
        <v>0.25</v>
      </c>
      <c r="O199" s="45">
        <f t="shared" ca="1" si="211"/>
        <v>0</v>
      </c>
      <c r="P199" s="46" t="str">
        <f t="shared" ca="1" si="211"/>
        <v/>
      </c>
      <c r="Q199" s="243" t="str">
        <f t="shared" ca="1" si="211"/>
        <v/>
      </c>
      <c r="R199" s="45">
        <f t="shared" ca="1" si="164"/>
        <v>0.19229720120894589</v>
      </c>
      <c r="S199" s="45">
        <f t="shared" ca="1" si="177"/>
        <v>5.0695617570641283E-2</v>
      </c>
      <c r="T199" s="77">
        <f t="shared" ca="1" si="148"/>
        <v>1.0941555975497383E-3</v>
      </c>
      <c r="U199" s="45">
        <f t="shared" ca="1" si="165"/>
        <v>16.489074349992322</v>
      </c>
      <c r="V199" s="45">
        <f t="shared" ca="1" si="149"/>
        <v>0.20278247028256513</v>
      </c>
      <c r="W199" s="77">
        <f t="shared" ca="1" si="150"/>
        <v>2.8224416476470421E-3</v>
      </c>
      <c r="X199" s="45">
        <f t="shared" ca="1" si="166"/>
        <v>0.94252143569933045</v>
      </c>
      <c r="Y199" s="45">
        <f t="shared" ca="1" si="151"/>
        <v>3.891594651324596E-4</v>
      </c>
      <c r="Z199" s="77">
        <f t="shared" ca="1" si="152"/>
        <v>3.5489346944971224E-4</v>
      </c>
      <c r="AA199" s="45">
        <f t="shared" ca="1" si="167"/>
        <v>39.208243130974509</v>
      </c>
      <c r="AB199" s="45">
        <f t="shared" ca="1" si="153"/>
        <v>0</v>
      </c>
      <c r="AC199" s="45" cm="1">
        <f t="array" aca="1" ref="AC199" ca="1">pHUM*(T199+W199+Z199+AD199)</f>
        <v>4.5783466486171718E-4</v>
      </c>
      <c r="AD199" s="77">
        <f t="shared" ca="1" si="154"/>
        <v>4.4745515192344987E-4</v>
      </c>
      <c r="AE199" s="45">
        <f t="shared" ca="1" si="168"/>
        <v>6.3847072090583081</v>
      </c>
      <c r="AF199" s="45">
        <f t="shared" ca="1" si="155"/>
        <v>0</v>
      </c>
      <c r="AG199" s="76">
        <f t="shared" ca="1" si="156"/>
        <v>63.216843326933414</v>
      </c>
      <c r="AH199" s="45">
        <f t="shared" ca="1" si="157"/>
        <v>3.8719517365757659E-3</v>
      </c>
      <c r="AI199" s="77">
        <f t="shared" ca="1" si="158"/>
        <v>1.2135040566519109E-2</v>
      </c>
      <c r="AJ199" s="384">
        <f t="shared" ca="1" si="162"/>
        <v>8.1592171268296543E-3</v>
      </c>
      <c r="AU199" s="1"/>
    </row>
    <row r="200" spans="3:47" x14ac:dyDescent="0.25">
      <c r="C200" s="10">
        <f t="shared" si="175"/>
        <v>9</v>
      </c>
      <c r="D200" s="91">
        <f t="shared" si="170"/>
        <v>2</v>
      </c>
      <c r="E200" s="278"/>
      <c r="F200" s="76">
        <f t="shared" ref="F200:Q200" ca="1" si="212">F128</f>
        <v>-4.4400000000000004</v>
      </c>
      <c r="G200" s="46">
        <f t="shared" ca="1" si="212"/>
        <v>27.012600000000003</v>
      </c>
      <c r="H200" s="46">
        <f t="shared" ca="1" si="141"/>
        <v>28.517550000000004</v>
      </c>
      <c r="I200" s="45">
        <f t="shared" ca="1" si="142"/>
        <v>9.6941753008840392E-3</v>
      </c>
      <c r="J200" s="45">
        <f t="shared" ca="1" si="143"/>
        <v>0.27952512346894071</v>
      </c>
      <c r="K200" s="45">
        <f t="shared" ca="1" si="163"/>
        <v>0.90345467800480783</v>
      </c>
      <c r="L200" s="358">
        <f t="shared" ca="1" si="144"/>
        <v>0.22612365929309886</v>
      </c>
      <c r="M200" s="76">
        <f t="shared" ca="1" si="212"/>
        <v>0.25347808785320641</v>
      </c>
      <c r="N200" s="45">
        <f t="shared" ca="1" si="212"/>
        <v>0.25</v>
      </c>
      <c r="O200" s="45">
        <f t="shared" ca="1" si="212"/>
        <v>0</v>
      </c>
      <c r="P200" s="46" t="str">
        <f t="shared" ca="1" si="212"/>
        <v/>
      </c>
      <c r="Q200" s="243" t="str">
        <f t="shared" ca="1" si="212"/>
        <v/>
      </c>
      <c r="R200" s="45">
        <f t="shared" ca="1" si="164"/>
        <v>0.24189866318203743</v>
      </c>
      <c r="S200" s="45">
        <f t="shared" ca="1" si="177"/>
        <v>5.0695617570641283E-2</v>
      </c>
      <c r="T200" s="77">
        <f t="shared" ca="1" si="148"/>
        <v>1.9463012095627269E-3</v>
      </c>
      <c r="U200" s="45">
        <f t="shared" ca="1" si="165"/>
        <v>16.689034378627237</v>
      </c>
      <c r="V200" s="45">
        <f t="shared" ca="1" si="149"/>
        <v>0.20278247028256513</v>
      </c>
      <c r="W200" s="77">
        <f t="shared" ca="1" si="150"/>
        <v>4.0441705407011867E-3</v>
      </c>
      <c r="X200" s="45">
        <f t="shared" ca="1" si="166"/>
        <v>0.94255570169501313</v>
      </c>
      <c r="Y200" s="45">
        <f t="shared" ca="1" si="151"/>
        <v>5.8769363848802051E-4</v>
      </c>
      <c r="Z200" s="77">
        <f t="shared" ca="1" si="152"/>
        <v>5.0241755985987408E-4</v>
      </c>
      <c r="AA200" s="45">
        <f t="shared" ca="1" si="167"/>
        <v>39.208253510487452</v>
      </c>
      <c r="AB200" s="45">
        <f t="shared" ca="1" si="153"/>
        <v>0</v>
      </c>
      <c r="AC200" s="45" cm="1">
        <f t="array" aca="1" ref="AC200" ca="1">pHUM*(T200+W200+Z200+AD200)</f>
        <v>6.9140428057414178E-4</v>
      </c>
      <c r="AD200" s="77">
        <f t="shared" ca="1" si="154"/>
        <v>6.334810203743748E-4</v>
      </c>
      <c r="AE200" s="45">
        <f t="shared" ca="1" si="168"/>
        <v>6.3847072090583081</v>
      </c>
      <c r="AF200" s="45">
        <f t="shared" ca="1" si="155"/>
        <v>0</v>
      </c>
      <c r="AG200" s="76">
        <f t="shared" ca="1" si="156"/>
        <v>63.466449463050047</v>
      </c>
      <c r="AH200" s="45">
        <f t="shared" ca="1" si="157"/>
        <v>5.8472724114360004E-3</v>
      </c>
      <c r="AI200" s="77">
        <f t="shared" ca="1" si="158"/>
        <v>1.2893715266897771E-2</v>
      </c>
      <c r="AJ200" s="384">
        <f t="shared" ca="1" si="162"/>
        <v>9.2977259375615073E-3</v>
      </c>
      <c r="AU200" s="1"/>
    </row>
    <row r="201" spans="3:47" x14ac:dyDescent="0.25">
      <c r="C201" s="10">
        <f t="shared" si="175"/>
        <v>9</v>
      </c>
      <c r="D201" s="91">
        <f t="shared" si="170"/>
        <v>3</v>
      </c>
      <c r="E201" s="278"/>
      <c r="F201" s="76">
        <f t="shared" ref="F201:Q201" ca="1" si="213">F129</f>
        <v>-0.82</v>
      </c>
      <c r="G201" s="46">
        <f t="shared" ca="1" si="213"/>
        <v>27.012600000000003</v>
      </c>
      <c r="H201" s="46">
        <f t="shared" ca="1" si="141"/>
        <v>28.517550000000004</v>
      </c>
      <c r="I201" s="45">
        <f t="shared" ca="1" si="142"/>
        <v>4.749388171975074E-2</v>
      </c>
      <c r="J201" s="45">
        <f t="shared" ca="1" si="143"/>
        <v>0.27952512346894071</v>
      </c>
      <c r="K201" s="45">
        <f t="shared" ca="1" si="163"/>
        <v>0.90345467800480783</v>
      </c>
      <c r="L201" s="358">
        <f t="shared" ca="1" si="144"/>
        <v>0.33399301288143546</v>
      </c>
      <c r="M201" s="76">
        <f t="shared" ca="1" si="213"/>
        <v>0.25347808785320641</v>
      </c>
      <c r="N201" s="45">
        <f t="shared" ca="1" si="213"/>
        <v>0.25</v>
      </c>
      <c r="O201" s="45">
        <f t="shared" ca="1" si="213"/>
        <v>0</v>
      </c>
      <c r="P201" s="46" t="str">
        <f t="shared" ca="1" si="213"/>
        <v/>
      </c>
      <c r="Q201" s="243" t="str">
        <f t="shared" ca="1" si="213"/>
        <v/>
      </c>
      <c r="R201" s="45">
        <f t="shared" ca="1" si="164"/>
        <v>0.29064797954311594</v>
      </c>
      <c r="S201" s="45">
        <f t="shared" ca="1" si="177"/>
        <v>5.0695617570641283E-2</v>
      </c>
      <c r="T201" s="77">
        <f t="shared" ca="1" si="148"/>
        <v>1.1278666868164679E-2</v>
      </c>
      <c r="U201" s="45">
        <f t="shared" ca="1" si="165"/>
        <v>16.8877726783691</v>
      </c>
      <c r="V201" s="45">
        <f t="shared" ca="1" si="149"/>
        <v>0.20278247028256513</v>
      </c>
      <c r="W201" s="77">
        <f t="shared" ca="1" si="150"/>
        <v>2.0039747530602035E-2</v>
      </c>
      <c r="X201" s="45">
        <f t="shared" ca="1" si="166"/>
        <v>0.9426409777736412</v>
      </c>
      <c r="Y201" s="45">
        <f t="shared" ca="1" si="151"/>
        <v>3.0414824629747118E-3</v>
      </c>
      <c r="Z201" s="77">
        <f t="shared" ca="1" si="152"/>
        <v>2.4591191417204445E-3</v>
      </c>
      <c r="AA201" s="45">
        <f t="shared" ca="1" si="167"/>
        <v>39.208311433747653</v>
      </c>
      <c r="AB201" s="45">
        <f t="shared" ca="1" si="153"/>
        <v>0</v>
      </c>
      <c r="AC201" s="45" cm="1">
        <f t="array" aca="1" ref="AC201" ca="1">pHUM*(T201+W201+Z201+AD201)</f>
        <v>3.5782146623231908E-3</v>
      </c>
      <c r="AD201" s="77">
        <f t="shared" ca="1" si="154"/>
        <v>3.1034686780101908E-3</v>
      </c>
      <c r="AE201" s="45">
        <f t="shared" ca="1" si="168"/>
        <v>6.3847072090583081</v>
      </c>
      <c r="AF201" s="45">
        <f t="shared" ca="1" si="155"/>
        <v>0</v>
      </c>
      <c r="AG201" s="76">
        <f t="shared" ca="1" si="156"/>
        <v>63.714080278491821</v>
      </c>
      <c r="AH201" s="45">
        <f t="shared" ca="1" si="157"/>
        <v>3.0261305093199447E-2</v>
      </c>
      <c r="AI201" s="77">
        <f t="shared" ca="1" si="158"/>
        <v>1.3633384846758047E-2</v>
      </c>
      <c r="AJ201" s="384">
        <f t="shared" ca="1" si="162"/>
        <v>1.4520835183688963E-2</v>
      </c>
      <c r="AU201" s="1"/>
    </row>
    <row r="202" spans="3:47" x14ac:dyDescent="0.25">
      <c r="C202" s="10">
        <f t="shared" si="175"/>
        <v>9</v>
      </c>
      <c r="D202" s="91">
        <f t="shared" si="170"/>
        <v>4</v>
      </c>
      <c r="E202" s="278"/>
      <c r="F202" s="76">
        <f t="shared" ref="F202:Q202" ca="1" si="214">F130</f>
        <v>6.18</v>
      </c>
      <c r="G202" s="46">
        <f t="shared" ca="1" si="214"/>
        <v>27.012600000000003</v>
      </c>
      <c r="H202" s="46">
        <f t="shared" ca="1" si="141"/>
        <v>28.517550000000004</v>
      </c>
      <c r="I202" s="45">
        <f t="shared" ca="1" si="142"/>
        <v>0.26773980091806004</v>
      </c>
      <c r="J202" s="45">
        <f t="shared" ca="1" si="143"/>
        <v>0.27952512346894071</v>
      </c>
      <c r="K202" s="45">
        <f t="shared" ca="1" si="163"/>
        <v>0.90345467800480783</v>
      </c>
      <c r="L202" s="358">
        <f t="shared" ca="1" si="144"/>
        <v>0.58750950384279488</v>
      </c>
      <c r="M202" s="76">
        <f t="shared" ca="1" si="214"/>
        <v>0.25347808785320641</v>
      </c>
      <c r="N202" s="45">
        <f t="shared" ca="1" si="214"/>
        <v>0.25</v>
      </c>
      <c r="O202" s="45">
        <f t="shared" ca="1" si="214"/>
        <v>0</v>
      </c>
      <c r="P202" s="46" t="str">
        <f t="shared" ca="1" si="214"/>
        <v/>
      </c>
      <c r="Q202" s="243" t="str">
        <f t="shared" ca="1" si="214"/>
        <v/>
      </c>
      <c r="R202" s="45">
        <f t="shared" ca="1" si="164"/>
        <v>0.33006493024559252</v>
      </c>
      <c r="S202" s="45">
        <f t="shared" ca="1" si="177"/>
        <v>5.0695617570641283E-2</v>
      </c>
      <c r="T202" s="77">
        <f t="shared" ca="1" si="148"/>
        <v>6.6005843202412762E-2</v>
      </c>
      <c r="U202" s="45">
        <f t="shared" ca="1" si="165"/>
        <v>17.07051540112106</v>
      </c>
      <c r="V202" s="45">
        <f t="shared" ca="1" si="149"/>
        <v>0.20278247028256513</v>
      </c>
      <c r="W202" s="77">
        <f t="shared" ca="1" si="150"/>
        <v>0.11387985756825672</v>
      </c>
      <c r="X202" s="45">
        <f t="shared" ca="1" si="166"/>
        <v>0.94322334109489547</v>
      </c>
      <c r="Y202" s="45">
        <f t="shared" ca="1" si="151"/>
        <v>1.7414314661257136E-2</v>
      </c>
      <c r="Z202" s="77">
        <f t="shared" ca="1" si="152"/>
        <v>1.3787846702235112E-2</v>
      </c>
      <c r="AA202" s="45">
        <f t="shared" ca="1" si="167"/>
        <v>39.208786179731966</v>
      </c>
      <c r="AB202" s="45">
        <f t="shared" ca="1" si="153"/>
        <v>0</v>
      </c>
      <c r="AC202" s="45" cm="1">
        <f t="array" aca="1" ref="AC202" ca="1">pHUM*(T202+W202+Z202+AD202)</f>
        <v>2.0487429013243692E-2</v>
      </c>
      <c r="AD202" s="77">
        <f t="shared" ca="1" si="154"/>
        <v>1.7492351220878315E-2</v>
      </c>
      <c r="AE202" s="45">
        <f t="shared" ca="1" si="168"/>
        <v>6.3847072090583081</v>
      </c>
      <c r="AF202" s="45">
        <f t="shared" ca="1" si="155"/>
        <v>0</v>
      </c>
      <c r="AG202" s="76">
        <f t="shared" ca="1" si="156"/>
        <v>63.937297061251819</v>
      </c>
      <c r="AH202" s="45">
        <f t="shared" ca="1" si="157"/>
        <v>0.17326415501928211</v>
      </c>
      <c r="AI202" s="77">
        <f t="shared" ca="1" si="158"/>
        <v>1.4231197178023141E-2</v>
      </c>
      <c r="AJ202" s="384">
        <f t="shared" ca="1" si="162"/>
        <v>2.6662561972264909E-2</v>
      </c>
      <c r="AU202" s="1"/>
    </row>
    <row r="203" spans="3:47" x14ac:dyDescent="0.25">
      <c r="C203" s="10">
        <f t="shared" si="175"/>
        <v>9</v>
      </c>
      <c r="D203" s="91">
        <f t="shared" si="170"/>
        <v>5</v>
      </c>
      <c r="E203" s="278"/>
      <c r="F203" s="76">
        <f t="shared" ref="F203:Q203" ca="1" si="215">F131</f>
        <v>13.58</v>
      </c>
      <c r="G203" s="46">
        <f t="shared" ca="1" si="215"/>
        <v>27.012600000000003</v>
      </c>
      <c r="H203" s="46">
        <f t="shared" ca="1" si="141"/>
        <v>28.517550000000004</v>
      </c>
      <c r="I203" s="45">
        <f t="shared" ca="1" si="142"/>
        <v>0.71743035359667851</v>
      </c>
      <c r="J203" s="45">
        <f t="shared" ca="1" si="143"/>
        <v>0.27952512346894071</v>
      </c>
      <c r="K203" s="45">
        <f t="shared" ca="1" si="163"/>
        <v>0.90345467800480783</v>
      </c>
      <c r="L203" s="358">
        <f t="shared" ca="1" si="144"/>
        <v>0.81042644426030708</v>
      </c>
      <c r="M203" s="76">
        <f t="shared" ca="1" si="215"/>
        <v>0.25347808785320641</v>
      </c>
      <c r="N203" s="45">
        <f t="shared" ca="1" si="215"/>
        <v>0.25</v>
      </c>
      <c r="O203" s="45">
        <f t="shared" ca="1" si="215"/>
        <v>0</v>
      </c>
      <c r="P203" s="46" t="str">
        <f t="shared" ca="1" si="215"/>
        <v/>
      </c>
      <c r="Q203" s="243" t="str">
        <f t="shared" ca="1" si="215"/>
        <v/>
      </c>
      <c r="R203" s="45">
        <f t="shared" ca="1" si="164"/>
        <v>0.31475470461382105</v>
      </c>
      <c r="S203" s="45">
        <f t="shared" ca="1" si="177"/>
        <v>5.0695617570641283E-2</v>
      </c>
      <c r="T203" s="77">
        <f t="shared" ca="1" si="148"/>
        <v>0.14164336103755834</v>
      </c>
      <c r="U203" s="45">
        <f t="shared" ca="1" si="165"/>
        <v>17.159418013835367</v>
      </c>
      <c r="V203" s="45">
        <f t="shared" ca="1" si="149"/>
        <v>0.20278247028256513</v>
      </c>
      <c r="W203" s="77">
        <f t="shared" ca="1" si="150"/>
        <v>0.30502359162670123</v>
      </c>
      <c r="X203" s="45">
        <f t="shared" ca="1" si="166"/>
        <v>0.94684980905391747</v>
      </c>
      <c r="Y203" s="45">
        <f t="shared" ca="1" si="151"/>
        <v>4.3720868942929716E-2</v>
      </c>
      <c r="Z203" s="77">
        <f t="shared" ca="1" si="152"/>
        <v>3.6633917720668513E-2</v>
      </c>
      <c r="AA203" s="45">
        <f t="shared" ca="1" si="167"/>
        <v>39.211781257524329</v>
      </c>
      <c r="AB203" s="45">
        <f t="shared" ca="1" si="153"/>
        <v>0</v>
      </c>
      <c r="AC203" s="45" cm="1">
        <f t="array" aca="1" ref="AC203" ca="1">pHUM*(T203+W203+Z203+AD203)</f>
        <v>5.1436316403446723E-2</v>
      </c>
      <c r="AD203" s="77">
        <f t="shared" ca="1" si="154"/>
        <v>4.6858183335786827E-2</v>
      </c>
      <c r="AE203" s="45">
        <f t="shared" ca="1" si="168"/>
        <v>6.3847072090583081</v>
      </c>
      <c r="AF203" s="45">
        <f t="shared" ca="1" si="155"/>
        <v>0</v>
      </c>
      <c r="AG203" s="76">
        <f t="shared" ca="1" si="156"/>
        <v>64.01751099408574</v>
      </c>
      <c r="AH203" s="45">
        <f t="shared" ca="1" si="157"/>
        <v>0.43500186837433852</v>
      </c>
      <c r="AI203" s="77">
        <f t="shared" ca="1" si="158"/>
        <v>1.4032125676222459E-2</v>
      </c>
      <c r="AJ203" s="384">
        <f t="shared" ca="1" si="162"/>
        <v>3.6264248393849119E-2</v>
      </c>
      <c r="AU203" s="1"/>
    </row>
    <row r="204" spans="3:47" x14ac:dyDescent="0.25">
      <c r="C204" s="10">
        <f t="shared" si="175"/>
        <v>9</v>
      </c>
      <c r="D204" s="91">
        <f t="shared" si="170"/>
        <v>6</v>
      </c>
      <c r="E204" s="278"/>
      <c r="F204" s="76">
        <f t="shared" ref="F204:Q204" ca="1" si="216">F132</f>
        <v>18.37</v>
      </c>
      <c r="G204" s="46">
        <f t="shared" ca="1" si="216"/>
        <v>27.012600000000003</v>
      </c>
      <c r="H204" s="46">
        <f t="shared" ca="1" si="141"/>
        <v>28.517550000000004</v>
      </c>
      <c r="I204" s="45">
        <f t="shared" ca="1" si="142"/>
        <v>1.0882596087882719</v>
      </c>
      <c r="J204" s="45">
        <f t="shared" ca="1" si="143"/>
        <v>0.27952512346894071</v>
      </c>
      <c r="K204" s="45">
        <f t="shared" ca="1" si="163"/>
        <v>0.90345467800480783</v>
      </c>
      <c r="L204" s="358">
        <f t="shared" ca="1" si="144"/>
        <v>0.89586760620832129</v>
      </c>
      <c r="M204" s="76">
        <f t="shared" ca="1" si="216"/>
        <v>0.25347808785320641</v>
      </c>
      <c r="N204" s="45">
        <f t="shared" ca="1" si="216"/>
        <v>0.25</v>
      </c>
      <c r="O204" s="45">
        <f t="shared" ca="1" si="216"/>
        <v>0</v>
      </c>
      <c r="P204" s="46" t="str">
        <f t="shared" ca="1" si="216"/>
        <v/>
      </c>
      <c r="Q204" s="243" t="str">
        <f t="shared" ca="1" si="216"/>
        <v/>
      </c>
      <c r="R204" s="45">
        <f t="shared" ca="1" si="164"/>
        <v>0.22380696114690399</v>
      </c>
      <c r="S204" s="45">
        <f t="shared" ca="1" si="177"/>
        <v>5.0695617570641283E-2</v>
      </c>
      <c r="T204" s="77">
        <f t="shared" ca="1" si="148"/>
        <v>0.1334379969187959</v>
      </c>
      <c r="U204" s="45">
        <f t="shared" ca="1" si="165"/>
        <v>17.057176892491231</v>
      </c>
      <c r="V204" s="45">
        <f t="shared" ca="1" si="149"/>
        <v>0.20278247028256513</v>
      </c>
      <c r="W204" s="77">
        <f t="shared" ca="1" si="150"/>
        <v>0.45780997634525789</v>
      </c>
      <c r="X204" s="45">
        <f t="shared" ca="1" si="166"/>
        <v>0.95393676027617869</v>
      </c>
      <c r="Y204" s="45">
        <f t="shared" ca="1" si="151"/>
        <v>5.9189766607515265E-2</v>
      </c>
      <c r="Z204" s="77">
        <f t="shared" ca="1" si="152"/>
        <v>5.5422028775820989E-2</v>
      </c>
      <c r="AA204" s="45">
        <f t="shared" ca="1" si="167"/>
        <v>39.21635939059199</v>
      </c>
      <c r="AB204" s="45">
        <f t="shared" ca="1" si="153"/>
        <v>0</v>
      </c>
      <c r="AC204" s="45" cm="1">
        <f t="array" aca="1" ref="AC204" ca="1">pHUM*(T204+W204+Z204+AD204)</f>
        <v>6.9635019538253254E-2</v>
      </c>
      <c r="AD204" s="77">
        <f t="shared" ca="1" si="154"/>
        <v>7.1064832909348064E-2</v>
      </c>
      <c r="AE204" s="45">
        <f t="shared" ca="1" si="168"/>
        <v>6.3847072090583081</v>
      </c>
      <c r="AF204" s="45">
        <f t="shared" ca="1" si="155"/>
        <v>0</v>
      </c>
      <c r="AG204" s="76">
        <f t="shared" ca="1" si="156"/>
        <v>63.835987213564607</v>
      </c>
      <c r="AH204" s="45">
        <f t="shared" ca="1" si="157"/>
        <v>0.58891004880345443</v>
      </c>
      <c r="AI204" s="77">
        <f t="shared" ca="1" si="158"/>
        <v>1.2719687777369367E-2</v>
      </c>
      <c r="AJ204" s="384">
        <f t="shared" ca="1" si="162"/>
        <v>3.6338070688695101E-2</v>
      </c>
      <c r="AU204" s="1"/>
    </row>
    <row r="205" spans="3:47" x14ac:dyDescent="0.25">
      <c r="C205" s="10">
        <f t="shared" si="175"/>
        <v>9</v>
      </c>
      <c r="D205" s="91">
        <f t="shared" si="170"/>
        <v>7</v>
      </c>
      <c r="E205" s="278"/>
      <c r="F205" s="76">
        <f t="shared" ref="F205:Q205" ca="1" si="217">F133</f>
        <v>22.71</v>
      </c>
      <c r="G205" s="46">
        <f t="shared" ca="1" si="217"/>
        <v>27.012600000000003</v>
      </c>
      <c r="H205" s="46">
        <f t="shared" ca="1" si="141"/>
        <v>28.517550000000004</v>
      </c>
      <c r="I205" s="45">
        <f t="shared" ca="1" si="142"/>
        <v>1.4513708414333564</v>
      </c>
      <c r="J205" s="45">
        <f t="shared" ca="1" si="143"/>
        <v>0.27952512346894071</v>
      </c>
      <c r="K205" s="45">
        <f t="shared" ca="1" si="163"/>
        <v>0.90345467800480783</v>
      </c>
      <c r="L205" s="358">
        <f t="shared" ca="1" si="144"/>
        <v>0.94004721434733285</v>
      </c>
      <c r="M205" s="76">
        <f t="shared" ca="1" si="217"/>
        <v>0.25347808785320641</v>
      </c>
      <c r="N205" s="45">
        <f t="shared" ca="1" si="217"/>
        <v>0.25</v>
      </c>
      <c r="O205" s="45">
        <f t="shared" ca="1" si="217"/>
        <v>0</v>
      </c>
      <c r="P205" s="46" t="str">
        <f t="shared" ca="1" si="217"/>
        <v/>
      </c>
      <c r="Q205" s="243" t="str">
        <f t="shared" ca="1" si="217"/>
        <v/>
      </c>
      <c r="R205" s="45">
        <f t="shared" ca="1" si="164"/>
        <v>0.14106458179874934</v>
      </c>
      <c r="S205" s="45">
        <f t="shared" ca="1" si="177"/>
        <v>5.0695617570641283E-2</v>
      </c>
      <c r="T205" s="77">
        <f t="shared" ca="1" si="148"/>
        <v>9.8977446831495092E-2</v>
      </c>
      <c r="U205" s="45">
        <f t="shared" ca="1" si="165"/>
        <v>16.802149386428539</v>
      </c>
      <c r="V205" s="45">
        <f t="shared" ca="1" si="149"/>
        <v>0.20278247028256513</v>
      </c>
      <c r="W205" s="77">
        <f t="shared" ca="1" si="150"/>
        <v>0.59872588989979525</v>
      </c>
      <c r="X205" s="45">
        <f t="shared" ca="1" si="166"/>
        <v>0.95770449810787295</v>
      </c>
      <c r="Y205" s="45">
        <f t="shared" ca="1" si="151"/>
        <v>7.1410645320155869E-2</v>
      </c>
      <c r="Z205" s="77">
        <f t="shared" ca="1" si="152"/>
        <v>7.3477445040357539E-2</v>
      </c>
      <c r="AA205" s="45">
        <f t="shared" ca="1" si="167"/>
        <v>39.214929577220893</v>
      </c>
      <c r="AB205" s="45">
        <f t="shared" ca="1" si="153"/>
        <v>0</v>
      </c>
      <c r="AC205" s="45" cm="1">
        <f t="array" aca="1" ref="AC205" ca="1">pHUM*(T205+W205+Z205+AD205)</f>
        <v>8.4012523906065728E-2</v>
      </c>
      <c r="AD205" s="77">
        <f t="shared" ca="1" si="154"/>
        <v>9.4744371681684147E-2</v>
      </c>
      <c r="AE205" s="45">
        <f t="shared" ca="1" si="168"/>
        <v>6.3847072090583081</v>
      </c>
      <c r="AF205" s="45">
        <f t="shared" ca="1" si="155"/>
        <v>0</v>
      </c>
      <c r="AG205" s="76">
        <f t="shared" ca="1" si="156"/>
        <v>63.500555252614362</v>
      </c>
      <c r="AH205" s="45">
        <f t="shared" ca="1" si="157"/>
        <v>0.71050198422711053</v>
      </c>
      <c r="AI205" s="77">
        <f t="shared" ca="1" si="158"/>
        <v>1.1479117244032175E-2</v>
      </c>
      <c r="AJ205" s="384">
        <f t="shared" ca="1" si="162"/>
        <v>3.4411256364411669E-2</v>
      </c>
      <c r="AU205" s="1"/>
    </row>
    <row r="206" spans="3:47" x14ac:dyDescent="0.25">
      <c r="C206" s="10">
        <f t="shared" si="175"/>
        <v>9</v>
      </c>
      <c r="D206" s="91">
        <f t="shared" si="170"/>
        <v>8</v>
      </c>
      <c r="E206" s="278"/>
      <c r="F206" s="76">
        <f t="shared" ref="F206:Q206" ca="1" si="218">F134</f>
        <v>19.329999999999998</v>
      </c>
      <c r="G206" s="46">
        <f t="shared" ca="1" si="218"/>
        <v>27.012600000000003</v>
      </c>
      <c r="H206" s="46">
        <f t="shared" ca="1" si="141"/>
        <v>28.517550000000004</v>
      </c>
      <c r="I206" s="45">
        <f t="shared" ca="1" si="142"/>
        <v>1.1670427279291871</v>
      </c>
      <c r="J206" s="45">
        <f t="shared" ca="1" si="143"/>
        <v>0.27952512346894071</v>
      </c>
      <c r="K206" s="45">
        <f t="shared" ca="1" si="163"/>
        <v>0.90345467800480783</v>
      </c>
      <c r="L206" s="358">
        <f t="shared" ca="1" si="144"/>
        <v>0.9079689727892073</v>
      </c>
      <c r="M206" s="76">
        <f t="shared" ca="1" si="218"/>
        <v>0.25347808785320641</v>
      </c>
      <c r="N206" s="45">
        <f t="shared" ca="1" si="218"/>
        <v>0.25</v>
      </c>
      <c r="O206" s="45">
        <f t="shared" ca="1" si="218"/>
        <v>0</v>
      </c>
      <c r="P206" s="46" t="str">
        <f t="shared" ca="1" si="218"/>
        <v/>
      </c>
      <c r="Q206" s="243" t="str">
        <f t="shared" ca="1" si="218"/>
        <v/>
      </c>
      <c r="R206" s="45">
        <f t="shared" ca="1" si="164"/>
        <v>9.278275253789553E-2</v>
      </c>
      <c r="S206" s="45">
        <f t="shared" ca="1" si="177"/>
        <v>5.0695617570641283E-2</v>
      </c>
      <c r="T206" s="77">
        <f t="shared" ca="1" si="148"/>
        <v>5.7699455138857644E-2</v>
      </c>
      <c r="U206" s="45">
        <f t="shared" ca="1" si="165"/>
        <v>16.406205966811306</v>
      </c>
      <c r="V206" s="45">
        <f t="shared" ca="1" si="149"/>
        <v>0.20278247028256513</v>
      </c>
      <c r="W206" s="77">
        <f t="shared" ca="1" si="150"/>
        <v>0.4717531686131029</v>
      </c>
      <c r="X206" s="45">
        <f t="shared" ca="1" si="166"/>
        <v>0.95563769838767121</v>
      </c>
      <c r="Y206" s="45">
        <f t="shared" ca="1" si="151"/>
        <v>5.4844664804638753E-2</v>
      </c>
      <c r="Z206" s="77">
        <f t="shared" ca="1" si="152"/>
        <v>5.941268307872033E-2</v>
      </c>
      <c r="AA206" s="45">
        <f t="shared" ca="1" si="167"/>
        <v>39.204197729445276</v>
      </c>
      <c r="AB206" s="45">
        <f t="shared" ca="1" si="153"/>
        <v>0</v>
      </c>
      <c r="AC206" s="45" cm="1">
        <f t="array" aca="1" ref="AC206" ca="1">pHUM*(T206+W206+Z206+AD206)</f>
        <v>6.4523135064280882E-2</v>
      </c>
      <c r="AD206" s="77">
        <f t="shared" ca="1" si="154"/>
        <v>7.6180843839642118E-2</v>
      </c>
      <c r="AE206" s="45">
        <f t="shared" ca="1" si="168"/>
        <v>6.3847072090583081</v>
      </c>
      <c r="AF206" s="45">
        <f t="shared" ca="1" si="155"/>
        <v>0</v>
      </c>
      <c r="AG206" s="76">
        <f t="shared" ca="1" si="156"/>
        <v>63.043531356240457</v>
      </c>
      <c r="AH206" s="45">
        <f t="shared" ca="1" si="157"/>
        <v>0.54567835080140337</v>
      </c>
      <c r="AI206" s="77">
        <f t="shared" ca="1" si="158"/>
        <v>1.0684558348869895E-2</v>
      </c>
      <c r="AJ206" s="384">
        <f t="shared" ca="1" si="162"/>
        <v>3.0936514193737885E-2</v>
      </c>
      <c r="AU206" s="1"/>
    </row>
    <row r="207" spans="3:47" x14ac:dyDescent="0.25">
      <c r="C207" s="10">
        <f t="shared" si="175"/>
        <v>9</v>
      </c>
      <c r="D207" s="91">
        <f t="shared" si="170"/>
        <v>9</v>
      </c>
      <c r="E207" s="278"/>
      <c r="F207" s="76">
        <f t="shared" ref="F207:Q207" ca="1" si="219">F135</f>
        <v>15.36</v>
      </c>
      <c r="G207" s="46">
        <f t="shared" ca="1" si="219"/>
        <v>27.012600000000003</v>
      </c>
      <c r="H207" s="46">
        <f t="shared" ca="1" si="141"/>
        <v>28.517550000000004</v>
      </c>
      <c r="I207" s="45">
        <f t="shared" ca="1" si="142"/>
        <v>0.85004563012661705</v>
      </c>
      <c r="J207" s="45">
        <f t="shared" ca="1" si="143"/>
        <v>0.27952512346894071</v>
      </c>
      <c r="K207" s="45">
        <f t="shared" ca="1" si="163"/>
        <v>0.90345467800480783</v>
      </c>
      <c r="L207" s="358">
        <f t="shared" ca="1" si="144"/>
        <v>0.84745728919304408</v>
      </c>
      <c r="M207" s="76">
        <f t="shared" ca="1" si="219"/>
        <v>0.25347808785320641</v>
      </c>
      <c r="N207" s="45">
        <f t="shared" ca="1" si="219"/>
        <v>0.25</v>
      </c>
      <c r="O207" s="45">
        <f t="shared" ca="1" si="219"/>
        <v>0</v>
      </c>
      <c r="P207" s="46" t="str">
        <f t="shared" ca="1" si="219"/>
        <v/>
      </c>
      <c r="Q207" s="243" t="str">
        <f t="shared" ca="1" si="219"/>
        <v/>
      </c>
      <c r="R207" s="45">
        <f t="shared" ca="1" si="164"/>
        <v>8.5778914969679168E-2</v>
      </c>
      <c r="S207" s="45">
        <f t="shared" ca="1" si="177"/>
        <v>5.0695617570641283E-2</v>
      </c>
      <c r="T207" s="77">
        <f t="shared" ca="1" si="148"/>
        <v>4.3537468977546526E-2</v>
      </c>
      <c r="U207" s="45">
        <f t="shared" ca="1" si="165"/>
        <v>16.137235268480769</v>
      </c>
      <c r="V207" s="45">
        <f t="shared" ca="1" si="149"/>
        <v>0.20278247028256513</v>
      </c>
      <c r="W207" s="77">
        <f t="shared" ca="1" si="150"/>
        <v>0.33931645733627425</v>
      </c>
      <c r="X207" s="45">
        <f t="shared" ca="1" si="166"/>
        <v>0.95106968011358961</v>
      </c>
      <c r="Y207" s="45">
        <f t="shared" ca="1" si="151"/>
        <v>3.9731323180102154E-2</v>
      </c>
      <c r="Z207" s="77">
        <f t="shared" ca="1" si="152"/>
        <v>4.3441482667460604E-2</v>
      </c>
      <c r="AA207" s="45">
        <f t="shared" ca="1" si="167"/>
        <v>39.192540020669909</v>
      </c>
      <c r="AB207" s="45">
        <f t="shared" ca="1" si="153"/>
        <v>0</v>
      </c>
      <c r="AC207" s="45" cm="1">
        <f t="array" aca="1" ref="AC207" ca="1">pHUM*(T207+W207+Z207+AD207)</f>
        <v>4.6742733153061364E-2</v>
      </c>
      <c r="AD207" s="77">
        <f t="shared" ca="1" si="154"/>
        <v>5.5486431350627183E-2</v>
      </c>
      <c r="AE207" s="45">
        <f t="shared" ca="1" si="168"/>
        <v>6.3847072090583081</v>
      </c>
      <c r="AF207" s="45">
        <f t="shared" ca="1" si="155"/>
        <v>0</v>
      </c>
      <c r="AG207" s="76">
        <f t="shared" ca="1" si="156"/>
        <v>62.751331093292251</v>
      </c>
      <c r="AH207" s="45">
        <f t="shared" ca="1" si="157"/>
        <v>0.39530778399874511</v>
      </c>
      <c r="AI207" s="77">
        <f t="shared" ca="1" si="158"/>
        <v>1.0512303247238713E-2</v>
      </c>
      <c r="AJ207" s="384">
        <f t="shared" ca="1" si="162"/>
        <v>2.8409299796974263E-2</v>
      </c>
      <c r="AU207" s="1"/>
    </row>
    <row r="208" spans="3:47" x14ac:dyDescent="0.25">
      <c r="C208" s="10">
        <f t="shared" si="175"/>
        <v>9</v>
      </c>
      <c r="D208" s="91">
        <f t="shared" si="170"/>
        <v>10</v>
      </c>
      <c r="E208" s="278"/>
      <c r="F208" s="76">
        <f t="shared" ref="F208:Q208" ca="1" si="220">F136</f>
        <v>10.24</v>
      </c>
      <c r="G208" s="46">
        <f t="shared" ca="1" si="220"/>
        <v>27.012600000000003</v>
      </c>
      <c r="H208" s="46">
        <f t="shared" ca="1" si="141"/>
        <v>28.517550000000004</v>
      </c>
      <c r="I208" s="45">
        <f t="shared" ca="1" si="142"/>
        <v>0.49116850915432075</v>
      </c>
      <c r="J208" s="45">
        <f t="shared" ca="1" si="143"/>
        <v>0.27952512346894071</v>
      </c>
      <c r="K208" s="45">
        <f t="shared" ca="1" si="163"/>
        <v>0.90345467800480783</v>
      </c>
      <c r="L208" s="358">
        <f t="shared" ca="1" si="144"/>
        <v>0.72269796343841763</v>
      </c>
      <c r="M208" s="76">
        <f t="shared" ca="1" si="220"/>
        <v>0.25347808785320641</v>
      </c>
      <c r="N208" s="45">
        <f t="shared" ca="1" si="220"/>
        <v>0.25</v>
      </c>
      <c r="O208" s="45">
        <f t="shared" ca="1" si="220"/>
        <v>0</v>
      </c>
      <c r="P208" s="46" t="str">
        <f t="shared" ca="1" si="220"/>
        <v/>
      </c>
      <c r="Q208" s="243" t="str">
        <f t="shared" ca="1" si="220"/>
        <v/>
      </c>
      <c r="R208" s="45">
        <f t="shared" ca="1" si="164"/>
        <v>9.2937063562773911E-2</v>
      </c>
      <c r="S208" s="45">
        <f t="shared" ca="1" si="177"/>
        <v>5.0695617570641283E-2</v>
      </c>
      <c r="T208" s="77">
        <f t="shared" ca="1" si="148"/>
        <v>3.1216606232968552E-2</v>
      </c>
      <c r="U208" s="45">
        <f t="shared" ca="1" si="165"/>
        <v>16.000701281427059</v>
      </c>
      <c r="V208" s="45">
        <f t="shared" ca="1" si="149"/>
        <v>0.20278247028256513</v>
      </c>
      <c r="W208" s="77">
        <f t="shared" ca="1" si="150"/>
        <v>0.19527465174625899</v>
      </c>
      <c r="X208" s="45">
        <f t="shared" ca="1" si="166"/>
        <v>0.94735952062623119</v>
      </c>
      <c r="Y208" s="45">
        <f t="shared" ca="1" si="151"/>
        <v>2.3404609167352684E-2</v>
      </c>
      <c r="Z208" s="77">
        <f t="shared" ca="1" si="152"/>
        <v>2.5249638220460498E-2</v>
      </c>
      <c r="AA208" s="45">
        <f t="shared" ca="1" si="167"/>
        <v>39.18379632247234</v>
      </c>
      <c r="AB208" s="45">
        <f t="shared" ca="1" si="153"/>
        <v>0</v>
      </c>
      <c r="AC208" s="45" cm="1">
        <f t="array" aca="1" ref="AC208" ca="1">pHUM*(T208+W208+Z208+AD208)</f>
        <v>2.7534834314532571E-2</v>
      </c>
      <c r="AD208" s="77">
        <f t="shared" ca="1" si="154"/>
        <v>3.20632858503909E-2</v>
      </c>
      <c r="AE208" s="45">
        <f t="shared" ca="1" si="168"/>
        <v>6.3847072090583081</v>
      </c>
      <c r="AF208" s="45">
        <f t="shared" ca="1" si="155"/>
        <v>0</v>
      </c>
      <c r="AG208" s="76">
        <f t="shared" ca="1" si="156"/>
        <v>62.609501397146715</v>
      </c>
      <c r="AH208" s="45">
        <f t="shared" ca="1" si="157"/>
        <v>0.23286473856819373</v>
      </c>
      <c r="AI208" s="77">
        <f t="shared" ca="1" si="158"/>
        <v>1.0580317712736891E-2</v>
      </c>
      <c r="AJ208" s="384">
        <f t="shared" ca="1" si="162"/>
        <v>2.438383546953915E-2</v>
      </c>
      <c r="AU208" s="1"/>
    </row>
    <row r="209" spans="3:47" x14ac:dyDescent="0.25">
      <c r="C209" s="10">
        <f t="shared" si="175"/>
        <v>9</v>
      </c>
      <c r="D209" s="91">
        <f t="shared" si="170"/>
        <v>11</v>
      </c>
      <c r="E209" s="278"/>
      <c r="F209" s="76">
        <f t="shared" ref="F209:Q209" ca="1" si="221">F137</f>
        <v>1.6</v>
      </c>
      <c r="G209" s="46">
        <f t="shared" ca="1" si="221"/>
        <v>27.012600000000003</v>
      </c>
      <c r="H209" s="46">
        <f t="shared" ca="1" si="141"/>
        <v>28.517550000000004</v>
      </c>
      <c r="I209" s="45">
        <f t="shared" ca="1" si="142"/>
        <v>9.9319080037688343E-2</v>
      </c>
      <c r="J209" s="45">
        <f t="shared" ca="1" si="143"/>
        <v>0.27952512346894071</v>
      </c>
      <c r="K209" s="45">
        <f t="shared" ca="1" si="163"/>
        <v>0.90345467800480783</v>
      </c>
      <c r="L209" s="358">
        <f t="shared" ca="1" si="144"/>
        <v>0.41844375967031366</v>
      </c>
      <c r="M209" s="76">
        <f t="shared" ca="1" si="221"/>
        <v>0.25347808785320641</v>
      </c>
      <c r="N209" s="45">
        <f t="shared" ca="1" si="221"/>
        <v>0.25</v>
      </c>
      <c r="O209" s="45">
        <f t="shared" ca="1" si="221"/>
        <v>0</v>
      </c>
      <c r="P209" s="46" t="str">
        <f t="shared" ca="1" si="221"/>
        <v/>
      </c>
      <c r="Q209" s="243" t="str">
        <f t="shared" ca="1" si="221"/>
        <v/>
      </c>
      <c r="R209" s="45">
        <f t="shared" ca="1" si="164"/>
        <v>0.11241607490044665</v>
      </c>
      <c r="S209" s="45">
        <f t="shared" ca="1" si="177"/>
        <v>5.0695617570641283E-2</v>
      </c>
      <c r="T209" s="77">
        <f t="shared" ca="1" si="148"/>
        <v>8.9295880519691829E-3</v>
      </c>
      <c r="U209" s="45">
        <f t="shared" ca="1" si="165"/>
        <v>16.008209099963363</v>
      </c>
      <c r="V209" s="45">
        <f t="shared" ca="1" si="149"/>
        <v>0.20278247028256513</v>
      </c>
      <c r="W209" s="77">
        <f t="shared" ca="1" si="150"/>
        <v>3.9698709134820431E-2</v>
      </c>
      <c r="X209" s="45">
        <f t="shared" ca="1" si="166"/>
        <v>0.94551449157312339</v>
      </c>
      <c r="Y209" s="45">
        <f t="shared" ca="1" si="151"/>
        <v>4.9698199507878758E-3</v>
      </c>
      <c r="Z209" s="77">
        <f t="shared" ca="1" si="152"/>
        <v>5.1508384576513782E-3</v>
      </c>
      <c r="AA209" s="45">
        <f t="shared" ca="1" si="167"/>
        <v>39.179267870936478</v>
      </c>
      <c r="AB209" s="45">
        <f t="shared" ca="1" si="153"/>
        <v>0</v>
      </c>
      <c r="AC209" s="45" cm="1">
        <f t="array" aca="1" ref="AC209" ca="1">pHUM*(T209+W209+Z209+AD209)</f>
        <v>5.8468470009269127E-3</v>
      </c>
      <c r="AD209" s="77">
        <f t="shared" ca="1" si="154"/>
        <v>6.4848779942475385E-3</v>
      </c>
      <c r="AE209" s="45">
        <f t="shared" ca="1" si="168"/>
        <v>6.3847072090583081</v>
      </c>
      <c r="AF209" s="45">
        <f t="shared" ca="1" si="155"/>
        <v>0</v>
      </c>
      <c r="AG209" s="76">
        <f t="shared" ca="1" si="156"/>
        <v>62.630114746431715</v>
      </c>
      <c r="AH209" s="45">
        <f t="shared" ca="1" si="157"/>
        <v>4.9447346686973745E-2</v>
      </c>
      <c r="AI209" s="77">
        <f t="shared" ca="1" si="158"/>
        <v>1.086644036371188E-2</v>
      </c>
      <c r="AJ209" s="384">
        <f t="shared" ca="1" si="162"/>
        <v>1.4500231141305608E-2</v>
      </c>
      <c r="AU209" s="1"/>
    </row>
    <row r="210" spans="3:47" x14ac:dyDescent="0.25">
      <c r="C210" s="10">
        <f t="shared" si="175"/>
        <v>9</v>
      </c>
      <c r="D210" s="91">
        <f t="shared" si="170"/>
        <v>12</v>
      </c>
      <c r="E210" s="278"/>
      <c r="F210" s="76">
        <f t="shared" ref="F210:Q210" ca="1" si="222">F138</f>
        <v>-3.59</v>
      </c>
      <c r="G210" s="46">
        <f t="shared" ca="1" si="222"/>
        <v>27.012600000000003</v>
      </c>
      <c r="H210" s="46">
        <f t="shared" ref="H210:H273" ca="1" si="223">FC-G210</f>
        <v>28.517550000000004</v>
      </c>
      <c r="I210" s="45">
        <f t="shared" ref="I210:I273" ca="1" si="224">PRODUCT(47.91/(1+EXP(106.06/(F210+18.27))), IF(IF(H210&lt;=0,1-((1-RM_PWP)*(G210-FC)/(WSAT-FC)),IF(H210&lt;=Wat1bar,1,1-((1-RM_PWP)*(H210-Wat1bar)/(FC-Wat1bar))))&lt;=RM_PWP,RM_PWP,IF(H210&lt;=0,1-((1-RM_PWP)*(G210-FC)/(WSAT-FC)),IF(H210&lt;=Wat1bar,1,1-((1-RM_PWP)*(H210-Wat1bar)/(FC-Wat1bar))))),0.56+(ATAN(3.14*0.45*(SoilpH-5)))/3.14,EXP(-0.09*SoilSal))</f>
        <v>1.5109209527995384E-2</v>
      </c>
      <c r="J210" s="45">
        <f t="shared" ref="J210:J273" ca="1" si="225">POWER(((G210/150)-$J$9),$M$9)*POWER(($L$9-(G210/150)),$N$9)</f>
        <v>0.27952512346894071</v>
      </c>
      <c r="K210" s="45">
        <f t="shared" ca="1" si="163"/>
        <v>0.90345467800480783</v>
      </c>
      <c r="L210" s="358">
        <f t="shared" ref="L210:L273" ca="1" si="226">1/(1+EXP(-(F210-3.8)/6.7))+1/(1+EXP((F210-62.2)/7.1))-1</f>
        <v>0.24908644075501707</v>
      </c>
      <c r="M210" s="76">
        <f t="shared" ca="1" si="222"/>
        <v>0.25347808785320641</v>
      </c>
      <c r="N210" s="45">
        <f t="shared" ca="1" si="222"/>
        <v>0.25</v>
      </c>
      <c r="O210" s="45">
        <f t="shared" ca="1" si="222"/>
        <v>0</v>
      </c>
      <c r="P210" s="46" t="str">
        <f t="shared" ca="1" si="222"/>
        <v/>
      </c>
      <c r="Q210" s="243" t="str">
        <f t="shared" ca="1" si="222"/>
        <v/>
      </c>
      <c r="R210" s="45">
        <f t="shared" ca="1" si="164"/>
        <v>0.15418210441911873</v>
      </c>
      <c r="S210" s="45">
        <f t="shared" ca="1" si="177"/>
        <v>5.0695617570641283E-2</v>
      </c>
      <c r="T210" s="77">
        <f t="shared" ref="T210:T273" ca="1" si="227">R210*(1-EXP(-kDPM*I210))</f>
        <v>1.9291377207575763E-3</v>
      </c>
      <c r="U210" s="45">
        <f t="shared" ca="1" si="165"/>
        <v>16.171292861111105</v>
      </c>
      <c r="V210" s="45">
        <f t="shared" ref="V210:V273" ca="1" si="228">M210*1/(1+N210)</f>
        <v>0.20278247028256513</v>
      </c>
      <c r="W210" s="77">
        <f t="shared" ref="W210:W273" ca="1" si="229">U210*(1-EXP(-kRPM*I210))</f>
        <v>6.1072327885646734E-3</v>
      </c>
      <c r="X210" s="45">
        <f t="shared" ca="1" si="166"/>
        <v>0.94533347306625981</v>
      </c>
      <c r="Y210" s="45">
        <f t="shared" ref="Y210:Y273" ca="1" si="230">pBIO*(T210+W210+Z210+AD210)</f>
        <v>8.0885788278392318E-4</v>
      </c>
      <c r="Z210" s="77">
        <f t="shared" ref="Z210:Z273" ca="1" si="231">X210*(1-EXP(-kBIO*I210))</f>
        <v>7.8525196356942525E-4</v>
      </c>
      <c r="AA210" s="45">
        <f t="shared" ca="1" si="167"/>
        <v>39.178629839943156</v>
      </c>
      <c r="AB210" s="45">
        <f t="shared" ref="AB210:AB273" ca="1" si="232">IF(O210&gt;0,O210*(1-Q210)/(1+P210),0)</f>
        <v>0</v>
      </c>
      <c r="AC210" s="45" cm="1">
        <f t="array" aca="1" ref="AC210" ca="1">pHUM*(T210+W210+Z210+AD210)</f>
        <v>9.5159750915755671E-4</v>
      </c>
      <c r="AD210" s="77">
        <f t="shared" ref="AD210:AD273" ca="1" si="233">AA210*(1-EXP(-kHUM*I210))</f>
        <v>9.865844566417448E-4</v>
      </c>
      <c r="AE210" s="45">
        <f t="shared" ca="1" si="168"/>
        <v>6.3847072090583081</v>
      </c>
      <c r="AF210" s="45">
        <f t="shared" ref="AF210:AF273" ca="1" si="234">IF(O210&gt;0,O210*Q210,0)</f>
        <v>0</v>
      </c>
      <c r="AG210" s="76">
        <f t="shared" ref="AG210:AG273" ca="1" si="235">R210+U210+X210+AA210+AE210</f>
        <v>62.834145487597944</v>
      </c>
      <c r="AH210" s="45">
        <f t="shared" ref="AH210:AH273" ca="1" si="236">p_CO2*(T210+W210+Z210+AD210)</f>
        <v>8.0477515375919403E-3</v>
      </c>
      <c r="AI210" s="77">
        <f t="shared" ref="AI210:AI273" ca="1" si="237">((kRPM*U210)+(kDPM*R210)+(kBIO*X210)+(kHUM*AA210))/(U210+R210+AA210+X210)</f>
        <v>1.1515765006458742E-2</v>
      </c>
      <c r="AJ210" s="384">
        <f t="shared" ca="1" si="162"/>
        <v>9.1473564515454076E-3</v>
      </c>
      <c r="AU210" s="1"/>
    </row>
    <row r="211" spans="3:47" x14ac:dyDescent="0.25">
      <c r="C211" s="10">
        <f t="shared" si="175"/>
        <v>10</v>
      </c>
      <c r="D211" s="91">
        <f t="shared" si="170"/>
        <v>1</v>
      </c>
      <c r="E211" s="278"/>
      <c r="F211" s="76">
        <f t="shared" ref="F211:Q211" ca="1" si="238">F139</f>
        <v>-7.32</v>
      </c>
      <c r="G211" s="46">
        <f t="shared" ca="1" si="238"/>
        <v>27.012600000000003</v>
      </c>
      <c r="H211" s="46">
        <f t="shared" ca="1" si="223"/>
        <v>28.517550000000004</v>
      </c>
      <c r="I211" s="45">
        <f t="shared" ca="1" si="224"/>
        <v>1.2903599790233234E-3</v>
      </c>
      <c r="J211" s="45">
        <f t="shared" ca="1" si="225"/>
        <v>0.27952512346894071</v>
      </c>
      <c r="K211" s="45">
        <f t="shared" ca="1" si="163"/>
        <v>0.90345467800480783</v>
      </c>
      <c r="L211" s="358">
        <f t="shared" ca="1" si="226"/>
        <v>0.15974615302556239</v>
      </c>
      <c r="M211" s="76">
        <f t="shared" ca="1" si="238"/>
        <v>0.25347808785320641</v>
      </c>
      <c r="N211" s="45">
        <f t="shared" ca="1" si="238"/>
        <v>0.25</v>
      </c>
      <c r="O211" s="45">
        <f t="shared" ca="1" si="238"/>
        <v>0</v>
      </c>
      <c r="P211" s="46" t="str">
        <f t="shared" ca="1" si="238"/>
        <v/>
      </c>
      <c r="Q211" s="243" t="str">
        <f t="shared" ca="1" si="238"/>
        <v/>
      </c>
      <c r="R211" s="45">
        <f t="shared" ca="1" si="164"/>
        <v>0.20294858426900242</v>
      </c>
      <c r="S211" s="45">
        <f t="shared" ca="1" si="177"/>
        <v>5.0695617570641283E-2</v>
      </c>
      <c r="T211" s="77">
        <f t="shared" ca="1" si="227"/>
        <v>2.1811331947600471E-4</v>
      </c>
      <c r="U211" s="45">
        <f t="shared" ca="1" si="165"/>
        <v>16.367968098605104</v>
      </c>
      <c r="V211" s="45">
        <f t="shared" ca="1" si="228"/>
        <v>0.20278247028256513</v>
      </c>
      <c r="W211" s="77">
        <f t="shared" ca="1" si="229"/>
        <v>5.2800575779489173E-4</v>
      </c>
      <c r="X211" s="45">
        <f t="shared" ca="1" si="166"/>
        <v>0.94535707898547439</v>
      </c>
      <c r="Y211" s="45">
        <f t="shared" ca="1" si="230"/>
        <v>7.4011729854480841E-5</v>
      </c>
      <c r="Z211" s="77">
        <f t="shared" ca="1" si="231"/>
        <v>6.7089421043980532E-5</v>
      </c>
      <c r="AA211" s="45">
        <f t="shared" ca="1" si="167"/>
        <v>39.178594852995673</v>
      </c>
      <c r="AB211" s="45">
        <f t="shared" ca="1" si="232"/>
        <v>0</v>
      </c>
      <c r="AC211" s="45" cm="1">
        <f t="array" aca="1" ref="AC211" ca="1">pHUM*(T211+W211+Z211+AD211)</f>
        <v>8.7072623358212754E-5</v>
      </c>
      <c r="AD211" s="77">
        <f t="shared" ca="1" si="233"/>
        <v>8.4257394119772113E-5</v>
      </c>
      <c r="AE211" s="45">
        <f t="shared" ca="1" si="168"/>
        <v>6.3847072090583081</v>
      </c>
      <c r="AF211" s="45">
        <f t="shared" ca="1" si="234"/>
        <v>0</v>
      </c>
      <c r="AG211" s="76">
        <f t="shared" ca="1" si="235"/>
        <v>63.079575823913558</v>
      </c>
      <c r="AH211" s="45">
        <f t="shared" ca="1" si="236"/>
        <v>7.3638153922195553E-4</v>
      </c>
      <c r="AI211" s="77">
        <f t="shared" ca="1" si="237"/>
        <v>1.2269458191134383E-2</v>
      </c>
      <c r="AJ211" s="384">
        <f t="shared" ref="AJ211:AJ274" ca="1" si="239">(530)*(1-EXP((-$AJ$9*L211*K211*AI211)))</f>
        <v>6.2504272153496299E-3</v>
      </c>
      <c r="AU211" s="1"/>
    </row>
    <row r="212" spans="3:47" x14ac:dyDescent="0.25">
      <c r="C212" s="10">
        <f t="shared" si="175"/>
        <v>10</v>
      </c>
      <c r="D212" s="91">
        <f t="shared" si="170"/>
        <v>2</v>
      </c>
      <c r="E212" s="278"/>
      <c r="F212" s="76">
        <f t="shared" ref="F212:Q212" ca="1" si="240">F140</f>
        <v>-7.56</v>
      </c>
      <c r="G212" s="46">
        <f t="shared" ca="1" si="240"/>
        <v>27.012600000000003</v>
      </c>
      <c r="H212" s="46">
        <f t="shared" ca="1" si="223"/>
        <v>28.517550000000004</v>
      </c>
      <c r="I212" s="45">
        <f t="shared" ca="1" si="224"/>
        <v>1.0386103497602255E-3</v>
      </c>
      <c r="J212" s="45">
        <f t="shared" ca="1" si="225"/>
        <v>0.27952512346894071</v>
      </c>
      <c r="K212" s="45">
        <f t="shared" ref="K212:K275" ca="1" si="241">J212/$I$15</f>
        <v>0.90345467800480783</v>
      </c>
      <c r="L212" s="358">
        <f t="shared" ca="1" si="226"/>
        <v>0.15499691161362872</v>
      </c>
      <c r="M212" s="76">
        <f t="shared" ca="1" si="240"/>
        <v>0.25347808785320641</v>
      </c>
      <c r="N212" s="45">
        <f t="shared" ca="1" si="240"/>
        <v>0.25</v>
      </c>
      <c r="O212" s="45">
        <f t="shared" ca="1" si="240"/>
        <v>0</v>
      </c>
      <c r="P212" s="46" t="str">
        <f t="shared" ca="1" si="240"/>
        <v/>
      </c>
      <c r="Q212" s="243" t="str">
        <f t="shared" ca="1" si="240"/>
        <v/>
      </c>
      <c r="R212" s="45">
        <f t="shared" ref="R212:R275" ca="1" si="242">R211+S212-T211</f>
        <v>0.25342608852016768</v>
      </c>
      <c r="S212" s="45">
        <f t="shared" ca="1" si="177"/>
        <v>5.0695617570641283E-2</v>
      </c>
      <c r="T212" s="77">
        <f t="shared" ca="1" si="227"/>
        <v>2.1924757134496564E-4</v>
      </c>
      <c r="U212" s="45">
        <f t="shared" ref="U212:U275" ca="1" si="243">U211+V212-W211</f>
        <v>16.570222563129875</v>
      </c>
      <c r="V212" s="45">
        <f t="shared" ca="1" si="228"/>
        <v>0.20278247028256513</v>
      </c>
      <c r="W212" s="77">
        <f t="shared" ca="1" si="229"/>
        <v>4.3024453056868012E-4</v>
      </c>
      <c r="X212" s="45">
        <f t="shared" ref="X212:X275" ca="1" si="244">X211+Y211-Z211</f>
        <v>0.94536400129428488</v>
      </c>
      <c r="Y212" s="45">
        <f t="shared" ca="1" si="230"/>
        <v>6.360813051736046E-5</v>
      </c>
      <c r="Z212" s="77">
        <f t="shared" ca="1" si="231"/>
        <v>5.4001023601624134E-5</v>
      </c>
      <c r="AA212" s="45">
        <f t="shared" ref="AA212:AA275" ca="1" si="245">AA211+AC211+AB212-AD211</f>
        <v>39.17859766822491</v>
      </c>
      <c r="AB212" s="45">
        <f t="shared" ca="1" si="232"/>
        <v>0</v>
      </c>
      <c r="AC212" s="45" cm="1">
        <f t="array" aca="1" ref="AC212" ca="1">pHUM*(T212+W212+Z212+AD212)</f>
        <v>7.4833094726306436E-5</v>
      </c>
      <c r="AD212" s="77">
        <f t="shared" ca="1" si="233"/>
        <v>6.7818769681656375E-5</v>
      </c>
      <c r="AE212" s="45">
        <f t="shared" ref="AE212:AE275" ca="1" si="246">AE211+AF212</f>
        <v>6.3847072090583081</v>
      </c>
      <c r="AF212" s="45">
        <f t="shared" ca="1" si="234"/>
        <v>0</v>
      </c>
      <c r="AG212" s="76">
        <f t="shared" ca="1" si="235"/>
        <v>63.332317530227542</v>
      </c>
      <c r="AH212" s="45">
        <f t="shared" ca="1" si="236"/>
        <v>6.3287066995325943E-4</v>
      </c>
      <c r="AI212" s="77">
        <f t="shared" ca="1" si="237"/>
        <v>1.3042455159068336E-2</v>
      </c>
      <c r="AJ212" s="384">
        <f t="shared" ca="1" si="239"/>
        <v>6.4466816652275494E-3</v>
      </c>
      <c r="AU212" s="1"/>
    </row>
    <row r="213" spans="3:47" x14ac:dyDescent="0.25">
      <c r="C213" s="10">
        <f t="shared" si="175"/>
        <v>10</v>
      </c>
      <c r="D213" s="91">
        <f t="shared" ref="D213:D276" si="247">IF(D212+1&lt;13,D212+1,1)</f>
        <v>3</v>
      </c>
      <c r="E213" s="278"/>
      <c r="F213" s="76">
        <f t="shared" ref="F213:Q213" ca="1" si="248">F141</f>
        <v>-3.72</v>
      </c>
      <c r="G213" s="46">
        <f t="shared" ca="1" si="248"/>
        <v>27.012600000000003</v>
      </c>
      <c r="H213" s="46">
        <f t="shared" ca="1" si="223"/>
        <v>28.517550000000004</v>
      </c>
      <c r="I213" s="45">
        <f t="shared" ca="1" si="224"/>
        <v>1.416534540335657E-2</v>
      </c>
      <c r="J213" s="45">
        <f t="shared" ca="1" si="225"/>
        <v>0.27952512346894071</v>
      </c>
      <c r="K213" s="45">
        <f t="shared" ca="1" si="241"/>
        <v>0.90345467800480783</v>
      </c>
      <c r="L213" s="358">
        <f t="shared" ca="1" si="226"/>
        <v>0.24547574864616473</v>
      </c>
      <c r="M213" s="76">
        <f t="shared" ca="1" si="248"/>
        <v>0.25347808785320641</v>
      </c>
      <c r="N213" s="45">
        <f t="shared" ca="1" si="248"/>
        <v>0.25</v>
      </c>
      <c r="O213" s="45">
        <f t="shared" ca="1" si="248"/>
        <v>0</v>
      </c>
      <c r="P213" s="46" t="str">
        <f t="shared" ca="1" si="248"/>
        <v/>
      </c>
      <c r="Q213" s="243" t="str">
        <f t="shared" ca="1" si="248"/>
        <v/>
      </c>
      <c r="R213" s="45">
        <f t="shared" ca="1" si="242"/>
        <v>0.30390245851946401</v>
      </c>
      <c r="S213" s="45">
        <f t="shared" ca="1" si="177"/>
        <v>5.0695617570641283E-2</v>
      </c>
      <c r="T213" s="77">
        <f t="shared" ca="1" si="227"/>
        <v>3.5663121478739478E-3</v>
      </c>
      <c r="U213" s="45">
        <f t="shared" ca="1" si="243"/>
        <v>16.772574788881869</v>
      </c>
      <c r="V213" s="45">
        <f t="shared" ca="1" si="228"/>
        <v>0.20278247028256513</v>
      </c>
      <c r="W213" s="77">
        <f t="shared" ca="1" si="229"/>
        <v>5.9386812742457419E-3</v>
      </c>
      <c r="X213" s="45">
        <f t="shared" ca="1" si="244"/>
        <v>0.94537360840120055</v>
      </c>
      <c r="Y213" s="45">
        <f t="shared" ca="1" si="230"/>
        <v>9.2084767909069148E-4</v>
      </c>
      <c r="Z213" s="77">
        <f t="shared" ca="1" si="231"/>
        <v>7.3624806293784873E-4</v>
      </c>
      <c r="AA213" s="45">
        <f t="shared" ca="1" si="245"/>
        <v>39.17860468254996</v>
      </c>
      <c r="AB213" s="45">
        <f t="shared" ca="1" si="232"/>
        <v>0</v>
      </c>
      <c r="AC213" s="45" cm="1">
        <f t="array" aca="1" ref="AC213" ca="1">pHUM*(T213+W213+Z213+AD213)</f>
        <v>1.0833502106949312E-3</v>
      </c>
      <c r="AD213" s="77">
        <f t="shared" ca="1" si="233"/>
        <v>9.2495319430474564E-4</v>
      </c>
      <c r="AE213" s="45">
        <f t="shared" ca="1" si="246"/>
        <v>6.3847072090583081</v>
      </c>
      <c r="AF213" s="45">
        <f t="shared" ca="1" si="234"/>
        <v>0</v>
      </c>
      <c r="AG213" s="76">
        <f t="shared" ca="1" si="235"/>
        <v>63.585162747410799</v>
      </c>
      <c r="AH213" s="45">
        <f t="shared" ca="1" si="236"/>
        <v>9.1619967895766631E-3</v>
      </c>
      <c r="AI213" s="77">
        <f t="shared" ca="1" si="237"/>
        <v>1.3808625018583187E-2</v>
      </c>
      <c r="AJ213" s="384">
        <f t="shared" ca="1" si="239"/>
        <v>1.0809636010056245E-2</v>
      </c>
      <c r="AU213" s="1"/>
    </row>
    <row r="214" spans="3:47" x14ac:dyDescent="0.25">
      <c r="C214" s="10">
        <f t="shared" si="175"/>
        <v>10</v>
      </c>
      <c r="D214" s="91">
        <f t="shared" si="247"/>
        <v>4</v>
      </c>
      <c r="E214" s="278"/>
      <c r="F214" s="76">
        <f t="shared" ref="F214:Q214" ca="1" si="249">F142</f>
        <v>5.88</v>
      </c>
      <c r="G214" s="46">
        <f t="shared" ca="1" si="249"/>
        <v>27.012600000000003</v>
      </c>
      <c r="H214" s="46">
        <f t="shared" ca="1" si="223"/>
        <v>28.517550000000004</v>
      </c>
      <c r="I214" s="45">
        <f t="shared" ca="1" si="224"/>
        <v>0.2538659245156123</v>
      </c>
      <c r="J214" s="45">
        <f t="shared" ca="1" si="225"/>
        <v>0.27952512346894071</v>
      </c>
      <c r="K214" s="45">
        <f t="shared" ca="1" si="241"/>
        <v>0.90345467800480783</v>
      </c>
      <c r="L214" s="358">
        <f t="shared" ca="1" si="226"/>
        <v>0.57663575359475594</v>
      </c>
      <c r="M214" s="76">
        <f t="shared" ca="1" si="249"/>
        <v>0.25347808785320641</v>
      </c>
      <c r="N214" s="45">
        <f t="shared" ca="1" si="249"/>
        <v>0.25</v>
      </c>
      <c r="O214" s="45">
        <f t="shared" ca="1" si="249"/>
        <v>0</v>
      </c>
      <c r="P214" s="46" t="str">
        <f t="shared" ca="1" si="249"/>
        <v/>
      </c>
      <c r="Q214" s="243" t="str">
        <f t="shared" ca="1" si="249"/>
        <v/>
      </c>
      <c r="R214" s="45">
        <f t="shared" ca="1" si="242"/>
        <v>0.35103176394223135</v>
      </c>
      <c r="S214" s="45">
        <f t="shared" ca="1" si="177"/>
        <v>5.0695617570641283E-2</v>
      </c>
      <c r="T214" s="77">
        <f t="shared" ca="1" si="227"/>
        <v>6.6933045521027232E-2</v>
      </c>
      <c r="U214" s="45">
        <f t="shared" ca="1" si="243"/>
        <v>16.969418577890188</v>
      </c>
      <c r="V214" s="45">
        <f t="shared" ca="1" si="228"/>
        <v>0.20278247028256513</v>
      </c>
      <c r="W214" s="77">
        <f t="shared" ca="1" si="229"/>
        <v>0.10735788666592541</v>
      </c>
      <c r="X214" s="45">
        <f t="shared" ca="1" si="244"/>
        <v>0.94555820801735346</v>
      </c>
      <c r="Y214" s="45">
        <f t="shared" ca="1" si="230"/>
        <v>1.6821306098910204E-2</v>
      </c>
      <c r="Z214" s="77">
        <f t="shared" ca="1" si="231"/>
        <v>1.3110732351721716E-2</v>
      </c>
      <c r="AA214" s="45">
        <f t="shared" ca="1" si="245"/>
        <v>39.178763079566345</v>
      </c>
      <c r="AB214" s="45">
        <f t="shared" ca="1" si="232"/>
        <v>0</v>
      </c>
      <c r="AC214" s="45" cm="1">
        <f t="array" aca="1" ref="AC214" ca="1">pHUM*(T214+W214+Z214+AD214)</f>
        <v>1.9789771881070829E-2</v>
      </c>
      <c r="AD214" s="77">
        <f t="shared" ca="1" si="233"/>
        <v>1.6573415082584773E-2</v>
      </c>
      <c r="AE214" s="45">
        <f t="shared" ca="1" si="246"/>
        <v>6.3847072090583081</v>
      </c>
      <c r="AF214" s="45">
        <f t="shared" ca="1" si="234"/>
        <v>0</v>
      </c>
      <c r="AG214" s="76">
        <f t="shared" ca="1" si="235"/>
        <v>63.829478838474422</v>
      </c>
      <c r="AH214" s="45">
        <f t="shared" ca="1" si="236"/>
        <v>0.16736400164127813</v>
      </c>
      <c r="AI214" s="77">
        <f t="shared" ca="1" si="237"/>
        <v>1.4519434069416809E-2</v>
      </c>
      <c r="AJ214" s="384">
        <f t="shared" ca="1" si="239"/>
        <v>2.6699110105492529E-2</v>
      </c>
      <c r="AU214" s="1"/>
    </row>
    <row r="215" spans="3:47" x14ac:dyDescent="0.25">
      <c r="C215" s="10">
        <f t="shared" si="175"/>
        <v>10</v>
      </c>
      <c r="D215" s="91">
        <f t="shared" si="247"/>
        <v>5</v>
      </c>
      <c r="E215" s="278"/>
      <c r="F215" s="76">
        <f t="shared" ref="F215:Q215" ca="1" si="250">F143</f>
        <v>13.3</v>
      </c>
      <c r="G215" s="46">
        <f t="shared" ca="1" si="250"/>
        <v>27.012600000000003</v>
      </c>
      <c r="H215" s="46">
        <f t="shared" ca="1" si="223"/>
        <v>28.517550000000004</v>
      </c>
      <c r="I215" s="45">
        <f t="shared" ca="1" si="224"/>
        <v>0.69725265541392489</v>
      </c>
      <c r="J215" s="45">
        <f t="shared" ca="1" si="225"/>
        <v>0.27952512346894071</v>
      </c>
      <c r="K215" s="45">
        <f t="shared" ca="1" si="241"/>
        <v>0.90345467800480783</v>
      </c>
      <c r="L215" s="358">
        <f t="shared" ca="1" si="226"/>
        <v>0.80399103068855049</v>
      </c>
      <c r="M215" s="76">
        <f t="shared" ca="1" si="250"/>
        <v>0.25347808785320641</v>
      </c>
      <c r="N215" s="45">
        <f t="shared" ca="1" si="250"/>
        <v>0.25</v>
      </c>
      <c r="O215" s="45">
        <f t="shared" ca="1" si="250"/>
        <v>0</v>
      </c>
      <c r="P215" s="46" t="str">
        <f t="shared" ca="1" si="250"/>
        <v/>
      </c>
      <c r="Q215" s="243" t="str">
        <f t="shared" ca="1" si="250"/>
        <v/>
      </c>
      <c r="R215" s="45">
        <f t="shared" ca="1" si="242"/>
        <v>0.33479433599184538</v>
      </c>
      <c r="S215" s="45">
        <f t="shared" ca="1" si="177"/>
        <v>5.0695617570641283E-2</v>
      </c>
      <c r="T215" s="77">
        <f t="shared" ca="1" si="227"/>
        <v>0.14753910809057297</v>
      </c>
      <c r="U215" s="45">
        <f t="shared" ca="1" si="243"/>
        <v>17.064843161506825</v>
      </c>
      <c r="V215" s="45">
        <f t="shared" ca="1" si="228"/>
        <v>0.20278247028256513</v>
      </c>
      <c r="W215" s="77">
        <f t="shared" ca="1" si="229"/>
        <v>0.29488509579551653</v>
      </c>
      <c r="X215" s="45">
        <f t="shared" ca="1" si="244"/>
        <v>0.94926878176454199</v>
      </c>
      <c r="Y215" s="45">
        <f t="shared" ca="1" si="230"/>
        <v>4.3183662307383484E-2</v>
      </c>
      <c r="Z215" s="77">
        <f t="shared" ca="1" si="231"/>
        <v>3.571423235675817E-2</v>
      </c>
      <c r="AA215" s="45">
        <f t="shared" ca="1" si="245"/>
        <v>39.181979436364834</v>
      </c>
      <c r="AB215" s="45">
        <f t="shared" ca="1" si="232"/>
        <v>0</v>
      </c>
      <c r="AC215" s="45" cm="1">
        <f t="array" aca="1" ref="AC215" ca="1">pHUM*(T215+W215+Z215+AD215)</f>
        <v>5.0804308596921748E-2</v>
      </c>
      <c r="AD215" s="77">
        <f t="shared" ca="1" si="233"/>
        <v>4.5506452310531631E-2</v>
      </c>
      <c r="AE215" s="45">
        <f t="shared" ca="1" si="246"/>
        <v>6.3847072090583081</v>
      </c>
      <c r="AF215" s="45">
        <f t="shared" ca="1" si="234"/>
        <v>0</v>
      </c>
      <c r="AG215" s="76">
        <f t="shared" ca="1" si="235"/>
        <v>63.915592924686351</v>
      </c>
      <c r="AH215" s="45">
        <f t="shared" ca="1" si="236"/>
        <v>0.4296569176490741</v>
      </c>
      <c r="AI215" s="77">
        <f t="shared" ca="1" si="237"/>
        <v>1.4307609397102206E-2</v>
      </c>
      <c r="AJ215" s="384">
        <f t="shared" ca="1" si="239"/>
        <v>3.6682566967739527E-2</v>
      </c>
      <c r="AU215" s="1"/>
    </row>
    <row r="216" spans="3:47" x14ac:dyDescent="0.25">
      <c r="C216" s="10">
        <f t="shared" si="175"/>
        <v>10</v>
      </c>
      <c r="D216" s="91">
        <f t="shared" si="247"/>
        <v>6</v>
      </c>
      <c r="E216" s="278"/>
      <c r="F216" s="76">
        <f t="shared" ref="F216:Q216" ca="1" si="251">F144</f>
        <v>18.579999999999998</v>
      </c>
      <c r="G216" s="46">
        <f t="shared" ca="1" si="251"/>
        <v>27.012600000000003</v>
      </c>
      <c r="H216" s="46">
        <f t="shared" ca="1" si="223"/>
        <v>28.517550000000004</v>
      </c>
      <c r="I216" s="45">
        <f t="shared" ca="1" si="224"/>
        <v>1.1053966357180092</v>
      </c>
      <c r="J216" s="45">
        <f t="shared" ca="1" si="225"/>
        <v>0.27952512346894071</v>
      </c>
      <c r="K216" s="45">
        <f t="shared" ca="1" si="241"/>
        <v>0.90345467800480783</v>
      </c>
      <c r="L216" s="358">
        <f t="shared" ca="1" si="226"/>
        <v>0.89864190578209513</v>
      </c>
      <c r="M216" s="76">
        <f t="shared" ca="1" si="251"/>
        <v>0.25347808785320641</v>
      </c>
      <c r="N216" s="45">
        <f t="shared" ca="1" si="251"/>
        <v>0.25</v>
      </c>
      <c r="O216" s="45">
        <f t="shared" ca="1" si="251"/>
        <v>0</v>
      </c>
      <c r="P216" s="46" t="str">
        <f t="shared" ca="1" si="251"/>
        <v/>
      </c>
      <c r="Q216" s="243" t="str">
        <f t="shared" ca="1" si="251"/>
        <v/>
      </c>
      <c r="R216" s="45">
        <f t="shared" ca="1" si="242"/>
        <v>0.2379508454719137</v>
      </c>
      <c r="S216" s="45">
        <f t="shared" ca="1" si="177"/>
        <v>5.0695617570641283E-2</v>
      </c>
      <c r="T216" s="77">
        <f t="shared" ca="1" si="227"/>
        <v>0.14323320525148991</v>
      </c>
      <c r="U216" s="45">
        <f t="shared" ca="1" si="243"/>
        <v>16.972740535993871</v>
      </c>
      <c r="V216" s="45">
        <f t="shared" ca="1" si="228"/>
        <v>0.20278247028256513</v>
      </c>
      <c r="W216" s="77">
        <f t="shared" ca="1" si="229"/>
        <v>0.46261860308782732</v>
      </c>
      <c r="X216" s="45">
        <f t="shared" ca="1" si="244"/>
        <v>0.95673821171516726</v>
      </c>
      <c r="Y216" s="45">
        <f t="shared" ca="1" si="230"/>
        <v>6.0565330012209671E-2</v>
      </c>
      <c r="Z216" s="77">
        <f t="shared" ca="1" si="231"/>
        <v>5.6433757942285792E-2</v>
      </c>
      <c r="AA216" s="45">
        <f t="shared" ca="1" si="245"/>
        <v>39.187277292651224</v>
      </c>
      <c r="AB216" s="45">
        <f t="shared" ca="1" si="232"/>
        <v>0</v>
      </c>
      <c r="AC216" s="45" cm="1">
        <f t="array" aca="1" ref="AC216" ca="1">pHUM*(T216+W216+Z216+AD216)</f>
        <v>7.1253329426129025E-2</v>
      </c>
      <c r="AD216" s="77">
        <f t="shared" ca="1" si="233"/>
        <v>7.2129344123521039E-2</v>
      </c>
      <c r="AE216" s="45">
        <f t="shared" ca="1" si="246"/>
        <v>6.3847072090583081</v>
      </c>
      <c r="AF216" s="45">
        <f t="shared" ca="1" si="234"/>
        <v>0</v>
      </c>
      <c r="AG216" s="76">
        <f t="shared" ca="1" si="235"/>
        <v>63.739414094890478</v>
      </c>
      <c r="AH216" s="45">
        <f t="shared" ca="1" si="236"/>
        <v>0.60259625096678537</v>
      </c>
      <c r="AI216" s="77">
        <f t="shared" ca="1" si="237"/>
        <v>1.2911645012256022E-2</v>
      </c>
      <c r="AJ216" s="384">
        <f t="shared" ca="1" si="239"/>
        <v>3.7000667065981707E-2</v>
      </c>
      <c r="AU216" s="1"/>
    </row>
    <row r="217" spans="3:47" x14ac:dyDescent="0.25">
      <c r="C217" s="10">
        <f t="shared" si="175"/>
        <v>10</v>
      </c>
      <c r="D217" s="91">
        <f t="shared" si="247"/>
        <v>7</v>
      </c>
      <c r="E217" s="278"/>
      <c r="F217" s="76">
        <f t="shared" ref="F217:Q217" ca="1" si="252">F145</f>
        <v>20.88</v>
      </c>
      <c r="G217" s="46">
        <f t="shared" ca="1" si="252"/>
        <v>27.012600000000003</v>
      </c>
      <c r="H217" s="46">
        <f t="shared" ca="1" si="223"/>
        <v>28.517550000000004</v>
      </c>
      <c r="I217" s="45">
        <f t="shared" ca="1" si="224"/>
        <v>1.2963209464812457</v>
      </c>
      <c r="J217" s="45">
        <f t="shared" ca="1" si="225"/>
        <v>0.27952512346894071</v>
      </c>
      <c r="K217" s="45">
        <f t="shared" ca="1" si="241"/>
        <v>0.90345467800480783</v>
      </c>
      <c r="L217" s="358">
        <f t="shared" ca="1" si="226"/>
        <v>0.92456370800230281</v>
      </c>
      <c r="M217" s="76">
        <f t="shared" ca="1" si="252"/>
        <v>0.25347808785320641</v>
      </c>
      <c r="N217" s="45">
        <f t="shared" ca="1" si="252"/>
        <v>0.25</v>
      </c>
      <c r="O217" s="45">
        <f t="shared" ca="1" si="252"/>
        <v>0</v>
      </c>
      <c r="P217" s="46" t="str">
        <f t="shared" ca="1" si="252"/>
        <v/>
      </c>
      <c r="Q217" s="243" t="str">
        <f t="shared" ca="1" si="252"/>
        <v/>
      </c>
      <c r="R217" s="45">
        <f t="shared" ca="1" si="242"/>
        <v>0.14541325779106506</v>
      </c>
      <c r="S217" s="45">
        <f t="shared" ca="1" si="177"/>
        <v>5.0695617570641283E-2</v>
      </c>
      <c r="T217" s="77">
        <f t="shared" ca="1" si="227"/>
        <v>9.6044771709889135E-2</v>
      </c>
      <c r="U217" s="45">
        <f t="shared" ca="1" si="243"/>
        <v>16.71290440318861</v>
      </c>
      <c r="V217" s="45">
        <f t="shared" ca="1" si="228"/>
        <v>0.20278247028256513</v>
      </c>
      <c r="W217" s="77">
        <f t="shared" ca="1" si="229"/>
        <v>0.53294963446567267</v>
      </c>
      <c r="X217" s="45">
        <f t="shared" ca="1" si="244"/>
        <v>0.96086978378509125</v>
      </c>
      <c r="Y217" s="45">
        <f t="shared" ca="1" si="230"/>
        <v>6.4298982288217607E-2</v>
      </c>
      <c r="Z217" s="77">
        <f t="shared" ca="1" si="231"/>
        <v>6.6122559883393162E-2</v>
      </c>
      <c r="AA217" s="45">
        <f t="shared" ca="1" si="245"/>
        <v>39.186401277953834</v>
      </c>
      <c r="AB217" s="45">
        <f t="shared" ca="1" si="232"/>
        <v>0</v>
      </c>
      <c r="AC217" s="45" cm="1">
        <f t="array" aca="1" ref="AC217" ca="1">pHUM*(T217+W217+Z217+AD217)</f>
        <v>7.5645861515550125E-2</v>
      </c>
      <c r="AD217" s="77">
        <f t="shared" ca="1" si="233"/>
        <v>8.4572194502413142E-2</v>
      </c>
      <c r="AE217" s="45">
        <f t="shared" ca="1" si="246"/>
        <v>6.3847072090583081</v>
      </c>
      <c r="AF217" s="45">
        <f t="shared" ca="1" si="234"/>
        <v>0</v>
      </c>
      <c r="AG217" s="76">
        <f t="shared" ca="1" si="235"/>
        <v>63.390295931776905</v>
      </c>
      <c r="AH217" s="45">
        <f t="shared" ca="1" si="236"/>
        <v>0.63974431675760035</v>
      </c>
      <c r="AI217" s="77">
        <f t="shared" ca="1" si="237"/>
        <v>1.1527972020548104E-2</v>
      </c>
      <c r="AJ217" s="384">
        <f t="shared" ca="1" si="239"/>
        <v>3.3988523569249418E-2</v>
      </c>
      <c r="AU217" s="1"/>
    </row>
    <row r="218" spans="3:47" x14ac:dyDescent="0.25">
      <c r="C218" s="10">
        <f t="shared" si="175"/>
        <v>10</v>
      </c>
      <c r="D218" s="91">
        <f t="shared" si="247"/>
        <v>8</v>
      </c>
      <c r="E218" s="278"/>
      <c r="F218" s="76">
        <f t="shared" ref="F218:Q218" ca="1" si="253">F146</f>
        <v>19.38</v>
      </c>
      <c r="G218" s="46">
        <f t="shared" ca="1" si="253"/>
        <v>27.012600000000003</v>
      </c>
      <c r="H218" s="46">
        <f t="shared" ca="1" si="223"/>
        <v>28.517550000000004</v>
      </c>
      <c r="I218" s="45">
        <f t="shared" ca="1" si="224"/>
        <v>1.1711755949831784</v>
      </c>
      <c r="J218" s="45">
        <f t="shared" ca="1" si="225"/>
        <v>0.27952512346894071</v>
      </c>
      <c r="K218" s="45">
        <f t="shared" ca="1" si="241"/>
        <v>0.90345467800480783</v>
      </c>
      <c r="L218" s="358">
        <f t="shared" ca="1" si="226"/>
        <v>0.9085593811553081</v>
      </c>
      <c r="M218" s="76">
        <f t="shared" ca="1" si="253"/>
        <v>0.25347808785320641</v>
      </c>
      <c r="N218" s="45">
        <f t="shared" ca="1" si="253"/>
        <v>0.25</v>
      </c>
      <c r="O218" s="45">
        <f t="shared" ca="1" si="253"/>
        <v>0</v>
      </c>
      <c r="P218" s="46" t="str">
        <f t="shared" ca="1" si="253"/>
        <v/>
      </c>
      <c r="Q218" s="243" t="str">
        <f t="shared" ca="1" si="253"/>
        <v/>
      </c>
      <c r="R218" s="45">
        <f t="shared" ca="1" si="242"/>
        <v>0.10006410365181721</v>
      </c>
      <c r="S218" s="45">
        <f t="shared" ca="1" si="177"/>
        <v>5.0695617570641283E-2</v>
      </c>
      <c r="T218" s="77">
        <f t="shared" ca="1" si="227"/>
        <v>6.2357646589744672E-2</v>
      </c>
      <c r="U218" s="45">
        <f t="shared" ca="1" si="243"/>
        <v>16.3827372390055</v>
      </c>
      <c r="V218" s="45">
        <f t="shared" ca="1" si="228"/>
        <v>0.20278247028256513</v>
      </c>
      <c r="W218" s="77">
        <f t="shared" ca="1" si="229"/>
        <v>0.47272227010749984</v>
      </c>
      <c r="X218" s="45">
        <f t="shared" ca="1" si="244"/>
        <v>0.95904620618991565</v>
      </c>
      <c r="Y218" s="45">
        <f t="shared" ca="1" si="230"/>
        <v>5.5360996096977762E-2</v>
      </c>
      <c r="Z218" s="77">
        <f t="shared" ca="1" si="231"/>
        <v>5.9829014673729461E-2</v>
      </c>
      <c r="AA218" s="45">
        <f t="shared" ca="1" si="245"/>
        <v>39.177474944966967</v>
      </c>
      <c r="AB218" s="45">
        <f t="shared" ca="1" si="232"/>
        <v>0</v>
      </c>
      <c r="AC218" s="45" cm="1">
        <f t="array" aca="1" ref="AC218" ca="1">pHUM*(T218+W218+Z218+AD218)</f>
        <v>6.5130583643503243E-2</v>
      </c>
      <c r="AD218" s="77">
        <f t="shared" ca="1" si="233"/>
        <v>7.6398250151918742E-2</v>
      </c>
      <c r="AE218" s="45">
        <f t="shared" ca="1" si="246"/>
        <v>6.3847072090583081</v>
      </c>
      <c r="AF218" s="45">
        <f t="shared" ca="1" si="234"/>
        <v>0</v>
      </c>
      <c r="AG218" s="76">
        <f t="shared" ca="1" si="235"/>
        <v>63.004029702872508</v>
      </c>
      <c r="AH218" s="45">
        <f t="shared" ca="1" si="236"/>
        <v>0.55081560178241173</v>
      </c>
      <c r="AI218" s="77">
        <f t="shared" ca="1" si="237"/>
        <v>1.0791342778791849E-2</v>
      </c>
      <c r="AJ218" s="384">
        <f t="shared" ca="1" si="239"/>
        <v>3.126601012070962E-2</v>
      </c>
      <c r="AU218" s="1"/>
    </row>
    <row r="219" spans="3:47" x14ac:dyDescent="0.25">
      <c r="C219" s="10">
        <f t="shared" si="175"/>
        <v>10</v>
      </c>
      <c r="D219" s="91">
        <f t="shared" si="247"/>
        <v>9</v>
      </c>
      <c r="E219" s="278"/>
      <c r="F219" s="76">
        <f t="shared" ref="F219:Q219" ca="1" si="254">F147</f>
        <v>16.57</v>
      </c>
      <c r="G219" s="46">
        <f t="shared" ca="1" si="254"/>
        <v>27.012600000000003</v>
      </c>
      <c r="H219" s="46">
        <f t="shared" ca="1" si="223"/>
        <v>28.517550000000004</v>
      </c>
      <c r="I219" s="45">
        <f t="shared" ca="1" si="224"/>
        <v>0.9439672665218134</v>
      </c>
      <c r="J219" s="45">
        <f t="shared" ca="1" si="225"/>
        <v>0.27952512346894071</v>
      </c>
      <c r="K219" s="45">
        <f t="shared" ca="1" si="241"/>
        <v>0.90345467800480783</v>
      </c>
      <c r="L219" s="358">
        <f t="shared" ca="1" si="226"/>
        <v>0.86895066774150642</v>
      </c>
      <c r="M219" s="76">
        <f t="shared" ca="1" si="254"/>
        <v>0.25347808785320641</v>
      </c>
      <c r="N219" s="45">
        <f t="shared" ca="1" si="254"/>
        <v>0.25</v>
      </c>
      <c r="O219" s="45">
        <f t="shared" ca="1" si="254"/>
        <v>0</v>
      </c>
      <c r="P219" s="46" t="str">
        <f t="shared" ca="1" si="254"/>
        <v/>
      </c>
      <c r="Q219" s="243" t="str">
        <f t="shared" ca="1" si="254"/>
        <v/>
      </c>
      <c r="R219" s="45">
        <f t="shared" ca="1" si="242"/>
        <v>8.8402074632713837E-2</v>
      </c>
      <c r="S219" s="45">
        <f t="shared" ca="1" si="177"/>
        <v>5.0695617570641283E-2</v>
      </c>
      <c r="T219" s="77">
        <f t="shared" ca="1" si="227"/>
        <v>4.8146195874830794E-2</v>
      </c>
      <c r="U219" s="45">
        <f t="shared" ca="1" si="243"/>
        <v>16.112797439180564</v>
      </c>
      <c r="V219" s="45">
        <f t="shared" ca="1" si="228"/>
        <v>0.20278247028256513</v>
      </c>
      <c r="W219" s="77">
        <f t="shared" ca="1" si="229"/>
        <v>0.37579714074415316</v>
      </c>
      <c r="X219" s="45">
        <f t="shared" ca="1" si="244"/>
        <v>0.95457818761316404</v>
      </c>
      <c r="Y219" s="45">
        <f t="shared" ca="1" si="230"/>
        <v>4.4021926789134198E-2</v>
      </c>
      <c r="Z219" s="77">
        <f t="shared" ca="1" si="231"/>
        <v>4.8295427246327557E-2</v>
      </c>
      <c r="AA219" s="45">
        <f t="shared" ca="1" si="245"/>
        <v>39.16620727845855</v>
      </c>
      <c r="AB219" s="45">
        <f t="shared" ca="1" si="232"/>
        <v>0</v>
      </c>
      <c r="AC219" s="45" cm="1">
        <f t="array" aca="1" ref="AC219" ca="1">pHUM*(T219+W219+Z219+AD219)</f>
        <v>5.1790502104863766E-2</v>
      </c>
      <c r="AD219" s="77">
        <f t="shared" ca="1" si="233"/>
        <v>6.157091590008034E-2</v>
      </c>
      <c r="AE219" s="45">
        <f t="shared" ca="1" si="246"/>
        <v>6.3847072090583081</v>
      </c>
      <c r="AF219" s="45">
        <f t="shared" ca="1" si="234"/>
        <v>0</v>
      </c>
      <c r="AG219" s="76">
        <f t="shared" ca="1" si="235"/>
        <v>62.7066921889433</v>
      </c>
      <c r="AH219" s="45">
        <f t="shared" ca="1" si="236"/>
        <v>0.43799725087139391</v>
      </c>
      <c r="AI219" s="77">
        <f t="shared" ca="1" si="237"/>
        <v>1.0551246447874703E-2</v>
      </c>
      <c r="AJ219" s="384">
        <f t="shared" ca="1" si="239"/>
        <v>2.923771165858402E-2</v>
      </c>
      <c r="AU219" s="1"/>
    </row>
    <row r="220" spans="3:47" x14ac:dyDescent="0.25">
      <c r="C220" s="10">
        <f t="shared" si="175"/>
        <v>10</v>
      </c>
      <c r="D220" s="91">
        <f t="shared" si="247"/>
        <v>10</v>
      </c>
      <c r="E220" s="278"/>
      <c r="F220" s="76">
        <f t="shared" ref="F220:Q220" ca="1" si="255">F148</f>
        <v>10.87</v>
      </c>
      <c r="G220" s="46">
        <f t="shared" ca="1" si="255"/>
        <v>27.012600000000003</v>
      </c>
      <c r="H220" s="46">
        <f t="shared" ca="1" si="223"/>
        <v>28.517550000000004</v>
      </c>
      <c r="I220" s="45">
        <f t="shared" ca="1" si="224"/>
        <v>0.53125146958099567</v>
      </c>
      <c r="J220" s="45">
        <f t="shared" ca="1" si="225"/>
        <v>0.27952512346894071</v>
      </c>
      <c r="K220" s="45">
        <f t="shared" ca="1" si="241"/>
        <v>0.90345467800480783</v>
      </c>
      <c r="L220" s="358">
        <f t="shared" ca="1" si="226"/>
        <v>0.74105246316705919</v>
      </c>
      <c r="M220" s="76">
        <f t="shared" ca="1" si="255"/>
        <v>0.25347808785320641</v>
      </c>
      <c r="N220" s="45">
        <f t="shared" ca="1" si="255"/>
        <v>0.25</v>
      </c>
      <c r="O220" s="45">
        <f t="shared" ca="1" si="255"/>
        <v>0</v>
      </c>
      <c r="P220" s="46" t="str">
        <f t="shared" ca="1" si="255"/>
        <v/>
      </c>
      <c r="Q220" s="243" t="str">
        <f t="shared" ca="1" si="255"/>
        <v/>
      </c>
      <c r="R220" s="45">
        <f t="shared" ca="1" si="242"/>
        <v>9.0951496328524312E-2</v>
      </c>
      <c r="S220" s="45">
        <f t="shared" ca="1" si="177"/>
        <v>5.0695617570641283E-2</v>
      </c>
      <c r="T220" s="77">
        <f t="shared" ca="1" si="227"/>
        <v>3.2533920585815154E-2</v>
      </c>
      <c r="U220" s="45">
        <f t="shared" ca="1" si="243"/>
        <v>15.939782768718976</v>
      </c>
      <c r="V220" s="45">
        <f t="shared" ca="1" si="228"/>
        <v>0.20278247028256513</v>
      </c>
      <c r="W220" s="77">
        <f t="shared" ca="1" si="229"/>
        <v>0.21030119896607194</v>
      </c>
      <c r="X220" s="45">
        <f t="shared" ca="1" si="244"/>
        <v>0.95030468715597072</v>
      </c>
      <c r="Y220" s="45">
        <f t="shared" ca="1" si="230"/>
        <v>2.5140590349532831E-2</v>
      </c>
      <c r="Z220" s="77">
        <f t="shared" ca="1" si="231"/>
        <v>2.7365057535238994E-2</v>
      </c>
      <c r="AA220" s="45">
        <f t="shared" ca="1" si="245"/>
        <v>39.156426864663338</v>
      </c>
      <c r="AB220" s="45">
        <f t="shared" ca="1" si="232"/>
        <v>0</v>
      </c>
      <c r="AC220" s="45" cm="1">
        <f t="array" aca="1" ref="AC220" ca="1">pHUM*(T220+W220+Z220+AD220)</f>
        <v>2.9577165117097449E-2</v>
      </c>
      <c r="AD220" s="77">
        <f t="shared" ca="1" si="233"/>
        <v>3.465450471452354E-2</v>
      </c>
      <c r="AE220" s="45">
        <f t="shared" ca="1" si="246"/>
        <v>6.3847072090583081</v>
      </c>
      <c r="AF220" s="45">
        <f t="shared" ca="1" si="234"/>
        <v>0</v>
      </c>
      <c r="AG220" s="76">
        <f t="shared" ca="1" si="235"/>
        <v>62.522173025925113</v>
      </c>
      <c r="AH220" s="45">
        <f t="shared" ca="1" si="236"/>
        <v>0.25013692633501933</v>
      </c>
      <c r="AI220" s="77">
        <f t="shared" ca="1" si="237"/>
        <v>1.0542245601010867E-2</v>
      </c>
      <c r="AJ220" s="384">
        <f t="shared" ca="1" si="239"/>
        <v>2.4913133037322011E-2</v>
      </c>
      <c r="AU220" s="1"/>
    </row>
    <row r="221" spans="3:47" x14ac:dyDescent="0.25">
      <c r="C221" s="10">
        <f t="shared" si="175"/>
        <v>10</v>
      </c>
      <c r="D221" s="91">
        <f t="shared" si="247"/>
        <v>11</v>
      </c>
      <c r="E221" s="278"/>
      <c r="F221" s="76">
        <f t="shared" ref="F221:Q221" ca="1" si="256">F149</f>
        <v>1.4</v>
      </c>
      <c r="G221" s="46">
        <f t="shared" ca="1" si="256"/>
        <v>28.536243189942063</v>
      </c>
      <c r="H221" s="46">
        <f t="shared" ca="1" si="223"/>
        <v>26.993906810057943</v>
      </c>
      <c r="I221" s="45">
        <f t="shared" ca="1" si="224"/>
        <v>9.940372096718314E-2</v>
      </c>
      <c r="J221" s="45">
        <f t="shared" ca="1" si="225"/>
        <v>0.28648639837560558</v>
      </c>
      <c r="K221" s="45">
        <f t="shared" ca="1" si="241"/>
        <v>0.92595425264501963</v>
      </c>
      <c r="L221" s="358">
        <f t="shared" ca="1" si="226"/>
        <v>0.41120226021724715</v>
      </c>
      <c r="M221" s="76">
        <f t="shared" ca="1" si="256"/>
        <v>0.25347808785320641</v>
      </c>
      <c r="N221" s="45">
        <f t="shared" ca="1" si="256"/>
        <v>0.25</v>
      </c>
      <c r="O221" s="45">
        <f t="shared" ca="1" si="256"/>
        <v>0</v>
      </c>
      <c r="P221" s="46" t="str">
        <f t="shared" ca="1" si="256"/>
        <v/>
      </c>
      <c r="Q221" s="243" t="str">
        <f t="shared" ca="1" si="256"/>
        <v/>
      </c>
      <c r="R221" s="45">
        <f t="shared" ca="1" si="242"/>
        <v>0.10911319331335044</v>
      </c>
      <c r="S221" s="45">
        <f t="shared" ca="1" si="177"/>
        <v>5.0695617570641283E-2</v>
      </c>
      <c r="T221" s="77">
        <f t="shared" ca="1" si="227"/>
        <v>8.6743136422450483E-3</v>
      </c>
      <c r="U221" s="45">
        <f t="shared" ca="1" si="243"/>
        <v>15.93226404003547</v>
      </c>
      <c r="V221" s="45">
        <f t="shared" ca="1" si="228"/>
        <v>0.20278247028256513</v>
      </c>
      <c r="W221" s="77">
        <f t="shared" ca="1" si="229"/>
        <v>3.954400261181247E-2</v>
      </c>
      <c r="X221" s="45">
        <f t="shared" ca="1" si="244"/>
        <v>0.94808021997026459</v>
      </c>
      <c r="Y221" s="45">
        <f t="shared" ca="1" si="230"/>
        <v>4.9375988331937584E-3</v>
      </c>
      <c r="Z221" s="77">
        <f t="shared" ca="1" si="231"/>
        <v>5.1692051631999688E-3</v>
      </c>
      <c r="AA221" s="45">
        <f t="shared" ca="1" si="245"/>
        <v>39.15134952506591</v>
      </c>
      <c r="AB221" s="45">
        <f t="shared" ca="1" si="232"/>
        <v>0</v>
      </c>
      <c r="AC221" s="45" cm="1">
        <f t="array" aca="1" ref="AC221" ca="1">pHUM*(T221+W221+Z221+AD221)</f>
        <v>5.8089398037573627E-3</v>
      </c>
      <c r="AD221" s="77">
        <f t="shared" ca="1" si="233"/>
        <v>6.4857790991502476E-3</v>
      </c>
      <c r="AE221" s="45">
        <f t="shared" ca="1" si="246"/>
        <v>6.3847072090583081</v>
      </c>
      <c r="AF221" s="45">
        <f t="shared" ca="1" si="234"/>
        <v>0</v>
      </c>
      <c r="AG221" s="76">
        <f t="shared" ca="1" si="235"/>
        <v>62.525514187443306</v>
      </c>
      <c r="AH221" s="45">
        <f t="shared" ca="1" si="236"/>
        <v>4.9126761879456624E-2</v>
      </c>
      <c r="AI221" s="77">
        <f t="shared" ca="1" si="237"/>
        <v>1.0805525535742915E-2</v>
      </c>
      <c r="AJ221" s="384">
        <f t="shared" ca="1" si="239"/>
        <v>1.4522288710927533E-2</v>
      </c>
      <c r="AU221" s="1"/>
    </row>
    <row r="222" spans="3:47" x14ac:dyDescent="0.25">
      <c r="C222" s="10">
        <f t="shared" si="175"/>
        <v>10</v>
      </c>
      <c r="D222" s="91">
        <f t="shared" si="247"/>
        <v>12</v>
      </c>
      <c r="E222" s="278"/>
      <c r="F222" s="76">
        <f t="shared" ref="F222:Q222" ca="1" si="257">F150</f>
        <v>-1.78</v>
      </c>
      <c r="G222" s="46">
        <f t="shared" ca="1" si="257"/>
        <v>32.216243189942062</v>
      </c>
      <c r="H222" s="46">
        <f t="shared" ca="1" si="223"/>
        <v>23.313906810057944</v>
      </c>
      <c r="I222" s="45">
        <f t="shared" ca="1" si="224"/>
        <v>3.9789790397057247E-2</v>
      </c>
      <c r="J222" s="45">
        <f t="shared" ca="1" si="225"/>
        <v>0.29882189650486002</v>
      </c>
      <c r="K222" s="45">
        <f t="shared" ca="1" si="241"/>
        <v>0.96582388351071458</v>
      </c>
      <c r="L222" s="358">
        <f t="shared" ca="1" si="226"/>
        <v>0.30292377267304249</v>
      </c>
      <c r="M222" s="76">
        <f t="shared" ca="1" si="257"/>
        <v>0.25347808785320641</v>
      </c>
      <c r="N222" s="45">
        <f t="shared" ca="1" si="257"/>
        <v>0.25</v>
      </c>
      <c r="O222" s="45">
        <f t="shared" ca="1" si="257"/>
        <v>0</v>
      </c>
      <c r="P222" s="46" t="str">
        <f t="shared" ca="1" si="257"/>
        <v/>
      </c>
      <c r="Q222" s="243" t="str">
        <f t="shared" ca="1" si="257"/>
        <v/>
      </c>
      <c r="R222" s="45">
        <f t="shared" ca="1" si="242"/>
        <v>0.15113449724174668</v>
      </c>
      <c r="S222" s="45">
        <f t="shared" ca="1" si="177"/>
        <v>5.0695617570641283E-2</v>
      </c>
      <c r="T222" s="77">
        <f t="shared" ca="1" si="227"/>
        <v>4.9291689443774654E-3</v>
      </c>
      <c r="U222" s="45">
        <f t="shared" ca="1" si="243"/>
        <v>16.095502507706222</v>
      </c>
      <c r="V222" s="45">
        <f t="shared" ca="1" si="228"/>
        <v>0.20278247028256513</v>
      </c>
      <c r="W222" s="77">
        <f t="shared" ca="1" si="229"/>
        <v>1.6002956029996993E-2</v>
      </c>
      <c r="X222" s="45">
        <f t="shared" ca="1" si="244"/>
        <v>0.94784861364025841</v>
      </c>
      <c r="Y222" s="45">
        <f t="shared" ca="1" si="230"/>
        <v>2.1112005117066516E-3</v>
      </c>
      <c r="Z222" s="77">
        <f t="shared" ca="1" si="231"/>
        <v>2.072040278276645E-3</v>
      </c>
      <c r="AA222" s="45">
        <f t="shared" ca="1" si="245"/>
        <v>39.150672685770516</v>
      </c>
      <c r="AB222" s="45">
        <f t="shared" ca="1" si="232"/>
        <v>0</v>
      </c>
      <c r="AC222" s="45" cm="1">
        <f t="array" aca="1" ref="AC222" ca="1">pHUM*(T222+W222+Z222+AD222)</f>
        <v>2.4837653078901784E-3</v>
      </c>
      <c r="AD222" s="77">
        <f t="shared" ca="1" si="233"/>
        <v>2.5962423458829047E-3</v>
      </c>
      <c r="AE222" s="45">
        <f t="shared" ca="1" si="246"/>
        <v>6.3847072090583081</v>
      </c>
      <c r="AF222" s="45">
        <f t="shared" ca="1" si="234"/>
        <v>0</v>
      </c>
      <c r="AG222" s="76">
        <f t="shared" ca="1" si="235"/>
        <v>62.729865513417046</v>
      </c>
      <c r="AH222" s="45">
        <f t="shared" ca="1" si="236"/>
        <v>2.1005441778937182E-2</v>
      </c>
      <c r="AI222" s="77">
        <f t="shared" ca="1" si="237"/>
        <v>1.1460004575122322E-2</v>
      </c>
      <c r="AJ222" s="384">
        <f t="shared" ca="1" si="239"/>
        <v>1.1834811323001571E-2</v>
      </c>
      <c r="AU222" s="1"/>
    </row>
    <row r="223" spans="3:47" x14ac:dyDescent="0.25">
      <c r="C223" s="10">
        <f t="shared" si="175"/>
        <v>11</v>
      </c>
      <c r="D223" s="91">
        <f t="shared" si="247"/>
        <v>1</v>
      </c>
      <c r="E223" s="278"/>
      <c r="F223" s="76">
        <f t="shared" ref="F223:Q223" ca="1" si="258">F151</f>
        <v>-8.2799999999999994</v>
      </c>
      <c r="G223" s="46">
        <f t="shared" ca="1" si="258"/>
        <v>27.676243189942063</v>
      </c>
      <c r="H223" s="46">
        <f t="shared" ca="1" si="223"/>
        <v>27.853906810057943</v>
      </c>
      <c r="I223" s="45">
        <f t="shared" ca="1" si="224"/>
        <v>5.2124139735228647E-4</v>
      </c>
      <c r="J223" s="45">
        <f t="shared" ca="1" si="225"/>
        <v>0.28271042830183513</v>
      </c>
      <c r="K223" s="45">
        <f t="shared" ca="1" si="241"/>
        <v>0.91374991914963299</v>
      </c>
      <c r="L223" s="358">
        <f t="shared" ca="1" si="226"/>
        <v>0.14143923467074027</v>
      </c>
      <c r="M223" s="76">
        <f t="shared" ca="1" si="258"/>
        <v>0.25347808785320641</v>
      </c>
      <c r="N223" s="45">
        <f t="shared" ca="1" si="258"/>
        <v>0.25</v>
      </c>
      <c r="O223" s="45">
        <f t="shared" ca="1" si="258"/>
        <v>0</v>
      </c>
      <c r="P223" s="46" t="str">
        <f t="shared" ca="1" si="258"/>
        <v/>
      </c>
      <c r="Q223" s="243" t="str">
        <f t="shared" ca="1" si="258"/>
        <v/>
      </c>
      <c r="R223" s="45">
        <f t="shared" ca="1" si="242"/>
        <v>0.19690094586801049</v>
      </c>
      <c r="S223" s="45">
        <f t="shared" ca="1" si="177"/>
        <v>5.0695617570641283E-2</v>
      </c>
      <c r="T223" s="77">
        <f t="shared" ca="1" si="227"/>
        <v>8.5508864309104358E-5</v>
      </c>
      <c r="U223" s="45">
        <f t="shared" ca="1" si="243"/>
        <v>16.282282021958789</v>
      </c>
      <c r="V223" s="45">
        <f t="shared" ca="1" si="228"/>
        <v>0.20278247028256513</v>
      </c>
      <c r="W223" s="77">
        <f t="shared" ca="1" si="229"/>
        <v>2.1217360340651981E-4</v>
      </c>
      <c r="X223" s="45">
        <f t="shared" ca="1" si="244"/>
        <v>0.94788777387368839</v>
      </c>
      <c r="Y223" s="45">
        <f t="shared" ca="1" si="230"/>
        <v>2.9594919831140277E-5</v>
      </c>
      <c r="Z223" s="77">
        <f t="shared" ca="1" si="231"/>
        <v>2.7173919611708065E-5</v>
      </c>
      <c r="AA223" s="45">
        <f t="shared" ca="1" si="245"/>
        <v>39.150560208732529</v>
      </c>
      <c r="AB223" s="45">
        <f t="shared" ca="1" si="232"/>
        <v>0</v>
      </c>
      <c r="AC223" s="45" cm="1">
        <f t="array" aca="1" ref="AC223" ca="1">pHUM*(T223+W223+Z223+AD223)</f>
        <v>3.4817552742517971E-5</v>
      </c>
      <c r="AD223" s="77">
        <f t="shared" ca="1" si="233"/>
        <v>3.4011473078151492E-5</v>
      </c>
      <c r="AE223" s="45">
        <f t="shared" ca="1" si="246"/>
        <v>6.3847072090583081</v>
      </c>
      <c r="AF223" s="45">
        <f t="shared" ca="1" si="234"/>
        <v>0</v>
      </c>
      <c r="AG223" s="76">
        <f t="shared" ca="1" si="235"/>
        <v>62.962338159491324</v>
      </c>
      <c r="AH223" s="45">
        <f t="shared" ca="1" si="236"/>
        <v>2.9445538783182546E-4</v>
      </c>
      <c r="AI223" s="77">
        <f t="shared" ca="1" si="237"/>
        <v>1.2169578714830391E-2</v>
      </c>
      <c r="AJ223" s="384">
        <f t="shared" ca="1" si="239"/>
        <v>5.5516313245562721E-3</v>
      </c>
      <c r="AU223" s="1"/>
    </row>
    <row r="224" spans="3:47" x14ac:dyDescent="0.25">
      <c r="C224" s="10">
        <f t="shared" si="175"/>
        <v>11</v>
      </c>
      <c r="D224" s="91">
        <f t="shared" si="247"/>
        <v>2</v>
      </c>
      <c r="E224" s="278"/>
      <c r="F224" s="76">
        <f t="shared" ref="F224:Q224" ca="1" si="259">F152</f>
        <v>-13.02</v>
      </c>
      <c r="G224" s="46">
        <f t="shared" ca="1" si="259"/>
        <v>27.012600000000003</v>
      </c>
      <c r="H224" s="46">
        <f t="shared" ca="1" si="223"/>
        <v>28.517550000000004</v>
      </c>
      <c r="I224" s="45">
        <f t="shared" ca="1" si="224"/>
        <v>3.4968020066039631E-8</v>
      </c>
      <c r="J224" s="45">
        <f t="shared" ca="1" si="225"/>
        <v>0.27952512346894071</v>
      </c>
      <c r="K224" s="45">
        <f t="shared" ca="1" si="241"/>
        <v>0.90345467800480783</v>
      </c>
      <c r="L224" s="358">
        <f t="shared" ca="1" si="226"/>
        <v>7.5103934893711255E-2</v>
      </c>
      <c r="M224" s="76">
        <f t="shared" ca="1" si="259"/>
        <v>0.25347808785320641</v>
      </c>
      <c r="N224" s="45">
        <f t="shared" ca="1" si="259"/>
        <v>0.25</v>
      </c>
      <c r="O224" s="45">
        <f t="shared" ca="1" si="259"/>
        <v>0</v>
      </c>
      <c r="P224" s="46" t="str">
        <f t="shared" ca="1" si="259"/>
        <v/>
      </c>
      <c r="Q224" s="243" t="str">
        <f t="shared" ca="1" si="259"/>
        <v/>
      </c>
      <c r="R224" s="45">
        <f t="shared" ca="1" si="242"/>
        <v>0.24751105457434266</v>
      </c>
      <c r="S224" s="45">
        <f t="shared" ca="1" si="177"/>
        <v>5.0695617570641283E-2</v>
      </c>
      <c r="T224" s="77">
        <f t="shared" ca="1" si="227"/>
        <v>7.2124761619648606E-9</v>
      </c>
      <c r="U224" s="45">
        <f t="shared" ca="1" si="243"/>
        <v>16.484852318637948</v>
      </c>
      <c r="V224" s="45">
        <f t="shared" ca="1" si="228"/>
        <v>0.20278247028256513</v>
      </c>
      <c r="W224" s="77">
        <f t="shared" ca="1" si="229"/>
        <v>1.4411065970829909E-8</v>
      </c>
      <c r="X224" s="45">
        <f t="shared" ca="1" si="244"/>
        <v>0.9478901948739078</v>
      </c>
      <c r="Y224" s="45">
        <f t="shared" ca="1" si="230"/>
        <v>2.1217441814161541E-9</v>
      </c>
      <c r="Z224" s="77">
        <f t="shared" ca="1" si="231"/>
        <v>1.8230214018415206E-9</v>
      </c>
      <c r="AA224" s="45">
        <f t="shared" ca="1" si="245"/>
        <v>39.150561014812197</v>
      </c>
      <c r="AB224" s="45">
        <f t="shared" ca="1" si="232"/>
        <v>0</v>
      </c>
      <c r="AC224" s="45" cm="1">
        <f t="array" aca="1" ref="AC224" ca="1">pHUM*(T224+W224+Z224+AD224)</f>
        <v>2.4961696251954751E-9</v>
      </c>
      <c r="AD224" s="77">
        <f t="shared" ca="1" si="233"/>
        <v>2.2816965538203244E-9</v>
      </c>
      <c r="AE224" s="45">
        <f t="shared" ca="1" si="246"/>
        <v>6.3847072090583081</v>
      </c>
      <c r="AF224" s="45">
        <f t="shared" ca="1" si="234"/>
        <v>0</v>
      </c>
      <c r="AG224" s="76">
        <f t="shared" ca="1" si="235"/>
        <v>63.215521791956704</v>
      </c>
      <c r="AH224" s="45">
        <f t="shared" ca="1" si="236"/>
        <v>2.1110346281844992E-8</v>
      </c>
      <c r="AI224" s="77">
        <f t="shared" ca="1" si="237"/>
        <v>1.2946592816837675E-2</v>
      </c>
      <c r="AJ224" s="384">
        <f t="shared" ca="1" si="239"/>
        <v>3.1007973196428562E-3</v>
      </c>
      <c r="AU224" s="1"/>
    </row>
    <row r="225" spans="3:47" x14ac:dyDescent="0.25">
      <c r="C225" s="10">
        <f t="shared" si="175"/>
        <v>11</v>
      </c>
      <c r="D225" s="91">
        <f t="shared" si="247"/>
        <v>3</v>
      </c>
      <c r="E225" s="278"/>
      <c r="F225" s="76">
        <f t="shared" ref="F225:Q225" ca="1" si="260">F153</f>
        <v>-3.52</v>
      </c>
      <c r="G225" s="46">
        <f t="shared" ca="1" si="260"/>
        <v>29.742600000000003</v>
      </c>
      <c r="H225" s="46">
        <f t="shared" ca="1" si="223"/>
        <v>25.787550000000003</v>
      </c>
      <c r="I225" s="45">
        <f t="shared" ca="1" si="224"/>
        <v>1.7216068766348798E-2</v>
      </c>
      <c r="J225" s="45">
        <f t="shared" ca="1" si="225"/>
        <v>0.2911707845539237</v>
      </c>
      <c r="K225" s="45">
        <f t="shared" ca="1" si="241"/>
        <v>0.94109468279262609</v>
      </c>
      <c r="L225" s="358">
        <f t="shared" ca="1" si="226"/>
        <v>0.2510452916114092</v>
      </c>
      <c r="M225" s="76">
        <f t="shared" ca="1" si="260"/>
        <v>0.25347808785320641</v>
      </c>
      <c r="N225" s="45">
        <f t="shared" ca="1" si="260"/>
        <v>0.25</v>
      </c>
      <c r="O225" s="45">
        <f t="shared" ca="1" si="260"/>
        <v>0</v>
      </c>
      <c r="P225" s="46" t="str">
        <f t="shared" ca="1" si="260"/>
        <v/>
      </c>
      <c r="Q225" s="243" t="str">
        <f t="shared" ca="1" si="260"/>
        <v/>
      </c>
      <c r="R225" s="45">
        <f t="shared" ca="1" si="242"/>
        <v>0.2982066649325078</v>
      </c>
      <c r="S225" s="45">
        <f t="shared" ca="1" si="177"/>
        <v>5.0695617570641283E-2</v>
      </c>
      <c r="T225" s="77">
        <f t="shared" ca="1" si="227"/>
        <v>4.2477452355207971E-3</v>
      </c>
      <c r="U225" s="45">
        <f t="shared" ca="1" si="243"/>
        <v>16.687634774509448</v>
      </c>
      <c r="V225" s="45">
        <f t="shared" ca="1" si="228"/>
        <v>0.20278247028256513</v>
      </c>
      <c r="W225" s="77">
        <f t="shared" ca="1" si="229"/>
        <v>7.1808412615782802E-3</v>
      </c>
      <c r="X225" s="45">
        <f t="shared" ca="1" si="244"/>
        <v>0.94789019517263062</v>
      </c>
      <c r="Y225" s="45">
        <f t="shared" ca="1" si="230"/>
        <v>1.1091091184323083E-3</v>
      </c>
      <c r="Z225" s="77">
        <f t="shared" ca="1" si="231"/>
        <v>8.9711705324424832E-4</v>
      </c>
      <c r="AA225" s="45">
        <f t="shared" ca="1" si="245"/>
        <v>39.150561015026675</v>
      </c>
      <c r="AB225" s="45">
        <f t="shared" ca="1" si="232"/>
        <v>0</v>
      </c>
      <c r="AC225" s="45" cm="1">
        <f t="array" aca="1" ref="AC225" ca="1">pHUM*(T225+W225+Z225+AD225)</f>
        <v>1.3048342569791861E-3</v>
      </c>
      <c r="AD225" s="77">
        <f t="shared" ca="1" si="233"/>
        <v>1.1233484680104268E-3</v>
      </c>
      <c r="AE225" s="45">
        <f t="shared" ca="1" si="246"/>
        <v>6.3847072090583081</v>
      </c>
      <c r="AF225" s="45">
        <f t="shared" ca="1" si="234"/>
        <v>0</v>
      </c>
      <c r="AG225" s="76">
        <f t="shared" ca="1" si="235"/>
        <v>63.468999858699561</v>
      </c>
      <c r="AH225" s="45">
        <f t="shared" ca="1" si="236"/>
        <v>1.103510864294226E-2</v>
      </c>
      <c r="AI225" s="77">
        <f t="shared" ca="1" si="237"/>
        <v>1.3717982353550623E-2</v>
      </c>
      <c r="AJ225" s="384">
        <f t="shared" ca="1" si="239"/>
        <v>1.1439869011117265E-2</v>
      </c>
      <c r="AU225" s="1"/>
    </row>
    <row r="226" spans="3:47" x14ac:dyDescent="0.25">
      <c r="C226" s="10">
        <f t="shared" si="175"/>
        <v>11</v>
      </c>
      <c r="D226" s="91">
        <f t="shared" si="247"/>
        <v>4</v>
      </c>
      <c r="E226" s="278"/>
      <c r="F226" s="76">
        <f t="shared" ref="F226:Q226" ca="1" si="261">F154</f>
        <v>6.08</v>
      </c>
      <c r="G226" s="46">
        <f t="shared" ca="1" si="261"/>
        <v>27.012600000000003</v>
      </c>
      <c r="H226" s="46">
        <f t="shared" ca="1" si="223"/>
        <v>28.517550000000004</v>
      </c>
      <c r="I226" s="45">
        <f t="shared" ca="1" si="224"/>
        <v>0.26307228538649535</v>
      </c>
      <c r="J226" s="45">
        <f t="shared" ca="1" si="225"/>
        <v>0.27952512346894071</v>
      </c>
      <c r="K226" s="45">
        <f t="shared" ca="1" si="241"/>
        <v>0.90345467800480783</v>
      </c>
      <c r="L226" s="358">
        <f t="shared" ca="1" si="226"/>
        <v>0.58389398806465831</v>
      </c>
      <c r="M226" s="76">
        <f t="shared" ca="1" si="261"/>
        <v>0.25347808785320641</v>
      </c>
      <c r="N226" s="45">
        <f t="shared" ca="1" si="261"/>
        <v>0.25</v>
      </c>
      <c r="O226" s="45">
        <f t="shared" ca="1" si="261"/>
        <v>0</v>
      </c>
      <c r="P226" s="46" t="str">
        <f t="shared" ca="1" si="261"/>
        <v/>
      </c>
      <c r="Q226" s="243" t="str">
        <f t="shared" ca="1" si="261"/>
        <v/>
      </c>
      <c r="R226" s="45">
        <f t="shared" ca="1" si="242"/>
        <v>0.34465453726762829</v>
      </c>
      <c r="S226" s="45">
        <f t="shared" ca="1" si="177"/>
        <v>5.0695617570641283E-2</v>
      </c>
      <c r="T226" s="77">
        <f t="shared" ca="1" si="227"/>
        <v>6.7848877793297319E-2</v>
      </c>
      <c r="U226" s="45">
        <f t="shared" ca="1" si="243"/>
        <v>16.883236403530432</v>
      </c>
      <c r="V226" s="45">
        <f t="shared" ca="1" si="228"/>
        <v>0.20278247028256513</v>
      </c>
      <c r="W226" s="77">
        <f t="shared" ca="1" si="229"/>
        <v>0.1106734517356481</v>
      </c>
      <c r="X226" s="45">
        <f t="shared" ca="1" si="244"/>
        <v>0.94810218723781869</v>
      </c>
      <c r="Y226" s="45">
        <f t="shared" ca="1" si="230"/>
        <v>1.7260740595351241E-2</v>
      </c>
      <c r="Z226" s="77">
        <f t="shared" ca="1" si="231"/>
        <v>1.3619301234771522E-2</v>
      </c>
      <c r="AA226" s="45">
        <f t="shared" ca="1" si="245"/>
        <v>39.150742500815639</v>
      </c>
      <c r="AB226" s="45">
        <f t="shared" ca="1" si="232"/>
        <v>0</v>
      </c>
      <c r="AC226" s="45" cm="1">
        <f t="array" aca="1" ref="AC226" ca="1">pHUM*(T226+W226+Z226+AD226)</f>
        <v>2.0306753641589695E-2</v>
      </c>
      <c r="AD226" s="77">
        <f t="shared" ca="1" si="233"/>
        <v>1.7162029520234927E-2</v>
      </c>
      <c r="AE226" s="45">
        <f t="shared" ca="1" si="246"/>
        <v>6.3847072090583081</v>
      </c>
      <c r="AF226" s="45">
        <f t="shared" ca="1" si="234"/>
        <v>0</v>
      </c>
      <c r="AG226" s="76">
        <f t="shared" ca="1" si="235"/>
        <v>63.711442837909829</v>
      </c>
      <c r="AH226" s="45">
        <f t="shared" ca="1" si="236"/>
        <v>0.17173616604701095</v>
      </c>
      <c r="AI226" s="77">
        <f t="shared" ca="1" si="237"/>
        <v>1.4420669050992188E-2</v>
      </c>
      <c r="AJ226" s="384">
        <f t="shared" ca="1" si="239"/>
        <v>2.6851273112963314E-2</v>
      </c>
      <c r="AU226" s="1"/>
    </row>
    <row r="227" spans="3:47" x14ac:dyDescent="0.25">
      <c r="C227" s="10">
        <f t="shared" si="175"/>
        <v>11</v>
      </c>
      <c r="D227" s="91">
        <f t="shared" si="247"/>
        <v>5</v>
      </c>
      <c r="E227" s="278"/>
      <c r="F227" s="76">
        <f t="shared" ref="F227:Q227" ca="1" si="262">F155</f>
        <v>16.079999999999998</v>
      </c>
      <c r="G227" s="46">
        <f t="shared" ca="1" si="262"/>
        <v>27.012600000000003</v>
      </c>
      <c r="H227" s="46">
        <f t="shared" ca="1" si="223"/>
        <v>28.517550000000004</v>
      </c>
      <c r="I227" s="45">
        <f t="shared" ca="1" si="224"/>
        <v>0.90560233354751607</v>
      </c>
      <c r="J227" s="45">
        <f t="shared" ca="1" si="225"/>
        <v>0.27952512346894071</v>
      </c>
      <c r="K227" s="45">
        <f t="shared" ca="1" si="241"/>
        <v>0.90345467800480783</v>
      </c>
      <c r="L227" s="358">
        <f t="shared" ca="1" si="226"/>
        <v>0.86059167822175908</v>
      </c>
      <c r="M227" s="76">
        <f t="shared" ca="1" si="262"/>
        <v>0.25347808785320641</v>
      </c>
      <c r="N227" s="45">
        <f t="shared" ca="1" si="262"/>
        <v>0.25</v>
      </c>
      <c r="O227" s="45">
        <f t="shared" ca="1" si="262"/>
        <v>0</v>
      </c>
      <c r="P227" s="46" t="str">
        <f t="shared" ca="1" si="262"/>
        <v/>
      </c>
      <c r="Q227" s="243" t="str">
        <f t="shared" ca="1" si="262"/>
        <v/>
      </c>
      <c r="R227" s="45">
        <f t="shared" ca="1" si="242"/>
        <v>0.32750127704497223</v>
      </c>
      <c r="S227" s="45">
        <f t="shared" ca="1" si="177"/>
        <v>5.0695617570641283E-2</v>
      </c>
      <c r="T227" s="77">
        <f t="shared" ca="1" si="227"/>
        <v>0.17352118168479536</v>
      </c>
      <c r="U227" s="45">
        <f t="shared" ca="1" si="243"/>
        <v>16.97534542207735</v>
      </c>
      <c r="V227" s="45">
        <f t="shared" ca="1" si="228"/>
        <v>0.20278247028256513</v>
      </c>
      <c r="W227" s="77">
        <f t="shared" ca="1" si="229"/>
        <v>0.38000491245622486</v>
      </c>
      <c r="X227" s="45">
        <f t="shared" ca="1" si="244"/>
        <v>0.9517436265983984</v>
      </c>
      <c r="Y227" s="45">
        <f t="shared" ca="1" si="230"/>
        <v>5.4331317116163763E-2</v>
      </c>
      <c r="Z227" s="77">
        <f t="shared" ca="1" si="231"/>
        <v>4.6243361229373572E-2</v>
      </c>
      <c r="AA227" s="45">
        <f t="shared" ca="1" si="245"/>
        <v>39.153887224936994</v>
      </c>
      <c r="AB227" s="45">
        <f t="shared" ca="1" si="232"/>
        <v>0</v>
      </c>
      <c r="AC227" s="45" cm="1">
        <f t="array" aca="1" ref="AC227" ca="1">pHUM*(T227+W227+Z227+AD227)</f>
        <v>6.3919196607251483E-2</v>
      </c>
      <c r="AD227" s="77">
        <f t="shared" ca="1" si="233"/>
        <v>5.9051843613955782E-2</v>
      </c>
      <c r="AE227" s="45">
        <f t="shared" ca="1" si="246"/>
        <v>6.3847072090583081</v>
      </c>
      <c r="AF227" s="45">
        <f t="shared" ca="1" si="234"/>
        <v>0</v>
      </c>
      <c r="AG227" s="76">
        <f t="shared" ca="1" si="235"/>
        <v>63.79318475971602</v>
      </c>
      <c r="AH227" s="45">
        <f t="shared" ca="1" si="236"/>
        <v>0.54057078526093438</v>
      </c>
      <c r="AI227" s="77">
        <f t="shared" ca="1" si="237"/>
        <v>1.4194832877684419E-2</v>
      </c>
      <c r="AJ227" s="384">
        <f t="shared" ca="1" si="239"/>
        <v>3.8955423913451526E-2</v>
      </c>
      <c r="AU227" s="1"/>
    </row>
    <row r="228" spans="3:47" x14ac:dyDescent="0.25">
      <c r="C228" s="10">
        <f t="shared" si="175"/>
        <v>11</v>
      </c>
      <c r="D228" s="91">
        <f t="shared" si="247"/>
        <v>6</v>
      </c>
      <c r="E228" s="278"/>
      <c r="F228" s="76">
        <f t="shared" ref="F228:Q228" ca="1" si="263">F156</f>
        <v>17.399999999999999</v>
      </c>
      <c r="G228" s="46">
        <f t="shared" ca="1" si="263"/>
        <v>27.012600000000003</v>
      </c>
      <c r="H228" s="46">
        <f t="shared" ca="1" si="223"/>
        <v>28.517550000000004</v>
      </c>
      <c r="I228" s="45">
        <f t="shared" ca="1" si="224"/>
        <v>1.0098878501236044</v>
      </c>
      <c r="J228" s="45">
        <f t="shared" ca="1" si="225"/>
        <v>0.27952512346894071</v>
      </c>
      <c r="K228" s="45">
        <f t="shared" ca="1" si="241"/>
        <v>0.90345467800480783</v>
      </c>
      <c r="L228" s="358">
        <f t="shared" ca="1" si="226"/>
        <v>0.88208077264421947</v>
      </c>
      <c r="M228" s="76">
        <f t="shared" ca="1" si="263"/>
        <v>0.25347808785320641</v>
      </c>
      <c r="N228" s="45">
        <f t="shared" ca="1" si="263"/>
        <v>0.25</v>
      </c>
      <c r="O228" s="45">
        <f t="shared" ca="1" si="263"/>
        <v>0</v>
      </c>
      <c r="P228" s="46" t="str">
        <f t="shared" ca="1" si="263"/>
        <v/>
      </c>
      <c r="Q228" s="243" t="str">
        <f t="shared" ca="1" si="263"/>
        <v/>
      </c>
      <c r="R228" s="45">
        <f t="shared" ca="1" si="242"/>
        <v>0.20467571293081815</v>
      </c>
      <c r="S228" s="45">
        <f t="shared" ca="1" si="177"/>
        <v>5.0695617570641283E-2</v>
      </c>
      <c r="T228" s="77">
        <f t="shared" ca="1" si="227"/>
        <v>0.11645395421434461</v>
      </c>
      <c r="U228" s="45">
        <f t="shared" ca="1" si="243"/>
        <v>16.798122979903688</v>
      </c>
      <c r="V228" s="45">
        <f t="shared" ca="1" si="228"/>
        <v>0.20278247028256513</v>
      </c>
      <c r="W228" s="77">
        <f t="shared" ca="1" si="229"/>
        <v>0.41879654273481298</v>
      </c>
      <c r="X228" s="45">
        <f t="shared" ca="1" si="244"/>
        <v>0.95983158248518863</v>
      </c>
      <c r="Y228" s="45">
        <f t="shared" ca="1" si="230"/>
        <v>5.3848292204299895E-2</v>
      </c>
      <c r="Z228" s="77">
        <f t="shared" ca="1" si="231"/>
        <v>5.1859163654042743E-2</v>
      </c>
      <c r="AA228" s="45">
        <f t="shared" ca="1" si="245"/>
        <v>39.158754577930289</v>
      </c>
      <c r="AB228" s="45">
        <f t="shared" ca="1" si="232"/>
        <v>0</v>
      </c>
      <c r="AC228" s="45" cm="1">
        <f t="array" aca="1" ref="AC228" ca="1">pHUM*(T228+W228+Z228+AD228)</f>
        <v>6.3350932005058702E-2</v>
      </c>
      <c r="AD228" s="77">
        <f t="shared" ca="1" si="233"/>
        <v>6.5854480543514449E-2</v>
      </c>
      <c r="AE228" s="45">
        <f t="shared" ca="1" si="246"/>
        <v>6.3847072090583081</v>
      </c>
      <c r="AF228" s="45">
        <f t="shared" ca="1" si="234"/>
        <v>0</v>
      </c>
      <c r="AG228" s="76">
        <f t="shared" ca="1" si="235"/>
        <v>63.506092062308291</v>
      </c>
      <c r="AH228" s="45">
        <f t="shared" ca="1" si="236"/>
        <v>0.53576491693735628</v>
      </c>
      <c r="AI228" s="77">
        <f t="shared" ca="1" si="237"/>
        <v>1.2404662429436789E-2</v>
      </c>
      <c r="AJ228" s="384">
        <f t="shared" ca="1" si="239"/>
        <v>3.489277252217815E-2</v>
      </c>
      <c r="AU228" s="1"/>
    </row>
    <row r="229" spans="3:47" x14ac:dyDescent="0.25">
      <c r="C229" s="10">
        <f t="shared" ref="C229:C292" si="264">IF(D229=1,C228+1,C228)</f>
        <v>11</v>
      </c>
      <c r="D229" s="91">
        <f t="shared" si="247"/>
        <v>7</v>
      </c>
      <c r="E229" s="278"/>
      <c r="F229" s="76">
        <f t="shared" ref="F229:Q229" ca="1" si="265">F157</f>
        <v>21.29</v>
      </c>
      <c r="G229" s="46">
        <f t="shared" ca="1" si="265"/>
        <v>27.012600000000003</v>
      </c>
      <c r="H229" s="46">
        <f t="shared" ca="1" si="223"/>
        <v>28.517550000000004</v>
      </c>
      <c r="I229" s="45">
        <f t="shared" ca="1" si="224"/>
        <v>1.3308669995183955</v>
      </c>
      <c r="J229" s="45">
        <f t="shared" ca="1" si="225"/>
        <v>0.27952512346894071</v>
      </c>
      <c r="K229" s="45">
        <f t="shared" ca="1" si="241"/>
        <v>0.90345467800480783</v>
      </c>
      <c r="L229" s="358">
        <f t="shared" ca="1" si="226"/>
        <v>0.92839591561968593</v>
      </c>
      <c r="M229" s="76">
        <f t="shared" ca="1" si="265"/>
        <v>0.25347808785320641</v>
      </c>
      <c r="N229" s="45">
        <f t="shared" ca="1" si="265"/>
        <v>0.25</v>
      </c>
      <c r="O229" s="45">
        <f t="shared" ca="1" si="265"/>
        <v>0</v>
      </c>
      <c r="P229" s="46" t="str">
        <f t="shared" ca="1" si="265"/>
        <v/>
      </c>
      <c r="Q229" s="243" t="str">
        <f t="shared" ca="1" si="265"/>
        <v/>
      </c>
      <c r="R229" s="45">
        <f t="shared" ca="1" si="242"/>
        <v>0.13891737628711481</v>
      </c>
      <c r="S229" s="45">
        <f t="shared" ref="S229:S292" ca="1" si="266">M229*N229/(1+N229) +   IF(O229&gt;0,O229*P229*(1-Q229)/(1+P229),0)</f>
        <v>5.0695617570641283E-2</v>
      </c>
      <c r="T229" s="77">
        <f t="shared" ca="1" si="227"/>
        <v>9.3092664317525969E-2</v>
      </c>
      <c r="U229" s="45">
        <f t="shared" ca="1" si="243"/>
        <v>16.582108907451438</v>
      </c>
      <c r="V229" s="45">
        <f t="shared" ca="1" si="228"/>
        <v>0.20278247028256513</v>
      </c>
      <c r="W229" s="77">
        <f t="shared" ca="1" si="229"/>
        <v>0.5426372554240102</v>
      </c>
      <c r="X229" s="45">
        <f t="shared" ca="1" si="244"/>
        <v>0.96182071103544586</v>
      </c>
      <c r="Y229" s="45">
        <f t="shared" ca="1" si="230"/>
        <v>6.5180193003017611E-2</v>
      </c>
      <c r="Z229" s="77">
        <f t="shared" ca="1" si="231"/>
        <v>6.7888114230920782E-2</v>
      </c>
      <c r="AA229" s="45">
        <f t="shared" ca="1" si="245"/>
        <v>39.156251029391832</v>
      </c>
      <c r="AB229" s="45">
        <f t="shared" ca="1" si="232"/>
        <v>0</v>
      </c>
      <c r="AC229" s="45" cm="1">
        <f t="array" aca="1" ref="AC229" ca="1">pHUM*(T229+W229+Z229+AD229)</f>
        <v>7.6682580003550133E-2</v>
      </c>
      <c r="AD229" s="77">
        <f t="shared" ca="1" si="233"/>
        <v>8.6756683623396211E-2</v>
      </c>
      <c r="AE229" s="45">
        <f t="shared" ca="1" si="246"/>
        <v>6.3847072090583081</v>
      </c>
      <c r="AF229" s="45">
        <f t="shared" ca="1" si="234"/>
        <v>0</v>
      </c>
      <c r="AG229" s="76">
        <f t="shared" ca="1" si="235"/>
        <v>63.223805233224141</v>
      </c>
      <c r="AH229" s="45">
        <f t="shared" ca="1" si="236"/>
        <v>0.64851194458928541</v>
      </c>
      <c r="AI229" s="77">
        <f t="shared" ca="1" si="237"/>
        <v>1.1409008639424739E-2</v>
      </c>
      <c r="AJ229" s="384">
        <f t="shared" ca="1" si="239"/>
        <v>3.3777208961355276E-2</v>
      </c>
      <c r="AU229" s="1"/>
    </row>
    <row r="230" spans="3:47" x14ac:dyDescent="0.25">
      <c r="C230" s="10">
        <f t="shared" si="264"/>
        <v>11</v>
      </c>
      <c r="D230" s="91">
        <f t="shared" si="247"/>
        <v>8</v>
      </c>
      <c r="E230" s="278"/>
      <c r="F230" s="76">
        <f t="shared" ref="F230:Q230" ca="1" si="267">F158</f>
        <v>21.81</v>
      </c>
      <c r="G230" s="46">
        <f t="shared" ca="1" si="267"/>
        <v>27.012600000000003</v>
      </c>
      <c r="H230" s="46">
        <f t="shared" ca="1" si="223"/>
        <v>28.517550000000004</v>
      </c>
      <c r="I230" s="45">
        <f t="shared" ca="1" si="224"/>
        <v>1.3748539373542934</v>
      </c>
      <c r="J230" s="45">
        <f t="shared" ca="1" si="225"/>
        <v>0.27952512346894071</v>
      </c>
      <c r="K230" s="45">
        <f t="shared" ca="1" si="241"/>
        <v>0.90345467800480783</v>
      </c>
      <c r="L230" s="358">
        <f t="shared" ca="1" si="226"/>
        <v>0.93294591915671865</v>
      </c>
      <c r="M230" s="76">
        <f t="shared" ca="1" si="267"/>
        <v>0.25347808785320641</v>
      </c>
      <c r="N230" s="45">
        <f t="shared" ca="1" si="267"/>
        <v>0.25</v>
      </c>
      <c r="O230" s="45">
        <f t="shared" ca="1" si="267"/>
        <v>0</v>
      </c>
      <c r="P230" s="46" t="str">
        <f t="shared" ca="1" si="267"/>
        <v/>
      </c>
      <c r="Q230" s="243" t="str">
        <f t="shared" ca="1" si="267"/>
        <v/>
      </c>
      <c r="R230" s="45">
        <f t="shared" ca="1" si="242"/>
        <v>9.6520329540230126E-2</v>
      </c>
      <c r="S230" s="45">
        <f t="shared" ca="1" si="266"/>
        <v>5.0695617570641283E-2</v>
      </c>
      <c r="T230" s="77">
        <f t="shared" ca="1" si="227"/>
        <v>6.5827101645662786E-2</v>
      </c>
      <c r="U230" s="45">
        <f t="shared" ca="1" si="243"/>
        <v>16.242254122309991</v>
      </c>
      <c r="V230" s="45">
        <f t="shared" ca="1" si="228"/>
        <v>0.20278247028256513</v>
      </c>
      <c r="W230" s="77">
        <f t="shared" ca="1" si="229"/>
        <v>0.54878294474377098</v>
      </c>
      <c r="X230" s="45">
        <f t="shared" ca="1" si="244"/>
        <v>0.95911278980754278</v>
      </c>
      <c r="Y230" s="45">
        <f t="shared" ca="1" si="230"/>
        <v>6.3834658594961291E-2</v>
      </c>
      <c r="Z230" s="77">
        <f t="shared" ca="1" si="231"/>
        <v>6.9850960498613432E-2</v>
      </c>
      <c r="AA230" s="45">
        <f t="shared" ca="1" si="245"/>
        <v>39.146176925771982</v>
      </c>
      <c r="AB230" s="45">
        <f t="shared" ca="1" si="232"/>
        <v>0</v>
      </c>
      <c r="AC230" s="45" cm="1">
        <f t="array" aca="1" ref="AC230" ca="1">pHUM*(T230+W230+Z230+AD230)</f>
        <v>7.5099598347013283E-2</v>
      </c>
      <c r="AD230" s="77">
        <f t="shared" ca="1" si="233"/>
        <v>8.9597766725655087E-2</v>
      </c>
      <c r="AE230" s="45">
        <f t="shared" ca="1" si="246"/>
        <v>6.3847072090583081</v>
      </c>
      <c r="AF230" s="45">
        <f t="shared" ca="1" si="234"/>
        <v>0</v>
      </c>
      <c r="AG230" s="76">
        <f t="shared" ca="1" si="235"/>
        <v>62.828771376488049</v>
      </c>
      <c r="AH230" s="45">
        <f t="shared" ca="1" si="236"/>
        <v>0.63512451667172776</v>
      </c>
      <c r="AI230" s="77">
        <f t="shared" ca="1" si="237"/>
        <v>1.0709448399461387E-2</v>
      </c>
      <c r="AJ230" s="384">
        <f t="shared" ca="1" si="239"/>
        <v>3.1861556444997552E-2</v>
      </c>
      <c r="AU230" s="1"/>
    </row>
    <row r="231" spans="3:47" x14ac:dyDescent="0.25">
      <c r="C231" s="10">
        <f t="shared" si="264"/>
        <v>11</v>
      </c>
      <c r="D231" s="91">
        <f t="shared" si="247"/>
        <v>9</v>
      </c>
      <c r="E231" s="278"/>
      <c r="F231" s="76">
        <f t="shared" ref="F231:Q231" ca="1" si="268">F159</f>
        <v>19.09</v>
      </c>
      <c r="G231" s="46">
        <f t="shared" ca="1" si="268"/>
        <v>27.012600000000003</v>
      </c>
      <c r="H231" s="46">
        <f t="shared" ca="1" si="223"/>
        <v>28.517550000000004</v>
      </c>
      <c r="I231" s="45">
        <f t="shared" ca="1" si="224"/>
        <v>1.1472439462064867</v>
      </c>
      <c r="J231" s="45">
        <f t="shared" ca="1" si="225"/>
        <v>0.27952512346894071</v>
      </c>
      <c r="K231" s="45">
        <f t="shared" ca="1" si="241"/>
        <v>0.90345467800480783</v>
      </c>
      <c r="L231" s="358">
        <f t="shared" ca="1" si="226"/>
        <v>0.90508116523032656</v>
      </c>
      <c r="M231" s="76">
        <f t="shared" ca="1" si="268"/>
        <v>0.25347808785320641</v>
      </c>
      <c r="N231" s="45">
        <f t="shared" ca="1" si="268"/>
        <v>0.25</v>
      </c>
      <c r="O231" s="45">
        <f t="shared" ca="1" si="268"/>
        <v>0</v>
      </c>
      <c r="P231" s="46" t="str">
        <f t="shared" ca="1" si="268"/>
        <v/>
      </c>
      <c r="Q231" s="243" t="str">
        <f t="shared" ca="1" si="268"/>
        <v/>
      </c>
      <c r="R231" s="45">
        <f t="shared" ca="1" si="242"/>
        <v>8.1388845465208623E-2</v>
      </c>
      <c r="S231" s="45">
        <f t="shared" ca="1" si="266"/>
        <v>5.0695617570641283E-2</v>
      </c>
      <c r="T231" s="77">
        <f t="shared" ca="1" si="227"/>
        <v>5.0101878867953413E-2</v>
      </c>
      <c r="U231" s="45">
        <f t="shared" ca="1" si="243"/>
        <v>15.896253647848784</v>
      </c>
      <c r="V231" s="45">
        <f t="shared" ca="1" si="228"/>
        <v>0.20278247028256513</v>
      </c>
      <c r="W231" s="77">
        <f t="shared" ca="1" si="229"/>
        <v>0.44944590860141276</v>
      </c>
      <c r="X231" s="45">
        <f t="shared" ca="1" si="244"/>
        <v>0.95309648790389068</v>
      </c>
      <c r="Y231" s="45">
        <f t="shared" ca="1" si="230"/>
        <v>5.2167244626416975E-2</v>
      </c>
      <c r="Z231" s="77">
        <f t="shared" ca="1" si="231"/>
        <v>5.8280830233782166E-2</v>
      </c>
      <c r="AA231" s="45">
        <f t="shared" ca="1" si="245"/>
        <v>39.131678757393345</v>
      </c>
      <c r="AB231" s="45">
        <f t="shared" ca="1" si="232"/>
        <v>0</v>
      </c>
      <c r="AC231" s="45" cm="1">
        <f t="array" aca="1" ref="AC231" ca="1">pHUM*(T231+W231+Z231+AD231)</f>
        <v>6.1373228972255264E-2</v>
      </c>
      <c r="AD231" s="77">
        <f t="shared" ca="1" si="233"/>
        <v>7.4751148322540109E-2</v>
      </c>
      <c r="AE231" s="45">
        <f t="shared" ca="1" si="246"/>
        <v>6.3847072090583081</v>
      </c>
      <c r="AF231" s="45">
        <f t="shared" ca="1" si="234"/>
        <v>0</v>
      </c>
      <c r="AG231" s="76">
        <f t="shared" ca="1" si="235"/>
        <v>62.447124947669536</v>
      </c>
      <c r="AH231" s="45">
        <f t="shared" ca="1" si="236"/>
        <v>0.51903929242701641</v>
      </c>
      <c r="AI231" s="77">
        <f t="shared" ca="1" si="237"/>
        <v>1.0396807237816101E-2</v>
      </c>
      <c r="AJ231" s="384">
        <f t="shared" ca="1" si="239"/>
        <v>3.0007629864526875E-2</v>
      </c>
      <c r="AU231" s="1"/>
    </row>
    <row r="232" spans="3:47" x14ac:dyDescent="0.25">
      <c r="C232" s="10">
        <f t="shared" si="264"/>
        <v>11</v>
      </c>
      <c r="D232" s="91">
        <f t="shared" si="247"/>
        <v>10</v>
      </c>
      <c r="E232" s="278"/>
      <c r="F232" s="76">
        <f t="shared" ref="F232:Q232" ca="1" si="269">F160</f>
        <v>9.02</v>
      </c>
      <c r="G232" s="46">
        <f t="shared" ca="1" si="269"/>
        <v>27.012600000000003</v>
      </c>
      <c r="H232" s="46">
        <f t="shared" ca="1" si="223"/>
        <v>28.517550000000004</v>
      </c>
      <c r="I232" s="45">
        <f t="shared" ca="1" si="224"/>
        <v>0.41742778729268759</v>
      </c>
      <c r="J232" s="45">
        <f t="shared" ca="1" si="225"/>
        <v>0.27952512346894071</v>
      </c>
      <c r="K232" s="45">
        <f t="shared" ca="1" si="241"/>
        <v>0.90345467800480783</v>
      </c>
      <c r="L232" s="358">
        <f t="shared" ca="1" si="226"/>
        <v>0.68492882381082199</v>
      </c>
      <c r="M232" s="76">
        <f t="shared" ca="1" si="269"/>
        <v>0.25347808785320641</v>
      </c>
      <c r="N232" s="45">
        <f t="shared" ca="1" si="269"/>
        <v>0.25</v>
      </c>
      <c r="O232" s="45">
        <f t="shared" ca="1" si="269"/>
        <v>0</v>
      </c>
      <c r="P232" s="46" t="str">
        <f t="shared" ca="1" si="269"/>
        <v/>
      </c>
      <c r="Q232" s="243" t="str">
        <f t="shared" ca="1" si="269"/>
        <v/>
      </c>
      <c r="R232" s="45">
        <f t="shared" ca="1" si="242"/>
        <v>8.1982584167896499E-2</v>
      </c>
      <c r="S232" s="45">
        <f t="shared" ca="1" si="266"/>
        <v>5.0695617570641283E-2</v>
      </c>
      <c r="T232" s="77">
        <f t="shared" ca="1" si="227"/>
        <v>2.4086465507844296E-2</v>
      </c>
      <c r="U232" s="45">
        <f t="shared" ca="1" si="243"/>
        <v>15.649590209529935</v>
      </c>
      <c r="V232" s="45">
        <f t="shared" ca="1" si="228"/>
        <v>0.20278247028256513</v>
      </c>
      <c r="W232" s="77">
        <f t="shared" ca="1" si="229"/>
        <v>0.16246515254679203</v>
      </c>
      <c r="X232" s="45">
        <f t="shared" ca="1" si="244"/>
        <v>0.9469829022965256</v>
      </c>
      <c r="Y232" s="45">
        <f t="shared" ca="1" si="230"/>
        <v>1.940054521740155E-2</v>
      </c>
      <c r="Z232" s="77">
        <f t="shared" ca="1" si="231"/>
        <v>2.1493658291996145E-2</v>
      </c>
      <c r="AA232" s="45">
        <f t="shared" ca="1" si="245"/>
        <v>39.118300838043062</v>
      </c>
      <c r="AB232" s="45">
        <f t="shared" ca="1" si="232"/>
        <v>0</v>
      </c>
      <c r="AC232" s="45" cm="1">
        <f t="array" aca="1" ref="AC232" ca="1">pHUM*(T232+W232+Z232+AD232)</f>
        <v>2.2824170844001825E-2</v>
      </c>
      <c r="AD232" s="77">
        <f t="shared" ca="1" si="233"/>
        <v>2.7205644845015933E-2</v>
      </c>
      <c r="AE232" s="45">
        <f t="shared" ca="1" si="246"/>
        <v>6.3847072090583081</v>
      </c>
      <c r="AF232" s="45">
        <f t="shared" ca="1" si="234"/>
        <v>0</v>
      </c>
      <c r="AG232" s="76">
        <f t="shared" ca="1" si="235"/>
        <v>62.181563743095722</v>
      </c>
      <c r="AH232" s="45">
        <f t="shared" ca="1" si="236"/>
        <v>0.19302620513024507</v>
      </c>
      <c r="AI232" s="77">
        <f t="shared" ca="1" si="237"/>
        <v>1.0338213277588318E-2</v>
      </c>
      <c r="AJ232" s="384">
        <f t="shared" ca="1" si="239"/>
        <v>2.2580738865256578E-2</v>
      </c>
      <c r="AU232" s="1"/>
    </row>
    <row r="233" spans="3:47" x14ac:dyDescent="0.25">
      <c r="C233" s="10">
        <f t="shared" si="264"/>
        <v>11</v>
      </c>
      <c r="D233" s="91">
        <f t="shared" si="247"/>
        <v>11</v>
      </c>
      <c r="E233" s="278"/>
      <c r="F233" s="76">
        <f t="shared" ref="F233:Q233" ca="1" si="270">F161</f>
        <v>5.62</v>
      </c>
      <c r="G233" s="46">
        <f t="shared" ca="1" si="270"/>
        <v>27.012600000000003</v>
      </c>
      <c r="H233" s="46">
        <f t="shared" ca="1" si="223"/>
        <v>28.517550000000004</v>
      </c>
      <c r="I233" s="45">
        <f t="shared" ca="1" si="224"/>
        <v>0.24215575259059691</v>
      </c>
      <c r="J233" s="45">
        <f t="shared" ca="1" si="225"/>
        <v>0.27952512346894071</v>
      </c>
      <c r="K233" s="45">
        <f t="shared" ca="1" si="241"/>
        <v>0.90345467800480783</v>
      </c>
      <c r="L233" s="358">
        <f t="shared" ca="1" si="226"/>
        <v>0.5671500175141555</v>
      </c>
      <c r="M233" s="76">
        <f t="shared" ca="1" si="270"/>
        <v>0.25347808785320641</v>
      </c>
      <c r="N233" s="45">
        <f t="shared" ca="1" si="270"/>
        <v>0.25</v>
      </c>
      <c r="O233" s="45">
        <f t="shared" ca="1" si="270"/>
        <v>0</v>
      </c>
      <c r="P233" s="46" t="str">
        <f t="shared" ca="1" si="270"/>
        <v/>
      </c>
      <c r="Q233" s="243" t="str">
        <f t="shared" ca="1" si="270"/>
        <v/>
      </c>
      <c r="R233" s="45">
        <f t="shared" ca="1" si="242"/>
        <v>0.10859173623069349</v>
      </c>
      <c r="S233" s="45">
        <f t="shared" ca="1" si="266"/>
        <v>5.0695617570641283E-2</v>
      </c>
      <c r="T233" s="77">
        <f t="shared" ca="1" si="227"/>
        <v>1.9843917491017132E-2</v>
      </c>
      <c r="U233" s="45">
        <f t="shared" ca="1" si="243"/>
        <v>15.689907527265708</v>
      </c>
      <c r="V233" s="45">
        <f t="shared" ca="1" si="228"/>
        <v>0.20278247028256513</v>
      </c>
      <c r="W233" s="77">
        <f t="shared" ca="1" si="229"/>
        <v>9.4698098795579944E-2</v>
      </c>
      <c r="X233" s="45">
        <f t="shared" ca="1" si="244"/>
        <v>0.94488978922193101</v>
      </c>
      <c r="Y233" s="45">
        <f t="shared" ca="1" si="230"/>
        <v>1.1778503278542997E-2</v>
      </c>
      <c r="Z233" s="77">
        <f t="shared" ca="1" si="231"/>
        <v>1.2501143941961956E-2</v>
      </c>
      <c r="AA233" s="45">
        <f t="shared" ca="1" si="245"/>
        <v>39.113919364042047</v>
      </c>
      <c r="AB233" s="45">
        <f t="shared" ca="1" si="232"/>
        <v>0</v>
      </c>
      <c r="AC233" s="45" cm="1">
        <f t="array" aca="1" ref="AC233" ca="1">pHUM*(T233+W233+Z233+AD233)</f>
        <v>1.3857062680638819E-2</v>
      </c>
      <c r="AD233" s="77">
        <f t="shared" ca="1" si="233"/>
        <v>1.5782915816494384E-2</v>
      </c>
      <c r="AE233" s="45">
        <f t="shared" ca="1" si="246"/>
        <v>6.3847072090583081</v>
      </c>
      <c r="AF233" s="45">
        <f t="shared" ca="1" si="234"/>
        <v>0</v>
      </c>
      <c r="AG233" s="76">
        <f t="shared" ca="1" si="235"/>
        <v>62.242015625818681</v>
      </c>
      <c r="AH233" s="45">
        <f t="shared" ca="1" si="236"/>
        <v>0.1171905100858716</v>
      </c>
      <c r="AI233" s="77">
        <f t="shared" ca="1" si="237"/>
        <v>1.0739858806751231E-2</v>
      </c>
      <c r="AJ233" s="384">
        <f t="shared" ca="1" si="239"/>
        <v>1.9424284615621179E-2</v>
      </c>
      <c r="AU233" s="1"/>
    </row>
    <row r="234" spans="3:47" x14ac:dyDescent="0.25">
      <c r="C234" s="10">
        <f t="shared" si="264"/>
        <v>11</v>
      </c>
      <c r="D234" s="91">
        <f t="shared" si="247"/>
        <v>12</v>
      </c>
      <c r="E234" s="278"/>
      <c r="F234" s="76">
        <f t="shared" ref="F234:Q234" ca="1" si="271">F162</f>
        <v>3.68</v>
      </c>
      <c r="G234" s="46">
        <f t="shared" ca="1" si="271"/>
        <v>27.012600000000003</v>
      </c>
      <c r="H234" s="46">
        <f t="shared" ca="1" si="223"/>
        <v>28.517550000000004</v>
      </c>
      <c r="I234" s="45">
        <f t="shared" ca="1" si="224"/>
        <v>0.16418562454767627</v>
      </c>
      <c r="J234" s="45">
        <f t="shared" ca="1" si="225"/>
        <v>0.27952512346894071</v>
      </c>
      <c r="K234" s="45">
        <f t="shared" ca="1" si="241"/>
        <v>0.90345467800480783</v>
      </c>
      <c r="L234" s="358">
        <f t="shared" ca="1" si="226"/>
        <v>0.49525928680467546</v>
      </c>
      <c r="M234" s="76">
        <f t="shared" ca="1" si="271"/>
        <v>0.25347808785320641</v>
      </c>
      <c r="N234" s="45">
        <f t="shared" ca="1" si="271"/>
        <v>0.25</v>
      </c>
      <c r="O234" s="45">
        <f t="shared" ca="1" si="271"/>
        <v>0</v>
      </c>
      <c r="P234" s="46" t="str">
        <f t="shared" ca="1" si="271"/>
        <v/>
      </c>
      <c r="Q234" s="243" t="str">
        <f t="shared" ca="1" si="271"/>
        <v/>
      </c>
      <c r="R234" s="45">
        <f t="shared" ca="1" si="242"/>
        <v>0.13944343631031764</v>
      </c>
      <c r="S234" s="45">
        <f t="shared" ca="1" si="266"/>
        <v>5.0695617570641283E-2</v>
      </c>
      <c r="T234" s="77">
        <f t="shared" ca="1" si="227"/>
        <v>1.7831187991366577E-2</v>
      </c>
      <c r="U234" s="45">
        <f t="shared" ca="1" si="243"/>
        <v>15.797991898752693</v>
      </c>
      <c r="V234" s="45">
        <f t="shared" ca="1" si="228"/>
        <v>0.20278247028256513</v>
      </c>
      <c r="W234" s="77">
        <f t="shared" ca="1" si="229"/>
        <v>6.4712178188724226E-2</v>
      </c>
      <c r="X234" s="45">
        <f t="shared" ca="1" si="244"/>
        <v>0.94416714855851203</v>
      </c>
      <c r="Y234" s="45">
        <f t="shared" ca="1" si="230"/>
        <v>8.3896008122520196E-3</v>
      </c>
      <c r="Z234" s="77">
        <f t="shared" ca="1" si="231"/>
        <v>8.487646722800982E-3</v>
      </c>
      <c r="AA234" s="45">
        <f t="shared" ca="1" si="245"/>
        <v>39.111993510906188</v>
      </c>
      <c r="AB234" s="45">
        <f t="shared" ca="1" si="232"/>
        <v>0</v>
      </c>
      <c r="AC234" s="45" cm="1">
        <f t="array" aca="1" ref="AC234" ca="1">pHUM*(T234+W234+Z234+AD234)</f>
        <v>9.8701186026494362E-3</v>
      </c>
      <c r="AD234" s="77">
        <f t="shared" ca="1" si="233"/>
        <v>1.0701247577199787E-2</v>
      </c>
      <c r="AE234" s="45">
        <f t="shared" ca="1" si="246"/>
        <v>6.3847072090583081</v>
      </c>
      <c r="AF234" s="45">
        <f t="shared" ca="1" si="234"/>
        <v>0</v>
      </c>
      <c r="AG234" s="76">
        <f t="shared" ca="1" si="235"/>
        <v>62.378303203586015</v>
      </c>
      <c r="AH234" s="45">
        <f t="shared" ca="1" si="236"/>
        <v>8.3472541065190142E-2</v>
      </c>
      <c r="AI234" s="77">
        <f t="shared" ca="1" si="237"/>
        <v>1.1220363667023246E-2</v>
      </c>
      <c r="AJ234" s="384">
        <f t="shared" ca="1" si="239"/>
        <v>1.7721022225186678E-2</v>
      </c>
      <c r="AU234" s="1"/>
    </row>
    <row r="235" spans="3:47" x14ac:dyDescent="0.25">
      <c r="C235" s="10">
        <f t="shared" si="264"/>
        <v>12</v>
      </c>
      <c r="D235" s="91">
        <f t="shared" si="247"/>
        <v>1</v>
      </c>
      <c r="E235" s="278"/>
      <c r="F235" s="76">
        <f t="shared" ref="F235:Q235" si="272">F163</f>
        <v>0.85587096774193583</v>
      </c>
      <c r="G235" s="46">
        <f t="shared" si="272"/>
        <v>78.439554282868485</v>
      </c>
      <c r="H235" s="46">
        <f t="shared" si="223"/>
        <v>-22.909404282868479</v>
      </c>
      <c r="I235" s="45">
        <f t="shared" si="224"/>
        <v>0</v>
      </c>
      <c r="J235" s="45">
        <f t="shared" si="225"/>
        <v>0.23072180944359474</v>
      </c>
      <c r="K235" s="45">
        <f t="shared" ca="1" si="241"/>
        <v>0.74571722023659515</v>
      </c>
      <c r="L235" s="358">
        <f t="shared" si="226"/>
        <v>0.39170179323548027</v>
      </c>
      <c r="M235" s="76">
        <f t="shared" ca="1" si="272"/>
        <v>0.25347808785320641</v>
      </c>
      <c r="N235" s="45">
        <f t="shared" ca="1" si="272"/>
        <v>0.25</v>
      </c>
      <c r="O235" s="45">
        <f t="shared" ca="1" si="272"/>
        <v>0</v>
      </c>
      <c r="P235" s="46" t="str">
        <f t="shared" ca="1" si="272"/>
        <v/>
      </c>
      <c r="Q235" s="243" t="str">
        <f t="shared" ca="1" si="272"/>
        <v/>
      </c>
      <c r="R235" s="45">
        <f t="shared" ca="1" si="242"/>
        <v>0.17230786588959235</v>
      </c>
      <c r="S235" s="45">
        <f t="shared" ca="1" si="266"/>
        <v>5.0695617570641283E-2</v>
      </c>
      <c r="T235" s="77">
        <f t="shared" ca="1" si="227"/>
        <v>0</v>
      </c>
      <c r="U235" s="45">
        <f t="shared" ca="1" si="243"/>
        <v>15.936062190846535</v>
      </c>
      <c r="V235" s="45">
        <f t="shared" ca="1" si="228"/>
        <v>0.20278247028256513</v>
      </c>
      <c r="W235" s="77">
        <f t="shared" ca="1" si="229"/>
        <v>0</v>
      </c>
      <c r="X235" s="45">
        <f t="shared" ca="1" si="244"/>
        <v>0.94406910264796307</v>
      </c>
      <c r="Y235" s="45">
        <f t="shared" ca="1" si="230"/>
        <v>0</v>
      </c>
      <c r="Z235" s="77">
        <f t="shared" ca="1" si="231"/>
        <v>0</v>
      </c>
      <c r="AA235" s="45">
        <f t="shared" ca="1" si="245"/>
        <v>39.111162381931635</v>
      </c>
      <c r="AB235" s="45">
        <f t="shared" ca="1" si="232"/>
        <v>0</v>
      </c>
      <c r="AC235" s="45" cm="1">
        <f t="array" aca="1" ref="AC235" ca="1">pHUM*(T235+W235+Z235+AD235)</f>
        <v>0</v>
      </c>
      <c r="AD235" s="77">
        <f t="shared" ca="1" si="233"/>
        <v>0</v>
      </c>
      <c r="AE235" s="45">
        <f t="shared" ca="1" si="246"/>
        <v>6.3847072090583081</v>
      </c>
      <c r="AF235" s="45">
        <f t="shared" ca="1" si="234"/>
        <v>0</v>
      </c>
      <c r="AG235" s="76">
        <f t="shared" ca="1" si="235"/>
        <v>62.548308750374034</v>
      </c>
      <c r="AH235" s="45">
        <f t="shared" ca="1" si="236"/>
        <v>0</v>
      </c>
      <c r="AI235" s="77">
        <f t="shared" ca="1" si="237"/>
        <v>1.1735367679542877E-2</v>
      </c>
      <c r="AJ235" s="384">
        <f t="shared" ca="1" si="239"/>
        <v>1.2099615627089166E-2</v>
      </c>
      <c r="AU235" s="1"/>
    </row>
    <row r="236" spans="3:47" x14ac:dyDescent="0.25">
      <c r="C236" s="10">
        <f t="shared" si="264"/>
        <v>12</v>
      </c>
      <c r="D236" s="91">
        <f t="shared" si="247"/>
        <v>2</v>
      </c>
      <c r="E236" s="278"/>
      <c r="F236" s="76">
        <f t="shared" ref="F236:Q236" si="273">F164</f>
        <v>0.91042857142857181</v>
      </c>
      <c r="G236" s="46">
        <f t="shared" si="273"/>
        <v>77.312634079068317</v>
      </c>
      <c r="H236" s="46">
        <f t="shared" si="223"/>
        <v>-21.782484079068311</v>
      </c>
      <c r="I236" s="45">
        <f t="shared" si="224"/>
        <v>0</v>
      </c>
      <c r="J236" s="45">
        <f t="shared" si="225"/>
        <v>0.23463537609132465</v>
      </c>
      <c r="K236" s="45">
        <f t="shared" ca="1" si="241"/>
        <v>0.75836628037006848</v>
      </c>
      <c r="L236" s="358">
        <f t="shared" si="226"/>
        <v>0.39364266736760256</v>
      </c>
      <c r="M236" s="76">
        <f t="shared" ca="1" si="273"/>
        <v>0.25347808785320641</v>
      </c>
      <c r="N236" s="45">
        <f t="shared" ca="1" si="273"/>
        <v>0.25</v>
      </c>
      <c r="O236" s="45">
        <f t="shared" ca="1" si="273"/>
        <v>0</v>
      </c>
      <c r="P236" s="46" t="str">
        <f t="shared" ca="1" si="273"/>
        <v/>
      </c>
      <c r="Q236" s="243" t="str">
        <f t="shared" ca="1" si="273"/>
        <v/>
      </c>
      <c r="R236" s="45">
        <f t="shared" ca="1" si="242"/>
        <v>0.22300348346023363</v>
      </c>
      <c r="S236" s="45">
        <f t="shared" ca="1" si="266"/>
        <v>5.0695617570641283E-2</v>
      </c>
      <c r="T236" s="77">
        <f t="shared" ca="1" si="227"/>
        <v>0</v>
      </c>
      <c r="U236" s="45">
        <f t="shared" ca="1" si="243"/>
        <v>16.138844661129099</v>
      </c>
      <c r="V236" s="45">
        <f t="shared" ca="1" si="228"/>
        <v>0.20278247028256513</v>
      </c>
      <c r="W236" s="77">
        <f t="shared" ca="1" si="229"/>
        <v>0</v>
      </c>
      <c r="X236" s="45">
        <f t="shared" ca="1" si="244"/>
        <v>0.94406910264796307</v>
      </c>
      <c r="Y236" s="45">
        <f t="shared" ca="1" si="230"/>
        <v>0</v>
      </c>
      <c r="Z236" s="77">
        <f t="shared" ca="1" si="231"/>
        <v>0</v>
      </c>
      <c r="AA236" s="45">
        <f t="shared" ca="1" si="245"/>
        <v>39.111162381931635</v>
      </c>
      <c r="AB236" s="45">
        <f t="shared" ca="1" si="232"/>
        <v>0</v>
      </c>
      <c r="AC236" s="45" cm="1">
        <f t="array" aca="1" ref="AC236" ca="1">pHUM*(T236+W236+Z236+AD236)</f>
        <v>0</v>
      </c>
      <c r="AD236" s="77">
        <f t="shared" ca="1" si="233"/>
        <v>0</v>
      </c>
      <c r="AE236" s="45">
        <f t="shared" ca="1" si="246"/>
        <v>6.3847072090583081</v>
      </c>
      <c r="AF236" s="45">
        <f t="shared" ca="1" si="234"/>
        <v>0</v>
      </c>
      <c r="AG236" s="76">
        <f t="shared" ca="1" si="235"/>
        <v>62.80178683822723</v>
      </c>
      <c r="AH236" s="45">
        <f t="shared" ca="1" si="236"/>
        <v>0</v>
      </c>
      <c r="AI236" s="77">
        <f t="shared" ca="1" si="237"/>
        <v>1.2521322065420167E-2</v>
      </c>
      <c r="AJ236" s="384">
        <f t="shared" ca="1" si="239"/>
        <v>1.3193987241720828E-2</v>
      </c>
      <c r="AU236" s="1"/>
    </row>
    <row r="237" spans="3:47" x14ac:dyDescent="0.25">
      <c r="C237" s="10">
        <f t="shared" si="264"/>
        <v>12</v>
      </c>
      <c r="D237" s="91">
        <f t="shared" si="247"/>
        <v>3</v>
      </c>
      <c r="E237" s="278"/>
      <c r="F237" s="76">
        <f t="shared" ref="F237:Q237" si="274">F165</f>
        <v>1.7499333333333336</v>
      </c>
      <c r="G237" s="46">
        <f t="shared" si="274"/>
        <v>89.127050621045186</v>
      </c>
      <c r="H237" s="46">
        <f t="shared" si="223"/>
        <v>-33.596900621045179</v>
      </c>
      <c r="I237" s="45">
        <f t="shared" si="224"/>
        <v>0</v>
      </c>
      <c r="J237" s="45">
        <f t="shared" si="225"/>
        <v>0.19161115755788954</v>
      </c>
      <c r="K237" s="45">
        <f t="shared" ca="1" si="241"/>
        <v>0.61930746869995335</v>
      </c>
      <c r="L237" s="358">
        <f t="shared" si="226"/>
        <v>0.42389567243620196</v>
      </c>
      <c r="M237" s="76">
        <f t="shared" ca="1" si="274"/>
        <v>0.25347808785320641</v>
      </c>
      <c r="N237" s="45">
        <f t="shared" ca="1" si="274"/>
        <v>0.25</v>
      </c>
      <c r="O237" s="45">
        <f t="shared" ca="1" si="274"/>
        <v>0</v>
      </c>
      <c r="P237" s="46" t="str">
        <f t="shared" ca="1" si="274"/>
        <v/>
      </c>
      <c r="Q237" s="243" t="str">
        <f t="shared" ca="1" si="274"/>
        <v/>
      </c>
      <c r="R237" s="45">
        <f t="shared" ca="1" si="242"/>
        <v>0.27369910103087491</v>
      </c>
      <c r="S237" s="45">
        <f t="shared" ca="1" si="266"/>
        <v>5.0695617570641283E-2</v>
      </c>
      <c r="T237" s="77">
        <f t="shared" ca="1" si="227"/>
        <v>0</v>
      </c>
      <c r="U237" s="45">
        <f t="shared" ca="1" si="243"/>
        <v>16.341627131411663</v>
      </c>
      <c r="V237" s="45">
        <f t="shared" ca="1" si="228"/>
        <v>0.20278247028256513</v>
      </c>
      <c r="W237" s="77">
        <f t="shared" ca="1" si="229"/>
        <v>0</v>
      </c>
      <c r="X237" s="45">
        <f t="shared" ca="1" si="244"/>
        <v>0.94406910264796307</v>
      </c>
      <c r="Y237" s="45">
        <f t="shared" ca="1" si="230"/>
        <v>0</v>
      </c>
      <c r="Z237" s="77">
        <f t="shared" ca="1" si="231"/>
        <v>0</v>
      </c>
      <c r="AA237" s="45">
        <f t="shared" ca="1" si="245"/>
        <v>39.111162381931635</v>
      </c>
      <c r="AB237" s="45">
        <f t="shared" ca="1" si="232"/>
        <v>0</v>
      </c>
      <c r="AC237" s="45" cm="1">
        <f t="array" aca="1" ref="AC237" ca="1">pHUM*(T237+W237+Z237+AD237)</f>
        <v>0</v>
      </c>
      <c r="AD237" s="77">
        <f t="shared" ca="1" si="233"/>
        <v>0</v>
      </c>
      <c r="AE237" s="45">
        <f t="shared" ca="1" si="246"/>
        <v>6.3847072090583081</v>
      </c>
      <c r="AF237" s="45">
        <f t="shared" ca="1" si="234"/>
        <v>0</v>
      </c>
      <c r="AG237" s="76">
        <f t="shared" ca="1" si="235"/>
        <v>63.05526492608044</v>
      </c>
      <c r="AH237" s="45">
        <f t="shared" ca="1" si="236"/>
        <v>0</v>
      </c>
      <c r="AI237" s="77">
        <f t="shared" ca="1" si="237"/>
        <v>1.3300245561788063E-2</v>
      </c>
      <c r="AJ237" s="384">
        <f t="shared" ca="1" si="239"/>
        <v>1.2324519860769101E-2</v>
      </c>
      <c r="AU237" s="1"/>
    </row>
    <row r="238" spans="3:47" x14ac:dyDescent="0.25">
      <c r="C238" s="10">
        <f t="shared" si="264"/>
        <v>12</v>
      </c>
      <c r="D238" s="91">
        <f t="shared" si="247"/>
        <v>4</v>
      </c>
      <c r="E238" s="278"/>
      <c r="F238" s="76">
        <f t="shared" ref="F238:Q238" si="275">F166</f>
        <v>5.3144</v>
      </c>
      <c r="G238" s="46">
        <f t="shared" si="275"/>
        <v>88.517400984298064</v>
      </c>
      <c r="H238" s="46">
        <f t="shared" si="223"/>
        <v>-32.987250984298058</v>
      </c>
      <c r="I238" s="45">
        <f t="shared" si="224"/>
        <v>0</v>
      </c>
      <c r="J238" s="45">
        <f t="shared" si="225"/>
        <v>0.19391725365845511</v>
      </c>
      <c r="K238" s="45">
        <f t="shared" ca="1" si="241"/>
        <v>0.62676101449980381</v>
      </c>
      <c r="L238" s="358">
        <f t="shared" si="226"/>
        <v>0.55593677468735669</v>
      </c>
      <c r="M238" s="76">
        <f t="shared" ca="1" si="275"/>
        <v>0.25347808785320641</v>
      </c>
      <c r="N238" s="45">
        <f t="shared" ca="1" si="275"/>
        <v>0.25</v>
      </c>
      <c r="O238" s="45">
        <f t="shared" ca="1" si="275"/>
        <v>0</v>
      </c>
      <c r="P238" s="46" t="str">
        <f t="shared" ca="1" si="275"/>
        <v/>
      </c>
      <c r="Q238" s="243" t="str">
        <f t="shared" ca="1" si="275"/>
        <v/>
      </c>
      <c r="R238" s="45">
        <f t="shared" ca="1" si="242"/>
        <v>0.3243947186015162</v>
      </c>
      <c r="S238" s="45">
        <f t="shared" ca="1" si="266"/>
        <v>5.0695617570641283E-2</v>
      </c>
      <c r="T238" s="77">
        <f t="shared" ca="1" si="227"/>
        <v>0</v>
      </c>
      <c r="U238" s="45">
        <f t="shared" ca="1" si="243"/>
        <v>16.544409601694227</v>
      </c>
      <c r="V238" s="45">
        <f t="shared" ca="1" si="228"/>
        <v>0.20278247028256513</v>
      </c>
      <c r="W238" s="77">
        <f t="shared" ca="1" si="229"/>
        <v>0</v>
      </c>
      <c r="X238" s="45">
        <f t="shared" ca="1" si="244"/>
        <v>0.94406910264796307</v>
      </c>
      <c r="Y238" s="45">
        <f t="shared" ca="1" si="230"/>
        <v>0</v>
      </c>
      <c r="Z238" s="77">
        <f t="shared" ca="1" si="231"/>
        <v>0</v>
      </c>
      <c r="AA238" s="45">
        <f t="shared" ca="1" si="245"/>
        <v>39.111162381931635</v>
      </c>
      <c r="AB238" s="45">
        <f t="shared" ca="1" si="232"/>
        <v>0</v>
      </c>
      <c r="AC238" s="45" cm="1">
        <f t="array" aca="1" ref="AC238" ca="1">pHUM*(T238+W238+Z238+AD238)</f>
        <v>0</v>
      </c>
      <c r="AD238" s="77">
        <f t="shared" ca="1" si="233"/>
        <v>0</v>
      </c>
      <c r="AE238" s="45">
        <f t="shared" ca="1" si="246"/>
        <v>6.3847072090583081</v>
      </c>
      <c r="AF238" s="45">
        <f t="shared" ca="1" si="234"/>
        <v>0</v>
      </c>
      <c r="AG238" s="76">
        <f t="shared" ca="1" si="235"/>
        <v>63.30874301393365</v>
      </c>
      <c r="AH238" s="45">
        <f t="shared" ca="1" si="236"/>
        <v>0</v>
      </c>
      <c r="AI238" s="77">
        <f t="shared" ca="1" si="237"/>
        <v>1.4072232092578889E-2</v>
      </c>
      <c r="AJ238" s="384">
        <f t="shared" ca="1" si="239"/>
        <v>1.7307461528157653E-2</v>
      </c>
      <c r="AU238" s="1"/>
    </row>
    <row r="239" spans="3:47" x14ac:dyDescent="0.25">
      <c r="C239" s="10">
        <f t="shared" si="264"/>
        <v>12</v>
      </c>
      <c r="D239" s="91">
        <f t="shared" si="247"/>
        <v>5</v>
      </c>
      <c r="E239" s="278"/>
      <c r="F239" s="76">
        <f t="shared" ref="F239:Q239" si="276">F167</f>
        <v>12.662516129032257</v>
      </c>
      <c r="G239" s="46">
        <f t="shared" si="276"/>
        <v>89.413014608233681</v>
      </c>
      <c r="H239" s="46">
        <f t="shared" si="223"/>
        <v>-33.882864608233675</v>
      </c>
      <c r="I239" s="45">
        <f t="shared" si="224"/>
        <v>0</v>
      </c>
      <c r="J239" s="45">
        <f t="shared" si="225"/>
        <v>0.19052718077467024</v>
      </c>
      <c r="K239" s="45">
        <f t="shared" ca="1" si="241"/>
        <v>0.6158039414194908</v>
      </c>
      <c r="L239" s="358">
        <f t="shared" si="226"/>
        <v>0.78870900469063665</v>
      </c>
      <c r="M239" s="76">
        <f t="shared" ca="1" si="276"/>
        <v>0.25347808785320641</v>
      </c>
      <c r="N239" s="45">
        <f t="shared" ca="1" si="276"/>
        <v>0.25</v>
      </c>
      <c r="O239" s="45">
        <f t="shared" ca="1" si="276"/>
        <v>0</v>
      </c>
      <c r="P239" s="46" t="str">
        <f t="shared" ca="1" si="276"/>
        <v/>
      </c>
      <c r="Q239" s="243" t="str">
        <f t="shared" ca="1" si="276"/>
        <v/>
      </c>
      <c r="R239" s="45">
        <f t="shared" ca="1" si="242"/>
        <v>0.37509033617215748</v>
      </c>
      <c r="S239" s="45">
        <f t="shared" ca="1" si="266"/>
        <v>5.0695617570641283E-2</v>
      </c>
      <c r="T239" s="77">
        <f t="shared" ca="1" si="227"/>
        <v>0</v>
      </c>
      <c r="U239" s="45">
        <f t="shared" ca="1" si="243"/>
        <v>16.747192071976791</v>
      </c>
      <c r="V239" s="45">
        <f t="shared" ca="1" si="228"/>
        <v>0.20278247028256513</v>
      </c>
      <c r="W239" s="77">
        <f t="shared" ca="1" si="229"/>
        <v>0</v>
      </c>
      <c r="X239" s="45">
        <f t="shared" ca="1" si="244"/>
        <v>0.94406910264796307</v>
      </c>
      <c r="Y239" s="45">
        <f t="shared" ca="1" si="230"/>
        <v>0</v>
      </c>
      <c r="Z239" s="77">
        <f t="shared" ca="1" si="231"/>
        <v>0</v>
      </c>
      <c r="AA239" s="45">
        <f t="shared" ca="1" si="245"/>
        <v>39.111162381931635</v>
      </c>
      <c r="AB239" s="45">
        <f t="shared" ca="1" si="232"/>
        <v>0</v>
      </c>
      <c r="AC239" s="45" cm="1">
        <f t="array" aca="1" ref="AC239" ca="1">pHUM*(T239+W239+Z239+AD239)</f>
        <v>0</v>
      </c>
      <c r="AD239" s="77">
        <f t="shared" ca="1" si="233"/>
        <v>0</v>
      </c>
      <c r="AE239" s="45">
        <f t="shared" ca="1" si="246"/>
        <v>6.3847072090583081</v>
      </c>
      <c r="AF239" s="45">
        <f t="shared" ca="1" si="234"/>
        <v>0</v>
      </c>
      <c r="AG239" s="76">
        <f t="shared" ca="1" si="235"/>
        <v>63.562221101786847</v>
      </c>
      <c r="AH239" s="45">
        <f t="shared" ca="1" si="236"/>
        <v>0</v>
      </c>
      <c r="AI239" s="77">
        <f t="shared" ca="1" si="237"/>
        <v>1.4837373916198974E-2</v>
      </c>
      <c r="AJ239" s="384">
        <f t="shared" ca="1" si="239"/>
        <v>2.5436419680323619E-2</v>
      </c>
      <c r="AU239" s="1"/>
    </row>
    <row r="240" spans="3:47" x14ac:dyDescent="0.25">
      <c r="C240" s="10">
        <f t="shared" si="264"/>
        <v>12</v>
      </c>
      <c r="D240" s="91">
        <f t="shared" si="247"/>
        <v>6</v>
      </c>
      <c r="E240" s="278"/>
      <c r="F240" s="76">
        <f t="shared" ref="F240:Q240" si="277">F168</f>
        <v>17.952400000000004</v>
      </c>
      <c r="G240" s="46">
        <f t="shared" si="277"/>
        <v>83.948488098886401</v>
      </c>
      <c r="H240" s="46">
        <f t="shared" si="223"/>
        <v>-28.418338098886395</v>
      </c>
      <c r="I240" s="45">
        <f t="shared" si="224"/>
        <v>0</v>
      </c>
      <c r="J240" s="45">
        <f t="shared" si="225"/>
        <v>0.21095121603234232</v>
      </c>
      <c r="K240" s="45">
        <f t="shared" ca="1" si="241"/>
        <v>0.68181657730811884</v>
      </c>
      <c r="L240" s="358">
        <f t="shared" si="226"/>
        <v>0.89013124354981255</v>
      </c>
      <c r="M240" s="76">
        <f t="shared" ca="1" si="277"/>
        <v>0.25347808785320641</v>
      </c>
      <c r="N240" s="45">
        <f t="shared" ca="1" si="277"/>
        <v>0.25</v>
      </c>
      <c r="O240" s="45">
        <f t="shared" ca="1" si="277"/>
        <v>0</v>
      </c>
      <c r="P240" s="46" t="str">
        <f t="shared" ca="1" si="277"/>
        <v/>
      </c>
      <c r="Q240" s="243" t="str">
        <f t="shared" ca="1" si="277"/>
        <v/>
      </c>
      <c r="R240" s="45">
        <f t="shared" ca="1" si="242"/>
        <v>0.42578595374279876</v>
      </c>
      <c r="S240" s="45">
        <f t="shared" ca="1" si="266"/>
        <v>5.0695617570641283E-2</v>
      </c>
      <c r="T240" s="77">
        <f t="shared" ca="1" si="227"/>
        <v>0</v>
      </c>
      <c r="U240" s="45">
        <f t="shared" ca="1" si="243"/>
        <v>16.949974542259355</v>
      </c>
      <c r="V240" s="45">
        <f t="shared" ca="1" si="228"/>
        <v>0.20278247028256513</v>
      </c>
      <c r="W240" s="77">
        <f t="shared" ca="1" si="229"/>
        <v>0</v>
      </c>
      <c r="X240" s="45">
        <f t="shared" ca="1" si="244"/>
        <v>0.94406910264796307</v>
      </c>
      <c r="Y240" s="45">
        <f t="shared" ca="1" si="230"/>
        <v>0</v>
      </c>
      <c r="Z240" s="77">
        <f t="shared" ca="1" si="231"/>
        <v>0</v>
      </c>
      <c r="AA240" s="45">
        <f t="shared" ca="1" si="245"/>
        <v>39.111162381931635</v>
      </c>
      <c r="AB240" s="45">
        <f t="shared" ca="1" si="232"/>
        <v>0</v>
      </c>
      <c r="AC240" s="45" cm="1">
        <f t="array" aca="1" ref="AC240" ca="1">pHUM*(T240+W240+Z240+AD240)</f>
        <v>0</v>
      </c>
      <c r="AD240" s="77">
        <f t="shared" ca="1" si="233"/>
        <v>0</v>
      </c>
      <c r="AE240" s="45">
        <f t="shared" ca="1" si="246"/>
        <v>6.3847072090583081</v>
      </c>
      <c r="AF240" s="45">
        <f t="shared" ca="1" si="234"/>
        <v>0</v>
      </c>
      <c r="AG240" s="76">
        <f t="shared" ca="1" si="235"/>
        <v>63.815699189640057</v>
      </c>
      <c r="AH240" s="45">
        <f t="shared" ca="1" si="236"/>
        <v>0</v>
      </c>
      <c r="AI240" s="77">
        <f t="shared" ca="1" si="237"/>
        <v>1.5595761662283594E-2</v>
      </c>
      <c r="AJ240" s="384">
        <f t="shared" ca="1" si="239"/>
        <v>3.3409086514092357E-2</v>
      </c>
      <c r="AU240" s="1"/>
    </row>
    <row r="241" spans="3:47" x14ac:dyDescent="0.25">
      <c r="C241" s="10">
        <f t="shared" si="264"/>
        <v>12</v>
      </c>
      <c r="D241" s="91">
        <f t="shared" si="247"/>
        <v>7</v>
      </c>
      <c r="E241" s="278"/>
      <c r="F241" s="76">
        <f t="shared" ref="F241:Q241" si="278">F169</f>
        <v>21.363032258064525</v>
      </c>
      <c r="G241" s="46">
        <f t="shared" si="278"/>
        <v>73.679575814389409</v>
      </c>
      <c r="H241" s="46">
        <f t="shared" si="223"/>
        <v>-18.149425814389403</v>
      </c>
      <c r="I241" s="45">
        <f t="shared" si="224"/>
        <v>0</v>
      </c>
      <c r="J241" s="45">
        <f t="shared" si="225"/>
        <v>0.2468878570948656</v>
      </c>
      <c r="K241" s="45">
        <f t="shared" ca="1" si="241"/>
        <v>0.79796759113040194</v>
      </c>
      <c r="L241" s="358">
        <f t="shared" si="226"/>
        <v>0.92905557700722019</v>
      </c>
      <c r="M241" s="76">
        <f t="shared" ca="1" si="278"/>
        <v>0.25347808785320641</v>
      </c>
      <c r="N241" s="45">
        <f t="shared" ca="1" si="278"/>
        <v>0.25</v>
      </c>
      <c r="O241" s="45">
        <f t="shared" ca="1" si="278"/>
        <v>0</v>
      </c>
      <c r="P241" s="46" t="str">
        <f t="shared" ca="1" si="278"/>
        <v/>
      </c>
      <c r="Q241" s="243" t="str">
        <f t="shared" ca="1" si="278"/>
        <v/>
      </c>
      <c r="R241" s="45">
        <f t="shared" ca="1" si="242"/>
        <v>0.47648157131344004</v>
      </c>
      <c r="S241" s="45">
        <f t="shared" ca="1" si="266"/>
        <v>5.0695617570641283E-2</v>
      </c>
      <c r="T241" s="77">
        <f t="shared" ca="1" si="227"/>
        <v>0</v>
      </c>
      <c r="U241" s="45">
        <f t="shared" ca="1" si="243"/>
        <v>17.152757012541919</v>
      </c>
      <c r="V241" s="45">
        <f t="shared" ca="1" si="228"/>
        <v>0.20278247028256513</v>
      </c>
      <c r="W241" s="77">
        <f t="shared" ca="1" si="229"/>
        <v>0</v>
      </c>
      <c r="X241" s="45">
        <f t="shared" ca="1" si="244"/>
        <v>0.94406910264796307</v>
      </c>
      <c r="Y241" s="45">
        <f t="shared" ca="1" si="230"/>
        <v>0</v>
      </c>
      <c r="Z241" s="77">
        <f t="shared" ca="1" si="231"/>
        <v>0</v>
      </c>
      <c r="AA241" s="45">
        <f t="shared" ca="1" si="245"/>
        <v>39.111162381931635</v>
      </c>
      <c r="AB241" s="45">
        <f t="shared" ca="1" si="232"/>
        <v>0</v>
      </c>
      <c r="AC241" s="45" cm="1">
        <f t="array" aca="1" ref="AC241" ca="1">pHUM*(T241+W241+Z241+AD241)</f>
        <v>0</v>
      </c>
      <c r="AD241" s="77">
        <f t="shared" ca="1" si="233"/>
        <v>0</v>
      </c>
      <c r="AE241" s="45">
        <f t="shared" ca="1" si="246"/>
        <v>6.3847072090583081</v>
      </c>
      <c r="AF241" s="45">
        <f t="shared" ca="1" si="234"/>
        <v>0</v>
      </c>
      <c r="AG241" s="76">
        <f t="shared" ca="1" si="235"/>
        <v>64.069177277493267</v>
      </c>
      <c r="AH241" s="45">
        <f t="shared" ca="1" si="236"/>
        <v>0</v>
      </c>
      <c r="AI241" s="77">
        <f t="shared" ca="1" si="237"/>
        <v>1.6347484367482838E-2</v>
      </c>
      <c r="AJ241" s="384">
        <f t="shared" ca="1" si="239"/>
        <v>4.2777012487702493E-2</v>
      </c>
      <c r="AU241" s="1"/>
    </row>
    <row r="242" spans="3:47" x14ac:dyDescent="0.25">
      <c r="C242" s="10">
        <f t="shared" si="264"/>
        <v>12</v>
      </c>
      <c r="D242" s="91">
        <f t="shared" si="247"/>
        <v>8</v>
      </c>
      <c r="E242" s="278"/>
      <c r="F242" s="76">
        <f t="shared" ref="F242:Q242" si="279">F170</f>
        <v>21.84690322580645</v>
      </c>
      <c r="G242" s="46">
        <f t="shared" si="279"/>
        <v>71.917724933598876</v>
      </c>
      <c r="H242" s="46">
        <f t="shared" si="223"/>
        <v>-16.38757493359887</v>
      </c>
      <c r="I242" s="45">
        <f t="shared" si="224"/>
        <v>0</v>
      </c>
      <c r="J242" s="45">
        <f t="shared" si="225"/>
        <v>0.25260629061506468</v>
      </c>
      <c r="K242" s="45">
        <f t="shared" ca="1" si="241"/>
        <v>0.81645017133846476</v>
      </c>
      <c r="L242" s="358">
        <f t="shared" si="226"/>
        <v>0.93325603418156189</v>
      </c>
      <c r="M242" s="76">
        <f t="shared" ca="1" si="279"/>
        <v>0.25347808785320641</v>
      </c>
      <c r="N242" s="45">
        <f t="shared" ca="1" si="279"/>
        <v>0.25</v>
      </c>
      <c r="O242" s="45">
        <f t="shared" ca="1" si="279"/>
        <v>0</v>
      </c>
      <c r="P242" s="46" t="str">
        <f t="shared" ca="1" si="279"/>
        <v/>
      </c>
      <c r="Q242" s="243" t="str">
        <f t="shared" ca="1" si="279"/>
        <v/>
      </c>
      <c r="R242" s="45">
        <f t="shared" ca="1" si="242"/>
        <v>0.52717718888408127</v>
      </c>
      <c r="S242" s="45">
        <f t="shared" ca="1" si="266"/>
        <v>5.0695617570641283E-2</v>
      </c>
      <c r="T242" s="77">
        <f t="shared" ca="1" si="227"/>
        <v>0</v>
      </c>
      <c r="U242" s="45">
        <f t="shared" ca="1" si="243"/>
        <v>17.355539482824483</v>
      </c>
      <c r="V242" s="45">
        <f t="shared" ca="1" si="228"/>
        <v>0.20278247028256513</v>
      </c>
      <c r="W242" s="77">
        <f t="shared" ca="1" si="229"/>
        <v>0</v>
      </c>
      <c r="X242" s="45">
        <f t="shared" ca="1" si="244"/>
        <v>0.94406910264796307</v>
      </c>
      <c r="Y242" s="45">
        <f t="shared" ca="1" si="230"/>
        <v>0</v>
      </c>
      <c r="Z242" s="77">
        <f t="shared" ca="1" si="231"/>
        <v>0</v>
      </c>
      <c r="AA242" s="45">
        <f t="shared" ca="1" si="245"/>
        <v>39.111162381931635</v>
      </c>
      <c r="AB242" s="45">
        <f t="shared" ca="1" si="232"/>
        <v>0</v>
      </c>
      <c r="AC242" s="45" cm="1">
        <f t="array" aca="1" ref="AC242" ca="1">pHUM*(T242+W242+Z242+AD242)</f>
        <v>0</v>
      </c>
      <c r="AD242" s="77">
        <f t="shared" ca="1" si="233"/>
        <v>0</v>
      </c>
      <c r="AE242" s="45">
        <f t="shared" ca="1" si="246"/>
        <v>6.3847072090583081</v>
      </c>
      <c r="AF242" s="45">
        <f t="shared" ca="1" si="234"/>
        <v>0</v>
      </c>
      <c r="AG242" s="76">
        <f t="shared" ca="1" si="235"/>
        <v>64.322655365346463</v>
      </c>
      <c r="AH242" s="45">
        <f t="shared" ca="1" si="236"/>
        <v>0</v>
      </c>
      <c r="AI242" s="77">
        <f t="shared" ca="1" si="237"/>
        <v>1.7092629510308075E-2</v>
      </c>
      <c r="AJ242" s="384">
        <f t="shared" ca="1" si="239"/>
        <v>4.5969590408327932E-2</v>
      </c>
      <c r="AU242" s="1"/>
    </row>
    <row r="243" spans="3:47" x14ac:dyDescent="0.25">
      <c r="C243" s="10">
        <f t="shared" si="264"/>
        <v>12</v>
      </c>
      <c r="D243" s="91">
        <f t="shared" si="247"/>
        <v>9</v>
      </c>
      <c r="E243" s="278"/>
      <c r="F243" s="76">
        <f t="shared" ref="F243:Q243" si="280">F171</f>
        <v>19.915099999999999</v>
      </c>
      <c r="G243" s="46">
        <f t="shared" si="280"/>
        <v>90.121120170480822</v>
      </c>
      <c r="H243" s="46">
        <f t="shared" si="223"/>
        <v>-34.590970170480816</v>
      </c>
      <c r="I243" s="45">
        <f t="shared" si="224"/>
        <v>0</v>
      </c>
      <c r="J243" s="45">
        <f t="shared" si="225"/>
        <v>0.18783711693191202</v>
      </c>
      <c r="K243" s="45">
        <f t="shared" ca="1" si="241"/>
        <v>0.60710937138331467</v>
      </c>
      <c r="L243" s="358">
        <f t="shared" si="226"/>
        <v>0.91464137695305081</v>
      </c>
      <c r="M243" s="76">
        <f t="shared" ca="1" si="280"/>
        <v>0.25347808785320641</v>
      </c>
      <c r="N243" s="45">
        <f t="shared" ca="1" si="280"/>
        <v>0.25</v>
      </c>
      <c r="O243" s="45">
        <f t="shared" ca="1" si="280"/>
        <v>0</v>
      </c>
      <c r="P243" s="46" t="str">
        <f t="shared" ca="1" si="280"/>
        <v/>
      </c>
      <c r="Q243" s="243" t="str">
        <f t="shared" ca="1" si="280"/>
        <v/>
      </c>
      <c r="R243" s="45">
        <f t="shared" ca="1" si="242"/>
        <v>0.5778728064547225</v>
      </c>
      <c r="S243" s="45">
        <f t="shared" ca="1" si="266"/>
        <v>5.0695617570641283E-2</v>
      </c>
      <c r="T243" s="77">
        <f t="shared" ca="1" si="227"/>
        <v>0</v>
      </c>
      <c r="U243" s="45">
        <f t="shared" ca="1" si="243"/>
        <v>17.558321953107047</v>
      </c>
      <c r="V243" s="45">
        <f t="shared" ca="1" si="228"/>
        <v>0.20278247028256513</v>
      </c>
      <c r="W243" s="77">
        <f t="shared" ca="1" si="229"/>
        <v>0</v>
      </c>
      <c r="X243" s="45">
        <f t="shared" ca="1" si="244"/>
        <v>0.94406910264796307</v>
      </c>
      <c r="Y243" s="45">
        <f t="shared" ca="1" si="230"/>
        <v>0</v>
      </c>
      <c r="Z243" s="77">
        <f t="shared" ca="1" si="231"/>
        <v>0</v>
      </c>
      <c r="AA243" s="45">
        <f t="shared" ca="1" si="245"/>
        <v>39.111162381931635</v>
      </c>
      <c r="AB243" s="45">
        <f t="shared" ca="1" si="232"/>
        <v>0</v>
      </c>
      <c r="AC243" s="45" cm="1">
        <f t="array" aca="1" ref="AC243" ca="1">pHUM*(T243+W243+Z243+AD243)</f>
        <v>0</v>
      </c>
      <c r="AD243" s="77">
        <f t="shared" ca="1" si="233"/>
        <v>0</v>
      </c>
      <c r="AE243" s="45">
        <f t="shared" ca="1" si="246"/>
        <v>6.3847072090583081</v>
      </c>
      <c r="AF243" s="45">
        <f t="shared" ca="1" si="234"/>
        <v>0</v>
      </c>
      <c r="AG243" s="76">
        <f t="shared" ca="1" si="235"/>
        <v>64.576133453199674</v>
      </c>
      <c r="AH243" s="45">
        <f t="shared" ca="1" si="236"/>
        <v>0</v>
      </c>
      <c r="AI243" s="77">
        <f t="shared" ca="1" si="237"/>
        <v>1.7831283045067755E-2</v>
      </c>
      <c r="AJ243" s="384">
        <f t="shared" ca="1" si="239"/>
        <v>3.4949112697615359E-2</v>
      </c>
      <c r="AU243" s="1"/>
    </row>
    <row r="244" spans="3:47" x14ac:dyDescent="0.25">
      <c r="C244" s="10">
        <f t="shared" si="264"/>
        <v>12</v>
      </c>
      <c r="D244" s="91">
        <f t="shared" si="247"/>
        <v>10</v>
      </c>
      <c r="E244" s="278"/>
      <c r="F244" s="76">
        <f t="shared" ref="F244:Q244" si="281">F172</f>
        <v>16.404967741935486</v>
      </c>
      <c r="G244" s="46">
        <f t="shared" si="281"/>
        <v>93.270963763991602</v>
      </c>
      <c r="H244" s="46">
        <f t="shared" si="223"/>
        <v>-37.740813763991596</v>
      </c>
      <c r="I244" s="45">
        <f t="shared" si="224"/>
        <v>0</v>
      </c>
      <c r="J244" s="45">
        <f t="shared" si="225"/>
        <v>0.1757835150476853</v>
      </c>
      <c r="K244" s="45">
        <f t="shared" ca="1" si="241"/>
        <v>0.56815085891056294</v>
      </c>
      <c r="L244" s="358">
        <f t="shared" si="226"/>
        <v>0.86618676922472848</v>
      </c>
      <c r="M244" s="76">
        <f t="shared" ca="1" si="281"/>
        <v>0.25347808785320641</v>
      </c>
      <c r="N244" s="45">
        <f t="shared" ca="1" si="281"/>
        <v>0.25</v>
      </c>
      <c r="O244" s="45">
        <f t="shared" ca="1" si="281"/>
        <v>0</v>
      </c>
      <c r="P244" s="46" t="str">
        <f t="shared" ca="1" si="281"/>
        <v/>
      </c>
      <c r="Q244" s="243" t="str">
        <f t="shared" ca="1" si="281"/>
        <v/>
      </c>
      <c r="R244" s="45">
        <f t="shared" ca="1" si="242"/>
        <v>0.62856842402536373</v>
      </c>
      <c r="S244" s="45">
        <f t="shared" ca="1" si="266"/>
        <v>5.0695617570641283E-2</v>
      </c>
      <c r="T244" s="77">
        <f t="shared" ca="1" si="227"/>
        <v>0</v>
      </c>
      <c r="U244" s="45">
        <f t="shared" ca="1" si="243"/>
        <v>17.761104423389611</v>
      </c>
      <c r="V244" s="45">
        <f t="shared" ca="1" si="228"/>
        <v>0.20278247028256513</v>
      </c>
      <c r="W244" s="77">
        <f t="shared" ca="1" si="229"/>
        <v>0</v>
      </c>
      <c r="X244" s="45">
        <f t="shared" ca="1" si="244"/>
        <v>0.94406910264796307</v>
      </c>
      <c r="Y244" s="45">
        <f t="shared" ca="1" si="230"/>
        <v>0</v>
      </c>
      <c r="Z244" s="77">
        <f t="shared" ca="1" si="231"/>
        <v>0</v>
      </c>
      <c r="AA244" s="45">
        <f t="shared" ca="1" si="245"/>
        <v>39.111162381931635</v>
      </c>
      <c r="AB244" s="45">
        <f t="shared" ca="1" si="232"/>
        <v>0</v>
      </c>
      <c r="AC244" s="45" cm="1">
        <f t="array" aca="1" ref="AC244" ca="1">pHUM*(T244+W244+Z244+AD244)</f>
        <v>0</v>
      </c>
      <c r="AD244" s="77">
        <f t="shared" ca="1" si="233"/>
        <v>0</v>
      </c>
      <c r="AE244" s="45">
        <f t="shared" ca="1" si="246"/>
        <v>6.3847072090583081</v>
      </c>
      <c r="AF244" s="45">
        <f t="shared" ca="1" si="234"/>
        <v>0</v>
      </c>
      <c r="AG244" s="76">
        <f t="shared" ca="1" si="235"/>
        <v>64.829611541052884</v>
      </c>
      <c r="AH244" s="45">
        <f t="shared" ca="1" si="236"/>
        <v>0</v>
      </c>
      <c r="AI244" s="77">
        <f t="shared" ca="1" si="237"/>
        <v>1.8563529434920047E-2</v>
      </c>
      <c r="AJ244" s="384">
        <f t="shared" ca="1" si="239"/>
        <v>3.224576252189193E-2</v>
      </c>
      <c r="AU244" s="1"/>
    </row>
    <row r="245" spans="3:47" x14ac:dyDescent="0.25">
      <c r="C245" s="10">
        <f t="shared" si="264"/>
        <v>12</v>
      </c>
      <c r="D245" s="91">
        <f t="shared" si="247"/>
        <v>11</v>
      </c>
      <c r="E245" s="278"/>
      <c r="F245" s="76">
        <f t="shared" ref="F245:Q245" si="282">F173</f>
        <v>8.5982333333333347</v>
      </c>
      <c r="G245" s="46">
        <f t="shared" si="282"/>
        <v>93.768190396309464</v>
      </c>
      <c r="H245" s="46">
        <f t="shared" si="223"/>
        <v>-38.238040396309458</v>
      </c>
      <c r="I245" s="45">
        <f t="shared" si="224"/>
        <v>0</v>
      </c>
      <c r="J245" s="45">
        <f t="shared" si="225"/>
        <v>0.17386998013358751</v>
      </c>
      <c r="K245" s="45">
        <f t="shared" ca="1" si="241"/>
        <v>0.56196611226520721</v>
      </c>
      <c r="L245" s="358">
        <f t="shared" si="226"/>
        <v>0.6712335176859634</v>
      </c>
      <c r="M245" s="76">
        <f t="shared" ca="1" si="282"/>
        <v>0.25347808785320641</v>
      </c>
      <c r="N245" s="45">
        <f t="shared" ca="1" si="282"/>
        <v>0.25</v>
      </c>
      <c r="O245" s="45">
        <f t="shared" ca="1" si="282"/>
        <v>0</v>
      </c>
      <c r="P245" s="46" t="str">
        <f t="shared" ca="1" si="282"/>
        <v/>
      </c>
      <c r="Q245" s="243" t="str">
        <f t="shared" ca="1" si="282"/>
        <v/>
      </c>
      <c r="R245" s="45">
        <f t="shared" ca="1" si="242"/>
        <v>0.67926404159600495</v>
      </c>
      <c r="S245" s="45">
        <f t="shared" ca="1" si="266"/>
        <v>5.0695617570641283E-2</v>
      </c>
      <c r="T245" s="77">
        <f t="shared" ca="1" si="227"/>
        <v>0</v>
      </c>
      <c r="U245" s="45">
        <f t="shared" ca="1" si="243"/>
        <v>17.963886893672175</v>
      </c>
      <c r="V245" s="45">
        <f t="shared" ca="1" si="228"/>
        <v>0.20278247028256513</v>
      </c>
      <c r="W245" s="77">
        <f t="shared" ca="1" si="229"/>
        <v>0</v>
      </c>
      <c r="X245" s="45">
        <f t="shared" ca="1" si="244"/>
        <v>0.94406910264796307</v>
      </c>
      <c r="Y245" s="45">
        <f t="shared" ca="1" si="230"/>
        <v>0</v>
      </c>
      <c r="Z245" s="77">
        <f t="shared" ca="1" si="231"/>
        <v>0</v>
      </c>
      <c r="AA245" s="45">
        <f t="shared" ca="1" si="245"/>
        <v>39.111162381931635</v>
      </c>
      <c r="AB245" s="45">
        <f t="shared" ca="1" si="232"/>
        <v>0</v>
      </c>
      <c r="AC245" s="45" cm="1">
        <f t="array" aca="1" ref="AC245" ca="1">pHUM*(T245+W245+Z245+AD245)</f>
        <v>0</v>
      </c>
      <c r="AD245" s="77">
        <f t="shared" ca="1" si="233"/>
        <v>0</v>
      </c>
      <c r="AE245" s="45">
        <f t="shared" ca="1" si="246"/>
        <v>6.3847072090583081</v>
      </c>
      <c r="AF245" s="45">
        <f t="shared" ca="1" si="234"/>
        <v>0</v>
      </c>
      <c r="AG245" s="76">
        <f t="shared" ca="1" si="235"/>
        <v>65.08308962890608</v>
      </c>
      <c r="AH245" s="45">
        <f t="shared" ca="1" si="236"/>
        <v>0</v>
      </c>
      <c r="AI245" s="77">
        <f t="shared" ca="1" si="237"/>
        <v>1.9289451684069116E-2</v>
      </c>
      <c r="AJ245" s="384">
        <f t="shared" ca="1" si="239"/>
        <v>2.568285032616302E-2</v>
      </c>
      <c r="AU245" s="1"/>
    </row>
    <row r="246" spans="3:47" x14ac:dyDescent="0.25">
      <c r="C246" s="10">
        <f t="shared" si="264"/>
        <v>12</v>
      </c>
      <c r="D246" s="91">
        <f t="shared" si="247"/>
        <v>12</v>
      </c>
      <c r="E246" s="278"/>
      <c r="F246" s="76">
        <f t="shared" ref="F246:Q246" si="283">F174</f>
        <v>5.8543548387096775</v>
      </c>
      <c r="G246" s="46">
        <f t="shared" si="283"/>
        <v>92.353978821555827</v>
      </c>
      <c r="H246" s="46">
        <f t="shared" si="223"/>
        <v>-36.823828821555821</v>
      </c>
      <c r="I246" s="45">
        <f t="shared" si="224"/>
        <v>0</v>
      </c>
      <c r="J246" s="45">
        <f t="shared" si="225"/>
        <v>0.17930557122010893</v>
      </c>
      <c r="K246" s="45">
        <f t="shared" ca="1" si="241"/>
        <v>0.57953451589882432</v>
      </c>
      <c r="L246" s="358">
        <f t="shared" si="226"/>
        <v>0.57570255434605899</v>
      </c>
      <c r="M246" s="76">
        <f t="shared" ca="1" si="283"/>
        <v>0.25347808785320641</v>
      </c>
      <c r="N246" s="45">
        <f t="shared" ca="1" si="283"/>
        <v>0.25</v>
      </c>
      <c r="O246" s="45">
        <f t="shared" ca="1" si="283"/>
        <v>0</v>
      </c>
      <c r="P246" s="46" t="str">
        <f t="shared" ca="1" si="283"/>
        <v/>
      </c>
      <c r="Q246" s="243" t="str">
        <f t="shared" ca="1" si="283"/>
        <v/>
      </c>
      <c r="R246" s="45">
        <f t="shared" ca="1" si="242"/>
        <v>0.72995965916664618</v>
      </c>
      <c r="S246" s="45">
        <f t="shared" ca="1" si="266"/>
        <v>5.0695617570641283E-2</v>
      </c>
      <c r="T246" s="77">
        <f t="shared" ca="1" si="227"/>
        <v>0</v>
      </c>
      <c r="U246" s="45">
        <f t="shared" ca="1" si="243"/>
        <v>18.166669363954739</v>
      </c>
      <c r="V246" s="45">
        <f t="shared" ca="1" si="228"/>
        <v>0.20278247028256513</v>
      </c>
      <c r="W246" s="77">
        <f t="shared" ca="1" si="229"/>
        <v>0</v>
      </c>
      <c r="X246" s="45">
        <f t="shared" ca="1" si="244"/>
        <v>0.94406910264796307</v>
      </c>
      <c r="Y246" s="45">
        <f t="shared" ca="1" si="230"/>
        <v>0</v>
      </c>
      <c r="Z246" s="77">
        <f t="shared" ca="1" si="231"/>
        <v>0</v>
      </c>
      <c r="AA246" s="45">
        <f t="shared" ca="1" si="245"/>
        <v>39.111162381931635</v>
      </c>
      <c r="AB246" s="45">
        <f t="shared" ca="1" si="232"/>
        <v>0</v>
      </c>
      <c r="AC246" s="45" cm="1">
        <f t="array" aca="1" ref="AC246" ca="1">pHUM*(T246+W246+Z246+AD246)</f>
        <v>0</v>
      </c>
      <c r="AD246" s="77">
        <f t="shared" ca="1" si="233"/>
        <v>0</v>
      </c>
      <c r="AE246" s="45">
        <f t="shared" ca="1" si="246"/>
        <v>6.3847072090583081</v>
      </c>
      <c r="AF246" s="45">
        <f t="shared" ca="1" si="234"/>
        <v>0</v>
      </c>
      <c r="AG246" s="76">
        <f t="shared" ca="1" si="235"/>
        <v>65.336567716759291</v>
      </c>
      <c r="AH246" s="45">
        <f t="shared" ca="1" si="236"/>
        <v>0</v>
      </c>
      <c r="AI246" s="77">
        <f t="shared" ca="1" si="237"/>
        <v>2.0009131369130823E-2</v>
      </c>
      <c r="AJ246" s="384">
        <f t="shared" ca="1" si="239"/>
        <v>2.3563844218640329E-2</v>
      </c>
      <c r="AU246" s="1"/>
    </row>
    <row r="247" spans="3:47" x14ac:dyDescent="0.25">
      <c r="C247" s="10">
        <f t="shared" si="264"/>
        <v>13</v>
      </c>
      <c r="D247" s="91">
        <f t="shared" si="247"/>
        <v>1</v>
      </c>
      <c r="E247" s="278"/>
      <c r="F247" s="76">
        <f t="shared" ref="F247:Q247" si="284">F175</f>
        <v>2.2624333333333326</v>
      </c>
      <c r="G247" s="46">
        <f t="shared" si="284"/>
        <v>87.461548542671366</v>
      </c>
      <c r="H247" s="46">
        <f t="shared" si="223"/>
        <v>-31.93139854267136</v>
      </c>
      <c r="I247" s="45">
        <f t="shared" si="224"/>
        <v>0</v>
      </c>
      <c r="J247" s="45">
        <f t="shared" si="225"/>
        <v>0.19789456043296222</v>
      </c>
      <c r="K247" s="45">
        <f t="shared" ca="1" si="241"/>
        <v>0.63961608944510806</v>
      </c>
      <c r="L247" s="358">
        <f t="shared" si="226"/>
        <v>0.44266298791276926</v>
      </c>
      <c r="M247" s="76">
        <f t="shared" ca="1" si="284"/>
        <v>0.25347808785320641</v>
      </c>
      <c r="N247" s="45">
        <f t="shared" ca="1" si="284"/>
        <v>0.25</v>
      </c>
      <c r="O247" s="45">
        <f t="shared" ca="1" si="284"/>
        <v>0</v>
      </c>
      <c r="P247" s="46" t="str">
        <f t="shared" ca="1" si="284"/>
        <v/>
      </c>
      <c r="Q247" s="243" t="str">
        <f t="shared" ca="1" si="284"/>
        <v/>
      </c>
      <c r="R247" s="45">
        <f t="shared" ca="1" si="242"/>
        <v>0.78065527673728741</v>
      </c>
      <c r="S247" s="45">
        <f t="shared" ca="1" si="266"/>
        <v>5.0695617570641283E-2</v>
      </c>
      <c r="T247" s="77">
        <f t="shared" ca="1" si="227"/>
        <v>0</v>
      </c>
      <c r="U247" s="45">
        <f t="shared" ca="1" si="243"/>
        <v>18.369451834237303</v>
      </c>
      <c r="V247" s="45">
        <f t="shared" ca="1" si="228"/>
        <v>0.20278247028256513</v>
      </c>
      <c r="W247" s="77">
        <f t="shared" ca="1" si="229"/>
        <v>0</v>
      </c>
      <c r="X247" s="45">
        <f t="shared" ca="1" si="244"/>
        <v>0.94406910264796307</v>
      </c>
      <c r="Y247" s="45">
        <f t="shared" ca="1" si="230"/>
        <v>0</v>
      </c>
      <c r="Z247" s="77">
        <f t="shared" ca="1" si="231"/>
        <v>0</v>
      </c>
      <c r="AA247" s="45">
        <f t="shared" ca="1" si="245"/>
        <v>39.111162381931635</v>
      </c>
      <c r="AB247" s="45">
        <f t="shared" ca="1" si="232"/>
        <v>0</v>
      </c>
      <c r="AC247" s="45" cm="1">
        <f t="array" aca="1" ref="AC247" ca="1">pHUM*(T247+W247+Z247+AD247)</f>
        <v>0</v>
      </c>
      <c r="AD247" s="77">
        <f t="shared" ca="1" si="233"/>
        <v>0</v>
      </c>
      <c r="AE247" s="45">
        <f t="shared" ca="1" si="246"/>
        <v>6.3847072090583081</v>
      </c>
      <c r="AF247" s="45">
        <f t="shared" ca="1" si="234"/>
        <v>0</v>
      </c>
      <c r="AG247" s="76">
        <f t="shared" ca="1" si="235"/>
        <v>65.590045804612501</v>
      </c>
      <c r="AH247" s="45">
        <f t="shared" ca="1" si="236"/>
        <v>0</v>
      </c>
      <c r="AI247" s="77">
        <f t="shared" ca="1" si="237"/>
        <v>2.0722648669692631E-2</v>
      </c>
      <c r="AJ247" s="384">
        <f t="shared" ca="1" si="239"/>
        <v>2.0709969939661788E-2</v>
      </c>
      <c r="AU247" s="1"/>
    </row>
    <row r="248" spans="3:47" x14ac:dyDescent="0.25">
      <c r="C248" s="10">
        <f t="shared" si="264"/>
        <v>13</v>
      </c>
      <c r="D248" s="91">
        <f t="shared" si="247"/>
        <v>2</v>
      </c>
      <c r="E248" s="278"/>
      <c r="F248" s="76">
        <f t="shared" ref="F248:Q248" si="285">F176</f>
        <v>1.5363448275862068</v>
      </c>
      <c r="G248" s="46">
        <f t="shared" si="285"/>
        <v>89.651029216467379</v>
      </c>
      <c r="H248" s="46">
        <f t="shared" si="223"/>
        <v>-34.120879216467372</v>
      </c>
      <c r="I248" s="45">
        <f t="shared" si="224"/>
        <v>0</v>
      </c>
      <c r="J248" s="45">
        <f t="shared" si="225"/>
        <v>0.18962389606700991</v>
      </c>
      <c r="K248" s="45">
        <f t="shared" ca="1" si="241"/>
        <v>0.61288442998317227</v>
      </c>
      <c r="L248" s="358">
        <f t="shared" si="226"/>
        <v>0.41613501220093307</v>
      </c>
      <c r="M248" s="76">
        <f t="shared" ca="1" si="285"/>
        <v>0.25347808785320641</v>
      </c>
      <c r="N248" s="45">
        <f t="shared" ca="1" si="285"/>
        <v>0.25</v>
      </c>
      <c r="O248" s="45">
        <f t="shared" ca="1" si="285"/>
        <v>0</v>
      </c>
      <c r="P248" s="46" t="str">
        <f t="shared" ca="1" si="285"/>
        <v/>
      </c>
      <c r="Q248" s="243" t="str">
        <f t="shared" ca="1" si="285"/>
        <v/>
      </c>
      <c r="R248" s="45">
        <f t="shared" ca="1" si="242"/>
        <v>0.83135089430792863</v>
      </c>
      <c r="S248" s="45">
        <f t="shared" ca="1" si="266"/>
        <v>5.0695617570641283E-2</v>
      </c>
      <c r="T248" s="77">
        <f t="shared" ca="1" si="227"/>
        <v>0</v>
      </c>
      <c r="U248" s="45">
        <f t="shared" ca="1" si="243"/>
        <v>18.572234304519867</v>
      </c>
      <c r="V248" s="45">
        <f t="shared" ca="1" si="228"/>
        <v>0.20278247028256513</v>
      </c>
      <c r="W248" s="77">
        <f t="shared" ca="1" si="229"/>
        <v>0</v>
      </c>
      <c r="X248" s="45">
        <f t="shared" ca="1" si="244"/>
        <v>0.94406910264796307</v>
      </c>
      <c r="Y248" s="45">
        <f t="shared" ca="1" si="230"/>
        <v>0</v>
      </c>
      <c r="Z248" s="77">
        <f t="shared" ca="1" si="231"/>
        <v>0</v>
      </c>
      <c r="AA248" s="45">
        <f t="shared" ca="1" si="245"/>
        <v>39.111162381931635</v>
      </c>
      <c r="AB248" s="45">
        <f t="shared" ca="1" si="232"/>
        <v>0</v>
      </c>
      <c r="AC248" s="45" cm="1">
        <f t="array" aca="1" ref="AC248" ca="1">pHUM*(T248+W248+Z248+AD248)</f>
        <v>0</v>
      </c>
      <c r="AD248" s="77">
        <f t="shared" ca="1" si="233"/>
        <v>0</v>
      </c>
      <c r="AE248" s="45">
        <f t="shared" ca="1" si="246"/>
        <v>6.3847072090583081</v>
      </c>
      <c r="AF248" s="45">
        <f t="shared" ca="1" si="234"/>
        <v>0</v>
      </c>
      <c r="AG248" s="76">
        <f t="shared" ca="1" si="235"/>
        <v>65.843523892465697</v>
      </c>
      <c r="AH248" s="45">
        <f t="shared" ca="1" si="236"/>
        <v>0</v>
      </c>
      <c r="AI248" s="77">
        <f t="shared" ca="1" si="237"/>
        <v>2.1430082398091889E-2</v>
      </c>
      <c r="AJ248" s="384">
        <f t="shared" ca="1" si="239"/>
        <v>1.9292072317328435E-2</v>
      </c>
      <c r="AU248" s="1"/>
    </row>
    <row r="249" spans="3:47" x14ac:dyDescent="0.25">
      <c r="C249" s="10">
        <f t="shared" si="264"/>
        <v>13</v>
      </c>
      <c r="D249" s="91">
        <f t="shared" si="247"/>
        <v>3</v>
      </c>
      <c r="E249" s="278"/>
      <c r="F249" s="76">
        <f t="shared" ref="F249:Q249" ca="1" si="286">F177</f>
        <v>-0.57999999999999996</v>
      </c>
      <c r="G249" s="46">
        <f t="shared" ca="1" si="286"/>
        <v>55.530150000000006</v>
      </c>
      <c r="H249" s="46">
        <f t="shared" ca="1" si="223"/>
        <v>0</v>
      </c>
      <c r="I249" s="45">
        <f t="shared" ca="1" si="224"/>
        <v>8.1834107856600266E-2</v>
      </c>
      <c r="J249" s="45">
        <f t="shared" ca="1" si="225"/>
        <v>0.29595601705647312</v>
      </c>
      <c r="K249" s="45">
        <f t="shared" ca="1" si="241"/>
        <v>0.95656105889548582</v>
      </c>
      <c r="L249" s="358">
        <f t="shared" ca="1" si="226"/>
        <v>0.34200470507454295</v>
      </c>
      <c r="M249" s="76">
        <f t="shared" ca="1" si="286"/>
        <v>0.25347808785320641</v>
      </c>
      <c r="N249" s="45">
        <f t="shared" ca="1" si="286"/>
        <v>0.25</v>
      </c>
      <c r="O249" s="45">
        <f t="shared" ca="1" si="286"/>
        <v>0</v>
      </c>
      <c r="P249" s="46" t="str">
        <f t="shared" ca="1" si="286"/>
        <v/>
      </c>
      <c r="Q249" s="243" t="str">
        <f t="shared" ca="1" si="286"/>
        <v/>
      </c>
      <c r="R249" s="45">
        <f t="shared" ca="1" si="242"/>
        <v>0.88204651187856986</v>
      </c>
      <c r="S249" s="45">
        <f t="shared" ca="1" si="266"/>
        <v>5.0695617570641283E-2</v>
      </c>
      <c r="T249" s="77">
        <f t="shared" ca="1" si="227"/>
        <v>5.8146070292331417E-2</v>
      </c>
      <c r="U249" s="45">
        <f t="shared" ca="1" si="243"/>
        <v>18.775016774802431</v>
      </c>
      <c r="V249" s="45">
        <f t="shared" ca="1" si="228"/>
        <v>0.20278247028256513</v>
      </c>
      <c r="W249" s="77">
        <f t="shared" ca="1" si="229"/>
        <v>3.8371653934377303E-2</v>
      </c>
      <c r="X249" s="45">
        <f t="shared" ca="1" si="244"/>
        <v>0.94406910264796307</v>
      </c>
      <c r="Y249" s="45">
        <f t="shared" ca="1" si="230"/>
        <v>8.7490820866904778E-3</v>
      </c>
      <c r="Z249" s="77">
        <f t="shared" ca="1" si="231"/>
        <v>4.239589811396805E-3</v>
      </c>
      <c r="AA249" s="45">
        <f t="shared" ca="1" si="245"/>
        <v>39.111162381931635</v>
      </c>
      <c r="AB249" s="45">
        <f t="shared" ca="1" si="232"/>
        <v>0</v>
      </c>
      <c r="AC249" s="45" cm="1">
        <f t="array" aca="1" ref="AC249" ca="1">pHUM*(T249+W249+Z249+AD249)</f>
        <v>1.029303774904762E-2</v>
      </c>
      <c r="AD249" s="77">
        <f t="shared" ca="1" si="233"/>
        <v>5.3340147060542426E-3</v>
      </c>
      <c r="AE249" s="45">
        <f t="shared" ca="1" si="246"/>
        <v>6.3847072090583081</v>
      </c>
      <c r="AF249" s="45">
        <f t="shared" ca="1" si="234"/>
        <v>0</v>
      </c>
      <c r="AG249" s="76">
        <f t="shared" ca="1" si="235"/>
        <v>66.097001980318907</v>
      </c>
      <c r="AH249" s="45">
        <f t="shared" ca="1" si="236"/>
        <v>8.7049208908421674E-2</v>
      </c>
      <c r="AI249" s="77">
        <f t="shared" ca="1" si="237"/>
        <v>2.213151002843565E-2</v>
      </c>
      <c r="AJ249" s="384">
        <f t="shared" ca="1" si="239"/>
        <v>2.5556151410226491E-2</v>
      </c>
      <c r="AU249" s="1"/>
    </row>
    <row r="250" spans="3:47" x14ac:dyDescent="0.25">
      <c r="C250" s="10">
        <f t="shared" si="264"/>
        <v>13</v>
      </c>
      <c r="D250" s="91">
        <f t="shared" si="247"/>
        <v>4</v>
      </c>
      <c r="E250" s="278"/>
      <c r="F250" s="76">
        <f t="shared" ref="F250:Q250" ca="1" si="287">F178</f>
        <v>7.18</v>
      </c>
      <c r="G250" s="46">
        <f t="shared" ca="1" si="287"/>
        <v>29.828585295978598</v>
      </c>
      <c r="H250" s="46">
        <f t="shared" ca="1" si="223"/>
        <v>25.701564704021408</v>
      </c>
      <c r="I250" s="45">
        <f t="shared" ca="1" si="224"/>
        <v>0.34975431431902781</v>
      </c>
      <c r="J250" s="45">
        <f t="shared" ca="1" si="225"/>
        <v>0.29147915612483932</v>
      </c>
      <c r="K250" s="45">
        <f t="shared" ca="1" si="241"/>
        <v>0.94209137223094908</v>
      </c>
      <c r="L250" s="358">
        <f t="shared" ca="1" si="226"/>
        <v>0.62308014794471589</v>
      </c>
      <c r="M250" s="76">
        <f t="shared" ca="1" si="287"/>
        <v>0.25347808785320641</v>
      </c>
      <c r="N250" s="45">
        <f t="shared" ca="1" si="287"/>
        <v>0.25</v>
      </c>
      <c r="O250" s="45">
        <f t="shared" ca="1" si="287"/>
        <v>0</v>
      </c>
      <c r="P250" s="46" t="str">
        <f t="shared" ca="1" si="287"/>
        <v/>
      </c>
      <c r="Q250" s="243" t="str">
        <f t="shared" ca="1" si="287"/>
        <v/>
      </c>
      <c r="R250" s="45">
        <f t="shared" ca="1" si="242"/>
        <v>0.87459605915687966</v>
      </c>
      <c r="S250" s="45">
        <f t="shared" ca="1" si="266"/>
        <v>5.0695617570641283E-2</v>
      </c>
      <c r="T250" s="77">
        <f t="shared" ca="1" si="227"/>
        <v>0.22112372029543051</v>
      </c>
      <c r="U250" s="45">
        <f t="shared" ca="1" si="243"/>
        <v>18.939427591150618</v>
      </c>
      <c r="V250" s="45">
        <f t="shared" ca="1" si="228"/>
        <v>0.20278247028256513</v>
      </c>
      <c r="W250" s="77">
        <f t="shared" ca="1" si="229"/>
        <v>0.16488176092571877</v>
      </c>
      <c r="X250" s="45">
        <f t="shared" ca="1" si="244"/>
        <v>0.94857859492325669</v>
      </c>
      <c r="Y250" s="45">
        <f t="shared" ca="1" si="230"/>
        <v>3.5203171158265954E-2</v>
      </c>
      <c r="Z250" s="77">
        <f t="shared" ca="1" si="231"/>
        <v>1.8072932901228373E-2</v>
      </c>
      <c r="AA250" s="45">
        <f t="shared" ca="1" si="245"/>
        <v>39.116121404974635</v>
      </c>
      <c r="AB250" s="45">
        <f t="shared" ca="1" si="232"/>
        <v>0</v>
      </c>
      <c r="AC250" s="45" cm="1">
        <f t="array" aca="1" ref="AC250" ca="1">pHUM*(T250+W250+Z250+AD250)</f>
        <v>4.141549548031289E-2</v>
      </c>
      <c r="AD250" s="77">
        <f t="shared" ca="1" si="233"/>
        <v>2.2795075825784963E-2</v>
      </c>
      <c r="AE250" s="45">
        <f t="shared" ca="1" si="246"/>
        <v>6.3847072090583081</v>
      </c>
      <c r="AF250" s="45">
        <f t="shared" ca="1" si="234"/>
        <v>0</v>
      </c>
      <c r="AG250" s="76">
        <f t="shared" ca="1" si="235"/>
        <v>66.263430859263693</v>
      </c>
      <c r="AH250" s="45">
        <f t="shared" ca="1" si="236"/>
        <v>0.3502548233095838</v>
      </c>
      <c r="AI250" s="77">
        <f t="shared" ca="1" si="237"/>
        <v>2.2039232251861392E-2</v>
      </c>
      <c r="AJ250" s="384">
        <f t="shared" ca="1" si="239"/>
        <v>4.5663036921627098E-2</v>
      </c>
      <c r="AU250" s="1"/>
    </row>
    <row r="251" spans="3:47" x14ac:dyDescent="0.25">
      <c r="C251" s="10">
        <f t="shared" si="264"/>
        <v>13</v>
      </c>
      <c r="D251" s="91">
        <f t="shared" si="247"/>
        <v>5</v>
      </c>
      <c r="E251" s="278"/>
      <c r="F251" s="76">
        <f t="shared" ref="F251:Q251" ca="1" si="288">F179</f>
        <v>14.05</v>
      </c>
      <c r="G251" s="46">
        <f t="shared" ca="1" si="288"/>
        <v>27.012600000000003</v>
      </c>
      <c r="H251" s="46">
        <f t="shared" ca="1" si="223"/>
        <v>28.517550000000004</v>
      </c>
      <c r="I251" s="45">
        <f t="shared" ca="1" si="224"/>
        <v>0.75173784437395219</v>
      </c>
      <c r="J251" s="45">
        <f t="shared" ca="1" si="225"/>
        <v>0.27952512346894071</v>
      </c>
      <c r="K251" s="45">
        <f t="shared" ca="1" si="241"/>
        <v>0.90345467800480783</v>
      </c>
      <c r="L251" s="358">
        <f t="shared" ca="1" si="226"/>
        <v>0.82085140481213359</v>
      </c>
      <c r="M251" s="76">
        <f t="shared" ca="1" si="288"/>
        <v>0.25347808785320641</v>
      </c>
      <c r="N251" s="45">
        <f t="shared" ca="1" si="288"/>
        <v>0.25</v>
      </c>
      <c r="O251" s="45">
        <f t="shared" ca="1" si="288"/>
        <v>0</v>
      </c>
      <c r="P251" s="46" t="str">
        <f t="shared" ca="1" si="288"/>
        <v/>
      </c>
      <c r="Q251" s="243" t="str">
        <f t="shared" ca="1" si="288"/>
        <v/>
      </c>
      <c r="R251" s="45">
        <f t="shared" ca="1" si="242"/>
        <v>0.70416795643209051</v>
      </c>
      <c r="S251" s="45">
        <f t="shared" ca="1" si="266"/>
        <v>5.0695617570641283E-2</v>
      </c>
      <c r="T251" s="77">
        <f t="shared" ca="1" si="227"/>
        <v>0.32779946324687731</v>
      </c>
      <c r="U251" s="45">
        <f t="shared" ca="1" si="243"/>
        <v>18.977328300507462</v>
      </c>
      <c r="V251" s="45">
        <f t="shared" ca="1" si="228"/>
        <v>0.20278247028256513</v>
      </c>
      <c r="W251" s="77">
        <f t="shared" ca="1" si="229"/>
        <v>0.35331895721857809</v>
      </c>
      <c r="X251" s="45">
        <f t="shared" ca="1" si="244"/>
        <v>0.96570883318029432</v>
      </c>
      <c r="Y251" s="45">
        <f t="shared" ca="1" si="230"/>
        <v>6.343669990098616E-2</v>
      </c>
      <c r="Z251" s="77">
        <f t="shared" ca="1" si="231"/>
        <v>3.9113633486281288E-2</v>
      </c>
      <c r="AA251" s="45">
        <f t="shared" ca="1" si="245"/>
        <v>39.134741824629167</v>
      </c>
      <c r="AB251" s="45">
        <f t="shared" ca="1" si="232"/>
        <v>0</v>
      </c>
      <c r="AC251" s="45" cm="1">
        <f t="array" aca="1" ref="AC251" ca="1">pHUM*(T251+W251+Z251+AD251)</f>
        <v>7.4631411648219001E-2</v>
      </c>
      <c r="AD251" s="77">
        <f t="shared" ca="1" si="233"/>
        <v>4.9001074387321222E-2</v>
      </c>
      <c r="AE251" s="45">
        <f t="shared" ca="1" si="246"/>
        <v>6.3847072090583081</v>
      </c>
      <c r="AF251" s="45">
        <f t="shared" ca="1" si="234"/>
        <v>0</v>
      </c>
      <c r="AG251" s="76">
        <f t="shared" ca="1" si="235"/>
        <v>66.166654123807319</v>
      </c>
      <c r="AH251" s="45">
        <f t="shared" ca="1" si="236"/>
        <v>0.63116501678985293</v>
      </c>
      <c r="AI251" s="77">
        <f t="shared" ca="1" si="237"/>
        <v>1.9731347911561167E-2</v>
      </c>
      <c r="AJ251" s="384">
        <f t="shared" ca="1" si="239"/>
        <v>5.1648368584649162E-2</v>
      </c>
      <c r="AU251" s="1"/>
    </row>
    <row r="252" spans="3:47" x14ac:dyDescent="0.25">
      <c r="C252" s="10">
        <f t="shared" si="264"/>
        <v>13</v>
      </c>
      <c r="D252" s="91">
        <f t="shared" si="247"/>
        <v>6</v>
      </c>
      <c r="E252" s="278"/>
      <c r="F252" s="76">
        <f t="shared" ref="F252:Q252" ca="1" si="289">F180</f>
        <v>17.96</v>
      </c>
      <c r="G252" s="46">
        <f t="shared" ca="1" si="289"/>
        <v>27.012600000000003</v>
      </c>
      <c r="H252" s="46">
        <f t="shared" ca="1" si="223"/>
        <v>28.517550000000004</v>
      </c>
      <c r="I252" s="45">
        <f t="shared" ca="1" si="224"/>
        <v>1.0549705763362276</v>
      </c>
      <c r="J252" s="45">
        <f t="shared" ca="1" si="225"/>
        <v>0.27952512346894071</v>
      </c>
      <c r="K252" s="45">
        <f t="shared" ca="1" si="241"/>
        <v>0.90345467800480783</v>
      </c>
      <c r="L252" s="358">
        <f t="shared" ca="1" si="226"/>
        <v>0.89023829243059249</v>
      </c>
      <c r="M252" s="76">
        <f t="shared" ca="1" si="289"/>
        <v>0.25347808785320641</v>
      </c>
      <c r="N252" s="45">
        <f t="shared" ca="1" si="289"/>
        <v>0.25</v>
      </c>
      <c r="O252" s="45">
        <f t="shared" ca="1" si="289"/>
        <v>0</v>
      </c>
      <c r="P252" s="46" t="str">
        <f t="shared" ca="1" si="289"/>
        <v/>
      </c>
      <c r="Q252" s="243" t="str">
        <f t="shared" ca="1" si="289"/>
        <v/>
      </c>
      <c r="R252" s="45">
        <f t="shared" ca="1" si="242"/>
        <v>0.42706411075585454</v>
      </c>
      <c r="S252" s="45">
        <f t="shared" ca="1" si="266"/>
        <v>5.0695617570641283E-2</v>
      </c>
      <c r="T252" s="77">
        <f t="shared" ca="1" si="227"/>
        <v>0.24977319108169391</v>
      </c>
      <c r="U252" s="45">
        <f t="shared" ca="1" si="243"/>
        <v>18.826791813571447</v>
      </c>
      <c r="V252" s="45">
        <f t="shared" ca="1" si="228"/>
        <v>0.20278247028256513</v>
      </c>
      <c r="W252" s="77">
        <f t="shared" ca="1" si="229"/>
        <v>0.49005199833815816</v>
      </c>
      <c r="X252" s="45">
        <f t="shared" ca="1" si="244"/>
        <v>0.99003189959499915</v>
      </c>
      <c r="Y252" s="45">
        <f t="shared" ca="1" si="230"/>
        <v>7.128733988613957E-2</v>
      </c>
      <c r="Z252" s="77">
        <f t="shared" ca="1" si="231"/>
        <v>5.5810193527054179E-2</v>
      </c>
      <c r="AA252" s="45">
        <f t="shared" ca="1" si="245"/>
        <v>39.160372161890066</v>
      </c>
      <c r="AB252" s="45">
        <f t="shared" ca="1" si="232"/>
        <v>0</v>
      </c>
      <c r="AC252" s="45" cm="1">
        <f t="array" aca="1" ref="AC252" ca="1">pHUM*(T252+W252+Z252+AD252)</f>
        <v>8.3867458689575958E-2</v>
      </c>
      <c r="AD252" s="77">
        <f t="shared" ca="1" si="233"/>
        <v>6.8794569386291679E-2</v>
      </c>
      <c r="AE252" s="45">
        <f t="shared" ca="1" si="246"/>
        <v>6.3847072090583081</v>
      </c>
      <c r="AF252" s="45">
        <f t="shared" ca="1" si="234"/>
        <v>0</v>
      </c>
      <c r="AG252" s="76">
        <f t="shared" ca="1" si="235"/>
        <v>65.788967194870679</v>
      </c>
      <c r="AH252" s="45">
        <f t="shared" ca="1" si="236"/>
        <v>0.70927515375748251</v>
      </c>
      <c r="AI252" s="77">
        <f t="shared" ca="1" si="237"/>
        <v>1.5929423175083866E-2</v>
      </c>
      <c r="AJ252" s="384">
        <f t="shared" ca="1" si="239"/>
        <v>4.5221426922631425E-2</v>
      </c>
      <c r="AU252" s="1"/>
    </row>
    <row r="253" spans="3:47" x14ac:dyDescent="0.25">
      <c r="C253" s="10">
        <f t="shared" si="264"/>
        <v>13</v>
      </c>
      <c r="D253" s="91">
        <f t="shared" si="247"/>
        <v>7</v>
      </c>
      <c r="E253" s="278"/>
      <c r="F253" s="76">
        <f t="shared" ref="F253:Q253" ca="1" si="290">F181</f>
        <v>21.89</v>
      </c>
      <c r="G253" s="46">
        <f t="shared" ca="1" si="290"/>
        <v>27.012600000000003</v>
      </c>
      <c r="H253" s="46">
        <f t="shared" ca="1" si="223"/>
        <v>28.517550000000004</v>
      </c>
      <c r="I253" s="45">
        <f t="shared" ca="1" si="224"/>
        <v>1.3816368002949853</v>
      </c>
      <c r="J253" s="45">
        <f t="shared" ca="1" si="225"/>
        <v>0.27952512346894071</v>
      </c>
      <c r="K253" s="45">
        <f t="shared" ca="1" si="241"/>
        <v>0.90345467800480783</v>
      </c>
      <c r="L253" s="358">
        <f t="shared" ca="1" si="226"/>
        <v>0.9336160920992449</v>
      </c>
      <c r="M253" s="76">
        <f t="shared" ca="1" si="290"/>
        <v>0.25347808785320641</v>
      </c>
      <c r="N253" s="45">
        <f t="shared" ca="1" si="290"/>
        <v>0.25</v>
      </c>
      <c r="O253" s="45">
        <f t="shared" ca="1" si="290"/>
        <v>0</v>
      </c>
      <c r="P253" s="46" t="str">
        <f t="shared" ca="1" si="290"/>
        <v/>
      </c>
      <c r="Q253" s="243" t="str">
        <f t="shared" ca="1" si="290"/>
        <v/>
      </c>
      <c r="R253" s="45">
        <f t="shared" ca="1" si="242"/>
        <v>0.22798653724480192</v>
      </c>
      <c r="S253" s="45">
        <f t="shared" ca="1" si="266"/>
        <v>5.0695617570641283E-2</v>
      </c>
      <c r="T253" s="77">
        <f t="shared" ca="1" si="227"/>
        <v>0.15589601521205412</v>
      </c>
      <c r="U253" s="45">
        <f t="shared" ca="1" si="243"/>
        <v>18.539522285515851</v>
      </c>
      <c r="V253" s="45">
        <f t="shared" ca="1" si="228"/>
        <v>0.20278247028256513</v>
      </c>
      <c r="W253" s="77">
        <f t="shared" ca="1" si="229"/>
        <v>0.62943887786120067</v>
      </c>
      <c r="X253" s="45">
        <f t="shared" ca="1" si="244"/>
        <v>1.0055090459540847</v>
      </c>
      <c r="Y253" s="45">
        <f t="shared" ca="1" si="230"/>
        <v>7.826319767168681E-2</v>
      </c>
      <c r="Z253" s="77">
        <f t="shared" ca="1" si="231"/>
        <v>7.3577669435856946E-2</v>
      </c>
      <c r="AA253" s="45">
        <f t="shared" ca="1" si="245"/>
        <v>39.17544505119335</v>
      </c>
      <c r="AB253" s="45">
        <f t="shared" ca="1" si="232"/>
        <v>0</v>
      </c>
      <c r="AC253" s="45" cm="1">
        <f t="array" aca="1" ref="AC253" ca="1">pHUM*(T253+W253+Z253+AD253)</f>
        <v>9.2074350201984484E-2</v>
      </c>
      <c r="AD253" s="77">
        <f t="shared" ca="1" si="233"/>
        <v>9.0106608929121326E-2</v>
      </c>
      <c r="AE253" s="45">
        <f t="shared" ca="1" si="246"/>
        <v>6.3847072090583081</v>
      </c>
      <c r="AF253" s="45">
        <f t="shared" ca="1" si="234"/>
        <v>0</v>
      </c>
      <c r="AG253" s="76">
        <f t="shared" ca="1" si="235"/>
        <v>65.333170128966401</v>
      </c>
      <c r="AH253" s="45">
        <f t="shared" ca="1" si="236"/>
        <v>0.77868162356456194</v>
      </c>
      <c r="AI253" s="77">
        <f t="shared" ca="1" si="237"/>
        <v>1.313133889806551E-2</v>
      </c>
      <c r="AJ253" s="384">
        <f t="shared" ca="1" si="239"/>
        <v>3.9094691491632361E-2</v>
      </c>
      <c r="AU253" s="1"/>
    </row>
    <row r="254" spans="3:47" x14ac:dyDescent="0.25">
      <c r="C254" s="10">
        <f t="shared" si="264"/>
        <v>13</v>
      </c>
      <c r="D254" s="91">
        <f t="shared" si="247"/>
        <v>8</v>
      </c>
      <c r="E254" s="278"/>
      <c r="F254" s="76">
        <f t="shared" ref="F254:Q254" ca="1" si="291">F182</f>
        <v>20.350000000000001</v>
      </c>
      <c r="G254" s="46">
        <f t="shared" ca="1" si="291"/>
        <v>27.012600000000003</v>
      </c>
      <c r="H254" s="46">
        <f t="shared" ca="1" si="223"/>
        <v>28.517550000000004</v>
      </c>
      <c r="I254" s="45">
        <f t="shared" ca="1" si="224"/>
        <v>1.2518642054104028</v>
      </c>
      <c r="J254" s="45">
        <f t="shared" ca="1" si="225"/>
        <v>0.27952512346894071</v>
      </c>
      <c r="K254" s="45">
        <f t="shared" ca="1" si="241"/>
        <v>0.90345467800480783</v>
      </c>
      <c r="L254" s="358">
        <f t="shared" ca="1" si="226"/>
        <v>0.91927514332007565</v>
      </c>
      <c r="M254" s="76">
        <f t="shared" ca="1" si="291"/>
        <v>0.25347808785320641</v>
      </c>
      <c r="N254" s="45">
        <f t="shared" ca="1" si="291"/>
        <v>0.25</v>
      </c>
      <c r="O254" s="45">
        <f t="shared" ca="1" si="291"/>
        <v>0</v>
      </c>
      <c r="P254" s="46" t="str">
        <f t="shared" ca="1" si="291"/>
        <v/>
      </c>
      <c r="Q254" s="243" t="str">
        <f t="shared" ca="1" si="291"/>
        <v/>
      </c>
      <c r="R254" s="45">
        <f t="shared" ca="1" si="242"/>
        <v>0.12278613960338911</v>
      </c>
      <c r="S254" s="45">
        <f t="shared" ca="1" si="266"/>
        <v>5.0695617570641283E-2</v>
      </c>
      <c r="T254" s="77">
        <f t="shared" ca="1" si="227"/>
        <v>7.9526332198068456E-2</v>
      </c>
      <c r="U254" s="45">
        <f t="shared" ca="1" si="243"/>
        <v>18.112865877937214</v>
      </c>
      <c r="V254" s="45">
        <f t="shared" ca="1" si="228"/>
        <v>0.20278247028256513</v>
      </c>
      <c r="W254" s="77">
        <f t="shared" ca="1" si="229"/>
        <v>0.55809245908268634</v>
      </c>
      <c r="X254" s="45">
        <f t="shared" ca="1" si="244"/>
        <v>1.0101945741899145</v>
      </c>
      <c r="Y254" s="45">
        <f t="shared" ca="1" si="230"/>
        <v>6.4859738440764744E-2</v>
      </c>
      <c r="Z254" s="77">
        <f t="shared" ca="1" si="231"/>
        <v>6.7213976156026103E-2</v>
      </c>
      <c r="AA254" s="45">
        <f t="shared" ca="1" si="245"/>
        <v>39.177412792466214</v>
      </c>
      <c r="AB254" s="45">
        <f t="shared" ca="1" si="232"/>
        <v>0</v>
      </c>
      <c r="AC254" s="45" cm="1">
        <f t="array" aca="1" ref="AC254" ca="1">pHUM*(T254+W254+Z254+AD254)</f>
        <v>7.6305574636193821E-2</v>
      </c>
      <c r="AD254" s="77">
        <f t="shared" ca="1" si="233"/>
        <v>8.1656119625689416E-2</v>
      </c>
      <c r="AE254" s="45">
        <f t="shared" ca="1" si="246"/>
        <v>6.3847072090583081</v>
      </c>
      <c r="AF254" s="45">
        <f t="shared" ca="1" si="234"/>
        <v>0</v>
      </c>
      <c r="AG254" s="76">
        <f t="shared" ca="1" si="235"/>
        <v>64.807966593255031</v>
      </c>
      <c r="AH254" s="45">
        <f t="shared" ca="1" si="236"/>
        <v>0.64532357398551188</v>
      </c>
      <c r="AI254" s="77">
        <f t="shared" ca="1" si="237"/>
        <v>1.1570731017824708E-2</v>
      </c>
      <c r="AJ254" s="384">
        <f t="shared" ca="1" si="239"/>
        <v>3.3919456679143423E-2</v>
      </c>
      <c r="AU254" s="1"/>
    </row>
    <row r="255" spans="3:47" x14ac:dyDescent="0.25">
      <c r="C255" s="10">
        <f t="shared" si="264"/>
        <v>13</v>
      </c>
      <c r="D255" s="91">
        <f t="shared" si="247"/>
        <v>9</v>
      </c>
      <c r="E255" s="278"/>
      <c r="F255" s="76">
        <f t="shared" ref="F255:Q255" ca="1" si="292">F183</f>
        <v>17.38</v>
      </c>
      <c r="G255" s="46">
        <f t="shared" ca="1" si="292"/>
        <v>27.012600000000003</v>
      </c>
      <c r="H255" s="46">
        <f t="shared" ca="1" si="223"/>
        <v>28.517550000000004</v>
      </c>
      <c r="I255" s="45">
        <f t="shared" ca="1" si="224"/>
        <v>1.0082864185928893</v>
      </c>
      <c r="J255" s="45">
        <f t="shared" ca="1" si="225"/>
        <v>0.27952512346894071</v>
      </c>
      <c r="K255" s="45">
        <f t="shared" ca="1" si="241"/>
        <v>0.90345467800480783</v>
      </c>
      <c r="L255" s="358">
        <f t="shared" ca="1" si="226"/>
        <v>0.88177917719725518</v>
      </c>
      <c r="M255" s="76">
        <f t="shared" ca="1" si="292"/>
        <v>0.25347808785320641</v>
      </c>
      <c r="N255" s="45">
        <f t="shared" ca="1" si="292"/>
        <v>0.25</v>
      </c>
      <c r="O255" s="45">
        <f t="shared" ca="1" si="292"/>
        <v>0</v>
      </c>
      <c r="P255" s="46" t="str">
        <f t="shared" ca="1" si="292"/>
        <v/>
      </c>
      <c r="Q255" s="243" t="str">
        <f t="shared" ca="1" si="292"/>
        <v/>
      </c>
      <c r="R255" s="45">
        <f t="shared" ca="1" si="242"/>
        <v>9.3955424975961932E-2</v>
      </c>
      <c r="S255" s="45">
        <f t="shared" ca="1" si="266"/>
        <v>5.0695617570641283E-2</v>
      </c>
      <c r="T255" s="77">
        <f t="shared" ca="1" si="227"/>
        <v>5.340355944267039E-2</v>
      </c>
      <c r="U255" s="45">
        <f t="shared" ca="1" si="243"/>
        <v>17.757555889137091</v>
      </c>
      <c r="V255" s="45">
        <f t="shared" ca="1" si="228"/>
        <v>0.20278247028256513</v>
      </c>
      <c r="W255" s="77">
        <f t="shared" ca="1" si="229"/>
        <v>0.44202308246713778</v>
      </c>
      <c r="X255" s="45">
        <f t="shared" ca="1" si="244"/>
        <v>1.0078403364746531</v>
      </c>
      <c r="Y255" s="45">
        <f t="shared" ca="1" si="230"/>
        <v>5.0764343930905391E-2</v>
      </c>
      <c r="Z255" s="77">
        <f t="shared" ca="1" si="231"/>
        <v>5.436907294147101E-2</v>
      </c>
      <c r="AA255" s="45">
        <f t="shared" ca="1" si="245"/>
        <v>39.172062247476717</v>
      </c>
      <c r="AB255" s="45">
        <f t="shared" ca="1" si="232"/>
        <v>0</v>
      </c>
      <c r="AC255" s="45" cm="1">
        <f t="array" aca="1" ref="AC255" ca="1">pHUM*(T255+W255+Z255+AD255)</f>
        <v>5.9722757565771049E-2</v>
      </c>
      <c r="AD255" s="77">
        <f t="shared" ca="1" si="233"/>
        <v>6.5772483857039515E-2</v>
      </c>
      <c r="AE255" s="45">
        <f t="shared" ca="1" si="246"/>
        <v>6.3847072090583081</v>
      </c>
      <c r="AF255" s="45">
        <f t="shared" ca="1" si="234"/>
        <v>0</v>
      </c>
      <c r="AG255" s="76">
        <f t="shared" ca="1" si="235"/>
        <v>64.416121107122734</v>
      </c>
      <c r="AH255" s="45">
        <f t="shared" ca="1" si="236"/>
        <v>0.50508109721164229</v>
      </c>
      <c r="AI255" s="77">
        <f t="shared" ca="1" si="237"/>
        <v>1.1079397009977171E-2</v>
      </c>
      <c r="AJ255" s="384">
        <f t="shared" ca="1" si="239"/>
        <v>3.1154419886166851E-2</v>
      </c>
      <c r="AU255" s="1"/>
    </row>
    <row r="256" spans="3:47" x14ac:dyDescent="0.25">
      <c r="C256" s="10">
        <f t="shared" si="264"/>
        <v>13</v>
      </c>
      <c r="D256" s="91">
        <f t="shared" si="247"/>
        <v>10</v>
      </c>
      <c r="E256" s="278"/>
      <c r="F256" s="76">
        <f t="shared" ref="F256:Q256" ca="1" si="293">F184</f>
        <v>9.61</v>
      </c>
      <c r="G256" s="46">
        <f t="shared" ca="1" si="293"/>
        <v>27.012600000000003</v>
      </c>
      <c r="H256" s="46">
        <f t="shared" ca="1" si="223"/>
        <v>28.517550000000004</v>
      </c>
      <c r="I256" s="45">
        <f t="shared" ca="1" si="224"/>
        <v>0.45243046736638293</v>
      </c>
      <c r="J256" s="45">
        <f t="shared" ca="1" si="225"/>
        <v>0.27952512346894071</v>
      </c>
      <c r="K256" s="45">
        <f t="shared" ca="1" si="241"/>
        <v>0.90345467800480783</v>
      </c>
      <c r="L256" s="358">
        <f t="shared" ca="1" si="226"/>
        <v>0.70354868513849667</v>
      </c>
      <c r="M256" s="76">
        <f t="shared" ca="1" si="293"/>
        <v>0.25347808785320641</v>
      </c>
      <c r="N256" s="45">
        <f t="shared" ca="1" si="293"/>
        <v>0.25</v>
      </c>
      <c r="O256" s="45">
        <f t="shared" ca="1" si="293"/>
        <v>0</v>
      </c>
      <c r="P256" s="46" t="str">
        <f t="shared" ca="1" si="293"/>
        <v/>
      </c>
      <c r="Q256" s="243" t="str">
        <f t="shared" ca="1" si="293"/>
        <v/>
      </c>
      <c r="R256" s="45">
        <f t="shared" ca="1" si="242"/>
        <v>9.1247483103932825E-2</v>
      </c>
      <c r="S256" s="45">
        <f t="shared" ca="1" si="266"/>
        <v>5.0695617570641283E-2</v>
      </c>
      <c r="T256" s="77">
        <f t="shared" ca="1" si="227"/>
        <v>2.8660956799418685E-2</v>
      </c>
      <c r="U256" s="45">
        <f t="shared" ca="1" si="243"/>
        <v>17.518315276952517</v>
      </c>
      <c r="V256" s="45">
        <f t="shared" ca="1" si="228"/>
        <v>0.20278247028256513</v>
      </c>
      <c r="W256" s="77">
        <f t="shared" ca="1" si="229"/>
        <v>0.19702911398428238</v>
      </c>
      <c r="X256" s="45">
        <f t="shared" ca="1" si="244"/>
        <v>1.0042356074640875</v>
      </c>
      <c r="Y256" s="45">
        <f t="shared" ca="1" si="230"/>
        <v>2.3082049677008935E-2</v>
      </c>
      <c r="Z256" s="77">
        <f t="shared" ca="1" si="231"/>
        <v>2.4680726088816156E-2</v>
      </c>
      <c r="AA256" s="45">
        <f t="shared" ca="1" si="245"/>
        <v>39.166012521185451</v>
      </c>
      <c r="AB256" s="45">
        <f t="shared" ca="1" si="232"/>
        <v>0</v>
      </c>
      <c r="AC256" s="45" cm="1">
        <f t="array" aca="1" ref="AC256" ca="1">pHUM*(T256+W256+Z256+AD256)</f>
        <v>2.7155352561186983E-2</v>
      </c>
      <c r="AD256" s="77">
        <f t="shared" ca="1" si="233"/>
        <v>2.9522030295926167E-2</v>
      </c>
      <c r="AE256" s="45">
        <f t="shared" ca="1" si="246"/>
        <v>6.3847072090583081</v>
      </c>
      <c r="AF256" s="45">
        <f t="shared" ca="1" si="234"/>
        <v>0</v>
      </c>
      <c r="AG256" s="76">
        <f t="shared" ca="1" si="235"/>
        <v>64.164518097764301</v>
      </c>
      <c r="AH256" s="45">
        <f t="shared" ca="1" si="236"/>
        <v>0.22965542493024749</v>
      </c>
      <c r="AI256" s="77">
        <f t="shared" ca="1" si="237"/>
        <v>1.0981467183149764E-2</v>
      </c>
      <c r="AJ256" s="384">
        <f t="shared" ca="1" si="239"/>
        <v>2.463774176599709E-2</v>
      </c>
      <c r="AU256" s="1"/>
    </row>
    <row r="257" spans="3:47" x14ac:dyDescent="0.25">
      <c r="C257" s="10">
        <f t="shared" si="264"/>
        <v>13</v>
      </c>
      <c r="D257" s="91">
        <f t="shared" si="247"/>
        <v>11</v>
      </c>
      <c r="E257" s="278"/>
      <c r="F257" s="76">
        <f t="shared" ref="F257:Q257" ca="1" si="294">F185</f>
        <v>5.71</v>
      </c>
      <c r="G257" s="46">
        <f t="shared" ca="1" si="294"/>
        <v>27.012600000000003</v>
      </c>
      <c r="H257" s="46">
        <f t="shared" ca="1" si="223"/>
        <v>28.517550000000004</v>
      </c>
      <c r="I257" s="45">
        <f t="shared" ca="1" si="224"/>
        <v>0.24617612464957264</v>
      </c>
      <c r="J257" s="45">
        <f t="shared" ca="1" si="225"/>
        <v>0.27952512346894071</v>
      </c>
      <c r="K257" s="45">
        <f t="shared" ca="1" si="241"/>
        <v>0.90345467800480783</v>
      </c>
      <c r="L257" s="358">
        <f t="shared" ca="1" si="226"/>
        <v>0.57043958344737544</v>
      </c>
      <c r="M257" s="76">
        <f t="shared" ca="1" si="294"/>
        <v>0.25347808785320641</v>
      </c>
      <c r="N257" s="45">
        <f t="shared" ca="1" si="294"/>
        <v>0.25</v>
      </c>
      <c r="O257" s="45">
        <f t="shared" ca="1" si="294"/>
        <v>0</v>
      </c>
      <c r="P257" s="46" t="str">
        <f t="shared" ca="1" si="294"/>
        <v/>
      </c>
      <c r="Q257" s="243" t="str">
        <f t="shared" ca="1" si="294"/>
        <v/>
      </c>
      <c r="R257" s="45">
        <f t="shared" ca="1" si="242"/>
        <v>0.11328214387515542</v>
      </c>
      <c r="S257" s="45">
        <f t="shared" ca="1" si="266"/>
        <v>5.0695617570641283E-2</v>
      </c>
      <c r="T257" s="77">
        <f t="shared" ca="1" si="227"/>
        <v>2.1010693094592452E-2</v>
      </c>
      <c r="U257" s="45">
        <f t="shared" ca="1" si="243"/>
        <v>17.524068633250799</v>
      </c>
      <c r="V257" s="45">
        <f t="shared" ca="1" si="228"/>
        <v>0.20278247028256513</v>
      </c>
      <c r="W257" s="77">
        <f t="shared" ca="1" si="229"/>
        <v>0.10751898564390289</v>
      </c>
      <c r="X257" s="45">
        <f t="shared" ca="1" si="244"/>
        <v>1.0026369310522802</v>
      </c>
      <c r="Y257" s="45">
        <f t="shared" ca="1" si="230"/>
        <v>1.3036362728783614E-2</v>
      </c>
      <c r="Z257" s="77">
        <f t="shared" ca="1" si="231"/>
        <v>1.3483900191416539E-2</v>
      </c>
      <c r="AA257" s="45">
        <f t="shared" ca="1" si="245"/>
        <v>39.163645843450709</v>
      </c>
      <c r="AB257" s="45">
        <f t="shared" ca="1" si="232"/>
        <v>0</v>
      </c>
      <c r="AC257" s="45" cm="1">
        <f t="array" aca="1" ref="AC257" ca="1">pHUM*(T257+W257+Z257+AD257)</f>
        <v>1.5336897327980723E-2</v>
      </c>
      <c r="AD257" s="77">
        <f t="shared" ca="1" si="233"/>
        <v>1.6065294966064975E-2</v>
      </c>
      <c r="AE257" s="45">
        <f t="shared" ca="1" si="246"/>
        <v>6.3847072090583081</v>
      </c>
      <c r="AF257" s="45">
        <f t="shared" ca="1" si="234"/>
        <v>0</v>
      </c>
      <c r="AG257" s="76">
        <f t="shared" ca="1" si="235"/>
        <v>64.188340760687254</v>
      </c>
      <c r="AH257" s="45">
        <f t="shared" ca="1" si="236"/>
        <v>0.12970561383921253</v>
      </c>
      <c r="AI257" s="77">
        <f t="shared" ca="1" si="237"/>
        <v>1.1295505776311061E-2</v>
      </c>
      <c r="AJ257" s="384">
        <f t="shared" ca="1" si="239"/>
        <v>2.0547708076976701E-2</v>
      </c>
      <c r="AU257" s="1"/>
    </row>
    <row r="258" spans="3:47" x14ac:dyDescent="0.25">
      <c r="C258" s="10">
        <f t="shared" si="264"/>
        <v>13</v>
      </c>
      <c r="D258" s="91">
        <f t="shared" si="247"/>
        <v>12</v>
      </c>
      <c r="E258" s="278"/>
      <c r="F258" s="76">
        <f t="shared" ref="F258:Q258" ca="1" si="295">F186</f>
        <v>-0.46</v>
      </c>
      <c r="G258" s="46">
        <f t="shared" ca="1" si="295"/>
        <v>27.012600000000003</v>
      </c>
      <c r="H258" s="46">
        <f t="shared" ca="1" si="223"/>
        <v>28.517550000000004</v>
      </c>
      <c r="I258" s="45">
        <f t="shared" ca="1" si="224"/>
        <v>5.3686278337302371E-2</v>
      </c>
      <c r="J258" s="45">
        <f t="shared" ca="1" si="225"/>
        <v>0.27952512346894071</v>
      </c>
      <c r="K258" s="45">
        <f t="shared" ca="1" si="241"/>
        <v>0.90345467800480783</v>
      </c>
      <c r="L258" s="358">
        <f t="shared" ca="1" si="226"/>
        <v>0.34604490353891793</v>
      </c>
      <c r="M258" s="76">
        <f t="shared" ca="1" si="295"/>
        <v>0.25347808785320641</v>
      </c>
      <c r="N258" s="45">
        <f t="shared" ca="1" si="295"/>
        <v>0.25</v>
      </c>
      <c r="O258" s="45">
        <f t="shared" ca="1" si="295"/>
        <v>0</v>
      </c>
      <c r="P258" s="46" t="str">
        <f t="shared" ca="1" si="295"/>
        <v/>
      </c>
      <c r="Q258" s="243" t="str">
        <f t="shared" ca="1" si="295"/>
        <v/>
      </c>
      <c r="R258" s="45">
        <f t="shared" ca="1" si="242"/>
        <v>0.14296706835120426</v>
      </c>
      <c r="S258" s="45">
        <f t="shared" ca="1" si="266"/>
        <v>5.0695617570641283E-2</v>
      </c>
      <c r="T258" s="77">
        <f t="shared" ca="1" si="227"/>
        <v>6.255174458432983E-3</v>
      </c>
      <c r="U258" s="45">
        <f t="shared" ca="1" si="243"/>
        <v>17.61933211788946</v>
      </c>
      <c r="V258" s="45">
        <f t="shared" ca="1" si="228"/>
        <v>0.20278247028256513</v>
      </c>
      <c r="W258" s="77">
        <f t="shared" ca="1" si="229"/>
        <v>2.3632046699465267E-2</v>
      </c>
      <c r="X258" s="45">
        <f t="shared" ca="1" si="244"/>
        <v>1.0021893935896475</v>
      </c>
      <c r="Y258" s="45">
        <f t="shared" ca="1" si="230"/>
        <v>2.9973700495475662E-3</v>
      </c>
      <c r="Z258" s="77">
        <f t="shared" ca="1" si="231"/>
        <v>2.9548454303425626E-3</v>
      </c>
      <c r="AA258" s="45">
        <f t="shared" ca="1" si="245"/>
        <v>39.162917445812631</v>
      </c>
      <c r="AB258" s="45">
        <f t="shared" ca="1" si="232"/>
        <v>0</v>
      </c>
      <c r="AC258" s="45" cm="1">
        <f t="array" aca="1" ref="AC258" ca="1">pHUM*(T258+W258+Z258+AD258)</f>
        <v>3.526317705350078E-3</v>
      </c>
      <c r="AD258" s="77">
        <f t="shared" ca="1" si="233"/>
        <v>3.5040287099389169E-3</v>
      </c>
      <c r="AE258" s="45">
        <f t="shared" ca="1" si="246"/>
        <v>6.3847072090583081</v>
      </c>
      <c r="AF258" s="45">
        <f t="shared" ca="1" si="234"/>
        <v>0</v>
      </c>
      <c r="AG258" s="76">
        <f t="shared" ca="1" si="235"/>
        <v>64.312113234701258</v>
      </c>
      <c r="AH258" s="45">
        <f t="shared" ca="1" si="236"/>
        <v>2.9822407543282092E-2</v>
      </c>
      <c r="AI258" s="77">
        <f t="shared" ca="1" si="237"/>
        <v>1.1739080324017971E-2</v>
      </c>
      <c r="AJ258" s="384">
        <f t="shared" ca="1" si="239"/>
        <v>1.2954411661592058E-2</v>
      </c>
      <c r="AU258" s="1"/>
    </row>
    <row r="259" spans="3:47" x14ac:dyDescent="0.25">
      <c r="C259" s="10">
        <f t="shared" si="264"/>
        <v>14</v>
      </c>
      <c r="D259" s="91">
        <f t="shared" si="247"/>
        <v>1</v>
      </c>
      <c r="E259" s="278"/>
      <c r="F259" s="76">
        <f t="shared" ref="F259:Q259" ca="1" si="296">F187</f>
        <v>-3.44</v>
      </c>
      <c r="G259" s="46">
        <f t="shared" ca="1" si="296"/>
        <v>27.012600000000003</v>
      </c>
      <c r="H259" s="46">
        <f t="shared" ca="1" si="223"/>
        <v>28.517550000000004</v>
      </c>
      <c r="I259" s="45">
        <f t="shared" ca="1" si="224"/>
        <v>1.6253779081695344E-2</v>
      </c>
      <c r="J259" s="45">
        <f t="shared" ca="1" si="225"/>
        <v>0.27952512346894071</v>
      </c>
      <c r="K259" s="45">
        <f t="shared" ca="1" si="241"/>
        <v>0.90345467800480783</v>
      </c>
      <c r="L259" s="358">
        <f t="shared" ca="1" si="226"/>
        <v>0.25329647647379749</v>
      </c>
      <c r="M259" s="76">
        <f t="shared" ca="1" si="296"/>
        <v>0.25347808785320641</v>
      </c>
      <c r="N259" s="45">
        <f t="shared" ca="1" si="296"/>
        <v>0.25</v>
      </c>
      <c r="O259" s="45">
        <f t="shared" ca="1" si="296"/>
        <v>0</v>
      </c>
      <c r="P259" s="46" t="str">
        <f t="shared" ca="1" si="296"/>
        <v/>
      </c>
      <c r="Q259" s="243" t="str">
        <f t="shared" ca="1" si="296"/>
        <v/>
      </c>
      <c r="R259" s="45">
        <f t="shared" ca="1" si="242"/>
        <v>0.18740751146341256</v>
      </c>
      <c r="S259" s="45">
        <f t="shared" ca="1" si="266"/>
        <v>5.0695617570641283E-2</v>
      </c>
      <c r="T259" s="77">
        <f t="shared" ca="1" si="227"/>
        <v>2.5212865139021302E-3</v>
      </c>
      <c r="U259" s="45">
        <f t="shared" ca="1" si="243"/>
        <v>17.798482541472559</v>
      </c>
      <c r="V259" s="45">
        <f t="shared" ca="1" si="228"/>
        <v>0.20278247028256513</v>
      </c>
      <c r="W259" s="77">
        <f t="shared" ca="1" si="229"/>
        <v>7.2308458738264787E-3</v>
      </c>
      <c r="X259" s="45">
        <f t="shared" ca="1" si="244"/>
        <v>1.0022319182088526</v>
      </c>
      <c r="Y259" s="45">
        <f t="shared" ca="1" si="230"/>
        <v>9.6557684795277451E-4</v>
      </c>
      <c r="Z259" s="77">
        <f t="shared" ca="1" si="231"/>
        <v>8.9555273745492154E-4</v>
      </c>
      <c r="AA259" s="45">
        <f t="shared" ca="1" si="245"/>
        <v>39.162939734808042</v>
      </c>
      <c r="AB259" s="45">
        <f t="shared" ca="1" si="232"/>
        <v>0</v>
      </c>
      <c r="AC259" s="45" cm="1">
        <f t="array" aca="1" ref="AC259" ca="1">pHUM*(T259+W259+Z259+AD259)</f>
        <v>1.1359727622973818E-3</v>
      </c>
      <c r="AD259" s="77">
        <f t="shared" ca="1" si="233"/>
        <v>1.060895248035619E-3</v>
      </c>
      <c r="AE259" s="45">
        <f t="shared" ca="1" si="246"/>
        <v>6.3847072090583081</v>
      </c>
      <c r="AF259" s="45">
        <f t="shared" ca="1" si="234"/>
        <v>0</v>
      </c>
      <c r="AG259" s="76">
        <f t="shared" ca="1" si="235"/>
        <v>64.535768915011175</v>
      </c>
      <c r="AH259" s="45">
        <f t="shared" ca="1" si="236"/>
        <v>9.6070307629689943E-3</v>
      </c>
      <c r="AI259" s="77">
        <f t="shared" ca="1" si="237"/>
        <v>1.2407844161659206E-2</v>
      </c>
      <c r="AJ259" s="384">
        <f t="shared" ca="1" si="239"/>
        <v>1.0022541013262609E-2</v>
      </c>
      <c r="AU259" s="1"/>
    </row>
    <row r="260" spans="3:47" x14ac:dyDescent="0.25">
      <c r="C260" s="10">
        <f t="shared" si="264"/>
        <v>14</v>
      </c>
      <c r="D260" s="91">
        <f t="shared" si="247"/>
        <v>2</v>
      </c>
      <c r="E260" s="278"/>
      <c r="F260" s="76">
        <f t="shared" ref="F260:Q260" ca="1" si="297">F188</f>
        <v>-1.65</v>
      </c>
      <c r="G260" s="46">
        <f t="shared" ca="1" si="297"/>
        <v>27.012600000000003</v>
      </c>
      <c r="H260" s="46">
        <f t="shared" ca="1" si="223"/>
        <v>28.517550000000004</v>
      </c>
      <c r="I260" s="45">
        <f t="shared" ca="1" si="224"/>
        <v>3.508132091145684E-2</v>
      </c>
      <c r="J260" s="45">
        <f t="shared" ca="1" si="225"/>
        <v>0.27952512346894071</v>
      </c>
      <c r="K260" s="45">
        <f t="shared" ca="1" si="241"/>
        <v>0.90345467800480783</v>
      </c>
      <c r="L260" s="358">
        <f t="shared" ca="1" si="226"/>
        <v>0.30703519550320224</v>
      </c>
      <c r="M260" s="76">
        <f t="shared" ca="1" si="297"/>
        <v>0.25347808785320641</v>
      </c>
      <c r="N260" s="45">
        <f t="shared" ca="1" si="297"/>
        <v>0.25</v>
      </c>
      <c r="O260" s="45">
        <f t="shared" ca="1" si="297"/>
        <v>0</v>
      </c>
      <c r="P260" s="46" t="str">
        <f t="shared" ca="1" si="297"/>
        <v/>
      </c>
      <c r="Q260" s="243" t="str">
        <f t="shared" ca="1" si="297"/>
        <v/>
      </c>
      <c r="R260" s="45">
        <f t="shared" ca="1" si="242"/>
        <v>0.23558184252015171</v>
      </c>
      <c r="S260" s="45">
        <f t="shared" ca="1" si="266"/>
        <v>5.0695617570641283E-2</v>
      </c>
      <c r="T260" s="77">
        <f t="shared" ca="1" si="227"/>
        <v>6.7874054706907241E-3</v>
      </c>
      <c r="U260" s="45">
        <f t="shared" ca="1" si="243"/>
        <v>17.994034165881295</v>
      </c>
      <c r="V260" s="45">
        <f t="shared" ca="1" si="228"/>
        <v>0.20278247028256513</v>
      </c>
      <c r="W260" s="77">
        <f t="shared" ca="1" si="229"/>
        <v>1.5774443811431088E-2</v>
      </c>
      <c r="X260" s="45">
        <f t="shared" ca="1" si="244"/>
        <v>1.0023019423193504</v>
      </c>
      <c r="Y260" s="45">
        <f t="shared" ca="1" si="230"/>
        <v>2.2087794342232395E-3</v>
      </c>
      <c r="Z260" s="77">
        <f t="shared" ca="1" si="231"/>
        <v>1.9320496669853176E-3</v>
      </c>
      <c r="AA260" s="45">
        <f t="shared" ca="1" si="245"/>
        <v>39.163014812322302</v>
      </c>
      <c r="AB260" s="45">
        <f t="shared" ca="1" si="232"/>
        <v>0</v>
      </c>
      <c r="AC260" s="45" cm="1">
        <f t="array" aca="1" ref="AC260" ca="1">pHUM*(T260+W260+Z260+AD260)</f>
        <v>2.5985640402626346E-3</v>
      </c>
      <c r="AD260" s="77">
        <f t="shared" ca="1" si="233"/>
        <v>2.2897502106138026E-3</v>
      </c>
      <c r="AE260" s="45">
        <f t="shared" ca="1" si="246"/>
        <v>6.3847072090583081</v>
      </c>
      <c r="AF260" s="45">
        <f t="shared" ca="1" si="234"/>
        <v>0</v>
      </c>
      <c r="AG260" s="76">
        <f t="shared" ca="1" si="235"/>
        <v>64.779639972101407</v>
      </c>
      <c r="AH260" s="45">
        <f t="shared" ca="1" si="236"/>
        <v>2.1976305685235065E-2</v>
      </c>
      <c r="AI260" s="77">
        <f t="shared" ca="1" si="237"/>
        <v>1.3127292354958195E-2</v>
      </c>
      <c r="AJ260" s="384">
        <f t="shared" ca="1" si="239"/>
        <v>1.2853296399002456E-2</v>
      </c>
      <c r="AU260" s="1"/>
    </row>
    <row r="261" spans="3:47" x14ac:dyDescent="0.25">
      <c r="C261" s="10">
        <f t="shared" si="264"/>
        <v>14</v>
      </c>
      <c r="D261" s="91">
        <f t="shared" si="247"/>
        <v>3</v>
      </c>
      <c r="E261" s="278"/>
      <c r="F261" s="76">
        <f t="shared" ref="F261:Q261" ca="1" si="298">F189</f>
        <v>4.68</v>
      </c>
      <c r="G261" s="46">
        <f t="shared" ca="1" si="298"/>
        <v>27.012600000000003</v>
      </c>
      <c r="H261" s="46">
        <f t="shared" ca="1" si="223"/>
        <v>28.517550000000004</v>
      </c>
      <c r="I261" s="45">
        <f t="shared" ca="1" si="224"/>
        <v>0.20228669449817699</v>
      </c>
      <c r="J261" s="45">
        <f t="shared" ca="1" si="225"/>
        <v>0.27952512346894071</v>
      </c>
      <c r="K261" s="45">
        <f t="shared" ca="1" si="241"/>
        <v>0.90345467800480783</v>
      </c>
      <c r="L261" s="358">
        <f t="shared" ca="1" si="226"/>
        <v>0.53248567772813127</v>
      </c>
      <c r="M261" s="76">
        <f t="shared" ca="1" si="298"/>
        <v>0.25347808785320641</v>
      </c>
      <c r="N261" s="45">
        <f t="shared" ca="1" si="298"/>
        <v>0.25</v>
      </c>
      <c r="O261" s="45">
        <f t="shared" ca="1" si="298"/>
        <v>0</v>
      </c>
      <c r="P261" s="46" t="str">
        <f t="shared" ca="1" si="298"/>
        <v/>
      </c>
      <c r="Q261" s="243" t="str">
        <f t="shared" ca="1" si="298"/>
        <v/>
      </c>
      <c r="R261" s="45">
        <f t="shared" ca="1" si="242"/>
        <v>0.27949005462010229</v>
      </c>
      <c r="S261" s="45">
        <f t="shared" ca="1" si="266"/>
        <v>5.0695617570641283E-2</v>
      </c>
      <c r="T261" s="77">
        <f t="shared" ca="1" si="227"/>
        <v>4.3357229787122406E-2</v>
      </c>
      <c r="U261" s="45">
        <f t="shared" ca="1" si="243"/>
        <v>18.181042192352429</v>
      </c>
      <c r="V261" s="45">
        <f t="shared" ca="1" si="228"/>
        <v>0.20278247028256513</v>
      </c>
      <c r="W261" s="77">
        <f t="shared" ca="1" si="229"/>
        <v>9.1712475061083279E-2</v>
      </c>
      <c r="X261" s="45">
        <f t="shared" ca="1" si="244"/>
        <v>1.0025786720865884</v>
      </c>
      <c r="Y261" s="45">
        <f t="shared" ca="1" si="230"/>
        <v>1.3142328517354161E-2</v>
      </c>
      <c r="Z261" s="77">
        <f t="shared" ca="1" si="231"/>
        <v>1.1092636431652694E-2</v>
      </c>
      <c r="AA261" s="45">
        <f t="shared" ca="1" si="245"/>
        <v>39.16332362615195</v>
      </c>
      <c r="AB261" s="45">
        <f t="shared" ca="1" si="232"/>
        <v>0</v>
      </c>
      <c r="AC261" s="45" cm="1">
        <f t="array" aca="1" ref="AC261" ca="1">pHUM*(T261+W261+Z261+AD261)</f>
        <v>1.5461562961593131E-2</v>
      </c>
      <c r="AD261" s="77">
        <f t="shared" ca="1" si="233"/>
        <v>1.3201473276119147E-2</v>
      </c>
      <c r="AE261" s="45">
        <f t="shared" ca="1" si="246"/>
        <v>6.3847072090583081</v>
      </c>
      <c r="AF261" s="45">
        <f t="shared" ca="1" si="234"/>
        <v>0</v>
      </c>
      <c r="AG261" s="76">
        <f t="shared" ca="1" si="235"/>
        <v>65.011141754269374</v>
      </c>
      <c r="AH261" s="45">
        <f t="shared" ca="1" si="236"/>
        <v>0.13075992307703024</v>
      </c>
      <c r="AI261" s="77">
        <f t="shared" ca="1" si="237"/>
        <v>1.3779594016488497E-2</v>
      </c>
      <c r="AJ261" s="384">
        <f t="shared" ca="1" si="239"/>
        <v>2.3398673433956407E-2</v>
      </c>
      <c r="AU261" s="1"/>
    </row>
    <row r="262" spans="3:47" x14ac:dyDescent="0.25">
      <c r="C262" s="10">
        <f t="shared" si="264"/>
        <v>14</v>
      </c>
      <c r="D262" s="91">
        <f t="shared" si="247"/>
        <v>4</v>
      </c>
      <c r="E262" s="278"/>
      <c r="F262" s="76">
        <f t="shared" ref="F262:Q262" ca="1" si="299">F190</f>
        <v>7.69</v>
      </c>
      <c r="G262" s="46">
        <f t="shared" ca="1" si="299"/>
        <v>27.012600000000003</v>
      </c>
      <c r="H262" s="46">
        <f t="shared" ca="1" si="223"/>
        <v>28.517550000000004</v>
      </c>
      <c r="I262" s="45">
        <f t="shared" ca="1" si="224"/>
        <v>0.3433111911106958</v>
      </c>
      <c r="J262" s="45">
        <f t="shared" ca="1" si="225"/>
        <v>0.27952512346894071</v>
      </c>
      <c r="K262" s="45">
        <f t="shared" ca="1" si="241"/>
        <v>0.90345467800480783</v>
      </c>
      <c r="L262" s="358">
        <f t="shared" ca="1" si="226"/>
        <v>0.64074183470648283</v>
      </c>
      <c r="M262" s="76">
        <f t="shared" ca="1" si="299"/>
        <v>0.25347808785320641</v>
      </c>
      <c r="N262" s="45">
        <f t="shared" ca="1" si="299"/>
        <v>0.25</v>
      </c>
      <c r="O262" s="45">
        <f t="shared" ca="1" si="299"/>
        <v>0</v>
      </c>
      <c r="P262" s="46" t="str">
        <f t="shared" ca="1" si="299"/>
        <v/>
      </c>
      <c r="Q262" s="243" t="str">
        <f t="shared" ca="1" si="299"/>
        <v/>
      </c>
      <c r="R262" s="45">
        <f t="shared" ca="1" si="242"/>
        <v>0.28682844240362115</v>
      </c>
      <c r="S262" s="45">
        <f t="shared" ca="1" si="266"/>
        <v>5.0695617570641283E-2</v>
      </c>
      <c r="T262" s="77">
        <f t="shared" ca="1" si="227"/>
        <v>7.1364922050609986E-2</v>
      </c>
      <c r="U262" s="45">
        <f t="shared" ca="1" si="243"/>
        <v>18.29211218757391</v>
      </c>
      <c r="V262" s="45">
        <f t="shared" ca="1" si="228"/>
        <v>0.20278247028256513</v>
      </c>
      <c r="W262" s="77">
        <f t="shared" ca="1" si="229"/>
        <v>0.15632535788645086</v>
      </c>
      <c r="X262" s="45">
        <f t="shared" ca="1" si="244"/>
        <v>1.00462836417229</v>
      </c>
      <c r="Y262" s="45">
        <f t="shared" ca="1" si="230"/>
        <v>2.2174293528380049E-2</v>
      </c>
      <c r="Z262" s="77">
        <f t="shared" ca="1" si="231"/>
        <v>1.8791538502040659E-2</v>
      </c>
      <c r="AA262" s="45">
        <f t="shared" ca="1" si="245"/>
        <v>39.165583715837421</v>
      </c>
      <c r="AB262" s="45">
        <f t="shared" ca="1" si="232"/>
        <v>0</v>
      </c>
      <c r="AC262" s="45" cm="1">
        <f t="array" aca="1" ref="AC262" ca="1">pHUM*(T262+W262+Z262+AD262)</f>
        <v>2.6087404151035352E-2</v>
      </c>
      <c r="AD262" s="77">
        <f t="shared" ca="1" si="233"/>
        <v>2.2403561887549956E-2</v>
      </c>
      <c r="AE262" s="45">
        <f t="shared" ca="1" si="246"/>
        <v>6.3847072090583081</v>
      </c>
      <c r="AF262" s="45">
        <f t="shared" ca="1" si="234"/>
        <v>0</v>
      </c>
      <c r="AG262" s="76">
        <f t="shared" ca="1" si="235"/>
        <v>65.133859919045548</v>
      </c>
      <c r="AH262" s="45">
        <f t="shared" ca="1" si="236"/>
        <v>0.22062368264723606</v>
      </c>
      <c r="AI262" s="77">
        <f t="shared" ca="1" si="237"/>
        <v>1.3904150134963671E-2</v>
      </c>
      <c r="AJ262" s="384">
        <f t="shared" ca="1" si="239"/>
        <v>2.8410073583975404E-2</v>
      </c>
      <c r="AU262" s="1"/>
    </row>
    <row r="263" spans="3:47" x14ac:dyDescent="0.25">
      <c r="C263" s="10">
        <f t="shared" si="264"/>
        <v>14</v>
      </c>
      <c r="D263" s="91">
        <f t="shared" si="247"/>
        <v>5</v>
      </c>
      <c r="E263" s="278"/>
      <c r="F263" s="76">
        <f t="shared" ref="F263:Q263" ca="1" si="300">F191</f>
        <v>15.52</v>
      </c>
      <c r="G263" s="46">
        <f t="shared" ca="1" si="300"/>
        <v>27.012600000000003</v>
      </c>
      <c r="H263" s="46">
        <f t="shared" ca="1" si="223"/>
        <v>28.517550000000004</v>
      </c>
      <c r="I263" s="45">
        <f t="shared" ca="1" si="224"/>
        <v>0.86230369296737164</v>
      </c>
      <c r="J263" s="45">
        <f t="shared" ca="1" si="225"/>
        <v>0.27952512346894071</v>
      </c>
      <c r="K263" s="45">
        <f t="shared" ca="1" si="241"/>
        <v>0.90345467800480783</v>
      </c>
      <c r="L263" s="358">
        <f t="shared" ca="1" si="226"/>
        <v>0.85046529796407655</v>
      </c>
      <c r="M263" s="76">
        <f t="shared" ca="1" si="300"/>
        <v>0.25347808785320641</v>
      </c>
      <c r="N263" s="45">
        <f t="shared" ca="1" si="300"/>
        <v>0.25</v>
      </c>
      <c r="O263" s="45">
        <f t="shared" ca="1" si="300"/>
        <v>0</v>
      </c>
      <c r="P263" s="46" t="str">
        <f t="shared" ca="1" si="300"/>
        <v/>
      </c>
      <c r="Q263" s="243" t="str">
        <f t="shared" ca="1" si="300"/>
        <v/>
      </c>
      <c r="R263" s="45">
        <f t="shared" ca="1" si="242"/>
        <v>0.26615913792365242</v>
      </c>
      <c r="S263" s="45">
        <f t="shared" ca="1" si="266"/>
        <v>5.0695617570641283E-2</v>
      </c>
      <c r="T263" s="77">
        <f t="shared" ca="1" si="227"/>
        <v>0.13642231208113587</v>
      </c>
      <c r="U263" s="45">
        <f t="shared" ca="1" si="243"/>
        <v>18.338569299970022</v>
      </c>
      <c r="V263" s="45">
        <f t="shared" ca="1" si="228"/>
        <v>0.20278247028256513</v>
      </c>
      <c r="W263" s="77">
        <f t="shared" ca="1" si="229"/>
        <v>0.39110461744821906</v>
      </c>
      <c r="X263" s="45">
        <f t="shared" ca="1" si="244"/>
        <v>1.0080111191986292</v>
      </c>
      <c r="Y263" s="45">
        <f t="shared" ca="1" si="230"/>
        <v>5.1993274408653853E-2</v>
      </c>
      <c r="Z263" s="77">
        <f t="shared" ca="1" si="231"/>
        <v>4.6690699684965802E-2</v>
      </c>
      <c r="AA263" s="45">
        <f t="shared" ca="1" si="245"/>
        <v>39.169267558100906</v>
      </c>
      <c r="AB263" s="45">
        <f t="shared" ca="1" si="232"/>
        <v>0</v>
      </c>
      <c r="AC263" s="45" cm="1">
        <f t="array" aca="1" ref="AC263" ca="1">pHUM*(T263+W263+Z263+AD263)</f>
        <v>6.1168558127828059E-2</v>
      </c>
      <c r="AD263" s="77">
        <f t="shared" ca="1" si="233"/>
        <v>5.6252574758855103E-2</v>
      </c>
      <c r="AE263" s="45">
        <f t="shared" ca="1" si="246"/>
        <v>6.3847072090583081</v>
      </c>
      <c r="AF263" s="45">
        <f t="shared" ca="1" si="234"/>
        <v>0</v>
      </c>
      <c r="AG263" s="76">
        <f t="shared" ca="1" si="235"/>
        <v>65.166714324251515</v>
      </c>
      <c r="AH263" s="45">
        <f t="shared" ca="1" si="236"/>
        <v>0.51730837143669406</v>
      </c>
      <c r="AI263" s="77">
        <f t="shared" ca="1" si="237"/>
        <v>1.3626384629660341E-2</v>
      </c>
      <c r="AJ263" s="384">
        <f t="shared" ca="1" si="239"/>
        <v>3.6955456323288782E-2</v>
      </c>
      <c r="AU263" s="1"/>
    </row>
    <row r="264" spans="3:47" x14ac:dyDescent="0.25">
      <c r="C264" s="10">
        <f t="shared" si="264"/>
        <v>14</v>
      </c>
      <c r="D264" s="91">
        <f t="shared" si="247"/>
        <v>6</v>
      </c>
      <c r="E264" s="278"/>
      <c r="F264" s="76">
        <f t="shared" ref="F264:Q264" ca="1" si="301">F192</f>
        <v>17.8</v>
      </c>
      <c r="G264" s="46">
        <f t="shared" ca="1" si="301"/>
        <v>27.012600000000003</v>
      </c>
      <c r="H264" s="46">
        <f t="shared" ca="1" si="223"/>
        <v>28.517550000000004</v>
      </c>
      <c r="I264" s="45">
        <f t="shared" ca="1" si="224"/>
        <v>1.0420430221807615</v>
      </c>
      <c r="J264" s="45">
        <f t="shared" ca="1" si="225"/>
        <v>0.27952512346894071</v>
      </c>
      <c r="K264" s="45">
        <f t="shared" ca="1" si="241"/>
        <v>0.90345467800480783</v>
      </c>
      <c r="L264" s="358">
        <f t="shared" ca="1" si="226"/>
        <v>0.88796358149435028</v>
      </c>
      <c r="M264" s="76">
        <f t="shared" ca="1" si="301"/>
        <v>0.25347808785320641</v>
      </c>
      <c r="N264" s="45">
        <f t="shared" ca="1" si="301"/>
        <v>0.25</v>
      </c>
      <c r="O264" s="45">
        <f t="shared" ca="1" si="301"/>
        <v>0</v>
      </c>
      <c r="P264" s="46" t="str">
        <f t="shared" ca="1" si="301"/>
        <v/>
      </c>
      <c r="Q264" s="243" t="str">
        <f t="shared" ca="1" si="301"/>
        <v/>
      </c>
      <c r="R264" s="45">
        <f t="shared" ca="1" si="242"/>
        <v>0.18043244341315784</v>
      </c>
      <c r="S264" s="45">
        <f t="shared" ca="1" si="266"/>
        <v>5.0695617570641283E-2</v>
      </c>
      <c r="T264" s="77">
        <f t="shared" ca="1" si="227"/>
        <v>0.10471661384205616</v>
      </c>
      <c r="U264" s="45">
        <f t="shared" ca="1" si="243"/>
        <v>18.150247152804369</v>
      </c>
      <c r="V264" s="45">
        <f t="shared" ca="1" si="228"/>
        <v>0.20278247028256513</v>
      </c>
      <c r="W264" s="77">
        <f t="shared" ca="1" si="229"/>
        <v>0.46672768538442372</v>
      </c>
      <c r="X264" s="45">
        <f t="shared" ca="1" si="244"/>
        <v>1.0133136939223171</v>
      </c>
      <c r="Y264" s="45">
        <f t="shared" ca="1" si="230"/>
        <v>5.7386059462086282E-2</v>
      </c>
      <c r="Z264" s="77">
        <f t="shared" ca="1" si="231"/>
        <v>5.6442529151214026E-2</v>
      </c>
      <c r="AA264" s="45">
        <f t="shared" ca="1" si="245"/>
        <v>39.174183541469873</v>
      </c>
      <c r="AB264" s="45">
        <f t="shared" ca="1" si="232"/>
        <v>0</v>
      </c>
      <c r="AC264" s="45" cm="1">
        <f t="array" aca="1" ref="AC264" ca="1">pHUM*(T264+W264+Z264+AD264)</f>
        <v>6.751301113186621E-2</v>
      </c>
      <c r="AD264" s="77">
        <f t="shared" ca="1" si="233"/>
        <v>6.7976262104186586E-2</v>
      </c>
      <c r="AE264" s="45">
        <f t="shared" ca="1" si="246"/>
        <v>6.3847072090583081</v>
      </c>
      <c r="AF264" s="45">
        <f t="shared" ca="1" si="234"/>
        <v>0</v>
      </c>
      <c r="AG264" s="76">
        <f t="shared" ca="1" si="235"/>
        <v>64.902884040668027</v>
      </c>
      <c r="AH264" s="45">
        <f t="shared" ca="1" si="236"/>
        <v>0.57096401988792811</v>
      </c>
      <c r="AI264" s="77">
        <f t="shared" ca="1" si="237"/>
        <v>1.2391690012590301E-2</v>
      </c>
      <c r="AJ264" s="384">
        <f t="shared" ca="1" si="239"/>
        <v>3.5088741173568971E-2</v>
      </c>
      <c r="AU264" s="1"/>
    </row>
    <row r="265" spans="3:47" x14ac:dyDescent="0.25">
      <c r="C265" s="10">
        <f t="shared" si="264"/>
        <v>14</v>
      </c>
      <c r="D265" s="91">
        <f t="shared" si="247"/>
        <v>7</v>
      </c>
      <c r="E265" s="278"/>
      <c r="F265" s="76">
        <f t="shared" ref="F265:Q265" ca="1" si="302">F193</f>
        <v>22.99</v>
      </c>
      <c r="G265" s="46">
        <f t="shared" ca="1" si="302"/>
        <v>27.012600000000003</v>
      </c>
      <c r="H265" s="46">
        <f t="shared" ca="1" si="223"/>
        <v>28.517550000000004</v>
      </c>
      <c r="I265" s="45">
        <f t="shared" ca="1" si="224"/>
        <v>1.4752596357037575</v>
      </c>
      <c r="J265" s="45">
        <f t="shared" ca="1" si="225"/>
        <v>0.27952512346894071</v>
      </c>
      <c r="K265" s="45">
        <f t="shared" ca="1" si="241"/>
        <v>0.90345467800480783</v>
      </c>
      <c r="L265" s="358">
        <f t="shared" ca="1" si="226"/>
        <v>0.94206720469222516</v>
      </c>
      <c r="M265" s="76">
        <f t="shared" ca="1" si="302"/>
        <v>0.25347808785320641</v>
      </c>
      <c r="N265" s="45">
        <f t="shared" ca="1" si="302"/>
        <v>0.25</v>
      </c>
      <c r="O265" s="45">
        <f t="shared" ca="1" si="302"/>
        <v>0</v>
      </c>
      <c r="P265" s="46" t="str">
        <f t="shared" ca="1" si="302"/>
        <v/>
      </c>
      <c r="Q265" s="243" t="str">
        <f t="shared" ca="1" si="302"/>
        <v/>
      </c>
      <c r="R265" s="45">
        <f t="shared" ca="1" si="242"/>
        <v>0.12641144714174296</v>
      </c>
      <c r="S265" s="45">
        <f t="shared" ca="1" si="266"/>
        <v>5.0695617570641283E-2</v>
      </c>
      <c r="T265" s="77">
        <f t="shared" ca="1" si="227"/>
        <v>8.9439515862024505E-2</v>
      </c>
      <c r="U265" s="45">
        <f t="shared" ca="1" si="243"/>
        <v>17.886301937702509</v>
      </c>
      <c r="V265" s="45">
        <f t="shared" ca="1" si="228"/>
        <v>0.20278247028256513</v>
      </c>
      <c r="W265" s="77">
        <f t="shared" ca="1" si="229"/>
        <v>0.64765679529085707</v>
      </c>
      <c r="X265" s="45">
        <f t="shared" ca="1" si="244"/>
        <v>1.0142572242331893</v>
      </c>
      <c r="Y265" s="45">
        <f t="shared" ca="1" si="230"/>
        <v>7.5238597588142928E-2</v>
      </c>
      <c r="Z265" s="77">
        <f t="shared" ca="1" si="231"/>
        <v>7.9045875817348982E-2</v>
      </c>
      <c r="AA265" s="45">
        <f t="shared" ca="1" si="245"/>
        <v>39.173720290497549</v>
      </c>
      <c r="AB265" s="45">
        <f t="shared" ca="1" si="232"/>
        <v>0</v>
      </c>
      <c r="AC265" s="45" cm="1">
        <f t="array" aca="1" ref="AC265" ca="1">pHUM*(T265+W265+Z265+AD265)</f>
        <v>8.8515997162521093E-2</v>
      </c>
      <c r="AD265" s="77">
        <f t="shared" ca="1" si="233"/>
        <v>9.6200697904065768E-2</v>
      </c>
      <c r="AE265" s="45">
        <f t="shared" ca="1" si="246"/>
        <v>6.3847072090583081</v>
      </c>
      <c r="AF265" s="45">
        <f t="shared" ca="1" si="234"/>
        <v>0</v>
      </c>
      <c r="AG265" s="76">
        <f t="shared" ca="1" si="235"/>
        <v>64.585398108633299</v>
      </c>
      <c r="AH265" s="45">
        <f t="shared" ca="1" si="236"/>
        <v>0.74858829012363226</v>
      </c>
      <c r="AI265" s="77">
        <f t="shared" ca="1" si="237"/>
        <v>1.1573300794199368E-2</v>
      </c>
      <c r="AJ265" s="384">
        <f t="shared" ca="1" si="239"/>
        <v>3.4768131417968196E-2</v>
      </c>
      <c r="AU265" s="1"/>
    </row>
    <row r="266" spans="3:47" x14ac:dyDescent="0.25">
      <c r="C266" s="10">
        <f t="shared" si="264"/>
        <v>14</v>
      </c>
      <c r="D266" s="91">
        <f t="shared" si="247"/>
        <v>8</v>
      </c>
      <c r="E266" s="278"/>
      <c r="F266" s="76">
        <f t="shared" ref="F266:Q266" ca="1" si="303">F194</f>
        <v>21.76</v>
      </c>
      <c r="G266" s="46">
        <f t="shared" ca="1" si="303"/>
        <v>27.012600000000003</v>
      </c>
      <c r="H266" s="46">
        <f t="shared" ca="1" si="223"/>
        <v>28.517550000000004</v>
      </c>
      <c r="I266" s="45">
        <f t="shared" ca="1" si="224"/>
        <v>1.3706166748122235</v>
      </c>
      <c r="J266" s="45">
        <f t="shared" ca="1" si="225"/>
        <v>0.27952512346894071</v>
      </c>
      <c r="K266" s="45">
        <f t="shared" ca="1" si="241"/>
        <v>0.90345467800480783</v>
      </c>
      <c r="L266" s="358">
        <f t="shared" ca="1" si="226"/>
        <v>0.93252308258228611</v>
      </c>
      <c r="M266" s="76">
        <f t="shared" ca="1" si="303"/>
        <v>0.25347808785320641</v>
      </c>
      <c r="N266" s="45">
        <f t="shared" ca="1" si="303"/>
        <v>0.25</v>
      </c>
      <c r="O266" s="45">
        <f t="shared" ca="1" si="303"/>
        <v>0</v>
      </c>
      <c r="P266" s="46" t="str">
        <f t="shared" ca="1" si="303"/>
        <v/>
      </c>
      <c r="Q266" s="243" t="str">
        <f t="shared" ca="1" si="303"/>
        <v/>
      </c>
      <c r="R266" s="45">
        <f t="shared" ca="1" si="242"/>
        <v>8.7667548850359739E-2</v>
      </c>
      <c r="S266" s="45">
        <f t="shared" ca="1" si="266"/>
        <v>5.0695617570641283E-2</v>
      </c>
      <c r="T266" s="77">
        <f t="shared" ca="1" si="227"/>
        <v>5.9690870583984493E-2</v>
      </c>
      <c r="U266" s="45">
        <f t="shared" ca="1" si="243"/>
        <v>17.441427612694216</v>
      </c>
      <c r="V266" s="45">
        <f t="shared" ca="1" si="228"/>
        <v>0.20278247028256513</v>
      </c>
      <c r="W266" s="77">
        <f t="shared" ca="1" si="229"/>
        <v>0.58751458861233952</v>
      </c>
      <c r="X266" s="45">
        <f t="shared" ca="1" si="244"/>
        <v>1.0104499460039833</v>
      </c>
      <c r="Y266" s="45">
        <f t="shared" ca="1" si="230"/>
        <v>6.6794033155585117E-2</v>
      </c>
      <c r="Z266" s="77">
        <f t="shared" ca="1" si="231"/>
        <v>7.337141988965902E-2</v>
      </c>
      <c r="AA266" s="45">
        <f t="shared" ca="1" si="245"/>
        <v>39.166035589756007</v>
      </c>
      <c r="AB266" s="45">
        <f t="shared" ca="1" si="232"/>
        <v>0</v>
      </c>
      <c r="AC266" s="45" cm="1">
        <f t="array" aca="1" ref="AC266" ca="1">pHUM*(T266+W266+Z266+AD266)</f>
        <v>7.8581215477158975E-2</v>
      </c>
      <c r="AD266" s="77">
        <f t="shared" ca="1" si="233"/>
        <v>8.9367256703696912E-2</v>
      </c>
      <c r="AE266" s="45">
        <f t="shared" ca="1" si="246"/>
        <v>6.3847072090583081</v>
      </c>
      <c r="AF266" s="45">
        <f t="shared" ca="1" si="234"/>
        <v>0</v>
      </c>
      <c r="AG266" s="76">
        <f t="shared" ca="1" si="235"/>
        <v>64.090287906362875</v>
      </c>
      <c r="AH266" s="45">
        <f t="shared" ca="1" si="236"/>
        <v>0.66456888715693596</v>
      </c>
      <c r="AI266" s="77">
        <f t="shared" ca="1" si="237"/>
        <v>1.0916508358931723E-2</v>
      </c>
      <c r="AJ266" s="384">
        <f t="shared" ca="1" si="239"/>
        <v>3.2462840001872273E-2</v>
      </c>
      <c r="AU266" s="1"/>
    </row>
    <row r="267" spans="3:47" x14ac:dyDescent="0.25">
      <c r="C267" s="10">
        <f t="shared" si="264"/>
        <v>14</v>
      </c>
      <c r="D267" s="91">
        <f t="shared" si="247"/>
        <v>9</v>
      </c>
      <c r="E267" s="278"/>
      <c r="F267" s="76">
        <f t="shared" ref="F267:Q267" ca="1" si="304">F195</f>
        <v>16.16</v>
      </c>
      <c r="G267" s="46">
        <f t="shared" ca="1" si="304"/>
        <v>27.012600000000003</v>
      </c>
      <c r="H267" s="46">
        <f t="shared" ca="1" si="223"/>
        <v>28.517550000000004</v>
      </c>
      <c r="I267" s="45">
        <f t="shared" ca="1" si="224"/>
        <v>0.91183635166446475</v>
      </c>
      <c r="J267" s="45">
        <f t="shared" ca="1" si="225"/>
        <v>0.27952512346894071</v>
      </c>
      <c r="K267" s="45">
        <f t="shared" ca="1" si="241"/>
        <v>0.90345467800480783</v>
      </c>
      <c r="L267" s="358">
        <f t="shared" ca="1" si="226"/>
        <v>0.86198800670670384</v>
      </c>
      <c r="M267" s="76">
        <f t="shared" ca="1" si="304"/>
        <v>0.25347808785320641</v>
      </c>
      <c r="N267" s="45">
        <f t="shared" ca="1" si="304"/>
        <v>0.25</v>
      </c>
      <c r="O267" s="45">
        <f t="shared" ca="1" si="304"/>
        <v>0</v>
      </c>
      <c r="P267" s="46" t="str">
        <f t="shared" ca="1" si="304"/>
        <v/>
      </c>
      <c r="Q267" s="243" t="str">
        <f t="shared" ca="1" si="304"/>
        <v/>
      </c>
      <c r="R267" s="45">
        <f t="shared" ca="1" si="242"/>
        <v>7.8672295837016529E-2</v>
      </c>
      <c r="S267" s="45">
        <f t="shared" ca="1" si="266"/>
        <v>5.0695617570641283E-2</v>
      </c>
      <c r="T267" s="77">
        <f t="shared" ca="1" si="227"/>
        <v>4.1874886484751211E-2</v>
      </c>
      <c r="U267" s="45">
        <f t="shared" ca="1" si="243"/>
        <v>17.05669549436444</v>
      </c>
      <c r="V267" s="45">
        <f t="shared" ca="1" si="228"/>
        <v>0.20278247028256513</v>
      </c>
      <c r="W267" s="77">
        <f t="shared" ca="1" si="229"/>
        <v>0.38442457386191475</v>
      </c>
      <c r="X267" s="45">
        <f t="shared" ca="1" si="244"/>
        <v>1.0038725592699094</v>
      </c>
      <c r="Y267" s="45">
        <f t="shared" ca="1" si="230"/>
        <v>4.4108807096418783E-2</v>
      </c>
      <c r="Z267" s="77">
        <f t="shared" ca="1" si="231"/>
        <v>4.9103622809564436E-2</v>
      </c>
      <c r="AA267" s="45">
        <f t="shared" ca="1" si="245"/>
        <v>39.155249548529468</v>
      </c>
      <c r="AB267" s="45">
        <f t="shared" ca="1" si="232"/>
        <v>0</v>
      </c>
      <c r="AC267" s="45" cm="1">
        <f t="array" aca="1" ref="AC267" ca="1">pHUM*(T267+W267+Z267+AD267)</f>
        <v>5.1892714231080918E-2</v>
      </c>
      <c r="AD267" s="77">
        <f t="shared" ca="1" si="233"/>
        <v>5.9460106811739549E-2</v>
      </c>
      <c r="AE267" s="45">
        <f t="shared" ca="1" si="246"/>
        <v>6.3847072090583081</v>
      </c>
      <c r="AF267" s="45">
        <f t="shared" ca="1" si="234"/>
        <v>0</v>
      </c>
      <c r="AG267" s="76">
        <f t="shared" ca="1" si="235"/>
        <v>63.679197107059139</v>
      </c>
      <c r="AH267" s="45">
        <f t="shared" ca="1" si="236"/>
        <v>0.43886166864047033</v>
      </c>
      <c r="AI267" s="77">
        <f t="shared" ca="1" si="237"/>
        <v>1.0689498675835532E-2</v>
      </c>
      <c r="AJ267" s="384">
        <f t="shared" ca="1" si="239"/>
        <v>2.9383463906750285E-2</v>
      </c>
      <c r="AU267" s="1"/>
    </row>
    <row r="268" spans="3:47" x14ac:dyDescent="0.25">
      <c r="C268" s="10">
        <f t="shared" si="264"/>
        <v>14</v>
      </c>
      <c r="D268" s="91">
        <f t="shared" si="247"/>
        <v>10</v>
      </c>
      <c r="E268" s="278"/>
      <c r="F268" s="76">
        <f t="shared" ref="F268:Q268" ca="1" si="305">F196</f>
        <v>11.21</v>
      </c>
      <c r="G268" s="46">
        <f t="shared" ca="1" si="305"/>
        <v>27.012600000000003</v>
      </c>
      <c r="H268" s="46">
        <f t="shared" ca="1" si="223"/>
        <v>28.517550000000004</v>
      </c>
      <c r="I268" s="45">
        <f t="shared" ca="1" si="224"/>
        <v>0.55341948356365211</v>
      </c>
      <c r="J268" s="45">
        <f t="shared" ca="1" si="225"/>
        <v>0.27952512346894071</v>
      </c>
      <c r="K268" s="45">
        <f t="shared" ca="1" si="241"/>
        <v>0.90345467800480783</v>
      </c>
      <c r="L268" s="358">
        <f t="shared" ca="1" si="226"/>
        <v>0.75061725573145499</v>
      </c>
      <c r="M268" s="76">
        <f t="shared" ca="1" si="305"/>
        <v>0.25347808785320641</v>
      </c>
      <c r="N268" s="45">
        <f t="shared" ca="1" si="305"/>
        <v>0.25</v>
      </c>
      <c r="O268" s="45">
        <f t="shared" ca="1" si="305"/>
        <v>0</v>
      </c>
      <c r="P268" s="46" t="str">
        <f t="shared" ca="1" si="305"/>
        <v/>
      </c>
      <c r="Q268" s="243" t="str">
        <f t="shared" ca="1" si="305"/>
        <v/>
      </c>
      <c r="R268" s="45">
        <f t="shared" ca="1" si="242"/>
        <v>8.7493026922906586E-2</v>
      </c>
      <c r="S268" s="45">
        <f t="shared" ca="1" si="266"/>
        <v>5.0695617570641283E-2</v>
      </c>
      <c r="T268" s="77">
        <f t="shared" ca="1" si="227"/>
        <v>3.2325406484756646E-2</v>
      </c>
      <c r="U268" s="45">
        <f t="shared" ca="1" si="243"/>
        <v>16.875053390785091</v>
      </c>
      <c r="V268" s="45">
        <f t="shared" ca="1" si="228"/>
        <v>0.20278247028256513</v>
      </c>
      <c r="W268" s="77">
        <f t="shared" ca="1" si="229"/>
        <v>0.23186688897641552</v>
      </c>
      <c r="X268" s="45">
        <f t="shared" ca="1" si="244"/>
        <v>0.99887774355676373</v>
      </c>
      <c r="Y268" s="45">
        <f t="shared" ca="1" si="230"/>
        <v>2.7233227045247031E-2</v>
      </c>
      <c r="Z268" s="77">
        <f t="shared" ca="1" si="231"/>
        <v>2.99458532865268E-2</v>
      </c>
      <c r="AA268" s="45">
        <f t="shared" ca="1" si="245"/>
        <v>39.147682155948807</v>
      </c>
      <c r="AB268" s="45">
        <f t="shared" ca="1" si="232"/>
        <v>0</v>
      </c>
      <c r="AC268" s="45" cm="1">
        <f t="array" aca="1" ref="AC268" ca="1">pHUM*(T268+W268+Z268+AD268)</f>
        <v>3.2039090641467094E-2</v>
      </c>
      <c r="AD268" s="77">
        <f t="shared" ca="1" si="233"/>
        <v>3.6091835905988141E-2</v>
      </c>
      <c r="AE268" s="45">
        <f t="shared" ca="1" si="246"/>
        <v>6.3847072090583081</v>
      </c>
      <c r="AF268" s="45">
        <f t="shared" ca="1" si="234"/>
        <v>0</v>
      </c>
      <c r="AG268" s="76">
        <f t="shared" ca="1" si="235"/>
        <v>63.493813526271879</v>
      </c>
      <c r="AH268" s="45">
        <f t="shared" ca="1" si="236"/>
        <v>0.27095766696697304</v>
      </c>
      <c r="AI268" s="77">
        <f t="shared" ca="1" si="237"/>
        <v>1.0768363278967253E-2</v>
      </c>
      <c r="AJ268" s="384">
        <f t="shared" ca="1" si="239"/>
        <v>2.5775918582058299E-2</v>
      </c>
      <c r="AU268" s="1"/>
    </row>
    <row r="269" spans="3:47" x14ac:dyDescent="0.25">
      <c r="C269" s="10">
        <f t="shared" si="264"/>
        <v>14</v>
      </c>
      <c r="D269" s="91">
        <f t="shared" si="247"/>
        <v>11</v>
      </c>
      <c r="E269" s="278"/>
      <c r="F269" s="76">
        <f t="shared" ref="F269:Q269" ca="1" si="306">F197</f>
        <v>1.8</v>
      </c>
      <c r="G269" s="46">
        <f t="shared" ca="1" si="306"/>
        <v>27.012600000000003</v>
      </c>
      <c r="H269" s="46">
        <f t="shared" ca="1" si="223"/>
        <v>28.517550000000004</v>
      </c>
      <c r="I269" s="45">
        <f t="shared" ca="1" si="224"/>
        <v>0.10471759589279002</v>
      </c>
      <c r="J269" s="45">
        <f t="shared" ca="1" si="225"/>
        <v>0.27952512346894071</v>
      </c>
      <c r="K269" s="45">
        <f t="shared" ca="1" si="241"/>
        <v>0.90345467800480783</v>
      </c>
      <c r="L269" s="358">
        <f t="shared" ca="1" si="226"/>
        <v>0.42572038710161686</v>
      </c>
      <c r="M269" s="76">
        <f t="shared" ca="1" si="306"/>
        <v>0.25347808785320641</v>
      </c>
      <c r="N269" s="45">
        <f t="shared" ca="1" si="306"/>
        <v>0.25</v>
      </c>
      <c r="O269" s="45">
        <f t="shared" ca="1" si="306"/>
        <v>0</v>
      </c>
      <c r="P269" s="46" t="str">
        <f t="shared" ca="1" si="306"/>
        <v/>
      </c>
      <c r="Q269" s="243" t="str">
        <f t="shared" ca="1" si="306"/>
        <v/>
      </c>
      <c r="R269" s="45">
        <f t="shared" ca="1" si="242"/>
        <v>0.10586323800879122</v>
      </c>
      <c r="S269" s="45">
        <f t="shared" ca="1" si="266"/>
        <v>5.0695617570641283E-2</v>
      </c>
      <c r="T269" s="77">
        <f t="shared" ca="1" si="227"/>
        <v>8.8465126159825002E-3</v>
      </c>
      <c r="U269" s="45">
        <f t="shared" ca="1" si="243"/>
        <v>16.845968972091239</v>
      </c>
      <c r="V269" s="45">
        <f t="shared" ca="1" si="228"/>
        <v>0.20278247028256513</v>
      </c>
      <c r="W269" s="77">
        <f t="shared" ca="1" si="229"/>
        <v>4.4044056779247436E-2</v>
      </c>
      <c r="X269" s="45">
        <f t="shared" ca="1" si="244"/>
        <v>0.99616511731548407</v>
      </c>
      <c r="Y269" s="45">
        <f t="shared" ca="1" si="230"/>
        <v>5.3968827348795777E-3</v>
      </c>
      <c r="Z269" s="77">
        <f t="shared" ca="1" si="231"/>
        <v>5.7208904346295201E-3</v>
      </c>
      <c r="AA269" s="45">
        <f t="shared" ca="1" si="245"/>
        <v>39.143629410684291</v>
      </c>
      <c r="AB269" s="45">
        <f t="shared" ca="1" si="232"/>
        <v>0</v>
      </c>
      <c r="AC269" s="45" cm="1">
        <f t="array" aca="1" ref="AC269" ca="1">pHUM*(T269+W269+Z269+AD269)</f>
        <v>6.3492738057406798E-3</v>
      </c>
      <c r="AD269" s="77">
        <f t="shared" ca="1" si="233"/>
        <v>6.8311151450397628E-3</v>
      </c>
      <c r="AE269" s="45">
        <f t="shared" ca="1" si="246"/>
        <v>6.3847072090583081</v>
      </c>
      <c r="AF269" s="45">
        <f t="shared" ca="1" si="234"/>
        <v>0</v>
      </c>
      <c r="AG269" s="76">
        <f t="shared" ca="1" si="235"/>
        <v>63.476333947158111</v>
      </c>
      <c r="AH269" s="45">
        <f t="shared" ca="1" si="236"/>
        <v>5.369641843427897E-2</v>
      </c>
      <c r="AI269" s="77">
        <f t="shared" ca="1" si="237"/>
        <v>1.1024332096900544E-2</v>
      </c>
      <c r="AJ269" s="384">
        <f t="shared" ca="1" si="239"/>
        <v>1.49667351483318E-2</v>
      </c>
      <c r="AU269" s="1"/>
    </row>
    <row r="270" spans="3:47" x14ac:dyDescent="0.25">
      <c r="C270" s="10">
        <f t="shared" si="264"/>
        <v>14</v>
      </c>
      <c r="D270" s="91">
        <f t="shared" si="247"/>
        <v>12</v>
      </c>
      <c r="E270" s="278"/>
      <c r="F270" s="76">
        <f t="shared" ref="F270:Q270" ca="1" si="307">F198</f>
        <v>-0.63</v>
      </c>
      <c r="G270" s="46">
        <f t="shared" ca="1" si="307"/>
        <v>27.012600000000003</v>
      </c>
      <c r="H270" s="46">
        <f t="shared" ca="1" si="223"/>
        <v>28.517550000000004</v>
      </c>
      <c r="I270" s="45">
        <f t="shared" ca="1" si="224"/>
        <v>5.069926650983797E-2</v>
      </c>
      <c r="J270" s="45">
        <f t="shared" ca="1" si="225"/>
        <v>0.27952512346894071</v>
      </c>
      <c r="K270" s="45">
        <f t="shared" ca="1" si="241"/>
        <v>0.90345467800480783</v>
      </c>
      <c r="L270" s="358">
        <f t="shared" ca="1" si="226"/>
        <v>0.3403279781726225</v>
      </c>
      <c r="M270" s="76">
        <f t="shared" ca="1" si="307"/>
        <v>0.25347808785320641</v>
      </c>
      <c r="N270" s="45">
        <f t="shared" ca="1" si="307"/>
        <v>0.25</v>
      </c>
      <c r="O270" s="45">
        <f t="shared" ca="1" si="307"/>
        <v>0</v>
      </c>
      <c r="P270" s="46" t="str">
        <f t="shared" ca="1" si="307"/>
        <v/>
      </c>
      <c r="Q270" s="243" t="str">
        <f t="shared" ca="1" si="307"/>
        <v/>
      </c>
      <c r="R270" s="45">
        <f t="shared" ca="1" si="242"/>
        <v>0.14771234296345001</v>
      </c>
      <c r="S270" s="45">
        <f t="shared" ca="1" si="266"/>
        <v>5.0695617570641283E-2</v>
      </c>
      <c r="T270" s="77">
        <f t="shared" ca="1" si="227"/>
        <v>6.1107593251454049E-3</v>
      </c>
      <c r="U270" s="45">
        <f t="shared" ca="1" si="243"/>
        <v>17.004707385594557</v>
      </c>
      <c r="V270" s="45">
        <f t="shared" ca="1" si="228"/>
        <v>0.20278247028256513</v>
      </c>
      <c r="W270" s="77">
        <f t="shared" ca="1" si="229"/>
        <v>2.1539501446429982E-2</v>
      </c>
      <c r="X270" s="45">
        <f t="shared" ca="1" si="244"/>
        <v>0.99584110961573402</v>
      </c>
      <c r="Y270" s="45">
        <f t="shared" ca="1" si="230"/>
        <v>2.7816820751544189E-3</v>
      </c>
      <c r="Z270" s="77">
        <f t="shared" ca="1" si="231"/>
        <v>2.7729947711701165E-3</v>
      </c>
      <c r="AA270" s="45">
        <f t="shared" ca="1" si="245"/>
        <v>39.14314756934499</v>
      </c>
      <c r="AB270" s="45">
        <f t="shared" ca="1" si="232"/>
        <v>0</v>
      </c>
      <c r="AC270" s="45" cm="1">
        <f t="array" aca="1" ref="AC270" ca="1">pHUM*(T270+W270+Z270+AD270)</f>
        <v>3.2725671472404929E-3</v>
      </c>
      <c r="AD270" s="77">
        <f t="shared" ca="1" si="233"/>
        <v>3.3074083798027838E-3</v>
      </c>
      <c r="AE270" s="45">
        <f t="shared" ca="1" si="246"/>
        <v>6.3847072090583081</v>
      </c>
      <c r="AF270" s="45">
        <f t="shared" ca="1" si="234"/>
        <v>0</v>
      </c>
      <c r="AG270" s="76">
        <f t="shared" ca="1" si="235"/>
        <v>63.676115616577036</v>
      </c>
      <c r="AH270" s="45">
        <f t="shared" ca="1" si="236"/>
        <v>2.767641470015338E-2</v>
      </c>
      <c r="AI270" s="77">
        <f t="shared" ca="1" si="237"/>
        <v>1.1663548910057589E-2</v>
      </c>
      <c r="AJ270" s="384">
        <f t="shared" ca="1" si="239"/>
        <v>1.265842439191367E-2</v>
      </c>
      <c r="AU270" s="1"/>
    </row>
    <row r="271" spans="3:47" x14ac:dyDescent="0.25">
      <c r="C271" s="10">
        <f t="shared" si="264"/>
        <v>15</v>
      </c>
      <c r="D271" s="91">
        <f t="shared" si="247"/>
        <v>1</v>
      </c>
      <c r="E271" s="278"/>
      <c r="F271" s="76">
        <f t="shared" ref="F271:Q271" ca="1" si="308">F199</f>
        <v>-5.04</v>
      </c>
      <c r="G271" s="46">
        <f t="shared" ca="1" si="308"/>
        <v>27.012600000000003</v>
      </c>
      <c r="H271" s="46">
        <f t="shared" ca="1" si="223"/>
        <v>28.517550000000004</v>
      </c>
      <c r="I271" s="45">
        <f t="shared" ca="1" si="224"/>
        <v>6.847402527399577E-3</v>
      </c>
      <c r="J271" s="45">
        <f t="shared" ca="1" si="225"/>
        <v>0.27952512346894071</v>
      </c>
      <c r="K271" s="45">
        <f t="shared" ca="1" si="241"/>
        <v>0.90345467800480783</v>
      </c>
      <c r="L271" s="358">
        <f t="shared" ca="1" si="226"/>
        <v>0.21084054547214914</v>
      </c>
      <c r="M271" s="76">
        <f t="shared" ca="1" si="308"/>
        <v>0.25347808785320641</v>
      </c>
      <c r="N271" s="45">
        <f t="shared" ca="1" si="308"/>
        <v>0.25</v>
      </c>
      <c r="O271" s="45">
        <f t="shared" ca="1" si="308"/>
        <v>0</v>
      </c>
      <c r="P271" s="46" t="str">
        <f t="shared" ca="1" si="308"/>
        <v/>
      </c>
      <c r="Q271" s="243" t="str">
        <f t="shared" ca="1" si="308"/>
        <v/>
      </c>
      <c r="R271" s="45">
        <f t="shared" ca="1" si="242"/>
        <v>0.19229720120894589</v>
      </c>
      <c r="S271" s="45">
        <f t="shared" ca="1" si="266"/>
        <v>5.0695617570641283E-2</v>
      </c>
      <c r="T271" s="77">
        <f t="shared" ca="1" si="227"/>
        <v>1.0941555975497383E-3</v>
      </c>
      <c r="U271" s="45">
        <f t="shared" ca="1" si="243"/>
        <v>17.185950354430691</v>
      </c>
      <c r="V271" s="45">
        <f t="shared" ca="1" si="228"/>
        <v>0.20278247028256513</v>
      </c>
      <c r="W271" s="77">
        <f t="shared" ca="1" si="229"/>
        <v>2.941726200340786E-3</v>
      </c>
      <c r="X271" s="45">
        <f t="shared" ca="1" si="244"/>
        <v>0.99584979691971831</v>
      </c>
      <c r="Y271" s="45">
        <f t="shared" ca="1" si="230"/>
        <v>4.0059121344648071E-4</v>
      </c>
      <c r="Z271" s="77">
        <f t="shared" ca="1" si="231"/>
        <v>3.7497352961251196E-4</v>
      </c>
      <c r="AA271" s="45">
        <f t="shared" ca="1" si="245"/>
        <v>39.143112728112428</v>
      </c>
      <c r="AB271" s="45">
        <f t="shared" ca="1" si="232"/>
        <v>0</v>
      </c>
      <c r="AC271" s="45" cm="1">
        <f t="array" aca="1" ref="AC271" ca="1">pHUM*(T271+W271+Z271+AD271)</f>
        <v>4.7128378052527139E-4</v>
      </c>
      <c r="AD271" s="77">
        <f t="shared" ca="1" si="233"/>
        <v>4.4671186602282591E-4</v>
      </c>
      <c r="AE271" s="45">
        <f t="shared" ca="1" si="246"/>
        <v>6.3847072090583081</v>
      </c>
      <c r="AF271" s="45">
        <f t="shared" ca="1" si="234"/>
        <v>0</v>
      </c>
      <c r="AG271" s="76">
        <f t="shared" ca="1" si="235"/>
        <v>63.901917289730086</v>
      </c>
      <c r="AH271" s="45">
        <f t="shared" ca="1" si="236"/>
        <v>3.9856921995541101E-3</v>
      </c>
      <c r="AI271" s="77">
        <f t="shared" ca="1" si="237"/>
        <v>1.234250906091067E-2</v>
      </c>
      <c r="AJ271" s="384">
        <f t="shared" ca="1" si="239"/>
        <v>8.2987112826771181E-3</v>
      </c>
      <c r="AU271" s="1"/>
    </row>
    <row r="272" spans="3:47" x14ac:dyDescent="0.25">
      <c r="C272" s="10">
        <f t="shared" si="264"/>
        <v>15</v>
      </c>
      <c r="D272" s="91">
        <f t="shared" si="247"/>
        <v>2</v>
      </c>
      <c r="E272" s="278"/>
      <c r="F272" s="76">
        <f t="shared" ref="F272:Q272" ca="1" si="309">F200</f>
        <v>-4.4400000000000004</v>
      </c>
      <c r="G272" s="46">
        <f t="shared" ca="1" si="309"/>
        <v>27.012600000000003</v>
      </c>
      <c r="H272" s="46">
        <f t="shared" ca="1" si="223"/>
        <v>28.517550000000004</v>
      </c>
      <c r="I272" s="45">
        <f t="shared" ca="1" si="224"/>
        <v>9.6941753008840392E-3</v>
      </c>
      <c r="J272" s="45">
        <f t="shared" ca="1" si="225"/>
        <v>0.27952512346894071</v>
      </c>
      <c r="K272" s="45">
        <f t="shared" ca="1" si="241"/>
        <v>0.90345467800480783</v>
      </c>
      <c r="L272" s="358">
        <f t="shared" ca="1" si="226"/>
        <v>0.22612365929309886</v>
      </c>
      <c r="M272" s="76">
        <f t="shared" ca="1" si="309"/>
        <v>0.25347808785320641</v>
      </c>
      <c r="N272" s="45">
        <f t="shared" ca="1" si="309"/>
        <v>0.25</v>
      </c>
      <c r="O272" s="45">
        <f t="shared" ca="1" si="309"/>
        <v>0</v>
      </c>
      <c r="P272" s="46" t="str">
        <f t="shared" ca="1" si="309"/>
        <v/>
      </c>
      <c r="Q272" s="243" t="str">
        <f t="shared" ca="1" si="309"/>
        <v/>
      </c>
      <c r="R272" s="45">
        <f t="shared" ca="1" si="242"/>
        <v>0.24189866318203743</v>
      </c>
      <c r="S272" s="45">
        <f t="shared" ca="1" si="266"/>
        <v>5.0695617570641283E-2</v>
      </c>
      <c r="T272" s="77">
        <f t="shared" ca="1" si="227"/>
        <v>1.9463012095627269E-3</v>
      </c>
      <c r="U272" s="45">
        <f t="shared" ca="1" si="243"/>
        <v>17.385791098512914</v>
      </c>
      <c r="V272" s="45">
        <f t="shared" ca="1" si="228"/>
        <v>0.20278247028256513</v>
      </c>
      <c r="W272" s="77">
        <f t="shared" ca="1" si="229"/>
        <v>4.2130121247418943E-3</v>
      </c>
      <c r="X272" s="45">
        <f t="shared" ca="1" si="244"/>
        <v>0.99587541460355233</v>
      </c>
      <c r="Y272" s="45">
        <f t="shared" ca="1" si="230"/>
        <v>6.0387465412819086E-4</v>
      </c>
      <c r="Z272" s="77">
        <f t="shared" ca="1" si="231"/>
        <v>5.3083896774458862E-4</v>
      </c>
      <c r="AA272" s="45">
        <f t="shared" ca="1" si="245"/>
        <v>39.143137300026929</v>
      </c>
      <c r="AB272" s="45">
        <f t="shared" ca="1" si="232"/>
        <v>0</v>
      </c>
      <c r="AC272" s="45" cm="1">
        <f t="array" aca="1" ref="AC272" ca="1">pHUM*(T272+W272+Z272+AD272)</f>
        <v>7.1044076956257752E-4</v>
      </c>
      <c r="AD272" s="77">
        <f t="shared" ca="1" si="233"/>
        <v>6.324289489416492E-4</v>
      </c>
      <c r="AE272" s="45">
        <f t="shared" ca="1" si="246"/>
        <v>6.3847072090583081</v>
      </c>
      <c r="AF272" s="45">
        <f t="shared" ca="1" si="234"/>
        <v>0</v>
      </c>
      <c r="AG272" s="76">
        <f t="shared" ca="1" si="235"/>
        <v>64.15140968538374</v>
      </c>
      <c r="AH272" s="45">
        <f t="shared" ca="1" si="236"/>
        <v>6.0082658273000909E-3</v>
      </c>
      <c r="AI272" s="77">
        <f t="shared" ca="1" si="237"/>
        <v>1.3091256283168044E-2</v>
      </c>
      <c r="AJ272" s="384">
        <f t="shared" ca="1" si="239"/>
        <v>9.4401725354065213E-3</v>
      </c>
      <c r="AU272" s="1"/>
    </row>
    <row r="273" spans="3:47" x14ac:dyDescent="0.25">
      <c r="C273" s="10">
        <f t="shared" si="264"/>
        <v>15</v>
      </c>
      <c r="D273" s="91">
        <f t="shared" si="247"/>
        <v>3</v>
      </c>
      <c r="E273" s="278"/>
      <c r="F273" s="76">
        <f t="shared" ref="F273:Q273" ca="1" si="310">F201</f>
        <v>-0.82</v>
      </c>
      <c r="G273" s="46">
        <f t="shared" ca="1" si="310"/>
        <v>27.012600000000003</v>
      </c>
      <c r="H273" s="46">
        <f t="shared" ca="1" si="223"/>
        <v>28.517550000000004</v>
      </c>
      <c r="I273" s="45">
        <f t="shared" ca="1" si="224"/>
        <v>4.749388171975074E-2</v>
      </c>
      <c r="J273" s="45">
        <f t="shared" ca="1" si="225"/>
        <v>0.27952512346894071</v>
      </c>
      <c r="K273" s="45">
        <f t="shared" ca="1" si="241"/>
        <v>0.90345467800480783</v>
      </c>
      <c r="L273" s="358">
        <f t="shared" ca="1" si="226"/>
        <v>0.33399301288143546</v>
      </c>
      <c r="M273" s="76">
        <f t="shared" ca="1" si="310"/>
        <v>0.25347808785320641</v>
      </c>
      <c r="N273" s="45">
        <f t="shared" ca="1" si="310"/>
        <v>0.25</v>
      </c>
      <c r="O273" s="45">
        <f t="shared" ca="1" si="310"/>
        <v>0</v>
      </c>
      <c r="P273" s="46" t="str">
        <f t="shared" ca="1" si="310"/>
        <v/>
      </c>
      <c r="Q273" s="243" t="str">
        <f t="shared" ca="1" si="310"/>
        <v/>
      </c>
      <c r="R273" s="45">
        <f t="shared" ca="1" si="242"/>
        <v>0.29064797954311594</v>
      </c>
      <c r="S273" s="45">
        <f t="shared" ca="1" si="266"/>
        <v>5.0695617570641283E-2</v>
      </c>
      <c r="T273" s="77">
        <f t="shared" ca="1" si="227"/>
        <v>1.1278666868164679E-2</v>
      </c>
      <c r="U273" s="45">
        <f t="shared" ca="1" si="243"/>
        <v>17.584360556670738</v>
      </c>
      <c r="V273" s="45">
        <f t="shared" ca="1" si="228"/>
        <v>0.20278247028256513</v>
      </c>
      <c r="W273" s="77">
        <f t="shared" ca="1" si="229"/>
        <v>2.0866348260011585E-2</v>
      </c>
      <c r="X273" s="45">
        <f t="shared" ca="1" si="244"/>
        <v>0.99594845028993584</v>
      </c>
      <c r="Y273" s="45">
        <f t="shared" ca="1" si="230"/>
        <v>3.120693632773472E-3</v>
      </c>
      <c r="Z273" s="77">
        <f t="shared" ca="1" si="231"/>
        <v>2.5981852646161066E-3</v>
      </c>
      <c r="AA273" s="45">
        <f t="shared" ca="1" si="245"/>
        <v>39.143215311847548</v>
      </c>
      <c r="AB273" s="45">
        <f t="shared" ca="1" si="232"/>
        <v>0</v>
      </c>
      <c r="AC273" s="45" cm="1">
        <f t="array" aca="1" ref="AC273" ca="1">pHUM*(T273+W273+Z273+AD273)</f>
        <v>3.6714042738511437E-3</v>
      </c>
      <c r="AD273" s="77">
        <f t="shared" ca="1" si="233"/>
        <v>3.0983161027528178E-3</v>
      </c>
      <c r="AE273" s="45">
        <f t="shared" ca="1" si="246"/>
        <v>6.3847072090583081</v>
      </c>
      <c r="AF273" s="45">
        <f t="shared" ca="1" si="234"/>
        <v>0</v>
      </c>
      <c r="AG273" s="76">
        <f t="shared" ca="1" si="235"/>
        <v>64.398879507409646</v>
      </c>
      <c r="AH273" s="45">
        <f t="shared" ca="1" si="236"/>
        <v>3.1049418588920574E-2</v>
      </c>
      <c r="AI273" s="77">
        <f t="shared" ca="1" si="237"/>
        <v>1.3821304152454096E-2</v>
      </c>
      <c r="AJ273" s="384">
        <f t="shared" ca="1" si="239"/>
        <v>1.4720984112218671E-2</v>
      </c>
      <c r="AU273" s="1"/>
    </row>
    <row r="274" spans="3:47" x14ac:dyDescent="0.25">
      <c r="C274" s="10">
        <f t="shared" si="264"/>
        <v>15</v>
      </c>
      <c r="D274" s="91">
        <f t="shared" si="247"/>
        <v>4</v>
      </c>
      <c r="E274" s="278"/>
      <c r="F274" s="76">
        <f t="shared" ref="F274:Q274" ca="1" si="311">F202</f>
        <v>6.18</v>
      </c>
      <c r="G274" s="46">
        <f t="shared" ca="1" si="311"/>
        <v>27.012600000000003</v>
      </c>
      <c r="H274" s="46">
        <f t="shared" ref="H274:H337" ca="1" si="312">FC-G274</f>
        <v>28.517550000000004</v>
      </c>
      <c r="I274" s="45">
        <f t="shared" ref="I274:I337" ca="1" si="313">PRODUCT(47.91/(1+EXP(106.06/(F274+18.27))), IF(IF(H274&lt;=0,1-((1-RM_PWP)*(G274-FC)/(WSAT-FC)),IF(H274&lt;=Wat1bar,1,1-((1-RM_PWP)*(H274-Wat1bar)/(FC-Wat1bar))))&lt;=RM_PWP,RM_PWP,IF(H274&lt;=0,1-((1-RM_PWP)*(G274-FC)/(WSAT-FC)),IF(H274&lt;=Wat1bar,1,1-((1-RM_PWP)*(H274-Wat1bar)/(FC-Wat1bar))))),0.56+(ATAN(3.14*0.45*(SoilpH-5)))/3.14,EXP(-0.09*SoilSal))</f>
        <v>0.26773980091806004</v>
      </c>
      <c r="J274" s="45">
        <f t="shared" ref="J274:J337" ca="1" si="314">POWER(((G274/150)-$J$9),$M$9)*POWER(($L$9-(G274/150)),$N$9)</f>
        <v>0.27952512346894071</v>
      </c>
      <c r="K274" s="45">
        <f t="shared" ca="1" si="241"/>
        <v>0.90345467800480783</v>
      </c>
      <c r="L274" s="358">
        <f t="shared" ref="L274:L337" ca="1" si="315">1/(1+EXP(-(F274-3.8)/6.7))+1/(1+EXP((F274-62.2)/7.1))-1</f>
        <v>0.58750950384279488</v>
      </c>
      <c r="M274" s="76">
        <f t="shared" ca="1" si="311"/>
        <v>0.25347808785320641</v>
      </c>
      <c r="N274" s="45">
        <f t="shared" ca="1" si="311"/>
        <v>0.25</v>
      </c>
      <c r="O274" s="45">
        <f t="shared" ca="1" si="311"/>
        <v>0</v>
      </c>
      <c r="P274" s="46" t="str">
        <f t="shared" ca="1" si="311"/>
        <v/>
      </c>
      <c r="Q274" s="243" t="str">
        <f t="shared" ca="1" si="311"/>
        <v/>
      </c>
      <c r="R274" s="45">
        <f t="shared" ca="1" si="242"/>
        <v>0.33006493024559252</v>
      </c>
      <c r="S274" s="45">
        <f t="shared" ca="1" si="266"/>
        <v>5.0695617570641283E-2</v>
      </c>
      <c r="T274" s="77">
        <f t="shared" ref="T274:T337" ca="1" si="316">R274*(1-EXP(-kDPM*I274))</f>
        <v>6.6005843202412762E-2</v>
      </c>
      <c r="U274" s="45">
        <f t="shared" ca="1" si="243"/>
        <v>17.766276678693291</v>
      </c>
      <c r="V274" s="45">
        <f t="shared" ref="V274:V337" ca="1" si="317">M274*1/(1+N274)</f>
        <v>0.20278247028256513</v>
      </c>
      <c r="W274" s="77">
        <f t="shared" ref="W274:W337" ca="1" si="318">U274*(1-EXP(-kRPM*I274))</f>
        <v>0.1185213808808001</v>
      </c>
      <c r="X274" s="45">
        <f t="shared" ca="1" si="244"/>
        <v>0.99647095865809321</v>
      </c>
      <c r="Y274" s="45">
        <f t="shared" ref="Y274:Y337" ca="1" si="319">pBIO*(T274+W274+Z274+AD274)</f>
        <v>1.7858887523094676E-2</v>
      </c>
      <c r="Z274" s="77">
        <f t="shared" ref="Z274:Z337" ca="1" si="320">X274*(1-EXP(-kBIO*I274))</f>
        <v>1.4566209531306312E-2</v>
      </c>
      <c r="AA274" s="45">
        <f t="shared" ca="1" si="245"/>
        <v>39.14378840001865</v>
      </c>
      <c r="AB274" s="45">
        <f t="shared" ref="AB274:AB337" ca="1" si="321">IF(O274&gt;0,O274*(1-Q274)/(1+P274),0)</f>
        <v>0</v>
      </c>
      <c r="AC274" s="45" cm="1">
        <f t="array" aca="1" ref="AC274" ca="1">pHUM*(T274+W274+Z274+AD274)</f>
        <v>2.1010455909523149E-2</v>
      </c>
      <c r="AD274" s="77">
        <f t="shared" ref="AD274:AD337" ca="1" si="322">AA274*(1-EXP(-kHUM*I274))</f>
        <v>1.7463353536887008E-2</v>
      </c>
      <c r="AE274" s="45">
        <f t="shared" ca="1" si="246"/>
        <v>6.3847072090583081</v>
      </c>
      <c r="AF274" s="45">
        <f t="shared" ref="AF274:AF337" ca="1" si="323">IF(O274&gt;0,O274*Q274,0)</f>
        <v>0</v>
      </c>
      <c r="AG274" s="76">
        <f t="shared" ref="AG274:AG337" ca="1" si="324">R274+U274+X274+AA274+AE274</f>
        <v>64.621308176673935</v>
      </c>
      <c r="AH274" s="45">
        <f t="shared" ref="AH274:AH337" ca="1" si="325">p_CO2*(T274+W274+Z274+AD274)</f>
        <v>0.17768744371878839</v>
      </c>
      <c r="AI274" s="77">
        <f t="shared" ref="AI274:AI337" ca="1" si="326">((kRPM*U274)+(kDPM*R274)+(kBIO*X274)+(kHUM*AA274))/(U274+R274+AA274+X274)</f>
        <v>1.4411153151461941E-2</v>
      </c>
      <c r="AJ274" s="384">
        <f t="shared" ca="1" si="239"/>
        <v>2.6999706136444646E-2</v>
      </c>
      <c r="AU274" s="1"/>
    </row>
    <row r="275" spans="3:47" x14ac:dyDescent="0.25">
      <c r="C275" s="10">
        <f t="shared" si="264"/>
        <v>15</v>
      </c>
      <c r="D275" s="91">
        <f t="shared" si="247"/>
        <v>5</v>
      </c>
      <c r="E275" s="278"/>
      <c r="F275" s="76">
        <f t="shared" ref="F275:Q275" ca="1" si="327">F203</f>
        <v>13.58</v>
      </c>
      <c r="G275" s="46">
        <f t="shared" ca="1" si="327"/>
        <v>27.012600000000003</v>
      </c>
      <c r="H275" s="46">
        <f t="shared" ca="1" si="312"/>
        <v>28.517550000000004</v>
      </c>
      <c r="I275" s="45">
        <f t="shared" ca="1" si="313"/>
        <v>0.71743035359667851</v>
      </c>
      <c r="J275" s="45">
        <f t="shared" ca="1" si="314"/>
        <v>0.27952512346894071</v>
      </c>
      <c r="K275" s="45">
        <f t="shared" ca="1" si="241"/>
        <v>0.90345467800480783</v>
      </c>
      <c r="L275" s="358">
        <f t="shared" ca="1" si="315"/>
        <v>0.81042644426030708</v>
      </c>
      <c r="M275" s="76">
        <f t="shared" ca="1" si="327"/>
        <v>0.25347808785320641</v>
      </c>
      <c r="N275" s="45">
        <f t="shared" ca="1" si="327"/>
        <v>0.25</v>
      </c>
      <c r="O275" s="45">
        <f t="shared" ca="1" si="327"/>
        <v>0</v>
      </c>
      <c r="P275" s="46" t="str">
        <f t="shared" ca="1" si="327"/>
        <v/>
      </c>
      <c r="Q275" s="243" t="str">
        <f t="shared" ca="1" si="327"/>
        <v/>
      </c>
      <c r="R275" s="45">
        <f t="shared" ca="1" si="242"/>
        <v>0.31475470461382105</v>
      </c>
      <c r="S275" s="45">
        <f t="shared" ca="1" si="266"/>
        <v>5.0695617570641283E-2</v>
      </c>
      <c r="T275" s="77">
        <f t="shared" ca="1" si="316"/>
        <v>0.14164336103755834</v>
      </c>
      <c r="U275" s="45">
        <f t="shared" ca="1" si="243"/>
        <v>17.850537768095055</v>
      </c>
      <c r="V275" s="45">
        <f t="shared" ca="1" si="317"/>
        <v>0.20278247028256513</v>
      </c>
      <c r="W275" s="77">
        <f t="shared" ca="1" si="318"/>
        <v>0.31730884684447624</v>
      </c>
      <c r="X275" s="45">
        <f t="shared" ca="1" si="244"/>
        <v>0.99976363664988155</v>
      </c>
      <c r="Y275" s="45">
        <f t="shared" ca="1" si="319"/>
        <v>4.4896483366983028E-2</v>
      </c>
      <c r="Z275" s="77">
        <f t="shared" ca="1" si="320"/>
        <v>3.8681170397809633E-2</v>
      </c>
      <c r="AA275" s="45">
        <f t="shared" ca="1" si="245"/>
        <v>39.147335502391286</v>
      </c>
      <c r="AB275" s="45">
        <f t="shared" ca="1" si="321"/>
        <v>0</v>
      </c>
      <c r="AC275" s="45" cm="1">
        <f t="array" aca="1" ref="AC275" ca="1">pHUM*(T275+W275+Z275+AD275)</f>
        <v>5.2819392196450626E-2</v>
      </c>
      <c r="AD275" s="77">
        <f t="shared" ca="1" si="322"/>
        <v>4.6781170486270895E-2</v>
      </c>
      <c r="AE275" s="45">
        <f t="shared" ca="1" si="246"/>
        <v>6.3847072090583081</v>
      </c>
      <c r="AF275" s="45">
        <f t="shared" ca="1" si="323"/>
        <v>0</v>
      </c>
      <c r="AG275" s="76">
        <f t="shared" ca="1" si="324"/>
        <v>64.69709882080835</v>
      </c>
      <c r="AH275" s="45">
        <f t="shared" ca="1" si="325"/>
        <v>0.44669867320268158</v>
      </c>
      <c r="AI275" s="77">
        <f t="shared" ca="1" si="326"/>
        <v>1.4212958303702181E-2</v>
      </c>
      <c r="AJ275" s="384">
        <f t="shared" ref="AJ275:AJ338" ca="1" si="328">(530)*(1-EXP((-$AJ$9*L275*K275*AI275)))</f>
        <v>3.6731571180450562E-2</v>
      </c>
      <c r="AU275" s="1"/>
    </row>
    <row r="276" spans="3:47" x14ac:dyDescent="0.25">
      <c r="C276" s="10">
        <f t="shared" si="264"/>
        <v>15</v>
      </c>
      <c r="D276" s="91">
        <f t="shared" si="247"/>
        <v>6</v>
      </c>
      <c r="E276" s="278"/>
      <c r="F276" s="76">
        <f t="shared" ref="F276:Q276" ca="1" si="329">F204</f>
        <v>18.37</v>
      </c>
      <c r="G276" s="46">
        <f t="shared" ca="1" si="329"/>
        <v>27.012600000000003</v>
      </c>
      <c r="H276" s="46">
        <f t="shared" ca="1" si="312"/>
        <v>28.517550000000004</v>
      </c>
      <c r="I276" s="45">
        <f t="shared" ca="1" si="313"/>
        <v>1.0882596087882719</v>
      </c>
      <c r="J276" s="45">
        <f t="shared" ca="1" si="314"/>
        <v>0.27952512346894071</v>
      </c>
      <c r="K276" s="45">
        <f t="shared" ref="K276:K339" ca="1" si="330">J276/$I$15</f>
        <v>0.90345467800480783</v>
      </c>
      <c r="L276" s="358">
        <f t="shared" ca="1" si="315"/>
        <v>0.89586760620832129</v>
      </c>
      <c r="M276" s="76">
        <f t="shared" ca="1" si="329"/>
        <v>0.25347808785320641</v>
      </c>
      <c r="N276" s="45">
        <f t="shared" ca="1" si="329"/>
        <v>0.25</v>
      </c>
      <c r="O276" s="45">
        <f t="shared" ca="1" si="329"/>
        <v>0</v>
      </c>
      <c r="P276" s="46" t="str">
        <f t="shared" ca="1" si="329"/>
        <v/>
      </c>
      <c r="Q276" s="243" t="str">
        <f t="shared" ca="1" si="329"/>
        <v/>
      </c>
      <c r="R276" s="45">
        <f t="shared" ref="R276:R339" ca="1" si="331">R275+S276-T275</f>
        <v>0.22380696114690399</v>
      </c>
      <c r="S276" s="45">
        <f t="shared" ca="1" si="266"/>
        <v>5.0695617570641283E-2</v>
      </c>
      <c r="T276" s="77">
        <f t="shared" ca="1" si="316"/>
        <v>0.1334379969187959</v>
      </c>
      <c r="U276" s="45">
        <f t="shared" ref="U276:U339" ca="1" si="332">U275+V276-W275</f>
        <v>17.736011391533143</v>
      </c>
      <c r="V276" s="45">
        <f t="shared" ca="1" si="317"/>
        <v>0.20278247028256513</v>
      </c>
      <c r="W276" s="77">
        <f t="shared" ca="1" si="318"/>
        <v>0.47602970918308352</v>
      </c>
      <c r="X276" s="45">
        <f t="shared" ref="X276:X339" ca="1" si="333">X275+Y275-Z275</f>
        <v>1.005978949619055</v>
      </c>
      <c r="Y276" s="45">
        <f t="shared" ca="1" si="319"/>
        <v>6.0932234183958461E-2</v>
      </c>
      <c r="Z276" s="77">
        <f t="shared" ca="1" si="320"/>
        <v>5.8445587396711719E-2</v>
      </c>
      <c r="AA276" s="45">
        <f t="shared" ref="AA276:AA339" ca="1" si="334">AA275+AC275+AB276-AD275</f>
        <v>39.153373724101463</v>
      </c>
      <c r="AB276" s="45">
        <f t="shared" ca="1" si="321"/>
        <v>0</v>
      </c>
      <c r="AC276" s="45" cm="1">
        <f t="array" aca="1" ref="AC276" ca="1">pHUM*(T276+W276+Z276+AD276)</f>
        <v>7.1684981392892311E-2</v>
      </c>
      <c r="AD276" s="77">
        <f t="shared" ca="1" si="322"/>
        <v>7.0950695188907176E-2</v>
      </c>
      <c r="AE276" s="45">
        <f t="shared" ref="AE276:AE339" ca="1" si="335">AE275+AF276</f>
        <v>6.3847072090583081</v>
      </c>
      <c r="AF276" s="45">
        <f t="shared" ca="1" si="323"/>
        <v>0</v>
      </c>
      <c r="AG276" s="76">
        <f t="shared" ca="1" si="324"/>
        <v>64.50387823545887</v>
      </c>
      <c r="AH276" s="45">
        <f t="shared" ca="1" si="325"/>
        <v>0.60624677311064756</v>
      </c>
      <c r="AI276" s="77">
        <f t="shared" ca="1" si="326"/>
        <v>1.2912960346693916E-2</v>
      </c>
      <c r="AJ276" s="384">
        <f t="shared" ca="1" si="328"/>
        <v>3.6890199638932586E-2</v>
      </c>
      <c r="AU276" s="1"/>
    </row>
    <row r="277" spans="3:47" x14ac:dyDescent="0.25">
      <c r="C277" s="10">
        <f t="shared" si="264"/>
        <v>15</v>
      </c>
      <c r="D277" s="91">
        <f t="shared" ref="D277:D340" si="336">IF(D276+1&lt;13,D276+1,1)</f>
        <v>7</v>
      </c>
      <c r="E277" s="278"/>
      <c r="F277" s="76">
        <f t="shared" ref="F277:Q277" ca="1" si="337">F205</f>
        <v>22.71</v>
      </c>
      <c r="G277" s="46">
        <f t="shared" ca="1" si="337"/>
        <v>27.012600000000003</v>
      </c>
      <c r="H277" s="46">
        <f t="shared" ca="1" si="312"/>
        <v>28.517550000000004</v>
      </c>
      <c r="I277" s="45">
        <f t="shared" ca="1" si="313"/>
        <v>1.4513708414333564</v>
      </c>
      <c r="J277" s="45">
        <f t="shared" ca="1" si="314"/>
        <v>0.27952512346894071</v>
      </c>
      <c r="K277" s="45">
        <f t="shared" ca="1" si="330"/>
        <v>0.90345467800480783</v>
      </c>
      <c r="L277" s="358">
        <f t="shared" ca="1" si="315"/>
        <v>0.94004721434733285</v>
      </c>
      <c r="M277" s="76">
        <f t="shared" ca="1" si="337"/>
        <v>0.25347808785320641</v>
      </c>
      <c r="N277" s="45">
        <f t="shared" ca="1" si="337"/>
        <v>0.25</v>
      </c>
      <c r="O277" s="45">
        <f t="shared" ca="1" si="337"/>
        <v>0</v>
      </c>
      <c r="P277" s="46" t="str">
        <f t="shared" ca="1" si="337"/>
        <v/>
      </c>
      <c r="Q277" s="243" t="str">
        <f t="shared" ca="1" si="337"/>
        <v/>
      </c>
      <c r="R277" s="45">
        <f t="shared" ca="1" si="331"/>
        <v>0.14106458179874934</v>
      </c>
      <c r="S277" s="45">
        <f t="shared" ca="1" si="266"/>
        <v>5.0695617570641283E-2</v>
      </c>
      <c r="T277" s="77">
        <f t="shared" ca="1" si="316"/>
        <v>9.8977446831495092E-2</v>
      </c>
      <c r="U277" s="45">
        <f t="shared" ca="1" si="332"/>
        <v>17.462764152632623</v>
      </c>
      <c r="V277" s="45">
        <f t="shared" ca="1" si="317"/>
        <v>0.20278247028256513</v>
      </c>
      <c r="W277" s="77">
        <f t="shared" ca="1" si="318"/>
        <v>0.62226616172334903</v>
      </c>
      <c r="X277" s="45">
        <f t="shared" ca="1" si="333"/>
        <v>1.0084655964063016</v>
      </c>
      <c r="Y277" s="45">
        <f t="shared" ca="1" si="319"/>
        <v>7.3661004217990475E-2</v>
      </c>
      <c r="Z277" s="77">
        <f t="shared" ca="1" si="320"/>
        <v>7.7371961373714951E-2</v>
      </c>
      <c r="AA277" s="45">
        <f t="shared" ca="1" si="334"/>
        <v>39.15410801030545</v>
      </c>
      <c r="AB277" s="45">
        <f t="shared" ca="1" si="321"/>
        <v>0</v>
      </c>
      <c r="AC277" s="45" cm="1">
        <f t="array" aca="1" ref="AC277" ca="1">pHUM*(T277+W277+Z277+AD277)</f>
        <v>8.6660004962341747E-2</v>
      </c>
      <c r="AD277" s="77">
        <f t="shared" ca="1" si="322"/>
        <v>9.4597425067110941E-2</v>
      </c>
      <c r="AE277" s="45">
        <f t="shared" ca="1" si="335"/>
        <v>6.3847072090583081</v>
      </c>
      <c r="AF277" s="45">
        <f t="shared" ca="1" si="323"/>
        <v>0</v>
      </c>
      <c r="AG277" s="76">
        <f t="shared" ca="1" si="324"/>
        <v>64.151109550201426</v>
      </c>
      <c r="AH277" s="45">
        <f t="shared" ca="1" si="325"/>
        <v>0.73289198581533788</v>
      </c>
      <c r="AI277" s="77">
        <f t="shared" ca="1" si="326"/>
        <v>1.1682316175452422E-2</v>
      </c>
      <c r="AJ277" s="384">
        <f t="shared" ca="1" si="328"/>
        <v>3.5020371103421377E-2</v>
      </c>
      <c r="AU277" s="1"/>
    </row>
    <row r="278" spans="3:47" x14ac:dyDescent="0.25">
      <c r="C278" s="10">
        <f t="shared" si="264"/>
        <v>15</v>
      </c>
      <c r="D278" s="91">
        <f t="shared" si="336"/>
        <v>8</v>
      </c>
      <c r="E278" s="278"/>
      <c r="F278" s="76">
        <f t="shared" ref="F278:Q278" ca="1" si="338">F206</f>
        <v>19.329999999999998</v>
      </c>
      <c r="G278" s="46">
        <f t="shared" ca="1" si="338"/>
        <v>27.012600000000003</v>
      </c>
      <c r="H278" s="46">
        <f t="shared" ca="1" si="312"/>
        <v>28.517550000000004</v>
      </c>
      <c r="I278" s="45">
        <f t="shared" ca="1" si="313"/>
        <v>1.1670427279291871</v>
      </c>
      <c r="J278" s="45">
        <f t="shared" ca="1" si="314"/>
        <v>0.27952512346894071</v>
      </c>
      <c r="K278" s="45">
        <f t="shared" ca="1" si="330"/>
        <v>0.90345467800480783</v>
      </c>
      <c r="L278" s="358">
        <f t="shared" ca="1" si="315"/>
        <v>0.9079689727892073</v>
      </c>
      <c r="M278" s="76">
        <f t="shared" ca="1" si="338"/>
        <v>0.25347808785320641</v>
      </c>
      <c r="N278" s="45">
        <f t="shared" ca="1" si="338"/>
        <v>0.25</v>
      </c>
      <c r="O278" s="45">
        <f t="shared" ca="1" si="338"/>
        <v>0</v>
      </c>
      <c r="P278" s="46" t="str">
        <f t="shared" ca="1" si="338"/>
        <v/>
      </c>
      <c r="Q278" s="243" t="str">
        <f t="shared" ca="1" si="338"/>
        <v/>
      </c>
      <c r="R278" s="45">
        <f t="shared" ca="1" si="331"/>
        <v>9.278275253789553E-2</v>
      </c>
      <c r="S278" s="45">
        <f t="shared" ca="1" si="266"/>
        <v>5.0695617570641283E-2</v>
      </c>
      <c r="T278" s="77">
        <f t="shared" ca="1" si="316"/>
        <v>5.7699455138857644E-2</v>
      </c>
      <c r="U278" s="45">
        <f t="shared" ca="1" si="332"/>
        <v>17.043280461191838</v>
      </c>
      <c r="V278" s="45">
        <f t="shared" ca="1" si="317"/>
        <v>0.20278247028256513</v>
      </c>
      <c r="W278" s="77">
        <f t="shared" ca="1" si="318"/>
        <v>0.4900719628531961</v>
      </c>
      <c r="X278" s="45">
        <f t="shared" ca="1" si="333"/>
        <v>1.0047546392505771</v>
      </c>
      <c r="Y278" s="45">
        <f t="shared" ca="1" si="319"/>
        <v>5.6597895936406815E-2</v>
      </c>
      <c r="Z278" s="77">
        <f t="shared" ca="1" si="320"/>
        <v>6.2466318620942596E-2</v>
      </c>
      <c r="AA278" s="45">
        <f t="shared" ca="1" si="334"/>
        <v>39.146170590200676</v>
      </c>
      <c r="AB278" s="45">
        <f t="shared" ca="1" si="321"/>
        <v>0</v>
      </c>
      <c r="AC278" s="45" cm="1">
        <f t="array" aca="1" ref="AC278" ca="1">pHUM*(T278+W278+Z278+AD278)</f>
        <v>6.6585759925184493E-2</v>
      </c>
      <c r="AD278" s="77">
        <f t="shared" ca="1" si="322"/>
        <v>7.6068086617475217E-2</v>
      </c>
      <c r="AE278" s="45">
        <f t="shared" ca="1" si="335"/>
        <v>6.3847072090583081</v>
      </c>
      <c r="AF278" s="45">
        <f t="shared" ca="1" si="323"/>
        <v>0</v>
      </c>
      <c r="AG278" s="76">
        <f t="shared" ca="1" si="324"/>
        <v>63.671695652239293</v>
      </c>
      <c r="AH278" s="45">
        <f t="shared" ca="1" si="325"/>
        <v>0.56312216736888021</v>
      </c>
      <c r="AI278" s="77">
        <f t="shared" ca="1" si="326"/>
        <v>1.0890886599946999E-2</v>
      </c>
      <c r="AJ278" s="384">
        <f t="shared" ca="1" si="328"/>
        <v>3.1533907812254514E-2</v>
      </c>
      <c r="AU278" s="1"/>
    </row>
    <row r="279" spans="3:47" x14ac:dyDescent="0.25">
      <c r="C279" s="10">
        <f t="shared" si="264"/>
        <v>15</v>
      </c>
      <c r="D279" s="91">
        <f t="shared" si="336"/>
        <v>9</v>
      </c>
      <c r="E279" s="278"/>
      <c r="F279" s="76">
        <f t="shared" ref="F279:Q279" ca="1" si="339">F207</f>
        <v>15.36</v>
      </c>
      <c r="G279" s="46">
        <f t="shared" ca="1" si="339"/>
        <v>27.012600000000003</v>
      </c>
      <c r="H279" s="46">
        <f t="shared" ca="1" si="312"/>
        <v>28.517550000000004</v>
      </c>
      <c r="I279" s="45">
        <f t="shared" ca="1" si="313"/>
        <v>0.85004563012661705</v>
      </c>
      <c r="J279" s="45">
        <f t="shared" ca="1" si="314"/>
        <v>0.27952512346894071</v>
      </c>
      <c r="K279" s="45">
        <f t="shared" ca="1" si="330"/>
        <v>0.90345467800480783</v>
      </c>
      <c r="L279" s="358">
        <f t="shared" ca="1" si="315"/>
        <v>0.84745728919304408</v>
      </c>
      <c r="M279" s="76">
        <f t="shared" ca="1" si="339"/>
        <v>0.25347808785320641</v>
      </c>
      <c r="N279" s="45">
        <f t="shared" ca="1" si="339"/>
        <v>0.25</v>
      </c>
      <c r="O279" s="45">
        <f t="shared" ca="1" si="339"/>
        <v>0</v>
      </c>
      <c r="P279" s="46" t="str">
        <f t="shared" ca="1" si="339"/>
        <v/>
      </c>
      <c r="Q279" s="243" t="str">
        <f t="shared" ca="1" si="339"/>
        <v/>
      </c>
      <c r="R279" s="45">
        <f t="shared" ca="1" si="331"/>
        <v>8.5778914969679168E-2</v>
      </c>
      <c r="S279" s="45">
        <f t="shared" ca="1" si="266"/>
        <v>5.0695617570641283E-2</v>
      </c>
      <c r="T279" s="77">
        <f t="shared" ca="1" si="316"/>
        <v>4.3537468977546526E-2</v>
      </c>
      <c r="U279" s="45">
        <f t="shared" ca="1" si="332"/>
        <v>16.755990968621205</v>
      </c>
      <c r="V279" s="45">
        <f t="shared" ca="1" si="317"/>
        <v>0.20278247028256513</v>
      </c>
      <c r="W279" s="77">
        <f t="shared" ca="1" si="318"/>
        <v>0.35232698786614519</v>
      </c>
      <c r="X279" s="45">
        <f t="shared" ca="1" si="333"/>
        <v>0.99888621656604126</v>
      </c>
      <c r="Y279" s="45">
        <f t="shared" ca="1" si="319"/>
        <v>4.0977864018733497E-2</v>
      </c>
      <c r="Z279" s="77">
        <f t="shared" ca="1" si="320"/>
        <v>4.5625572101653362E-2</v>
      </c>
      <c r="AA279" s="45">
        <f t="shared" ca="1" si="334"/>
        <v>39.136688263508383</v>
      </c>
      <c r="AB279" s="45">
        <f t="shared" ca="1" si="321"/>
        <v>0</v>
      </c>
      <c r="AC279" s="45" cm="1">
        <f t="array" aca="1" ref="AC279" ca="1">pHUM*(T279+W279+Z279+AD279)</f>
        <v>4.8209251786745289E-2</v>
      </c>
      <c r="AD279" s="77">
        <f t="shared" ca="1" si="322"/>
        <v>5.5407359805687242E-2</v>
      </c>
      <c r="AE279" s="45">
        <f t="shared" ca="1" si="335"/>
        <v>6.3847072090583081</v>
      </c>
      <c r="AF279" s="45">
        <f t="shared" ca="1" si="323"/>
        <v>0</v>
      </c>
      <c r="AG279" s="76">
        <f t="shared" ca="1" si="324"/>
        <v>63.362051572723615</v>
      </c>
      <c r="AH279" s="45">
        <f t="shared" ca="1" si="325"/>
        <v>0.40771027294555356</v>
      </c>
      <c r="AI279" s="77">
        <f t="shared" ca="1" si="326"/>
        <v>1.071564085443626E-2</v>
      </c>
      <c r="AJ279" s="384">
        <f t="shared" ca="1" si="328"/>
        <v>2.895880080426072E-2</v>
      </c>
      <c r="AU279" s="1"/>
    </row>
    <row r="280" spans="3:47" x14ac:dyDescent="0.25">
      <c r="C280" s="10">
        <f t="shared" si="264"/>
        <v>15</v>
      </c>
      <c r="D280" s="91">
        <f t="shared" si="336"/>
        <v>10</v>
      </c>
      <c r="E280" s="278"/>
      <c r="F280" s="76">
        <f t="shared" ref="F280:Q280" ca="1" si="340">F208</f>
        <v>10.24</v>
      </c>
      <c r="G280" s="46">
        <f t="shared" ca="1" si="340"/>
        <v>27.012600000000003</v>
      </c>
      <c r="H280" s="46">
        <f t="shared" ca="1" si="312"/>
        <v>28.517550000000004</v>
      </c>
      <c r="I280" s="45">
        <f t="shared" ca="1" si="313"/>
        <v>0.49116850915432075</v>
      </c>
      <c r="J280" s="45">
        <f t="shared" ca="1" si="314"/>
        <v>0.27952512346894071</v>
      </c>
      <c r="K280" s="45">
        <f t="shared" ca="1" si="330"/>
        <v>0.90345467800480783</v>
      </c>
      <c r="L280" s="358">
        <f t="shared" ca="1" si="315"/>
        <v>0.72269796343841763</v>
      </c>
      <c r="M280" s="76">
        <f t="shared" ca="1" si="340"/>
        <v>0.25347808785320641</v>
      </c>
      <c r="N280" s="45">
        <f t="shared" ca="1" si="340"/>
        <v>0.25</v>
      </c>
      <c r="O280" s="45">
        <f t="shared" ca="1" si="340"/>
        <v>0</v>
      </c>
      <c r="P280" s="46" t="str">
        <f t="shared" ca="1" si="340"/>
        <v/>
      </c>
      <c r="Q280" s="243" t="str">
        <f t="shared" ca="1" si="340"/>
        <v/>
      </c>
      <c r="R280" s="45">
        <f t="shared" ca="1" si="331"/>
        <v>9.2937063562773911E-2</v>
      </c>
      <c r="S280" s="45">
        <f t="shared" ca="1" si="266"/>
        <v>5.0695617570641283E-2</v>
      </c>
      <c r="T280" s="77">
        <f t="shared" ca="1" si="316"/>
        <v>3.1216606232968552E-2</v>
      </c>
      <c r="U280" s="45">
        <f t="shared" ca="1" si="332"/>
        <v>16.606446451037623</v>
      </c>
      <c r="V280" s="45">
        <f t="shared" ca="1" si="317"/>
        <v>0.20278247028256513</v>
      </c>
      <c r="W280" s="77">
        <f t="shared" ca="1" si="318"/>
        <v>0.20266724504340303</v>
      </c>
      <c r="X280" s="45">
        <f t="shared" ca="1" si="333"/>
        <v>0.99423850848312134</v>
      </c>
      <c r="Y280" s="45">
        <f t="shared" ca="1" si="319"/>
        <v>2.4113631768815324E-2</v>
      </c>
      <c r="Z280" s="77">
        <f t="shared" ca="1" si="320"/>
        <v>2.6499087302626678E-2</v>
      </c>
      <c r="AA280" s="45">
        <f t="shared" ca="1" si="334"/>
        <v>39.129490155489442</v>
      </c>
      <c r="AB280" s="45">
        <f t="shared" ca="1" si="321"/>
        <v>0</v>
      </c>
      <c r="AC280" s="45" cm="1">
        <f t="array" aca="1" ref="AC280" ca="1">pHUM*(T280+W280+Z280+AD280)</f>
        <v>2.8368978551547439E-2</v>
      </c>
      <c r="AD280" s="77">
        <f t="shared" ca="1" si="322"/>
        <v>3.2018848243042144E-2</v>
      </c>
      <c r="AE280" s="45">
        <f t="shared" ca="1" si="335"/>
        <v>6.3847072090583081</v>
      </c>
      <c r="AF280" s="45">
        <f t="shared" ca="1" si="323"/>
        <v>0</v>
      </c>
      <c r="AG280" s="76">
        <f t="shared" ca="1" si="324"/>
        <v>63.207819387631268</v>
      </c>
      <c r="AH280" s="45">
        <f t="shared" ca="1" si="325"/>
        <v>0.23991917650167763</v>
      </c>
      <c r="AI280" s="77">
        <f t="shared" ca="1" si="326"/>
        <v>1.0779199266883388E-2</v>
      </c>
      <c r="AJ280" s="384">
        <f t="shared" ca="1" si="328"/>
        <v>2.4842175338990469E-2</v>
      </c>
      <c r="AU280" s="1"/>
    </row>
    <row r="281" spans="3:47" x14ac:dyDescent="0.25">
      <c r="C281" s="10">
        <f t="shared" si="264"/>
        <v>15</v>
      </c>
      <c r="D281" s="91">
        <f t="shared" si="336"/>
        <v>11</v>
      </c>
      <c r="E281" s="278"/>
      <c r="F281" s="76">
        <f t="shared" ref="F281:Q281" ca="1" si="341">F209</f>
        <v>1.6</v>
      </c>
      <c r="G281" s="46">
        <f t="shared" ca="1" si="341"/>
        <v>27.012600000000003</v>
      </c>
      <c r="H281" s="46">
        <f t="shared" ca="1" si="312"/>
        <v>28.517550000000004</v>
      </c>
      <c r="I281" s="45">
        <f t="shared" ca="1" si="313"/>
        <v>9.9319080037688343E-2</v>
      </c>
      <c r="J281" s="45">
        <f t="shared" ca="1" si="314"/>
        <v>0.27952512346894071</v>
      </c>
      <c r="K281" s="45">
        <f t="shared" ca="1" si="330"/>
        <v>0.90345467800480783</v>
      </c>
      <c r="L281" s="358">
        <f t="shared" ca="1" si="315"/>
        <v>0.41844375967031366</v>
      </c>
      <c r="M281" s="76">
        <f t="shared" ca="1" si="341"/>
        <v>0.25347808785320641</v>
      </c>
      <c r="N281" s="45">
        <f t="shared" ca="1" si="341"/>
        <v>0.25</v>
      </c>
      <c r="O281" s="45">
        <f t="shared" ca="1" si="341"/>
        <v>0</v>
      </c>
      <c r="P281" s="46" t="str">
        <f t="shared" ca="1" si="341"/>
        <v/>
      </c>
      <c r="Q281" s="243" t="str">
        <f t="shared" ca="1" si="341"/>
        <v/>
      </c>
      <c r="R281" s="45">
        <f t="shared" ca="1" si="331"/>
        <v>0.11241607490044665</v>
      </c>
      <c r="S281" s="45">
        <f t="shared" ca="1" si="266"/>
        <v>5.0695617570641283E-2</v>
      </c>
      <c r="T281" s="77">
        <f t="shared" ca="1" si="316"/>
        <v>8.9295880519691829E-3</v>
      </c>
      <c r="U281" s="45">
        <f t="shared" ca="1" si="332"/>
        <v>16.606561676276783</v>
      </c>
      <c r="V281" s="45">
        <f t="shared" ca="1" si="317"/>
        <v>0.20278247028256513</v>
      </c>
      <c r="W281" s="77">
        <f t="shared" ca="1" si="318"/>
        <v>4.1182561871800943E-2</v>
      </c>
      <c r="X281" s="45">
        <f t="shared" ca="1" si="333"/>
        <v>0.99185305294930992</v>
      </c>
      <c r="Y281" s="45">
        <f t="shared" ca="1" si="319"/>
        <v>5.1122780363618784E-3</v>
      </c>
      <c r="Z281" s="77">
        <f t="shared" ca="1" si="320"/>
        <v>5.403275037033241E-3</v>
      </c>
      <c r="AA281" s="45">
        <f t="shared" ca="1" si="334"/>
        <v>39.125840285797949</v>
      </c>
      <c r="AB281" s="45">
        <f t="shared" ca="1" si="321"/>
        <v>0</v>
      </c>
      <c r="AC281" s="45" cm="1">
        <f t="array" aca="1" ref="AC281" ca="1">pHUM*(T281+W281+Z281+AD281)</f>
        <v>6.0144447486610332E-3</v>
      </c>
      <c r="AD281" s="77">
        <f t="shared" ca="1" si="322"/>
        <v>6.4760347618448306E-3</v>
      </c>
      <c r="AE281" s="45">
        <f t="shared" ca="1" si="335"/>
        <v>6.3847072090583081</v>
      </c>
      <c r="AF281" s="45">
        <f t="shared" ca="1" si="323"/>
        <v>0</v>
      </c>
      <c r="AG281" s="76">
        <f t="shared" ca="1" si="324"/>
        <v>63.221378298982799</v>
      </c>
      <c r="AH281" s="45">
        <f t="shared" ca="1" si="325"/>
        <v>5.0864736937625291E-2</v>
      </c>
      <c r="AI281" s="77">
        <f t="shared" ca="1" si="326"/>
        <v>1.10598623035343E-2</v>
      </c>
      <c r="AJ281" s="384">
        <f t="shared" ca="1" si="328"/>
        <v>1.4758330729712776E-2</v>
      </c>
      <c r="AU281" s="1"/>
    </row>
    <row r="282" spans="3:47" x14ac:dyDescent="0.25">
      <c r="C282" s="10">
        <f t="shared" si="264"/>
        <v>15</v>
      </c>
      <c r="D282" s="91">
        <f t="shared" si="336"/>
        <v>12</v>
      </c>
      <c r="E282" s="278"/>
      <c r="F282" s="76">
        <f t="shared" ref="F282:Q282" ca="1" si="342">F210</f>
        <v>-3.59</v>
      </c>
      <c r="G282" s="46">
        <f t="shared" ca="1" si="342"/>
        <v>27.012600000000003</v>
      </c>
      <c r="H282" s="46">
        <f t="shared" ca="1" si="312"/>
        <v>28.517550000000004</v>
      </c>
      <c r="I282" s="45">
        <f t="shared" ca="1" si="313"/>
        <v>1.5109209527995384E-2</v>
      </c>
      <c r="J282" s="45">
        <f t="shared" ca="1" si="314"/>
        <v>0.27952512346894071</v>
      </c>
      <c r="K282" s="45">
        <f t="shared" ca="1" si="330"/>
        <v>0.90345467800480783</v>
      </c>
      <c r="L282" s="358">
        <f t="shared" ca="1" si="315"/>
        <v>0.24908644075501707</v>
      </c>
      <c r="M282" s="76">
        <f t="shared" ca="1" si="342"/>
        <v>0.25347808785320641</v>
      </c>
      <c r="N282" s="45">
        <f t="shared" ca="1" si="342"/>
        <v>0.25</v>
      </c>
      <c r="O282" s="45">
        <f t="shared" ca="1" si="342"/>
        <v>0</v>
      </c>
      <c r="P282" s="46" t="str">
        <f t="shared" ca="1" si="342"/>
        <v/>
      </c>
      <c r="Q282" s="243" t="str">
        <f t="shared" ca="1" si="342"/>
        <v/>
      </c>
      <c r="R282" s="45">
        <f t="shared" ca="1" si="331"/>
        <v>0.15418210441911873</v>
      </c>
      <c r="S282" s="45">
        <f t="shared" ca="1" si="266"/>
        <v>5.0695617570641283E-2</v>
      </c>
      <c r="T282" s="77">
        <f t="shared" ca="1" si="316"/>
        <v>1.9291377207575763E-3</v>
      </c>
      <c r="U282" s="45">
        <f t="shared" ca="1" si="332"/>
        <v>16.768161584687547</v>
      </c>
      <c r="V282" s="45">
        <f t="shared" ca="1" si="317"/>
        <v>0.20278247028256513</v>
      </c>
      <c r="W282" s="77">
        <f t="shared" ca="1" si="318"/>
        <v>6.3326455784017089E-3</v>
      </c>
      <c r="X282" s="45">
        <f t="shared" ca="1" si="333"/>
        <v>0.99156205594863855</v>
      </c>
      <c r="Y282" s="45">
        <f t="shared" ca="1" si="319"/>
        <v>8.3050329202186092E-4</v>
      </c>
      <c r="Z282" s="77">
        <f t="shared" ca="1" si="320"/>
        <v>8.2365225988356564E-4</v>
      </c>
      <c r="AA282" s="45">
        <f t="shared" ca="1" si="334"/>
        <v>39.125378695784761</v>
      </c>
      <c r="AB282" s="45">
        <f t="shared" ca="1" si="321"/>
        <v>0</v>
      </c>
      <c r="AC282" s="45" cm="1">
        <f t="array" aca="1" ref="AC282" ca="1">pHUM*(T282+W282+Z282+AD282)</f>
        <v>9.7706269649630692E-4</v>
      </c>
      <c r="AD282" s="77">
        <f t="shared" ca="1" si="322"/>
        <v>9.8524350236795606E-4</v>
      </c>
      <c r="AE282" s="45">
        <f t="shared" ca="1" si="335"/>
        <v>6.3847072090583081</v>
      </c>
      <c r="AF282" s="45">
        <f t="shared" ca="1" si="323"/>
        <v>0</v>
      </c>
      <c r="AG282" s="76">
        <f t="shared" ca="1" si="324"/>
        <v>63.423991649898369</v>
      </c>
      <c r="AH282" s="45">
        <f t="shared" ca="1" si="325"/>
        <v>8.2631130728926406E-3</v>
      </c>
      <c r="AI282" s="77">
        <f t="shared" ca="1" si="326"/>
        <v>1.1701303947729551E-2</v>
      </c>
      <c r="AJ282" s="384">
        <f t="shared" ca="1" si="328"/>
        <v>9.2947349321648165E-3</v>
      </c>
      <c r="AU282" s="1"/>
    </row>
    <row r="283" spans="3:47" x14ac:dyDescent="0.25">
      <c r="C283" s="10">
        <f t="shared" si="264"/>
        <v>16</v>
      </c>
      <c r="D283" s="91">
        <f t="shared" si="336"/>
        <v>1</v>
      </c>
      <c r="E283" s="278"/>
      <c r="F283" s="76">
        <f t="shared" ref="F283:Q283" ca="1" si="343">F211</f>
        <v>-7.32</v>
      </c>
      <c r="G283" s="46">
        <f t="shared" ca="1" si="343"/>
        <v>27.012600000000003</v>
      </c>
      <c r="H283" s="46">
        <f t="shared" ca="1" si="312"/>
        <v>28.517550000000004</v>
      </c>
      <c r="I283" s="45">
        <f t="shared" ca="1" si="313"/>
        <v>1.2903599790233234E-3</v>
      </c>
      <c r="J283" s="45">
        <f t="shared" ca="1" si="314"/>
        <v>0.27952512346894071</v>
      </c>
      <c r="K283" s="45">
        <f t="shared" ca="1" si="330"/>
        <v>0.90345467800480783</v>
      </c>
      <c r="L283" s="358">
        <f t="shared" ca="1" si="315"/>
        <v>0.15974615302556239</v>
      </c>
      <c r="M283" s="76">
        <f t="shared" ca="1" si="343"/>
        <v>0.25347808785320641</v>
      </c>
      <c r="N283" s="45">
        <f t="shared" ca="1" si="343"/>
        <v>0.25</v>
      </c>
      <c r="O283" s="45">
        <f t="shared" ca="1" si="343"/>
        <v>0</v>
      </c>
      <c r="P283" s="46" t="str">
        <f t="shared" ca="1" si="343"/>
        <v/>
      </c>
      <c r="Q283" s="243" t="str">
        <f t="shared" ca="1" si="343"/>
        <v/>
      </c>
      <c r="R283" s="45">
        <f t="shared" ca="1" si="331"/>
        <v>0.20294858426900242</v>
      </c>
      <c r="S283" s="45">
        <f t="shared" ca="1" si="266"/>
        <v>5.0695617570641283E-2</v>
      </c>
      <c r="T283" s="77">
        <f t="shared" ca="1" si="316"/>
        <v>2.1811331947600471E-4</v>
      </c>
      <c r="U283" s="45">
        <f t="shared" ca="1" si="332"/>
        <v>16.964611409391711</v>
      </c>
      <c r="V283" s="45">
        <f t="shared" ca="1" si="317"/>
        <v>0.20278247028256513</v>
      </c>
      <c r="W283" s="77">
        <f t="shared" ca="1" si="318"/>
        <v>5.472525636016542E-4</v>
      </c>
      <c r="X283" s="45">
        <f t="shared" ca="1" si="333"/>
        <v>0.99156890698077682</v>
      </c>
      <c r="Y283" s="45">
        <f t="shared" ca="1" si="319"/>
        <v>7.5859979732218849E-5</v>
      </c>
      <c r="Z283" s="77">
        <f t="shared" ca="1" si="320"/>
        <v>7.0368948806036344E-5</v>
      </c>
      <c r="AA283" s="45">
        <f t="shared" ca="1" si="334"/>
        <v>39.12537051497889</v>
      </c>
      <c r="AB283" s="45">
        <f t="shared" ca="1" si="321"/>
        <v>0</v>
      </c>
      <c r="AC283" s="45" cm="1">
        <f t="array" aca="1" ref="AC283" ca="1">pHUM*(T283+W283+Z283+AD283)</f>
        <v>8.9247034979080987E-5</v>
      </c>
      <c r="AD283" s="77">
        <f t="shared" ca="1" si="322"/>
        <v>8.4142929983376449E-5</v>
      </c>
      <c r="AE283" s="45">
        <f t="shared" ca="1" si="335"/>
        <v>6.3847072090583081</v>
      </c>
      <c r="AF283" s="45">
        <f t="shared" ca="1" si="323"/>
        <v>0</v>
      </c>
      <c r="AG283" s="76">
        <f t="shared" ca="1" si="324"/>
        <v>63.669206624678687</v>
      </c>
      <c r="AH283" s="45">
        <f t="shared" ca="1" si="325"/>
        <v>7.5477074715577202E-4</v>
      </c>
      <c r="AI283" s="77">
        <f t="shared" ca="1" si="326"/>
        <v>1.2446374734432702E-2</v>
      </c>
      <c r="AJ283" s="384">
        <f t="shared" ca="1" si="328"/>
        <v>6.3405532294769085E-3</v>
      </c>
      <c r="AU283" s="1"/>
    </row>
    <row r="284" spans="3:47" x14ac:dyDescent="0.25">
      <c r="C284" s="10">
        <f t="shared" si="264"/>
        <v>16</v>
      </c>
      <c r="D284" s="91">
        <f t="shared" si="336"/>
        <v>2</v>
      </c>
      <c r="E284" s="278"/>
      <c r="F284" s="76">
        <f t="shared" ref="F284:Q284" ca="1" si="344">F212</f>
        <v>-7.56</v>
      </c>
      <c r="G284" s="46">
        <f t="shared" ca="1" si="344"/>
        <v>27.012600000000003</v>
      </c>
      <c r="H284" s="46">
        <f t="shared" ca="1" si="312"/>
        <v>28.517550000000004</v>
      </c>
      <c r="I284" s="45">
        <f t="shared" ca="1" si="313"/>
        <v>1.0386103497602255E-3</v>
      </c>
      <c r="J284" s="45">
        <f t="shared" ca="1" si="314"/>
        <v>0.27952512346894071</v>
      </c>
      <c r="K284" s="45">
        <f t="shared" ca="1" si="330"/>
        <v>0.90345467800480783</v>
      </c>
      <c r="L284" s="358">
        <f t="shared" ca="1" si="315"/>
        <v>0.15499691161362872</v>
      </c>
      <c r="M284" s="76">
        <f t="shared" ca="1" si="344"/>
        <v>0.25347808785320641</v>
      </c>
      <c r="N284" s="45">
        <f t="shared" ca="1" si="344"/>
        <v>0.25</v>
      </c>
      <c r="O284" s="45">
        <f t="shared" ca="1" si="344"/>
        <v>0</v>
      </c>
      <c r="P284" s="46" t="str">
        <f t="shared" ca="1" si="344"/>
        <v/>
      </c>
      <c r="Q284" s="243" t="str">
        <f t="shared" ca="1" si="344"/>
        <v/>
      </c>
      <c r="R284" s="45">
        <f t="shared" ca="1" si="331"/>
        <v>0.25342608852016768</v>
      </c>
      <c r="S284" s="45">
        <f t="shared" ca="1" si="266"/>
        <v>5.0695617570641283E-2</v>
      </c>
      <c r="T284" s="77">
        <f t="shared" ca="1" si="316"/>
        <v>2.1924757134496564E-4</v>
      </c>
      <c r="U284" s="45">
        <f t="shared" ca="1" si="332"/>
        <v>17.166846627110672</v>
      </c>
      <c r="V284" s="45">
        <f t="shared" ca="1" si="317"/>
        <v>0.20278247028256513</v>
      </c>
      <c r="W284" s="77">
        <f t="shared" ca="1" si="318"/>
        <v>4.4573582764422827E-4</v>
      </c>
      <c r="X284" s="45">
        <f t="shared" ca="1" si="333"/>
        <v>0.991574398011703</v>
      </c>
      <c r="Y284" s="45">
        <f t="shared" ca="1" si="319"/>
        <v>6.509574417258186E-5</v>
      </c>
      <c r="Z284" s="77">
        <f t="shared" ca="1" si="320"/>
        <v>5.6640651004784483E-5</v>
      </c>
      <c r="AA284" s="45">
        <f t="shared" ca="1" si="334"/>
        <v>39.125375619083883</v>
      </c>
      <c r="AB284" s="45">
        <f t="shared" ca="1" si="321"/>
        <v>0</v>
      </c>
      <c r="AC284" s="45" cm="1">
        <f t="array" aca="1" ref="AC284" ca="1">pHUM*(T284+W284+Z284+AD284)</f>
        <v>7.65832284383316E-5</v>
      </c>
      <c r="AD284" s="77">
        <f t="shared" ca="1" si="322"/>
        <v>6.7726641476271212E-5</v>
      </c>
      <c r="AE284" s="45">
        <f t="shared" ca="1" si="335"/>
        <v>6.3847072090583081</v>
      </c>
      <c r="AF284" s="45">
        <f t="shared" ca="1" si="323"/>
        <v>0</v>
      </c>
      <c r="AG284" s="76">
        <f t="shared" ca="1" si="324"/>
        <v>63.921929941784732</v>
      </c>
      <c r="AH284" s="45">
        <f t="shared" ca="1" si="325"/>
        <v>6.4767171885933637E-4</v>
      </c>
      <c r="AI284" s="77">
        <f t="shared" ca="1" si="326"/>
        <v>1.3210667597992214E-2</v>
      </c>
      <c r="AJ284" s="384">
        <f t="shared" ca="1" si="328"/>
        <v>6.5298259316182161E-3</v>
      </c>
      <c r="AU284" s="1"/>
    </row>
    <row r="285" spans="3:47" x14ac:dyDescent="0.25">
      <c r="C285" s="10">
        <f t="shared" si="264"/>
        <v>16</v>
      </c>
      <c r="D285" s="91">
        <f t="shared" si="336"/>
        <v>3</v>
      </c>
      <c r="E285" s="278"/>
      <c r="F285" s="76">
        <f t="shared" ref="F285:Q285" ca="1" si="345">F213</f>
        <v>-3.72</v>
      </c>
      <c r="G285" s="46">
        <f t="shared" ca="1" si="345"/>
        <v>27.012600000000003</v>
      </c>
      <c r="H285" s="46">
        <f t="shared" ca="1" si="312"/>
        <v>28.517550000000004</v>
      </c>
      <c r="I285" s="45">
        <f t="shared" ca="1" si="313"/>
        <v>1.416534540335657E-2</v>
      </c>
      <c r="J285" s="45">
        <f t="shared" ca="1" si="314"/>
        <v>0.27952512346894071</v>
      </c>
      <c r="K285" s="45">
        <f t="shared" ca="1" si="330"/>
        <v>0.90345467800480783</v>
      </c>
      <c r="L285" s="358">
        <f t="shared" ca="1" si="315"/>
        <v>0.24547574864616473</v>
      </c>
      <c r="M285" s="76">
        <f t="shared" ca="1" si="345"/>
        <v>0.25347808785320641</v>
      </c>
      <c r="N285" s="45">
        <f t="shared" ca="1" si="345"/>
        <v>0.25</v>
      </c>
      <c r="O285" s="45">
        <f t="shared" ca="1" si="345"/>
        <v>0</v>
      </c>
      <c r="P285" s="46" t="str">
        <f t="shared" ca="1" si="345"/>
        <v/>
      </c>
      <c r="Q285" s="243" t="str">
        <f t="shared" ca="1" si="345"/>
        <v/>
      </c>
      <c r="R285" s="45">
        <f t="shared" ca="1" si="331"/>
        <v>0.30390245851946401</v>
      </c>
      <c r="S285" s="45">
        <f t="shared" ca="1" si="266"/>
        <v>5.0695617570641283E-2</v>
      </c>
      <c r="T285" s="77">
        <f t="shared" ca="1" si="316"/>
        <v>3.5663121478739478E-3</v>
      </c>
      <c r="U285" s="45">
        <f t="shared" ca="1" si="332"/>
        <v>17.369183361565593</v>
      </c>
      <c r="V285" s="45">
        <f t="shared" ca="1" si="317"/>
        <v>0.20278247028256513</v>
      </c>
      <c r="W285" s="77">
        <f t="shared" ca="1" si="318"/>
        <v>6.1499230306992546E-3</v>
      </c>
      <c r="X285" s="45">
        <f t="shared" ca="1" si="333"/>
        <v>0.99158285310487082</v>
      </c>
      <c r="Y285" s="45">
        <f t="shared" ca="1" si="319"/>
        <v>9.4113241594323419E-4</v>
      </c>
      <c r="Z285" s="77">
        <f t="shared" ca="1" si="320"/>
        <v>7.7223538752630935E-4</v>
      </c>
      <c r="AA285" s="45">
        <f t="shared" ca="1" si="334"/>
        <v>39.125384475670849</v>
      </c>
      <c r="AB285" s="45">
        <f t="shared" ca="1" si="321"/>
        <v>0</v>
      </c>
      <c r="AC285" s="45" cm="1">
        <f t="array" aca="1" ref="AC285" ca="1">pHUM*(T285+W285+Z285+AD285)</f>
        <v>1.1072146069920402E-3</v>
      </c>
      <c r="AD285" s="77">
        <f t="shared" ca="1" si="322"/>
        <v>9.236967381151172E-4</v>
      </c>
      <c r="AE285" s="45">
        <f t="shared" ca="1" si="335"/>
        <v>6.3847072090583081</v>
      </c>
      <c r="AF285" s="45">
        <f t="shared" ca="1" si="323"/>
        <v>0</v>
      </c>
      <c r="AG285" s="76">
        <f t="shared" ca="1" si="324"/>
        <v>64.174760357919084</v>
      </c>
      <c r="AH285" s="45">
        <f t="shared" ca="1" si="325"/>
        <v>9.3638202812793541E-3</v>
      </c>
      <c r="AI285" s="77">
        <f t="shared" ca="1" si="326"/>
        <v>1.3968280350476869E-2</v>
      </c>
      <c r="AJ285" s="384">
        <f t="shared" ca="1" si="328"/>
        <v>1.093461573970389E-2</v>
      </c>
      <c r="AU285" s="1"/>
    </row>
    <row r="286" spans="3:47" x14ac:dyDescent="0.25">
      <c r="C286" s="10">
        <f t="shared" si="264"/>
        <v>16</v>
      </c>
      <c r="D286" s="91">
        <f t="shared" si="336"/>
        <v>4</v>
      </c>
      <c r="E286" s="278"/>
      <c r="F286" s="76">
        <f t="shared" ref="F286:Q286" ca="1" si="346">F214</f>
        <v>5.88</v>
      </c>
      <c r="G286" s="46">
        <f t="shared" ca="1" si="346"/>
        <v>27.012600000000003</v>
      </c>
      <c r="H286" s="46">
        <f t="shared" ca="1" si="312"/>
        <v>28.517550000000004</v>
      </c>
      <c r="I286" s="45">
        <f t="shared" ca="1" si="313"/>
        <v>0.2538659245156123</v>
      </c>
      <c r="J286" s="45">
        <f t="shared" ca="1" si="314"/>
        <v>0.27952512346894071</v>
      </c>
      <c r="K286" s="45">
        <f t="shared" ca="1" si="330"/>
        <v>0.90345467800480783</v>
      </c>
      <c r="L286" s="358">
        <f t="shared" ca="1" si="315"/>
        <v>0.57663575359475594</v>
      </c>
      <c r="M286" s="76">
        <f t="shared" ca="1" si="346"/>
        <v>0.25347808785320641</v>
      </c>
      <c r="N286" s="45">
        <f t="shared" ca="1" si="346"/>
        <v>0.25</v>
      </c>
      <c r="O286" s="45">
        <f t="shared" ca="1" si="346"/>
        <v>0</v>
      </c>
      <c r="P286" s="46" t="str">
        <f t="shared" ca="1" si="346"/>
        <v/>
      </c>
      <c r="Q286" s="243" t="str">
        <f t="shared" ca="1" si="346"/>
        <v/>
      </c>
      <c r="R286" s="45">
        <f t="shared" ca="1" si="331"/>
        <v>0.35103176394223135</v>
      </c>
      <c r="S286" s="45">
        <f t="shared" ca="1" si="266"/>
        <v>5.0695617570641283E-2</v>
      </c>
      <c r="T286" s="77">
        <f t="shared" ca="1" si="316"/>
        <v>6.6933045521027232E-2</v>
      </c>
      <c r="U286" s="45">
        <f t="shared" ca="1" si="332"/>
        <v>17.565815908817459</v>
      </c>
      <c r="V286" s="45">
        <f t="shared" ca="1" si="317"/>
        <v>0.20278247028256513</v>
      </c>
      <c r="W286" s="77">
        <f t="shared" ca="1" si="318"/>
        <v>0.11113102460625378</v>
      </c>
      <c r="X286" s="45">
        <f t="shared" ca="1" si="333"/>
        <v>0.99175175013328765</v>
      </c>
      <c r="Y286" s="45">
        <f t="shared" ca="1" si="319"/>
        <v>1.7183431962118634E-2</v>
      </c>
      <c r="Z286" s="77">
        <f t="shared" ca="1" si="320"/>
        <v>1.3751233551885676E-2</v>
      </c>
      <c r="AA286" s="45">
        <f t="shared" ca="1" si="334"/>
        <v>39.125567993539725</v>
      </c>
      <c r="AB286" s="45">
        <f t="shared" ca="1" si="321"/>
        <v>0</v>
      </c>
      <c r="AC286" s="45" cm="1">
        <f t="array" aca="1" ref="AC286" ca="1">pHUM*(T286+W286+Z286+AD286)</f>
        <v>2.0215802308374865E-2</v>
      </c>
      <c r="AD286" s="77">
        <f t="shared" ca="1" si="322"/>
        <v>1.6550912477301331E-2</v>
      </c>
      <c r="AE286" s="45">
        <f t="shared" ca="1" si="335"/>
        <v>6.3847072090583081</v>
      </c>
      <c r="AF286" s="45">
        <f t="shared" ca="1" si="323"/>
        <v>0</v>
      </c>
      <c r="AG286" s="76">
        <f t="shared" ca="1" si="324"/>
        <v>64.418874625491014</v>
      </c>
      <c r="AH286" s="45">
        <f t="shared" ca="1" si="325"/>
        <v>0.17096698188597453</v>
      </c>
      <c r="AI286" s="77">
        <f t="shared" ca="1" si="326"/>
        <v>1.4671141705356369E-2</v>
      </c>
      <c r="AJ286" s="384">
        <f t="shared" ca="1" si="328"/>
        <v>2.6978071101225742E-2</v>
      </c>
      <c r="AU286" s="1"/>
    </row>
    <row r="287" spans="3:47" x14ac:dyDescent="0.25">
      <c r="C287" s="10">
        <f t="shared" si="264"/>
        <v>16</v>
      </c>
      <c r="D287" s="91">
        <f t="shared" si="336"/>
        <v>5</v>
      </c>
      <c r="E287" s="278"/>
      <c r="F287" s="76">
        <f t="shared" ref="F287:Q287" ca="1" si="347">F215</f>
        <v>13.3</v>
      </c>
      <c r="G287" s="46">
        <f t="shared" ca="1" si="347"/>
        <v>27.012600000000003</v>
      </c>
      <c r="H287" s="46">
        <f t="shared" ca="1" si="312"/>
        <v>28.517550000000004</v>
      </c>
      <c r="I287" s="45">
        <f t="shared" ca="1" si="313"/>
        <v>0.69725265541392489</v>
      </c>
      <c r="J287" s="45">
        <f t="shared" ca="1" si="314"/>
        <v>0.27952512346894071</v>
      </c>
      <c r="K287" s="45">
        <f t="shared" ca="1" si="330"/>
        <v>0.90345467800480783</v>
      </c>
      <c r="L287" s="358">
        <f t="shared" ca="1" si="315"/>
        <v>0.80399103068855049</v>
      </c>
      <c r="M287" s="76">
        <f t="shared" ca="1" si="347"/>
        <v>0.25347808785320641</v>
      </c>
      <c r="N287" s="45">
        <f t="shared" ca="1" si="347"/>
        <v>0.25</v>
      </c>
      <c r="O287" s="45">
        <f t="shared" ca="1" si="347"/>
        <v>0</v>
      </c>
      <c r="P287" s="46" t="str">
        <f t="shared" ca="1" si="347"/>
        <v/>
      </c>
      <c r="Q287" s="243" t="str">
        <f t="shared" ca="1" si="347"/>
        <v/>
      </c>
      <c r="R287" s="45">
        <f t="shared" ca="1" si="331"/>
        <v>0.33479433599184538</v>
      </c>
      <c r="S287" s="45">
        <f t="shared" ca="1" si="266"/>
        <v>5.0695617570641283E-2</v>
      </c>
      <c r="T287" s="77">
        <f t="shared" ca="1" si="316"/>
        <v>0.14753910809057297</v>
      </c>
      <c r="U287" s="45">
        <f t="shared" ca="1" si="332"/>
        <v>17.657467354493768</v>
      </c>
      <c r="V287" s="45">
        <f t="shared" ca="1" si="317"/>
        <v>0.20278247028256513</v>
      </c>
      <c r="W287" s="77">
        <f t="shared" ca="1" si="318"/>
        <v>0.30512580180527893</v>
      </c>
      <c r="X287" s="45">
        <f t="shared" ca="1" si="333"/>
        <v>0.99518394854352055</v>
      </c>
      <c r="Y287" s="45">
        <f t="shared" ca="1" si="319"/>
        <v>4.4165594617499498E-2</v>
      </c>
      <c r="Z287" s="77">
        <f t="shared" ca="1" si="320"/>
        <v>3.7441693500055821E-2</v>
      </c>
      <c r="AA287" s="45">
        <f t="shared" ca="1" si="334"/>
        <v>39.129232883370804</v>
      </c>
      <c r="AB287" s="45">
        <f t="shared" ca="1" si="321"/>
        <v>0</v>
      </c>
      <c r="AC287" s="45" cm="1">
        <f t="array" aca="1" ref="AC287" ca="1">pHUM*(T287+W287+Z287+AD287)</f>
        <v>5.1959523079411173E-2</v>
      </c>
      <c r="AD287" s="77">
        <f t="shared" ca="1" si="322"/>
        <v>4.5445191788911835E-2</v>
      </c>
      <c r="AE287" s="45">
        <f t="shared" ca="1" si="335"/>
        <v>6.3847072090583081</v>
      </c>
      <c r="AF287" s="45">
        <f t="shared" ca="1" si="323"/>
        <v>0</v>
      </c>
      <c r="AG287" s="76">
        <f t="shared" ca="1" si="324"/>
        <v>64.501385731458242</v>
      </c>
      <c r="AH287" s="45">
        <f t="shared" ca="1" si="325"/>
        <v>0.43942667748790892</v>
      </c>
      <c r="AI287" s="77">
        <f t="shared" ca="1" si="326"/>
        <v>1.4460263224445711E-2</v>
      </c>
      <c r="AJ287" s="384">
        <f t="shared" ca="1" si="328"/>
        <v>3.7073934821861831E-2</v>
      </c>
      <c r="AU287" s="1"/>
    </row>
    <row r="288" spans="3:47" x14ac:dyDescent="0.25">
      <c r="C288" s="10">
        <f t="shared" si="264"/>
        <v>16</v>
      </c>
      <c r="D288" s="91">
        <f t="shared" si="336"/>
        <v>6</v>
      </c>
      <c r="E288" s="278"/>
      <c r="F288" s="76">
        <f t="shared" ref="F288:Q288" ca="1" si="348">F216</f>
        <v>18.579999999999998</v>
      </c>
      <c r="G288" s="46">
        <f t="shared" ca="1" si="348"/>
        <v>27.012600000000003</v>
      </c>
      <c r="H288" s="46">
        <f t="shared" ca="1" si="312"/>
        <v>28.517550000000004</v>
      </c>
      <c r="I288" s="45">
        <f t="shared" ca="1" si="313"/>
        <v>1.1053966357180092</v>
      </c>
      <c r="J288" s="45">
        <f t="shared" ca="1" si="314"/>
        <v>0.27952512346894071</v>
      </c>
      <c r="K288" s="45">
        <f t="shared" ca="1" si="330"/>
        <v>0.90345467800480783</v>
      </c>
      <c r="L288" s="358">
        <f t="shared" ca="1" si="315"/>
        <v>0.89864190578209513</v>
      </c>
      <c r="M288" s="76">
        <f t="shared" ca="1" si="348"/>
        <v>0.25347808785320641</v>
      </c>
      <c r="N288" s="45">
        <f t="shared" ca="1" si="348"/>
        <v>0.25</v>
      </c>
      <c r="O288" s="45">
        <f t="shared" ca="1" si="348"/>
        <v>0</v>
      </c>
      <c r="P288" s="46" t="str">
        <f t="shared" ca="1" si="348"/>
        <v/>
      </c>
      <c r="Q288" s="243" t="str">
        <f t="shared" ca="1" si="348"/>
        <v/>
      </c>
      <c r="R288" s="45">
        <f t="shared" ca="1" si="331"/>
        <v>0.2379508454719137</v>
      </c>
      <c r="S288" s="45">
        <f t="shared" ca="1" si="266"/>
        <v>5.0695617570641283E-2</v>
      </c>
      <c r="T288" s="77">
        <f t="shared" ca="1" si="316"/>
        <v>0.14323320525148991</v>
      </c>
      <c r="U288" s="45">
        <f t="shared" ca="1" si="332"/>
        <v>17.555124022971054</v>
      </c>
      <c r="V288" s="45">
        <f t="shared" ca="1" si="317"/>
        <v>0.20278247028256513</v>
      </c>
      <c r="W288" s="77">
        <f t="shared" ca="1" si="318"/>
        <v>0.47849237636771946</v>
      </c>
      <c r="X288" s="45">
        <f t="shared" ca="1" si="333"/>
        <v>1.0019078496609641</v>
      </c>
      <c r="Y288" s="45">
        <f t="shared" ca="1" si="319"/>
        <v>6.2086300631135051E-2</v>
      </c>
      <c r="Z288" s="77">
        <f t="shared" ca="1" si="320"/>
        <v>5.9098115216784083E-2</v>
      </c>
      <c r="AA288" s="45">
        <f t="shared" ca="1" si="334"/>
        <v>39.135747214661301</v>
      </c>
      <c r="AB288" s="45">
        <f t="shared" ca="1" si="321"/>
        <v>0</v>
      </c>
      <c r="AC288" s="45" cm="1">
        <f t="array" aca="1" ref="AC288" ca="1">pHUM*(T288+W288+Z288+AD288)</f>
        <v>7.304270662486477E-2</v>
      </c>
      <c r="AD288" s="77">
        <f t="shared" ca="1" si="322"/>
        <v>7.2034496229387193E-2</v>
      </c>
      <c r="AE288" s="45">
        <f t="shared" ca="1" si="335"/>
        <v>6.3847072090583081</v>
      </c>
      <c r="AF288" s="45">
        <f t="shared" ca="1" si="323"/>
        <v>0</v>
      </c>
      <c r="AG288" s="76">
        <f t="shared" ca="1" si="324"/>
        <v>64.315437141823537</v>
      </c>
      <c r="AH288" s="45">
        <f t="shared" ca="1" si="325"/>
        <v>0.61772918580938085</v>
      </c>
      <c r="AI288" s="77">
        <f t="shared" ca="1" si="326"/>
        <v>1.3075990062081974E-2</v>
      </c>
      <c r="AJ288" s="384">
        <f t="shared" ca="1" si="328"/>
        <v>3.74716110471085E-2</v>
      </c>
      <c r="AU288" s="1"/>
    </row>
    <row r="289" spans="3:47" x14ac:dyDescent="0.25">
      <c r="C289" s="10">
        <f t="shared" si="264"/>
        <v>16</v>
      </c>
      <c r="D289" s="91">
        <f t="shared" si="336"/>
        <v>7</v>
      </c>
      <c r="E289" s="278"/>
      <c r="F289" s="76">
        <f t="shared" ref="F289:Q289" ca="1" si="349">F217</f>
        <v>20.88</v>
      </c>
      <c r="G289" s="46">
        <f t="shared" ca="1" si="349"/>
        <v>27.012600000000003</v>
      </c>
      <c r="H289" s="46">
        <f t="shared" ca="1" si="312"/>
        <v>28.517550000000004</v>
      </c>
      <c r="I289" s="45">
        <f t="shared" ca="1" si="313"/>
        <v>1.2963209464812457</v>
      </c>
      <c r="J289" s="45">
        <f t="shared" ca="1" si="314"/>
        <v>0.27952512346894071</v>
      </c>
      <c r="K289" s="45">
        <f t="shared" ca="1" si="330"/>
        <v>0.90345467800480783</v>
      </c>
      <c r="L289" s="358">
        <f t="shared" ca="1" si="315"/>
        <v>0.92456370800230281</v>
      </c>
      <c r="M289" s="76">
        <f t="shared" ca="1" si="349"/>
        <v>0.25347808785320641</v>
      </c>
      <c r="N289" s="45">
        <f t="shared" ca="1" si="349"/>
        <v>0.25</v>
      </c>
      <c r="O289" s="45">
        <f t="shared" ca="1" si="349"/>
        <v>0</v>
      </c>
      <c r="P289" s="46" t="str">
        <f t="shared" ca="1" si="349"/>
        <v/>
      </c>
      <c r="Q289" s="243" t="str">
        <f t="shared" ca="1" si="349"/>
        <v/>
      </c>
      <c r="R289" s="45">
        <f t="shared" ca="1" si="331"/>
        <v>0.14541325779106506</v>
      </c>
      <c r="S289" s="45">
        <f t="shared" ca="1" si="266"/>
        <v>5.0695617570641283E-2</v>
      </c>
      <c r="T289" s="77">
        <f t="shared" ca="1" si="316"/>
        <v>9.6044771709889135E-2</v>
      </c>
      <c r="U289" s="45">
        <f t="shared" ca="1" si="332"/>
        <v>17.279414116885899</v>
      </c>
      <c r="V289" s="45">
        <f t="shared" ca="1" si="317"/>
        <v>0.20278247028256513</v>
      </c>
      <c r="W289" s="77">
        <f t="shared" ca="1" si="318"/>
        <v>0.55101478565379414</v>
      </c>
      <c r="X289" s="45">
        <f t="shared" ca="1" si="333"/>
        <v>1.0048960350753151</v>
      </c>
      <c r="Y289" s="45">
        <f t="shared" ca="1" si="319"/>
        <v>6.6029783369124087E-2</v>
      </c>
      <c r="Z289" s="77">
        <f t="shared" ca="1" si="320"/>
        <v>6.9152240373408697E-2</v>
      </c>
      <c r="AA289" s="45">
        <f t="shared" ca="1" si="334"/>
        <v>39.136755425056784</v>
      </c>
      <c r="AB289" s="45">
        <f t="shared" ca="1" si="321"/>
        <v>0</v>
      </c>
      <c r="AC289" s="45" cm="1">
        <f t="array" aca="1" ref="AC289" ca="1">pHUM*(T289+W289+Z289+AD289)</f>
        <v>7.7682098081322468E-2</v>
      </c>
      <c r="AD289" s="77">
        <f t="shared" ca="1" si="322"/>
        <v>8.4465048691863567E-2</v>
      </c>
      <c r="AE289" s="45">
        <f t="shared" ca="1" si="335"/>
        <v>6.3847072090583081</v>
      </c>
      <c r="AF289" s="45">
        <f t="shared" ca="1" si="323"/>
        <v>0</v>
      </c>
      <c r="AG289" s="76">
        <f t="shared" ca="1" si="324"/>
        <v>63.951186043867366</v>
      </c>
      <c r="AH289" s="45">
        <f t="shared" ca="1" si="325"/>
        <v>0.65696496497850909</v>
      </c>
      <c r="AI289" s="77">
        <f t="shared" ca="1" si="326"/>
        <v>1.1702301218018206E-2</v>
      </c>
      <c r="AJ289" s="384">
        <f t="shared" ca="1" si="328"/>
        <v>3.4502490740601077E-2</v>
      </c>
      <c r="AU289" s="1"/>
    </row>
    <row r="290" spans="3:47" x14ac:dyDescent="0.25">
      <c r="C290" s="10">
        <f t="shared" si="264"/>
        <v>16</v>
      </c>
      <c r="D290" s="91">
        <f t="shared" si="336"/>
        <v>8</v>
      </c>
      <c r="E290" s="278"/>
      <c r="F290" s="76">
        <f t="shared" ref="F290:Q290" ca="1" si="350">F218</f>
        <v>19.38</v>
      </c>
      <c r="G290" s="46">
        <f t="shared" ca="1" si="350"/>
        <v>27.012600000000003</v>
      </c>
      <c r="H290" s="46">
        <f t="shared" ca="1" si="312"/>
        <v>28.517550000000004</v>
      </c>
      <c r="I290" s="45">
        <f t="shared" ca="1" si="313"/>
        <v>1.1711755949831784</v>
      </c>
      <c r="J290" s="45">
        <f t="shared" ca="1" si="314"/>
        <v>0.27952512346894071</v>
      </c>
      <c r="K290" s="45">
        <f t="shared" ca="1" si="330"/>
        <v>0.90345467800480783</v>
      </c>
      <c r="L290" s="358">
        <f t="shared" ca="1" si="315"/>
        <v>0.9085593811553081</v>
      </c>
      <c r="M290" s="76">
        <f t="shared" ca="1" si="350"/>
        <v>0.25347808785320641</v>
      </c>
      <c r="N290" s="45">
        <f t="shared" ca="1" si="350"/>
        <v>0.25</v>
      </c>
      <c r="O290" s="45">
        <f t="shared" ca="1" si="350"/>
        <v>0</v>
      </c>
      <c r="P290" s="46" t="str">
        <f t="shared" ca="1" si="350"/>
        <v/>
      </c>
      <c r="Q290" s="243" t="str">
        <f t="shared" ca="1" si="350"/>
        <v/>
      </c>
      <c r="R290" s="45">
        <f t="shared" ca="1" si="331"/>
        <v>0.10006410365181721</v>
      </c>
      <c r="S290" s="45">
        <f t="shared" ca="1" si="266"/>
        <v>5.0695617570641283E-2</v>
      </c>
      <c r="T290" s="77">
        <f t="shared" ca="1" si="316"/>
        <v>6.2357646589744672E-2</v>
      </c>
      <c r="U290" s="45">
        <f t="shared" ca="1" si="332"/>
        <v>16.931181801514668</v>
      </c>
      <c r="V290" s="45">
        <f t="shared" ca="1" si="317"/>
        <v>0.20278247028256513</v>
      </c>
      <c r="W290" s="77">
        <f t="shared" ca="1" si="318"/>
        <v>0.48854758396287773</v>
      </c>
      <c r="X290" s="45">
        <f t="shared" ca="1" si="333"/>
        <v>1.0017735780710306</v>
      </c>
      <c r="Y290" s="45">
        <f t="shared" ca="1" si="319"/>
        <v>5.6878247234943606E-2</v>
      </c>
      <c r="Z290" s="77">
        <f t="shared" ca="1" si="320"/>
        <v>6.2494513523259243E-2</v>
      </c>
      <c r="AA290" s="45">
        <f t="shared" ca="1" si="334"/>
        <v>39.129972474446248</v>
      </c>
      <c r="AB290" s="45">
        <f t="shared" ca="1" si="321"/>
        <v>0</v>
      </c>
      <c r="AC290" s="45" cm="1">
        <f t="array" aca="1" ref="AC290" ca="1">pHUM*(T290+W290+Z290+AD290)</f>
        <v>6.6915584982286599E-2</v>
      </c>
      <c r="AD290" s="77">
        <f t="shared" ca="1" si="322"/>
        <v>7.6305617698429237E-2</v>
      </c>
      <c r="AE290" s="45">
        <f t="shared" ca="1" si="335"/>
        <v>6.3847072090583081</v>
      </c>
      <c r="AF290" s="45">
        <f t="shared" ca="1" si="323"/>
        <v>0</v>
      </c>
      <c r="AG290" s="76">
        <f t="shared" ca="1" si="324"/>
        <v>63.547699166742071</v>
      </c>
      <c r="AH290" s="45">
        <f t="shared" ca="1" si="325"/>
        <v>0.56591152955708068</v>
      </c>
      <c r="AI290" s="77">
        <f t="shared" ca="1" si="326"/>
        <v>1.0968293369420463E-2</v>
      </c>
      <c r="AJ290" s="384">
        <f t="shared" ca="1" si="328"/>
        <v>3.1778677839834346E-2</v>
      </c>
      <c r="AU290" s="1"/>
    </row>
    <row r="291" spans="3:47" x14ac:dyDescent="0.25">
      <c r="C291" s="10">
        <f t="shared" si="264"/>
        <v>16</v>
      </c>
      <c r="D291" s="91">
        <f t="shared" si="336"/>
        <v>9</v>
      </c>
      <c r="E291" s="278"/>
      <c r="F291" s="76">
        <f t="shared" ref="F291:Q291" ca="1" si="351">F219</f>
        <v>16.57</v>
      </c>
      <c r="G291" s="46">
        <f t="shared" ca="1" si="351"/>
        <v>27.012600000000003</v>
      </c>
      <c r="H291" s="46">
        <f t="shared" ca="1" si="312"/>
        <v>28.517550000000004</v>
      </c>
      <c r="I291" s="45">
        <f t="shared" ca="1" si="313"/>
        <v>0.9439672665218134</v>
      </c>
      <c r="J291" s="45">
        <f t="shared" ca="1" si="314"/>
        <v>0.27952512346894071</v>
      </c>
      <c r="K291" s="45">
        <f t="shared" ca="1" si="330"/>
        <v>0.90345467800480783</v>
      </c>
      <c r="L291" s="358">
        <f t="shared" ca="1" si="315"/>
        <v>0.86895066774150642</v>
      </c>
      <c r="M291" s="76">
        <f t="shared" ca="1" si="351"/>
        <v>0.25347808785320641</v>
      </c>
      <c r="N291" s="45">
        <f t="shared" ca="1" si="351"/>
        <v>0.25</v>
      </c>
      <c r="O291" s="45">
        <f t="shared" ca="1" si="351"/>
        <v>0</v>
      </c>
      <c r="P291" s="46" t="str">
        <f t="shared" ca="1" si="351"/>
        <v/>
      </c>
      <c r="Q291" s="243" t="str">
        <f t="shared" ca="1" si="351"/>
        <v/>
      </c>
      <c r="R291" s="45">
        <f t="shared" ca="1" si="331"/>
        <v>8.8402074632713837E-2</v>
      </c>
      <c r="S291" s="45">
        <f t="shared" ca="1" si="266"/>
        <v>5.0695617570641283E-2</v>
      </c>
      <c r="T291" s="77">
        <f t="shared" ca="1" si="316"/>
        <v>4.8146195874830794E-2</v>
      </c>
      <c r="U291" s="45">
        <f t="shared" ca="1" si="332"/>
        <v>16.645416687834356</v>
      </c>
      <c r="V291" s="45">
        <f t="shared" ca="1" si="317"/>
        <v>0.20278247028256513</v>
      </c>
      <c r="W291" s="77">
        <f t="shared" ca="1" si="318"/>
        <v>0.38821936546986618</v>
      </c>
      <c r="X291" s="45">
        <f t="shared" ca="1" si="333"/>
        <v>0.99615731178271494</v>
      </c>
      <c r="Y291" s="45">
        <f t="shared" ca="1" si="319"/>
        <v>4.5213922374790841E-2</v>
      </c>
      <c r="Z291" s="77">
        <f t="shared" ca="1" si="320"/>
        <v>5.0399059607043439E-2</v>
      </c>
      <c r="AA291" s="45">
        <f t="shared" ca="1" si="334"/>
        <v>39.120582441730107</v>
      </c>
      <c r="AB291" s="45">
        <f t="shared" ca="1" si="321"/>
        <v>0</v>
      </c>
      <c r="AC291" s="45" cm="1">
        <f t="array" aca="1" ref="AC291" ca="1">pHUM*(T291+W291+Z291+AD291)</f>
        <v>5.3192849852695102E-2</v>
      </c>
      <c r="AD291" s="77">
        <f t="shared" ca="1" si="322"/>
        <v>6.1499191748563969E-2</v>
      </c>
      <c r="AE291" s="45">
        <f t="shared" ca="1" si="335"/>
        <v>6.3847072090583081</v>
      </c>
      <c r="AF291" s="45">
        <f t="shared" ca="1" si="323"/>
        <v>0</v>
      </c>
      <c r="AG291" s="76">
        <f t="shared" ca="1" si="324"/>
        <v>63.235265725038197</v>
      </c>
      <c r="AH291" s="45">
        <f t="shared" ca="1" si="325"/>
        <v>0.44985704047281844</v>
      </c>
      <c r="AI291" s="77">
        <f t="shared" ca="1" si="326"/>
        <v>1.0726252327599951E-2</v>
      </c>
      <c r="AJ291" s="384">
        <f t="shared" ca="1" si="328"/>
        <v>2.9722642798892807E-2</v>
      </c>
      <c r="AU291" s="1"/>
    </row>
    <row r="292" spans="3:47" x14ac:dyDescent="0.25">
      <c r="C292" s="10">
        <f t="shared" si="264"/>
        <v>16</v>
      </c>
      <c r="D292" s="91">
        <f t="shared" si="336"/>
        <v>10</v>
      </c>
      <c r="E292" s="278"/>
      <c r="F292" s="76">
        <f t="shared" ref="F292:Q292" ca="1" si="352">F220</f>
        <v>10.87</v>
      </c>
      <c r="G292" s="46">
        <f t="shared" ca="1" si="352"/>
        <v>27.012600000000003</v>
      </c>
      <c r="H292" s="46">
        <f t="shared" ca="1" si="312"/>
        <v>28.517550000000004</v>
      </c>
      <c r="I292" s="45">
        <f t="shared" ca="1" si="313"/>
        <v>0.53125146958099567</v>
      </c>
      <c r="J292" s="45">
        <f t="shared" ca="1" si="314"/>
        <v>0.27952512346894071</v>
      </c>
      <c r="K292" s="45">
        <f t="shared" ca="1" si="330"/>
        <v>0.90345467800480783</v>
      </c>
      <c r="L292" s="358">
        <f t="shared" ca="1" si="315"/>
        <v>0.74105246316705919</v>
      </c>
      <c r="M292" s="76">
        <f t="shared" ca="1" si="352"/>
        <v>0.25347808785320641</v>
      </c>
      <c r="N292" s="45">
        <f t="shared" ca="1" si="352"/>
        <v>0.25</v>
      </c>
      <c r="O292" s="45">
        <f t="shared" ca="1" si="352"/>
        <v>0</v>
      </c>
      <c r="P292" s="46" t="str">
        <f t="shared" ca="1" si="352"/>
        <v/>
      </c>
      <c r="Q292" s="243" t="str">
        <f t="shared" ca="1" si="352"/>
        <v/>
      </c>
      <c r="R292" s="45">
        <f t="shared" ca="1" si="331"/>
        <v>9.0951496328524312E-2</v>
      </c>
      <c r="S292" s="45">
        <f t="shared" ca="1" si="266"/>
        <v>5.0695617570641283E-2</v>
      </c>
      <c r="T292" s="77">
        <f t="shared" ca="1" si="316"/>
        <v>3.2533920585815154E-2</v>
      </c>
      <c r="U292" s="45">
        <f t="shared" ca="1" si="332"/>
        <v>16.459979792647054</v>
      </c>
      <c r="V292" s="45">
        <f t="shared" ca="1" si="317"/>
        <v>0.20278247028256513</v>
      </c>
      <c r="W292" s="77">
        <f t="shared" ca="1" si="318"/>
        <v>0.21716440779507465</v>
      </c>
      <c r="X292" s="45">
        <f t="shared" ca="1" si="333"/>
        <v>0.99097217455046249</v>
      </c>
      <c r="Y292" s="45">
        <f t="shared" ca="1" si="319"/>
        <v>2.57999340583683E-2</v>
      </c>
      <c r="Z292" s="77">
        <f t="shared" ca="1" si="320"/>
        <v>2.853612208685603E-2</v>
      </c>
      <c r="AA292" s="45">
        <f t="shared" ca="1" si="334"/>
        <v>39.112276099834233</v>
      </c>
      <c r="AB292" s="45">
        <f t="shared" ca="1" si="321"/>
        <v>0</v>
      </c>
      <c r="AC292" s="45" cm="1">
        <f t="array" aca="1" ref="AC292" ca="1">pHUM*(T292+W292+Z292+AD292)</f>
        <v>3.0352863598080357E-2</v>
      </c>
      <c r="AD292" s="77">
        <f t="shared" ca="1" si="322"/>
        <v>3.461543008462413E-2</v>
      </c>
      <c r="AE292" s="45">
        <f t="shared" ca="1" si="335"/>
        <v>6.3847072090583081</v>
      </c>
      <c r="AF292" s="45">
        <f t="shared" ca="1" si="323"/>
        <v>0</v>
      </c>
      <c r="AG292" s="76">
        <f t="shared" ca="1" si="324"/>
        <v>63.038886772418579</v>
      </c>
      <c r="AH292" s="45">
        <f t="shared" ca="1" si="325"/>
        <v>0.2566970828959213</v>
      </c>
      <c r="AI292" s="77">
        <f t="shared" ca="1" si="326"/>
        <v>1.0713825697145282E-2</v>
      </c>
      <c r="AJ292" s="384">
        <f t="shared" ca="1" si="328"/>
        <v>2.5318596523992154E-2</v>
      </c>
      <c r="AU292" s="1"/>
    </row>
    <row r="293" spans="3:47" x14ac:dyDescent="0.25">
      <c r="C293" s="10">
        <f t="shared" ref="C293:C356" si="353">IF(D293=1,C292+1,C292)</f>
        <v>16</v>
      </c>
      <c r="D293" s="91">
        <f t="shared" si="336"/>
        <v>11</v>
      </c>
      <c r="E293" s="278"/>
      <c r="F293" s="76">
        <f t="shared" ref="F293:Q293" ca="1" si="354">F221</f>
        <v>1.4</v>
      </c>
      <c r="G293" s="46">
        <f t="shared" ca="1" si="354"/>
        <v>28.536243189942063</v>
      </c>
      <c r="H293" s="46">
        <f t="shared" ca="1" si="312"/>
        <v>26.993906810057943</v>
      </c>
      <c r="I293" s="45">
        <f t="shared" ca="1" si="313"/>
        <v>9.940372096718314E-2</v>
      </c>
      <c r="J293" s="45">
        <f t="shared" ca="1" si="314"/>
        <v>0.28648639837560558</v>
      </c>
      <c r="K293" s="45">
        <f t="shared" ca="1" si="330"/>
        <v>0.92595425264501963</v>
      </c>
      <c r="L293" s="358">
        <f t="shared" ca="1" si="315"/>
        <v>0.41120226021724715</v>
      </c>
      <c r="M293" s="76">
        <f t="shared" ca="1" si="354"/>
        <v>0.25347808785320641</v>
      </c>
      <c r="N293" s="45">
        <f t="shared" ca="1" si="354"/>
        <v>0.25</v>
      </c>
      <c r="O293" s="45">
        <f t="shared" ca="1" si="354"/>
        <v>0</v>
      </c>
      <c r="P293" s="46" t="str">
        <f t="shared" ca="1" si="354"/>
        <v/>
      </c>
      <c r="Q293" s="243" t="str">
        <f t="shared" ca="1" si="354"/>
        <v/>
      </c>
      <c r="R293" s="45">
        <f t="shared" ca="1" si="331"/>
        <v>0.10911319331335044</v>
      </c>
      <c r="S293" s="45">
        <f t="shared" ref="S293:S356" ca="1" si="355">M293*N293/(1+N293) +   IF(O293&gt;0,O293*P293*(1-Q293)/(1+P293),0)</f>
        <v>5.0695617570641283E-2</v>
      </c>
      <c r="T293" s="77">
        <f t="shared" ca="1" si="316"/>
        <v>8.6743136422450483E-3</v>
      </c>
      <c r="U293" s="45">
        <f t="shared" ca="1" si="332"/>
        <v>16.445597855134544</v>
      </c>
      <c r="V293" s="45">
        <f t="shared" ca="1" si="317"/>
        <v>0.20278247028256513</v>
      </c>
      <c r="W293" s="77">
        <f t="shared" ca="1" si="318"/>
        <v>4.0818101112439893E-2</v>
      </c>
      <c r="X293" s="45">
        <f t="shared" ca="1" si="333"/>
        <v>0.98823598652197475</v>
      </c>
      <c r="Y293" s="45">
        <f t="shared" ca="1" si="319"/>
        <v>5.0601339492992075E-3</v>
      </c>
      <c r="Z293" s="77">
        <f t="shared" ca="1" si="320"/>
        <v>5.3881459146459419E-3</v>
      </c>
      <c r="AA293" s="45">
        <f t="shared" ca="1" si="334"/>
        <v>39.108013533347695</v>
      </c>
      <c r="AB293" s="45">
        <f t="shared" ca="1" si="321"/>
        <v>0</v>
      </c>
      <c r="AC293" s="45" cm="1">
        <f t="array" aca="1" ref="AC293" ca="1">pHUM*(T293+W293+Z293+AD293)</f>
        <v>5.9530987638814203E-3</v>
      </c>
      <c r="AD293" s="77">
        <f t="shared" ca="1" si="322"/>
        <v>6.4786000958020487E-3</v>
      </c>
      <c r="AE293" s="45">
        <f t="shared" ca="1" si="335"/>
        <v>6.3847072090583081</v>
      </c>
      <c r="AF293" s="45">
        <f t="shared" ca="1" si="323"/>
        <v>0</v>
      </c>
      <c r="AG293" s="76">
        <f t="shared" ca="1" si="324"/>
        <v>63.03566777737587</v>
      </c>
      <c r="AH293" s="45">
        <f t="shared" ca="1" si="325"/>
        <v>5.0345928051952302E-2</v>
      </c>
      <c r="AI293" s="77">
        <f t="shared" ca="1" si="326"/>
        <v>1.0972463715553393E-2</v>
      </c>
      <c r="AJ293" s="384">
        <f t="shared" ca="1" si="328"/>
        <v>1.4746645287486704E-2</v>
      </c>
      <c r="AU293" s="1"/>
    </row>
    <row r="294" spans="3:47" x14ac:dyDescent="0.25">
      <c r="C294" s="10">
        <f t="shared" si="353"/>
        <v>16</v>
      </c>
      <c r="D294" s="91">
        <f t="shared" si="336"/>
        <v>12</v>
      </c>
      <c r="E294" s="278"/>
      <c r="F294" s="76">
        <f t="shared" ref="F294:Q294" ca="1" si="356">F222</f>
        <v>-1.78</v>
      </c>
      <c r="G294" s="46">
        <f t="shared" ca="1" si="356"/>
        <v>32.216243189942062</v>
      </c>
      <c r="H294" s="46">
        <f t="shared" ca="1" si="312"/>
        <v>23.313906810057944</v>
      </c>
      <c r="I294" s="45">
        <f t="shared" ca="1" si="313"/>
        <v>3.9789790397057247E-2</v>
      </c>
      <c r="J294" s="45">
        <f t="shared" ca="1" si="314"/>
        <v>0.29882189650486002</v>
      </c>
      <c r="K294" s="45">
        <f t="shared" ca="1" si="330"/>
        <v>0.96582388351071458</v>
      </c>
      <c r="L294" s="358">
        <f t="shared" ca="1" si="315"/>
        <v>0.30292377267304249</v>
      </c>
      <c r="M294" s="76">
        <f t="shared" ca="1" si="356"/>
        <v>0.25347808785320641</v>
      </c>
      <c r="N294" s="45">
        <f t="shared" ca="1" si="356"/>
        <v>0.25</v>
      </c>
      <c r="O294" s="45">
        <f t="shared" ca="1" si="356"/>
        <v>0</v>
      </c>
      <c r="P294" s="46" t="str">
        <f t="shared" ca="1" si="356"/>
        <v/>
      </c>
      <c r="Q294" s="243" t="str">
        <f t="shared" ca="1" si="356"/>
        <v/>
      </c>
      <c r="R294" s="45">
        <f t="shared" ca="1" si="331"/>
        <v>0.15113449724174668</v>
      </c>
      <c r="S294" s="45">
        <f t="shared" ca="1" si="355"/>
        <v>5.0695617570641283E-2</v>
      </c>
      <c r="T294" s="77">
        <f t="shared" ca="1" si="316"/>
        <v>4.9291689443774654E-3</v>
      </c>
      <c r="U294" s="45">
        <f t="shared" ca="1" si="332"/>
        <v>16.607562224304669</v>
      </c>
      <c r="V294" s="45">
        <f t="shared" ca="1" si="317"/>
        <v>0.20278247028256513</v>
      </c>
      <c r="W294" s="77">
        <f t="shared" ca="1" si="318"/>
        <v>1.6512071487904213E-2</v>
      </c>
      <c r="X294" s="45">
        <f t="shared" ca="1" si="333"/>
        <v>0.98790797455662793</v>
      </c>
      <c r="Y294" s="45">
        <f t="shared" ca="1" si="319"/>
        <v>2.1601716087089793E-3</v>
      </c>
      <c r="Z294" s="77">
        <f t="shared" ca="1" si="320"/>
        <v>2.1596118673956667E-3</v>
      </c>
      <c r="AA294" s="45">
        <f t="shared" ca="1" si="334"/>
        <v>39.107488032015773</v>
      </c>
      <c r="AB294" s="45">
        <f t="shared" ca="1" si="321"/>
        <v>0</v>
      </c>
      <c r="AC294" s="45" cm="1">
        <f t="array" aca="1" ref="AC294" ca="1">pHUM*(T294+W294+Z294+AD294)</f>
        <v>2.5413783631870342E-3</v>
      </c>
      <c r="AD294" s="77">
        <f t="shared" ca="1" si="322"/>
        <v>2.5933785936385892E-3</v>
      </c>
      <c r="AE294" s="45">
        <f t="shared" ca="1" si="335"/>
        <v>6.3847072090583081</v>
      </c>
      <c r="AF294" s="45">
        <f t="shared" ca="1" si="323"/>
        <v>0</v>
      </c>
      <c r="AG294" s="76">
        <f t="shared" ca="1" si="324"/>
        <v>63.23879993717712</v>
      </c>
      <c r="AH294" s="45">
        <f t="shared" ca="1" si="325"/>
        <v>2.1492680921419927E-2</v>
      </c>
      <c r="AI294" s="77">
        <f t="shared" ca="1" si="326"/>
        <v>1.1620070316760807E-2</v>
      </c>
      <c r="AJ294" s="384">
        <f t="shared" ca="1" si="328"/>
        <v>1.2000110245340423E-2</v>
      </c>
      <c r="AU294" s="1"/>
    </row>
    <row r="295" spans="3:47" x14ac:dyDescent="0.25">
      <c r="C295" s="10">
        <f t="shared" si="353"/>
        <v>17</v>
      </c>
      <c r="D295" s="91">
        <f t="shared" si="336"/>
        <v>1</v>
      </c>
      <c r="E295" s="278"/>
      <c r="F295" s="76">
        <f t="shared" ref="F295:Q295" ca="1" si="357">F223</f>
        <v>-8.2799999999999994</v>
      </c>
      <c r="G295" s="46">
        <f t="shared" ca="1" si="357"/>
        <v>27.676243189942063</v>
      </c>
      <c r="H295" s="46">
        <f t="shared" ca="1" si="312"/>
        <v>27.853906810057943</v>
      </c>
      <c r="I295" s="45">
        <f t="shared" ca="1" si="313"/>
        <v>5.2124139735228647E-4</v>
      </c>
      <c r="J295" s="45">
        <f t="shared" ca="1" si="314"/>
        <v>0.28271042830183513</v>
      </c>
      <c r="K295" s="45">
        <f t="shared" ca="1" si="330"/>
        <v>0.91374991914963299</v>
      </c>
      <c r="L295" s="358">
        <f t="shared" ca="1" si="315"/>
        <v>0.14143923467074027</v>
      </c>
      <c r="M295" s="76">
        <f t="shared" ca="1" si="357"/>
        <v>0.25347808785320641</v>
      </c>
      <c r="N295" s="45">
        <f t="shared" ca="1" si="357"/>
        <v>0.25</v>
      </c>
      <c r="O295" s="45">
        <f t="shared" ca="1" si="357"/>
        <v>0</v>
      </c>
      <c r="P295" s="46" t="str">
        <f t="shared" ca="1" si="357"/>
        <v/>
      </c>
      <c r="Q295" s="243" t="str">
        <f t="shared" ca="1" si="357"/>
        <v/>
      </c>
      <c r="R295" s="45">
        <f t="shared" ca="1" si="331"/>
        <v>0.19690094586801049</v>
      </c>
      <c r="S295" s="45">
        <f t="shared" ca="1" si="355"/>
        <v>5.0695617570641283E-2</v>
      </c>
      <c r="T295" s="77">
        <f t="shared" ca="1" si="316"/>
        <v>8.5508864309104358E-5</v>
      </c>
      <c r="U295" s="45">
        <f t="shared" ca="1" si="332"/>
        <v>16.793832623099327</v>
      </c>
      <c r="V295" s="45">
        <f t="shared" ca="1" si="317"/>
        <v>0.20278247028256513</v>
      </c>
      <c r="W295" s="77">
        <f t="shared" ca="1" si="318"/>
        <v>2.1883959372792451E-4</v>
      </c>
      <c r="X295" s="45">
        <f t="shared" ca="1" si="333"/>
        <v>0.98790853429794123</v>
      </c>
      <c r="Y295" s="45">
        <f t="shared" ca="1" si="319"/>
        <v>3.023617330300542E-5</v>
      </c>
      <c r="Z295" s="77">
        <f t="shared" ca="1" si="320"/>
        <v>2.8321229405697447E-5</v>
      </c>
      <c r="AA295" s="45">
        <f t="shared" ca="1" si="334"/>
        <v>39.107436031785326</v>
      </c>
      <c r="AB295" s="45">
        <f t="shared" ca="1" si="321"/>
        <v>0</v>
      </c>
      <c r="AC295" s="45" cm="1">
        <f t="array" aca="1" ref="AC295" ca="1">pHUM*(T295+W295+Z295+AD295)</f>
        <v>3.5571968591771081E-5</v>
      </c>
      <c r="AD295" s="77">
        <f t="shared" ca="1" si="322"/>
        <v>3.3974009584003842E-5</v>
      </c>
      <c r="AE295" s="45">
        <f t="shared" ca="1" si="335"/>
        <v>6.3847072090583081</v>
      </c>
      <c r="AF295" s="45">
        <f t="shared" ca="1" si="323"/>
        <v>0</v>
      </c>
      <c r="AG295" s="76">
        <f t="shared" ca="1" si="324"/>
        <v>63.470785344108904</v>
      </c>
      <c r="AH295" s="45">
        <f t="shared" ca="1" si="325"/>
        <v>3.0083555513195365E-4</v>
      </c>
      <c r="AI295" s="77">
        <f t="shared" ca="1" si="326"/>
        <v>1.2322513466582131E-2</v>
      </c>
      <c r="AJ295" s="384">
        <f t="shared" ca="1" si="328"/>
        <v>5.6213981485297992E-3</v>
      </c>
      <c r="AU295" s="1"/>
    </row>
    <row r="296" spans="3:47" x14ac:dyDescent="0.25">
      <c r="C296" s="10">
        <f t="shared" si="353"/>
        <v>17</v>
      </c>
      <c r="D296" s="91">
        <f t="shared" si="336"/>
        <v>2</v>
      </c>
      <c r="E296" s="278"/>
      <c r="F296" s="76">
        <f t="shared" ref="F296:Q296" ca="1" si="358">F224</f>
        <v>-13.02</v>
      </c>
      <c r="G296" s="46">
        <f t="shared" ca="1" si="358"/>
        <v>27.012600000000003</v>
      </c>
      <c r="H296" s="46">
        <f t="shared" ca="1" si="312"/>
        <v>28.517550000000004</v>
      </c>
      <c r="I296" s="45">
        <f t="shared" ca="1" si="313"/>
        <v>3.4968020066039631E-8</v>
      </c>
      <c r="J296" s="45">
        <f t="shared" ca="1" si="314"/>
        <v>0.27952512346894071</v>
      </c>
      <c r="K296" s="45">
        <f t="shared" ca="1" si="330"/>
        <v>0.90345467800480783</v>
      </c>
      <c r="L296" s="358">
        <f t="shared" ca="1" si="315"/>
        <v>7.5103934893711255E-2</v>
      </c>
      <c r="M296" s="76">
        <f t="shared" ca="1" si="358"/>
        <v>0.25347808785320641</v>
      </c>
      <c r="N296" s="45">
        <f t="shared" ca="1" si="358"/>
        <v>0.25</v>
      </c>
      <c r="O296" s="45">
        <f t="shared" ca="1" si="358"/>
        <v>0</v>
      </c>
      <c r="P296" s="46" t="str">
        <f t="shared" ca="1" si="358"/>
        <v/>
      </c>
      <c r="Q296" s="243" t="str">
        <f t="shared" ca="1" si="358"/>
        <v/>
      </c>
      <c r="R296" s="45">
        <f t="shared" ca="1" si="331"/>
        <v>0.24751105457434266</v>
      </c>
      <c r="S296" s="45">
        <f t="shared" ca="1" si="355"/>
        <v>5.0695617570641283E-2</v>
      </c>
      <c r="T296" s="77">
        <f t="shared" ca="1" si="316"/>
        <v>7.2124761619648606E-9</v>
      </c>
      <c r="U296" s="45">
        <f t="shared" ca="1" si="332"/>
        <v>16.996396253788163</v>
      </c>
      <c r="V296" s="45">
        <f t="shared" ca="1" si="317"/>
        <v>0.20278247028256513</v>
      </c>
      <c r="W296" s="77">
        <f t="shared" ca="1" si="318"/>
        <v>1.4858257929479909E-8</v>
      </c>
      <c r="X296" s="45">
        <f t="shared" ca="1" si="333"/>
        <v>0.98791044924183857</v>
      </c>
      <c r="Y296" s="45">
        <f t="shared" ca="1" si="319"/>
        <v>2.1647631097068115E-9</v>
      </c>
      <c r="Z296" s="77">
        <f t="shared" ca="1" si="320"/>
        <v>1.8999900007514235E-9</v>
      </c>
      <c r="AA296" s="45">
        <f t="shared" ca="1" si="334"/>
        <v>39.107437629744332</v>
      </c>
      <c r="AB296" s="45">
        <f t="shared" ca="1" si="321"/>
        <v>0</v>
      </c>
      <c r="AC296" s="45" cm="1">
        <f t="array" aca="1" ref="AC296" ca="1">pHUM*(T296+W296+Z296+AD296)</f>
        <v>2.5467801290668374E-9</v>
      </c>
      <c r="AD296" s="77">
        <f t="shared" ca="1" si="322"/>
        <v>2.279183320892163E-9</v>
      </c>
      <c r="AE296" s="45">
        <f t="shared" ca="1" si="335"/>
        <v>6.3847072090583081</v>
      </c>
      <c r="AF296" s="45">
        <f t="shared" ca="1" si="323"/>
        <v>0</v>
      </c>
      <c r="AG296" s="76">
        <f t="shared" ca="1" si="324"/>
        <v>63.723962596406977</v>
      </c>
      <c r="AH296" s="45">
        <f t="shared" ca="1" si="325"/>
        <v>2.1538364174314713E-8</v>
      </c>
      <c r="AI296" s="77">
        <f t="shared" ca="1" si="326"/>
        <v>1.3091960313111458E-2</v>
      </c>
      <c r="AJ296" s="384">
        <f t="shared" ca="1" si="328"/>
        <v>3.1356137239180182E-3</v>
      </c>
      <c r="AU296" s="1"/>
    </row>
    <row r="297" spans="3:47" x14ac:dyDescent="0.25">
      <c r="C297" s="10">
        <f t="shared" si="353"/>
        <v>17</v>
      </c>
      <c r="D297" s="91">
        <f t="shared" si="336"/>
        <v>3</v>
      </c>
      <c r="E297" s="278"/>
      <c r="F297" s="76">
        <f t="shared" ref="F297:Q297" ca="1" si="359">F225</f>
        <v>-3.52</v>
      </c>
      <c r="G297" s="46">
        <f t="shared" ca="1" si="359"/>
        <v>29.742600000000003</v>
      </c>
      <c r="H297" s="46">
        <f t="shared" ca="1" si="312"/>
        <v>25.787550000000003</v>
      </c>
      <c r="I297" s="45">
        <f t="shared" ca="1" si="313"/>
        <v>1.7216068766348798E-2</v>
      </c>
      <c r="J297" s="45">
        <f t="shared" ca="1" si="314"/>
        <v>0.2911707845539237</v>
      </c>
      <c r="K297" s="45">
        <f t="shared" ca="1" si="330"/>
        <v>0.94109468279262609</v>
      </c>
      <c r="L297" s="358">
        <f t="shared" ca="1" si="315"/>
        <v>0.2510452916114092</v>
      </c>
      <c r="M297" s="76">
        <f t="shared" ca="1" si="359"/>
        <v>0.25347808785320641</v>
      </c>
      <c r="N297" s="45">
        <f t="shared" ca="1" si="359"/>
        <v>0.25</v>
      </c>
      <c r="O297" s="45">
        <f t="shared" ca="1" si="359"/>
        <v>0</v>
      </c>
      <c r="P297" s="46" t="str">
        <f t="shared" ca="1" si="359"/>
        <v/>
      </c>
      <c r="Q297" s="243" t="str">
        <f t="shared" ca="1" si="359"/>
        <v/>
      </c>
      <c r="R297" s="45">
        <f t="shared" ca="1" si="331"/>
        <v>0.2982066649325078</v>
      </c>
      <c r="S297" s="45">
        <f t="shared" ca="1" si="355"/>
        <v>5.0695617570641283E-2</v>
      </c>
      <c r="T297" s="77">
        <f t="shared" ca="1" si="316"/>
        <v>4.2477452355207971E-3</v>
      </c>
      <c r="U297" s="45">
        <f t="shared" ca="1" si="332"/>
        <v>17.199178709212468</v>
      </c>
      <c r="V297" s="45">
        <f t="shared" ca="1" si="317"/>
        <v>0.20278247028256513</v>
      </c>
      <c r="W297" s="77">
        <f t="shared" ca="1" si="318"/>
        <v>7.4009632766547711E-3</v>
      </c>
      <c r="X297" s="45">
        <f t="shared" ca="1" si="333"/>
        <v>0.98791044950661167</v>
      </c>
      <c r="Y297" s="45">
        <f t="shared" ca="1" si="319"/>
        <v>1.1302835673164678E-3</v>
      </c>
      <c r="Z297" s="77">
        <f t="shared" ca="1" si="320"/>
        <v>9.3499364783403388E-4</v>
      </c>
      <c r="AA297" s="45">
        <f t="shared" ca="1" si="334"/>
        <v>39.107437630011923</v>
      </c>
      <c r="AB297" s="45">
        <f t="shared" ca="1" si="321"/>
        <v>0</v>
      </c>
      <c r="AC297" s="45" cm="1">
        <f t="array" aca="1" ref="AC297" ca="1">pHUM*(T297+W297+Z297+AD297)</f>
        <v>1.3297453733134917E-3</v>
      </c>
      <c r="AD297" s="77">
        <f t="shared" ca="1" si="322"/>
        <v>1.1221111271592151E-3</v>
      </c>
      <c r="AE297" s="45">
        <f t="shared" ca="1" si="335"/>
        <v>6.3847072090583081</v>
      </c>
      <c r="AF297" s="45">
        <f t="shared" ca="1" si="323"/>
        <v>0</v>
      </c>
      <c r="AG297" s="76">
        <f t="shared" ca="1" si="324"/>
        <v>63.977440662721818</v>
      </c>
      <c r="AH297" s="45">
        <f t="shared" ca="1" si="325"/>
        <v>1.1245784346538858E-2</v>
      </c>
      <c r="AI297" s="77">
        <f t="shared" ca="1" si="326"/>
        <v>1.385590006632206E-2</v>
      </c>
      <c r="AJ297" s="384">
        <f t="shared" ca="1" si="328"/>
        <v>1.1554881797143368E-2</v>
      </c>
      <c r="AU297" s="1"/>
    </row>
    <row r="298" spans="3:47" x14ac:dyDescent="0.25">
      <c r="C298" s="10">
        <f t="shared" si="353"/>
        <v>17</v>
      </c>
      <c r="D298" s="91">
        <f t="shared" si="336"/>
        <v>4</v>
      </c>
      <c r="E298" s="278"/>
      <c r="F298" s="76">
        <f t="shared" ref="F298:Q298" ca="1" si="360">F226</f>
        <v>6.08</v>
      </c>
      <c r="G298" s="46">
        <f t="shared" ca="1" si="360"/>
        <v>27.012600000000003</v>
      </c>
      <c r="H298" s="46">
        <f t="shared" ca="1" si="312"/>
        <v>28.517550000000004</v>
      </c>
      <c r="I298" s="45">
        <f t="shared" ca="1" si="313"/>
        <v>0.26307228538649535</v>
      </c>
      <c r="J298" s="45">
        <f t="shared" ca="1" si="314"/>
        <v>0.27952512346894071</v>
      </c>
      <c r="K298" s="45">
        <f t="shared" ca="1" si="330"/>
        <v>0.90345467800480783</v>
      </c>
      <c r="L298" s="358">
        <f t="shared" ca="1" si="315"/>
        <v>0.58389398806465831</v>
      </c>
      <c r="M298" s="76">
        <f t="shared" ca="1" si="360"/>
        <v>0.25347808785320641</v>
      </c>
      <c r="N298" s="45">
        <f t="shared" ca="1" si="360"/>
        <v>0.25</v>
      </c>
      <c r="O298" s="45">
        <f t="shared" ca="1" si="360"/>
        <v>0</v>
      </c>
      <c r="P298" s="46" t="str">
        <f t="shared" ca="1" si="360"/>
        <v/>
      </c>
      <c r="Q298" s="243" t="str">
        <f t="shared" ca="1" si="360"/>
        <v/>
      </c>
      <c r="R298" s="45">
        <f t="shared" ca="1" si="331"/>
        <v>0.34465453726762829</v>
      </c>
      <c r="S298" s="45">
        <f t="shared" ca="1" si="355"/>
        <v>5.0695617570641283E-2</v>
      </c>
      <c r="T298" s="77">
        <f t="shared" ca="1" si="316"/>
        <v>6.7848877793297319E-2</v>
      </c>
      <c r="U298" s="45">
        <f t="shared" ca="1" si="332"/>
        <v>17.394560216218377</v>
      </c>
      <c r="V298" s="45">
        <f t="shared" ca="1" si="317"/>
        <v>0.20278247028256513</v>
      </c>
      <c r="W298" s="77">
        <f t="shared" ca="1" si="318"/>
        <v>0.11402529553811795</v>
      </c>
      <c r="X298" s="45">
        <f t="shared" ca="1" si="333"/>
        <v>0.98810573942609414</v>
      </c>
      <c r="Y298" s="45">
        <f t="shared" ca="1" si="319"/>
        <v>1.7582990013465201E-2</v>
      </c>
      <c r="Z298" s="77">
        <f t="shared" ca="1" si="320"/>
        <v>1.4193944385105659E-2</v>
      </c>
      <c r="AA298" s="45">
        <f t="shared" ca="1" si="334"/>
        <v>39.107645264258075</v>
      </c>
      <c r="AB298" s="45">
        <f t="shared" ca="1" si="321"/>
        <v>0</v>
      </c>
      <c r="AC298" s="45" cm="1">
        <f t="array" aca="1" ref="AC298" ca="1">pHUM*(T298+W298+Z298+AD298)</f>
        <v>2.0685870604076707E-2</v>
      </c>
      <c r="AD298" s="77">
        <f t="shared" ca="1" si="322"/>
        <v>1.7143137514648417E-2</v>
      </c>
      <c r="AE298" s="45">
        <f t="shared" ca="1" si="335"/>
        <v>6.3847072090583081</v>
      </c>
      <c r="AF298" s="45">
        <f t="shared" ca="1" si="323"/>
        <v>0</v>
      </c>
      <c r="AG298" s="76">
        <f t="shared" ca="1" si="324"/>
        <v>64.219672966228487</v>
      </c>
      <c r="AH298" s="45">
        <f t="shared" ca="1" si="325"/>
        <v>0.17494239461362743</v>
      </c>
      <c r="AI298" s="77">
        <f t="shared" ca="1" si="326"/>
        <v>1.4551773883137635E-2</v>
      </c>
      <c r="AJ298" s="384">
        <f t="shared" ca="1" si="328"/>
        <v>2.7095383955165753E-2</v>
      </c>
      <c r="AU298" s="1"/>
    </row>
    <row r="299" spans="3:47" x14ac:dyDescent="0.25">
      <c r="C299" s="10">
        <f t="shared" si="353"/>
        <v>17</v>
      </c>
      <c r="D299" s="91">
        <f t="shared" si="336"/>
        <v>5</v>
      </c>
      <c r="E299" s="278"/>
      <c r="F299" s="76">
        <f t="shared" ref="F299:Q299" ca="1" si="361">F227</f>
        <v>16.079999999999998</v>
      </c>
      <c r="G299" s="46">
        <f t="shared" ca="1" si="361"/>
        <v>27.012600000000003</v>
      </c>
      <c r="H299" s="46">
        <f t="shared" ca="1" si="312"/>
        <v>28.517550000000004</v>
      </c>
      <c r="I299" s="45">
        <f t="shared" ca="1" si="313"/>
        <v>0.90560233354751607</v>
      </c>
      <c r="J299" s="45">
        <f t="shared" ca="1" si="314"/>
        <v>0.27952512346894071</v>
      </c>
      <c r="K299" s="45">
        <f t="shared" ca="1" si="330"/>
        <v>0.90345467800480783</v>
      </c>
      <c r="L299" s="358">
        <f t="shared" ca="1" si="315"/>
        <v>0.86059167822175908</v>
      </c>
      <c r="M299" s="76">
        <f t="shared" ca="1" si="361"/>
        <v>0.25347808785320641</v>
      </c>
      <c r="N299" s="45">
        <f t="shared" ca="1" si="361"/>
        <v>0.25</v>
      </c>
      <c r="O299" s="45">
        <f t="shared" ca="1" si="361"/>
        <v>0</v>
      </c>
      <c r="P299" s="46" t="str">
        <f t="shared" ca="1" si="361"/>
        <v/>
      </c>
      <c r="Q299" s="243" t="str">
        <f t="shared" ca="1" si="361"/>
        <v/>
      </c>
      <c r="R299" s="45">
        <f t="shared" ca="1" si="331"/>
        <v>0.32750127704497223</v>
      </c>
      <c r="S299" s="45">
        <f t="shared" ca="1" si="355"/>
        <v>5.0695617570641283E-2</v>
      </c>
      <c r="T299" s="77">
        <f t="shared" ca="1" si="316"/>
        <v>0.17352118168479536</v>
      </c>
      <c r="U299" s="45">
        <f t="shared" ca="1" si="332"/>
        <v>17.483317390962824</v>
      </c>
      <c r="V299" s="45">
        <f t="shared" ca="1" si="317"/>
        <v>0.20278247028256513</v>
      </c>
      <c r="W299" s="77">
        <f t="shared" ca="1" si="318"/>
        <v>0.3913762182392278</v>
      </c>
      <c r="X299" s="45">
        <f t="shared" ca="1" si="333"/>
        <v>0.99149478505445365</v>
      </c>
      <c r="Y299" s="45">
        <f t="shared" ca="1" si="319"/>
        <v>5.5423049176994442E-2</v>
      </c>
      <c r="Z299" s="77">
        <f t="shared" ca="1" si="320"/>
        <v>4.8174792266468494E-2</v>
      </c>
      <c r="AA299" s="45">
        <f t="shared" ca="1" si="334"/>
        <v>39.1111879973475</v>
      </c>
      <c r="AB299" s="45">
        <f t="shared" ca="1" si="321"/>
        <v>0</v>
      </c>
      <c r="AC299" s="45" cm="1">
        <f t="array" aca="1" ref="AC299" ca="1">pHUM*(T299+W299+Z299+AD299)</f>
        <v>6.520358726705229E-2</v>
      </c>
      <c r="AD299" s="77">
        <f t="shared" ca="1" si="322"/>
        <v>5.8987444692449827E-2</v>
      </c>
      <c r="AE299" s="45">
        <f t="shared" ca="1" si="335"/>
        <v>6.3847072090583081</v>
      </c>
      <c r="AF299" s="45">
        <f t="shared" ca="1" si="323"/>
        <v>0</v>
      </c>
      <c r="AG299" s="76">
        <f t="shared" ca="1" si="324"/>
        <v>64.29820865946806</v>
      </c>
      <c r="AH299" s="45">
        <f t="shared" ca="1" si="325"/>
        <v>0.55143300043889487</v>
      </c>
      <c r="AI299" s="77">
        <f t="shared" ca="1" si="326"/>
        <v>1.4326852484688055E-2</v>
      </c>
      <c r="AJ299" s="384">
        <f t="shared" ca="1" si="328"/>
        <v>3.9317716941824621E-2</v>
      </c>
      <c r="AU299" s="1"/>
    </row>
    <row r="300" spans="3:47" x14ac:dyDescent="0.25">
      <c r="C300" s="10">
        <f t="shared" si="353"/>
        <v>17</v>
      </c>
      <c r="D300" s="91">
        <f t="shared" si="336"/>
        <v>6</v>
      </c>
      <c r="E300" s="278"/>
      <c r="F300" s="76">
        <f t="shared" ref="F300:Q300" ca="1" si="362">F228</f>
        <v>17.399999999999999</v>
      </c>
      <c r="G300" s="46">
        <f t="shared" ca="1" si="362"/>
        <v>27.012600000000003</v>
      </c>
      <c r="H300" s="46">
        <f t="shared" ca="1" si="312"/>
        <v>28.517550000000004</v>
      </c>
      <c r="I300" s="45">
        <f t="shared" ca="1" si="313"/>
        <v>1.0098878501236044</v>
      </c>
      <c r="J300" s="45">
        <f t="shared" ca="1" si="314"/>
        <v>0.27952512346894071</v>
      </c>
      <c r="K300" s="45">
        <f t="shared" ca="1" si="330"/>
        <v>0.90345467800480783</v>
      </c>
      <c r="L300" s="358">
        <f t="shared" ca="1" si="315"/>
        <v>0.88208077264421947</v>
      </c>
      <c r="M300" s="76">
        <f t="shared" ca="1" si="362"/>
        <v>0.25347808785320641</v>
      </c>
      <c r="N300" s="45">
        <f t="shared" ca="1" si="362"/>
        <v>0.25</v>
      </c>
      <c r="O300" s="45">
        <f t="shared" ca="1" si="362"/>
        <v>0</v>
      </c>
      <c r="P300" s="46" t="str">
        <f t="shared" ca="1" si="362"/>
        <v/>
      </c>
      <c r="Q300" s="243" t="str">
        <f t="shared" ca="1" si="362"/>
        <v/>
      </c>
      <c r="R300" s="45">
        <f t="shared" ca="1" si="331"/>
        <v>0.20467571293081815</v>
      </c>
      <c r="S300" s="45">
        <f t="shared" ca="1" si="355"/>
        <v>5.0695617570641283E-2</v>
      </c>
      <c r="T300" s="77">
        <f t="shared" ca="1" si="316"/>
        <v>0.11645395421434461</v>
      </c>
      <c r="U300" s="45">
        <f t="shared" ca="1" si="332"/>
        <v>17.294723643006161</v>
      </c>
      <c r="V300" s="45">
        <f t="shared" ca="1" si="317"/>
        <v>0.20278247028256513</v>
      </c>
      <c r="W300" s="77">
        <f t="shared" ca="1" si="318"/>
        <v>0.43117736891854441</v>
      </c>
      <c r="X300" s="45">
        <f t="shared" ca="1" si="333"/>
        <v>0.99874304196497954</v>
      </c>
      <c r="Y300" s="45">
        <f t="shared" ca="1" si="319"/>
        <v>5.5036949288177005E-2</v>
      </c>
      <c r="Z300" s="77">
        <f t="shared" ca="1" si="320"/>
        <v>5.3961528050049966E-2</v>
      </c>
      <c r="AA300" s="45">
        <f t="shared" ca="1" si="334"/>
        <v>39.117404139922101</v>
      </c>
      <c r="AB300" s="45">
        <f t="shared" ca="1" si="321"/>
        <v>0</v>
      </c>
      <c r="AC300" s="45" cm="1">
        <f t="array" aca="1" ref="AC300" ca="1">pHUM*(T300+W300+Z300+AD300)</f>
        <v>6.4749352103737653E-2</v>
      </c>
      <c r="AD300" s="77">
        <f t="shared" ca="1" si="322"/>
        <v>6.5784940241617032E-2</v>
      </c>
      <c r="AE300" s="45">
        <f t="shared" ca="1" si="335"/>
        <v>6.3847072090583081</v>
      </c>
      <c r="AF300" s="45">
        <f t="shared" ca="1" si="323"/>
        <v>0</v>
      </c>
      <c r="AG300" s="76">
        <f t="shared" ca="1" si="324"/>
        <v>64.000253746882365</v>
      </c>
      <c r="AH300" s="45">
        <f t="shared" ca="1" si="325"/>
        <v>0.5475914900326414</v>
      </c>
      <c r="AI300" s="77">
        <f t="shared" ca="1" si="326"/>
        <v>1.2549698293395504E-2</v>
      </c>
      <c r="AJ300" s="384">
        <f t="shared" ca="1" si="328"/>
        <v>3.5300726781277714E-2</v>
      </c>
      <c r="AU300" s="1"/>
    </row>
    <row r="301" spans="3:47" x14ac:dyDescent="0.25">
      <c r="C301" s="10">
        <f t="shared" si="353"/>
        <v>17</v>
      </c>
      <c r="D301" s="91">
        <f t="shared" si="336"/>
        <v>7</v>
      </c>
      <c r="E301" s="278"/>
      <c r="F301" s="76">
        <f t="shared" ref="F301:Q301" ca="1" si="363">F229</f>
        <v>21.29</v>
      </c>
      <c r="G301" s="46">
        <f t="shared" ca="1" si="363"/>
        <v>27.012600000000003</v>
      </c>
      <c r="H301" s="46">
        <f t="shared" ca="1" si="312"/>
        <v>28.517550000000004</v>
      </c>
      <c r="I301" s="45">
        <f t="shared" ca="1" si="313"/>
        <v>1.3308669995183955</v>
      </c>
      <c r="J301" s="45">
        <f t="shared" ca="1" si="314"/>
        <v>0.27952512346894071</v>
      </c>
      <c r="K301" s="45">
        <f t="shared" ca="1" si="330"/>
        <v>0.90345467800480783</v>
      </c>
      <c r="L301" s="358">
        <f t="shared" ca="1" si="315"/>
        <v>0.92839591561968593</v>
      </c>
      <c r="M301" s="76">
        <f t="shared" ca="1" si="363"/>
        <v>0.25347808785320641</v>
      </c>
      <c r="N301" s="45">
        <f t="shared" ca="1" si="363"/>
        <v>0.25</v>
      </c>
      <c r="O301" s="45">
        <f t="shared" ca="1" si="363"/>
        <v>0</v>
      </c>
      <c r="P301" s="46" t="str">
        <f t="shared" ca="1" si="363"/>
        <v/>
      </c>
      <c r="Q301" s="243" t="str">
        <f t="shared" ca="1" si="363"/>
        <v/>
      </c>
      <c r="R301" s="45">
        <f t="shared" ca="1" si="331"/>
        <v>0.13891737628711481</v>
      </c>
      <c r="S301" s="45">
        <f t="shared" ca="1" si="355"/>
        <v>5.0695617570641283E-2</v>
      </c>
      <c r="T301" s="77">
        <f t="shared" ca="1" si="316"/>
        <v>9.3092664317525969E-2</v>
      </c>
      <c r="U301" s="45">
        <f t="shared" ca="1" si="332"/>
        <v>17.066328744370182</v>
      </c>
      <c r="V301" s="45">
        <f t="shared" ca="1" si="317"/>
        <v>0.20278247028256513</v>
      </c>
      <c r="W301" s="77">
        <f t="shared" ca="1" si="318"/>
        <v>0.55848299162041015</v>
      </c>
      <c r="X301" s="45">
        <f t="shared" ca="1" si="333"/>
        <v>0.99981846320310652</v>
      </c>
      <c r="Y301" s="45">
        <f t="shared" ca="1" si="319"/>
        <v>6.6700840356498856E-2</v>
      </c>
      <c r="Z301" s="77">
        <f t="shared" ca="1" si="320"/>
        <v>7.0570106529567897E-2</v>
      </c>
      <c r="AA301" s="45">
        <f t="shared" ca="1" si="334"/>
        <v>39.11636855178422</v>
      </c>
      <c r="AB301" s="45">
        <f t="shared" ca="1" si="321"/>
        <v>0</v>
      </c>
      <c r="AC301" s="45" cm="1">
        <f t="array" aca="1" ref="AC301" ca="1">pHUM*(T301+W301+Z301+AD301)</f>
        <v>7.8471576889998659E-2</v>
      </c>
      <c r="AD301" s="77">
        <f t="shared" ca="1" si="322"/>
        <v>8.6668317873331846E-2</v>
      </c>
      <c r="AE301" s="45">
        <f t="shared" ca="1" si="335"/>
        <v>6.3847072090583081</v>
      </c>
      <c r="AF301" s="45">
        <f t="shared" ca="1" si="323"/>
        <v>0</v>
      </c>
      <c r="AG301" s="76">
        <f t="shared" ca="1" si="324"/>
        <v>63.706140344702931</v>
      </c>
      <c r="AH301" s="45">
        <f t="shared" ca="1" si="325"/>
        <v>0.66364166309433836</v>
      </c>
      <c r="AI301" s="77">
        <f t="shared" ca="1" si="326"/>
        <v>1.1559492246870589E-2</v>
      </c>
      <c r="AJ301" s="384">
        <f t="shared" ca="1" si="328"/>
        <v>3.4222712361903218E-2</v>
      </c>
      <c r="AU301" s="1"/>
    </row>
    <row r="302" spans="3:47" x14ac:dyDescent="0.25">
      <c r="C302" s="10">
        <f t="shared" si="353"/>
        <v>17</v>
      </c>
      <c r="D302" s="91">
        <f t="shared" si="336"/>
        <v>8</v>
      </c>
      <c r="E302" s="278"/>
      <c r="F302" s="76">
        <f t="shared" ref="F302:Q302" ca="1" si="364">F230</f>
        <v>21.81</v>
      </c>
      <c r="G302" s="46">
        <f t="shared" ca="1" si="364"/>
        <v>27.012600000000003</v>
      </c>
      <c r="H302" s="46">
        <f t="shared" ca="1" si="312"/>
        <v>28.517550000000004</v>
      </c>
      <c r="I302" s="45">
        <f t="shared" ca="1" si="313"/>
        <v>1.3748539373542934</v>
      </c>
      <c r="J302" s="45">
        <f t="shared" ca="1" si="314"/>
        <v>0.27952512346894071</v>
      </c>
      <c r="K302" s="45">
        <f t="shared" ca="1" si="330"/>
        <v>0.90345467800480783</v>
      </c>
      <c r="L302" s="358">
        <f t="shared" ca="1" si="315"/>
        <v>0.93294591915671865</v>
      </c>
      <c r="M302" s="76">
        <f t="shared" ca="1" si="364"/>
        <v>0.25347808785320641</v>
      </c>
      <c r="N302" s="45">
        <f t="shared" ca="1" si="364"/>
        <v>0.25</v>
      </c>
      <c r="O302" s="45">
        <f t="shared" ca="1" si="364"/>
        <v>0</v>
      </c>
      <c r="P302" s="46" t="str">
        <f t="shared" ca="1" si="364"/>
        <v/>
      </c>
      <c r="Q302" s="243" t="str">
        <f t="shared" ca="1" si="364"/>
        <v/>
      </c>
      <c r="R302" s="45">
        <f t="shared" ca="1" si="331"/>
        <v>9.6520329540230126E-2</v>
      </c>
      <c r="S302" s="45">
        <f t="shared" ca="1" si="355"/>
        <v>5.0695617570641283E-2</v>
      </c>
      <c r="T302" s="77">
        <f t="shared" ca="1" si="316"/>
        <v>6.5827101645662786E-2</v>
      </c>
      <c r="U302" s="45">
        <f t="shared" ca="1" si="332"/>
        <v>16.710628223032337</v>
      </c>
      <c r="V302" s="45">
        <f t="shared" ca="1" si="317"/>
        <v>0.20278247028256513</v>
      </c>
      <c r="W302" s="77">
        <f t="shared" ca="1" si="318"/>
        <v>0.56460807075771913</v>
      </c>
      <c r="X302" s="45">
        <f t="shared" ca="1" si="333"/>
        <v>0.99594919703003759</v>
      </c>
      <c r="Y302" s="45">
        <f t="shared" ca="1" si="319"/>
        <v>6.5353782419370857E-2</v>
      </c>
      <c r="Z302" s="77">
        <f t="shared" ca="1" si="320"/>
        <v>7.2533709027413296E-2</v>
      </c>
      <c r="AA302" s="45">
        <f t="shared" ca="1" si="334"/>
        <v>39.108171810800883</v>
      </c>
      <c r="AB302" s="45">
        <f t="shared" ca="1" si="321"/>
        <v>0</v>
      </c>
      <c r="AC302" s="45" cm="1">
        <f t="array" aca="1" ref="AC302" ca="1">pHUM*(T302+W302+Z302+AD302)</f>
        <v>7.6886802846318658E-2</v>
      </c>
      <c r="AD302" s="77">
        <f t="shared" ca="1" si="322"/>
        <v>8.9510780621443201E-2</v>
      </c>
      <c r="AE302" s="45">
        <f t="shared" ca="1" si="335"/>
        <v>6.3847072090583081</v>
      </c>
      <c r="AF302" s="45">
        <f t="shared" ca="1" si="323"/>
        <v>0</v>
      </c>
      <c r="AG302" s="76">
        <f t="shared" ca="1" si="324"/>
        <v>63.295976769461788</v>
      </c>
      <c r="AH302" s="45">
        <f t="shared" ca="1" si="325"/>
        <v>0.65023907678654902</v>
      </c>
      <c r="AI302" s="77">
        <f t="shared" ca="1" si="326"/>
        <v>1.0861764471057855E-2</v>
      </c>
      <c r="AJ302" s="384">
        <f t="shared" ca="1" si="328"/>
        <v>3.2314696418362931E-2</v>
      </c>
      <c r="AU302" s="1"/>
    </row>
    <row r="303" spans="3:47" x14ac:dyDescent="0.25">
      <c r="C303" s="10">
        <f t="shared" si="353"/>
        <v>17</v>
      </c>
      <c r="D303" s="91">
        <f t="shared" si="336"/>
        <v>9</v>
      </c>
      <c r="E303" s="278"/>
      <c r="F303" s="76">
        <f t="shared" ref="F303:Q303" ca="1" si="365">F231</f>
        <v>19.09</v>
      </c>
      <c r="G303" s="46">
        <f t="shared" ca="1" si="365"/>
        <v>27.012600000000003</v>
      </c>
      <c r="H303" s="46">
        <f t="shared" ca="1" si="312"/>
        <v>28.517550000000004</v>
      </c>
      <c r="I303" s="45">
        <f t="shared" ca="1" si="313"/>
        <v>1.1472439462064867</v>
      </c>
      <c r="J303" s="45">
        <f t="shared" ca="1" si="314"/>
        <v>0.27952512346894071</v>
      </c>
      <c r="K303" s="45">
        <f t="shared" ca="1" si="330"/>
        <v>0.90345467800480783</v>
      </c>
      <c r="L303" s="358">
        <f t="shared" ca="1" si="315"/>
        <v>0.90508116523032656</v>
      </c>
      <c r="M303" s="76">
        <f t="shared" ca="1" si="365"/>
        <v>0.25347808785320641</v>
      </c>
      <c r="N303" s="45">
        <f t="shared" ca="1" si="365"/>
        <v>0.25</v>
      </c>
      <c r="O303" s="45">
        <f t="shared" ca="1" si="365"/>
        <v>0</v>
      </c>
      <c r="P303" s="46" t="str">
        <f t="shared" ca="1" si="365"/>
        <v/>
      </c>
      <c r="Q303" s="243" t="str">
        <f t="shared" ca="1" si="365"/>
        <v/>
      </c>
      <c r="R303" s="45">
        <f t="shared" ca="1" si="331"/>
        <v>8.1388845465208623E-2</v>
      </c>
      <c r="S303" s="45">
        <f t="shared" ca="1" si="355"/>
        <v>5.0695617570641283E-2</v>
      </c>
      <c r="T303" s="77">
        <f t="shared" ca="1" si="316"/>
        <v>5.0101878867953413E-2</v>
      </c>
      <c r="U303" s="45">
        <f t="shared" ca="1" si="332"/>
        <v>16.348802622557184</v>
      </c>
      <c r="V303" s="45">
        <f t="shared" ca="1" si="317"/>
        <v>0.20278247028256513</v>
      </c>
      <c r="W303" s="77">
        <f t="shared" ca="1" si="318"/>
        <v>0.46224114259995802</v>
      </c>
      <c r="X303" s="45">
        <f t="shared" ca="1" si="333"/>
        <v>0.98876927042199514</v>
      </c>
      <c r="Y303" s="45">
        <f t="shared" ca="1" si="319"/>
        <v>5.339663380792694E-2</v>
      </c>
      <c r="Z303" s="77">
        <f t="shared" ca="1" si="320"/>
        <v>6.0462182707839256E-2</v>
      </c>
      <c r="AA303" s="45">
        <f t="shared" ca="1" si="334"/>
        <v>39.095547833025755</v>
      </c>
      <c r="AB303" s="45">
        <f t="shared" ca="1" si="321"/>
        <v>0</v>
      </c>
      <c r="AC303" s="45" cm="1">
        <f t="array" aca="1" ref="AC303" ca="1">pHUM*(T303+W303+Z303+AD303)</f>
        <v>6.2819569185796398E-2</v>
      </c>
      <c r="AD303" s="77">
        <f t="shared" ca="1" si="322"/>
        <v>7.468212935447649E-2</v>
      </c>
      <c r="AE303" s="45">
        <f t="shared" ca="1" si="335"/>
        <v>6.3847072090583081</v>
      </c>
      <c r="AF303" s="45">
        <f t="shared" ca="1" si="323"/>
        <v>0</v>
      </c>
      <c r="AG303" s="76">
        <f t="shared" ca="1" si="324"/>
        <v>62.899215780528451</v>
      </c>
      <c r="AH303" s="45">
        <f t="shared" ca="1" si="325"/>
        <v>0.53127113053650388</v>
      </c>
      <c r="AI303" s="77">
        <f t="shared" ca="1" si="326"/>
        <v>1.0547480191911415E-2</v>
      </c>
      <c r="AJ303" s="384">
        <f t="shared" ca="1" si="328"/>
        <v>3.0442494941991249E-2</v>
      </c>
      <c r="AU303" s="1"/>
    </row>
    <row r="304" spans="3:47" x14ac:dyDescent="0.25">
      <c r="C304" s="10">
        <f t="shared" si="353"/>
        <v>17</v>
      </c>
      <c r="D304" s="91">
        <f t="shared" si="336"/>
        <v>10</v>
      </c>
      <c r="E304" s="278"/>
      <c r="F304" s="76">
        <f t="shared" ref="F304:Q304" ca="1" si="366">F232</f>
        <v>9.02</v>
      </c>
      <c r="G304" s="46">
        <f t="shared" ca="1" si="366"/>
        <v>27.012600000000003</v>
      </c>
      <c r="H304" s="46">
        <f t="shared" ca="1" si="312"/>
        <v>28.517550000000004</v>
      </c>
      <c r="I304" s="45">
        <f t="shared" ca="1" si="313"/>
        <v>0.41742778729268759</v>
      </c>
      <c r="J304" s="45">
        <f t="shared" ca="1" si="314"/>
        <v>0.27952512346894071</v>
      </c>
      <c r="K304" s="45">
        <f t="shared" ca="1" si="330"/>
        <v>0.90345467800480783</v>
      </c>
      <c r="L304" s="358">
        <f t="shared" ca="1" si="315"/>
        <v>0.68492882381082199</v>
      </c>
      <c r="M304" s="76">
        <f t="shared" ca="1" si="366"/>
        <v>0.25347808785320641</v>
      </c>
      <c r="N304" s="45">
        <f t="shared" ca="1" si="366"/>
        <v>0.25</v>
      </c>
      <c r="O304" s="45">
        <f t="shared" ca="1" si="366"/>
        <v>0</v>
      </c>
      <c r="P304" s="46" t="str">
        <f t="shared" ca="1" si="366"/>
        <v/>
      </c>
      <c r="Q304" s="243" t="str">
        <f t="shared" ca="1" si="366"/>
        <v/>
      </c>
      <c r="R304" s="45">
        <f t="shared" ca="1" si="331"/>
        <v>8.1982584167896499E-2</v>
      </c>
      <c r="S304" s="45">
        <f t="shared" ca="1" si="355"/>
        <v>5.0695617570641283E-2</v>
      </c>
      <c r="T304" s="77">
        <f t="shared" ca="1" si="316"/>
        <v>2.4086465507844296E-2</v>
      </c>
      <c r="U304" s="45">
        <f t="shared" ca="1" si="332"/>
        <v>16.08934395023979</v>
      </c>
      <c r="V304" s="45">
        <f t="shared" ca="1" si="317"/>
        <v>0.20278247028256513</v>
      </c>
      <c r="W304" s="77">
        <f t="shared" ca="1" si="318"/>
        <v>0.16703042598915618</v>
      </c>
      <c r="X304" s="45">
        <f t="shared" ca="1" si="333"/>
        <v>0.98170372152208285</v>
      </c>
      <c r="Y304" s="45">
        <f t="shared" ca="1" si="319"/>
        <v>1.9840035513590312E-2</v>
      </c>
      <c r="Z304" s="77">
        <f t="shared" ca="1" si="320"/>
        <v>2.2281716262464779E-2</v>
      </c>
      <c r="AA304" s="45">
        <f t="shared" ca="1" si="334"/>
        <v>39.083685272857075</v>
      </c>
      <c r="AB304" s="45">
        <f t="shared" ca="1" si="321"/>
        <v>0</v>
      </c>
      <c r="AC304" s="45" cm="1">
        <f t="array" aca="1" ref="AC304" ca="1">pHUM*(T304+W304+Z304+AD304)</f>
        <v>2.3341218251282721E-2</v>
      </c>
      <c r="AD304" s="77">
        <f t="shared" ca="1" si="322"/>
        <v>2.7181570722357627E-2</v>
      </c>
      <c r="AE304" s="45">
        <f t="shared" ca="1" si="335"/>
        <v>6.3847072090583081</v>
      </c>
      <c r="AF304" s="45">
        <f t="shared" ca="1" si="323"/>
        <v>0</v>
      </c>
      <c r="AG304" s="76">
        <f t="shared" ca="1" si="324"/>
        <v>62.621422737845151</v>
      </c>
      <c r="AH304" s="45">
        <f t="shared" ca="1" si="325"/>
        <v>0.19739892471694989</v>
      </c>
      <c r="AI304" s="77">
        <f t="shared" ca="1" si="326"/>
        <v>1.0485775947077359E-2</v>
      </c>
      <c r="AJ304" s="384">
        <f t="shared" ca="1" si="328"/>
        <v>2.2903038475499127E-2</v>
      </c>
      <c r="AU304" s="1"/>
    </row>
    <row r="305" spans="3:47" x14ac:dyDescent="0.25">
      <c r="C305" s="10">
        <f t="shared" si="353"/>
        <v>17</v>
      </c>
      <c r="D305" s="91">
        <f t="shared" si="336"/>
        <v>11</v>
      </c>
      <c r="E305" s="278"/>
      <c r="F305" s="76">
        <f t="shared" ref="F305:Q305" ca="1" si="367">F233</f>
        <v>5.62</v>
      </c>
      <c r="G305" s="46">
        <f t="shared" ca="1" si="367"/>
        <v>27.012600000000003</v>
      </c>
      <c r="H305" s="46">
        <f t="shared" ca="1" si="312"/>
        <v>28.517550000000004</v>
      </c>
      <c r="I305" s="45">
        <f t="shared" ca="1" si="313"/>
        <v>0.24215575259059691</v>
      </c>
      <c r="J305" s="45">
        <f t="shared" ca="1" si="314"/>
        <v>0.27952512346894071</v>
      </c>
      <c r="K305" s="45">
        <f t="shared" ca="1" si="330"/>
        <v>0.90345467800480783</v>
      </c>
      <c r="L305" s="358">
        <f t="shared" ca="1" si="315"/>
        <v>0.5671500175141555</v>
      </c>
      <c r="M305" s="76">
        <f t="shared" ca="1" si="367"/>
        <v>0.25347808785320641</v>
      </c>
      <c r="N305" s="45">
        <f t="shared" ca="1" si="367"/>
        <v>0.25</v>
      </c>
      <c r="O305" s="45">
        <f t="shared" ca="1" si="367"/>
        <v>0</v>
      </c>
      <c r="P305" s="46" t="str">
        <f t="shared" ca="1" si="367"/>
        <v/>
      </c>
      <c r="Q305" s="243" t="str">
        <f t="shared" ca="1" si="367"/>
        <v/>
      </c>
      <c r="R305" s="45">
        <f t="shared" ca="1" si="331"/>
        <v>0.10859173623069349</v>
      </c>
      <c r="S305" s="45">
        <f t="shared" ca="1" si="355"/>
        <v>5.0695617570641283E-2</v>
      </c>
      <c r="T305" s="77">
        <f t="shared" ca="1" si="316"/>
        <v>1.9843917491017132E-2</v>
      </c>
      <c r="U305" s="45">
        <f t="shared" ca="1" si="332"/>
        <v>16.125095994533197</v>
      </c>
      <c r="V305" s="45">
        <f t="shared" ca="1" si="317"/>
        <v>0.20278247028256513</v>
      </c>
      <c r="W305" s="77">
        <f t="shared" ca="1" si="318"/>
        <v>9.7324724886038202E-2</v>
      </c>
      <c r="X305" s="45">
        <f t="shared" ca="1" si="333"/>
        <v>0.97926204077320833</v>
      </c>
      <c r="Y305" s="45">
        <f t="shared" ca="1" si="319"/>
        <v>1.2031482982666443E-2</v>
      </c>
      <c r="Z305" s="77">
        <f t="shared" ca="1" si="320"/>
        <v>1.2955897998099734E-2</v>
      </c>
      <c r="AA305" s="45">
        <f t="shared" ca="1" si="334"/>
        <v>39.079844920386002</v>
      </c>
      <c r="AB305" s="45">
        <f t="shared" ca="1" si="321"/>
        <v>0</v>
      </c>
      <c r="AC305" s="45" cm="1">
        <f t="array" aca="1" ref="AC305" ca="1">pHUM*(T305+W305+Z305+AD305)</f>
        <v>1.4154685861960521E-2</v>
      </c>
      <c r="AD305" s="77">
        <f t="shared" ca="1" si="322"/>
        <v>1.5769166387021159E-2</v>
      </c>
      <c r="AE305" s="45">
        <f t="shared" ca="1" si="335"/>
        <v>6.3847072090583081</v>
      </c>
      <c r="AF305" s="45">
        <f t="shared" ca="1" si="323"/>
        <v>0</v>
      </c>
      <c r="AG305" s="76">
        <f t="shared" ca="1" si="324"/>
        <v>62.677501900981405</v>
      </c>
      <c r="AH305" s="45">
        <f t="shared" ca="1" si="325"/>
        <v>0.11970753791754928</v>
      </c>
      <c r="AI305" s="77">
        <f t="shared" ca="1" si="326"/>
        <v>1.0882618350206767E-2</v>
      </c>
      <c r="AJ305" s="384">
        <f t="shared" ca="1" si="328"/>
        <v>1.9682477070719351E-2</v>
      </c>
      <c r="AU305" s="1"/>
    </row>
    <row r="306" spans="3:47" x14ac:dyDescent="0.25">
      <c r="C306" s="10">
        <f t="shared" si="353"/>
        <v>17</v>
      </c>
      <c r="D306" s="91">
        <f t="shared" si="336"/>
        <v>12</v>
      </c>
      <c r="E306" s="278"/>
      <c r="F306" s="76">
        <f t="shared" ref="F306:Q306" ca="1" si="368">F234</f>
        <v>3.68</v>
      </c>
      <c r="G306" s="46">
        <f t="shared" ca="1" si="368"/>
        <v>27.012600000000003</v>
      </c>
      <c r="H306" s="46">
        <f t="shared" ca="1" si="312"/>
        <v>28.517550000000004</v>
      </c>
      <c r="I306" s="45">
        <f t="shared" ca="1" si="313"/>
        <v>0.16418562454767627</v>
      </c>
      <c r="J306" s="45">
        <f t="shared" ca="1" si="314"/>
        <v>0.27952512346894071</v>
      </c>
      <c r="K306" s="45">
        <f t="shared" ca="1" si="330"/>
        <v>0.90345467800480783</v>
      </c>
      <c r="L306" s="358">
        <f t="shared" ca="1" si="315"/>
        <v>0.49525928680467546</v>
      </c>
      <c r="M306" s="76">
        <f t="shared" ca="1" si="368"/>
        <v>0.25347808785320641</v>
      </c>
      <c r="N306" s="45">
        <f t="shared" ca="1" si="368"/>
        <v>0.25</v>
      </c>
      <c r="O306" s="45">
        <f t="shared" ca="1" si="368"/>
        <v>0</v>
      </c>
      <c r="P306" s="46" t="str">
        <f t="shared" ca="1" si="368"/>
        <v/>
      </c>
      <c r="Q306" s="243" t="str">
        <f t="shared" ca="1" si="368"/>
        <v/>
      </c>
      <c r="R306" s="45">
        <f t="shared" ca="1" si="331"/>
        <v>0.13944343631031764</v>
      </c>
      <c r="S306" s="45">
        <f t="shared" ca="1" si="355"/>
        <v>5.0695617570641283E-2</v>
      </c>
      <c r="T306" s="77">
        <f t="shared" ca="1" si="316"/>
        <v>1.7831187991366577E-2</v>
      </c>
      <c r="U306" s="45">
        <f t="shared" ca="1" si="332"/>
        <v>16.230553739929722</v>
      </c>
      <c r="V306" s="45">
        <f t="shared" ca="1" si="317"/>
        <v>0.20278247028256513</v>
      </c>
      <c r="W306" s="77">
        <f t="shared" ca="1" si="318"/>
        <v>6.6484050153419974E-2</v>
      </c>
      <c r="X306" s="45">
        <f t="shared" ca="1" si="333"/>
        <v>0.97833762575777505</v>
      </c>
      <c r="Y306" s="45">
        <f t="shared" ca="1" si="319"/>
        <v>8.5602929234129804E-3</v>
      </c>
      <c r="Z306" s="77">
        <f t="shared" ca="1" si="320"/>
        <v>8.7948242593840573E-3</v>
      </c>
      <c r="AA306" s="45">
        <f t="shared" ca="1" si="334"/>
        <v>39.078230439860938</v>
      </c>
      <c r="AB306" s="45">
        <f t="shared" ca="1" si="321"/>
        <v>0</v>
      </c>
      <c r="AC306" s="45" cm="1">
        <f t="array" aca="1" ref="AC306" ca="1">pHUM*(T306+W306+Z306+AD306)</f>
        <v>1.0070932851074094E-2</v>
      </c>
      <c r="AD306" s="77">
        <f t="shared" ca="1" si="322"/>
        <v>1.0692009823002445E-2</v>
      </c>
      <c r="AE306" s="45">
        <f t="shared" ca="1" si="335"/>
        <v>6.3847072090583081</v>
      </c>
      <c r="AF306" s="45">
        <f t="shared" ca="1" si="323"/>
        <v>0</v>
      </c>
      <c r="AG306" s="76">
        <f t="shared" ca="1" si="324"/>
        <v>62.811272450917059</v>
      </c>
      <c r="AH306" s="45">
        <f t="shared" ca="1" si="325"/>
        <v>8.5170846452685994E-2</v>
      </c>
      <c r="AI306" s="77">
        <f t="shared" ca="1" si="326"/>
        <v>1.1358225648259833E-2</v>
      </c>
      <c r="AJ306" s="384">
        <f t="shared" ca="1" si="328"/>
        <v>1.7938752591233342E-2</v>
      </c>
      <c r="AU306" s="1"/>
    </row>
    <row r="307" spans="3:47" x14ac:dyDescent="0.25">
      <c r="C307" s="10">
        <f t="shared" si="353"/>
        <v>18</v>
      </c>
      <c r="D307" s="91">
        <f t="shared" si="336"/>
        <v>1</v>
      </c>
      <c r="E307" s="278"/>
      <c r="F307" s="76">
        <f t="shared" ref="F307:Q307" si="369">F235</f>
        <v>0.85587096774193583</v>
      </c>
      <c r="G307" s="46">
        <f t="shared" si="369"/>
        <v>78.439554282868485</v>
      </c>
      <c r="H307" s="46">
        <f t="shared" si="312"/>
        <v>-22.909404282868479</v>
      </c>
      <c r="I307" s="45">
        <f t="shared" si="313"/>
        <v>0</v>
      </c>
      <c r="J307" s="45">
        <f t="shared" si="314"/>
        <v>0.23072180944359474</v>
      </c>
      <c r="K307" s="45">
        <f t="shared" ca="1" si="330"/>
        <v>0.74571722023659515</v>
      </c>
      <c r="L307" s="358">
        <f t="shared" si="315"/>
        <v>0.39170179323548027</v>
      </c>
      <c r="M307" s="76">
        <f t="shared" ca="1" si="369"/>
        <v>0.25347808785320641</v>
      </c>
      <c r="N307" s="45">
        <f t="shared" ca="1" si="369"/>
        <v>0.25</v>
      </c>
      <c r="O307" s="45">
        <f t="shared" ca="1" si="369"/>
        <v>0</v>
      </c>
      <c r="P307" s="46" t="str">
        <f t="shared" ca="1" si="369"/>
        <v/>
      </c>
      <c r="Q307" s="243" t="str">
        <f t="shared" ca="1" si="369"/>
        <v/>
      </c>
      <c r="R307" s="45">
        <f t="shared" ca="1" si="331"/>
        <v>0.17230786588959235</v>
      </c>
      <c r="S307" s="45">
        <f t="shared" ca="1" si="355"/>
        <v>5.0695617570641283E-2</v>
      </c>
      <c r="T307" s="77">
        <f t="shared" ca="1" si="316"/>
        <v>0</v>
      </c>
      <c r="U307" s="45">
        <f t="shared" ca="1" si="332"/>
        <v>16.366852160058865</v>
      </c>
      <c r="V307" s="45">
        <f t="shared" ca="1" si="317"/>
        <v>0.20278247028256513</v>
      </c>
      <c r="W307" s="77">
        <f t="shared" ca="1" si="318"/>
        <v>0</v>
      </c>
      <c r="X307" s="45">
        <f t="shared" ca="1" si="333"/>
        <v>0.97810309442180399</v>
      </c>
      <c r="Y307" s="45">
        <f t="shared" ca="1" si="319"/>
        <v>0</v>
      </c>
      <c r="Z307" s="77">
        <f t="shared" ca="1" si="320"/>
        <v>0</v>
      </c>
      <c r="AA307" s="45">
        <f t="shared" ca="1" si="334"/>
        <v>39.077609362889007</v>
      </c>
      <c r="AB307" s="45">
        <f t="shared" ca="1" si="321"/>
        <v>0</v>
      </c>
      <c r="AC307" s="45" cm="1">
        <f t="array" aca="1" ref="AC307" ca="1">pHUM*(T307+W307+Z307+AD307)</f>
        <v>0</v>
      </c>
      <c r="AD307" s="77">
        <f t="shared" ca="1" si="322"/>
        <v>0</v>
      </c>
      <c r="AE307" s="45">
        <f t="shared" ca="1" si="335"/>
        <v>6.3847072090583081</v>
      </c>
      <c r="AF307" s="45">
        <f t="shared" ca="1" si="323"/>
        <v>0</v>
      </c>
      <c r="AG307" s="76">
        <f t="shared" ca="1" si="324"/>
        <v>62.979579692317571</v>
      </c>
      <c r="AH307" s="45">
        <f t="shared" ca="1" si="325"/>
        <v>0</v>
      </c>
      <c r="AI307" s="77">
        <f t="shared" ca="1" si="326"/>
        <v>1.1868322727873104E-2</v>
      </c>
      <c r="AJ307" s="384">
        <f t="shared" ca="1" si="328"/>
        <v>1.2236695815205367E-2</v>
      </c>
      <c r="AU307" s="1"/>
    </row>
    <row r="308" spans="3:47" x14ac:dyDescent="0.25">
      <c r="C308" s="10">
        <f t="shared" si="353"/>
        <v>18</v>
      </c>
      <c r="D308" s="91">
        <f t="shared" si="336"/>
        <v>2</v>
      </c>
      <c r="E308" s="278"/>
      <c r="F308" s="76">
        <f t="shared" ref="F308:Q308" si="370">F236</f>
        <v>0.91042857142857181</v>
      </c>
      <c r="G308" s="46">
        <f t="shared" si="370"/>
        <v>77.312634079068317</v>
      </c>
      <c r="H308" s="46">
        <f t="shared" si="312"/>
        <v>-21.782484079068311</v>
      </c>
      <c r="I308" s="45">
        <f t="shared" si="313"/>
        <v>0</v>
      </c>
      <c r="J308" s="45">
        <f t="shared" si="314"/>
        <v>0.23463537609132465</v>
      </c>
      <c r="K308" s="45">
        <f t="shared" ca="1" si="330"/>
        <v>0.75836628037006848</v>
      </c>
      <c r="L308" s="358">
        <f t="shared" si="315"/>
        <v>0.39364266736760256</v>
      </c>
      <c r="M308" s="76">
        <f t="shared" ca="1" si="370"/>
        <v>0.25347808785320641</v>
      </c>
      <c r="N308" s="45">
        <f t="shared" ca="1" si="370"/>
        <v>0.25</v>
      </c>
      <c r="O308" s="45">
        <f t="shared" ca="1" si="370"/>
        <v>0</v>
      </c>
      <c r="P308" s="46" t="str">
        <f t="shared" ca="1" si="370"/>
        <v/>
      </c>
      <c r="Q308" s="243" t="str">
        <f t="shared" ca="1" si="370"/>
        <v/>
      </c>
      <c r="R308" s="45">
        <f t="shared" ca="1" si="331"/>
        <v>0.22300348346023363</v>
      </c>
      <c r="S308" s="45">
        <f t="shared" ca="1" si="355"/>
        <v>5.0695617570641283E-2</v>
      </c>
      <c r="T308" s="77">
        <f t="shared" ca="1" si="316"/>
        <v>0</v>
      </c>
      <c r="U308" s="45">
        <f t="shared" ca="1" si="332"/>
        <v>16.569634630341429</v>
      </c>
      <c r="V308" s="45">
        <f t="shared" ca="1" si="317"/>
        <v>0.20278247028256513</v>
      </c>
      <c r="W308" s="77">
        <f t="shared" ca="1" si="318"/>
        <v>0</v>
      </c>
      <c r="X308" s="45">
        <f t="shared" ca="1" si="333"/>
        <v>0.97810309442180399</v>
      </c>
      <c r="Y308" s="45">
        <f t="shared" ca="1" si="319"/>
        <v>0</v>
      </c>
      <c r="Z308" s="77">
        <f t="shared" ca="1" si="320"/>
        <v>0</v>
      </c>
      <c r="AA308" s="45">
        <f t="shared" ca="1" si="334"/>
        <v>39.077609362889007</v>
      </c>
      <c r="AB308" s="45">
        <f t="shared" ca="1" si="321"/>
        <v>0</v>
      </c>
      <c r="AC308" s="45" cm="1">
        <f t="array" aca="1" ref="AC308" ca="1">pHUM*(T308+W308+Z308+AD308)</f>
        <v>0</v>
      </c>
      <c r="AD308" s="77">
        <f t="shared" ca="1" si="322"/>
        <v>0</v>
      </c>
      <c r="AE308" s="45">
        <f t="shared" ca="1" si="335"/>
        <v>6.3847072090583081</v>
      </c>
      <c r="AF308" s="45">
        <f t="shared" ca="1" si="323"/>
        <v>0</v>
      </c>
      <c r="AG308" s="76">
        <f t="shared" ca="1" si="324"/>
        <v>63.233057780170782</v>
      </c>
      <c r="AH308" s="45">
        <f t="shared" ca="1" si="325"/>
        <v>0</v>
      </c>
      <c r="AI308" s="77">
        <f t="shared" ca="1" si="326"/>
        <v>1.2647721769998127E-2</v>
      </c>
      <c r="AJ308" s="384">
        <f t="shared" ca="1" si="328"/>
        <v>1.332717566326358E-2</v>
      </c>
      <c r="AU308" s="1"/>
    </row>
    <row r="309" spans="3:47" x14ac:dyDescent="0.25">
      <c r="C309" s="10">
        <f t="shared" si="353"/>
        <v>18</v>
      </c>
      <c r="D309" s="91">
        <f t="shared" si="336"/>
        <v>3</v>
      </c>
      <c r="E309" s="278"/>
      <c r="F309" s="76">
        <f t="shared" ref="F309:Q309" si="371">F237</f>
        <v>1.7499333333333336</v>
      </c>
      <c r="G309" s="46">
        <f t="shared" si="371"/>
        <v>89.127050621045186</v>
      </c>
      <c r="H309" s="46">
        <f t="shared" si="312"/>
        <v>-33.596900621045179</v>
      </c>
      <c r="I309" s="45">
        <f t="shared" si="313"/>
        <v>0</v>
      </c>
      <c r="J309" s="45">
        <f t="shared" si="314"/>
        <v>0.19161115755788954</v>
      </c>
      <c r="K309" s="45">
        <f t="shared" ca="1" si="330"/>
        <v>0.61930746869995335</v>
      </c>
      <c r="L309" s="358">
        <f t="shared" si="315"/>
        <v>0.42389567243620196</v>
      </c>
      <c r="M309" s="76">
        <f t="shared" ca="1" si="371"/>
        <v>0.25347808785320641</v>
      </c>
      <c r="N309" s="45">
        <f t="shared" ca="1" si="371"/>
        <v>0.25</v>
      </c>
      <c r="O309" s="45">
        <f t="shared" ca="1" si="371"/>
        <v>0</v>
      </c>
      <c r="P309" s="46" t="str">
        <f t="shared" ca="1" si="371"/>
        <v/>
      </c>
      <c r="Q309" s="243" t="str">
        <f t="shared" ca="1" si="371"/>
        <v/>
      </c>
      <c r="R309" s="45">
        <f t="shared" ca="1" si="331"/>
        <v>0.27369910103087491</v>
      </c>
      <c r="S309" s="45">
        <f t="shared" ca="1" si="355"/>
        <v>5.0695617570641283E-2</v>
      </c>
      <c r="T309" s="77">
        <f t="shared" ca="1" si="316"/>
        <v>0</v>
      </c>
      <c r="U309" s="45">
        <f t="shared" ca="1" si="332"/>
        <v>16.772417100623993</v>
      </c>
      <c r="V309" s="45">
        <f t="shared" ca="1" si="317"/>
        <v>0.20278247028256513</v>
      </c>
      <c r="W309" s="77">
        <f t="shared" ca="1" si="318"/>
        <v>0</v>
      </c>
      <c r="X309" s="45">
        <f t="shared" ca="1" si="333"/>
        <v>0.97810309442180399</v>
      </c>
      <c r="Y309" s="45">
        <f t="shared" ca="1" si="319"/>
        <v>0</v>
      </c>
      <c r="Z309" s="77">
        <f t="shared" ca="1" si="320"/>
        <v>0</v>
      </c>
      <c r="AA309" s="45">
        <f t="shared" ca="1" si="334"/>
        <v>39.077609362889007</v>
      </c>
      <c r="AB309" s="45">
        <f t="shared" ca="1" si="321"/>
        <v>0</v>
      </c>
      <c r="AC309" s="45" cm="1">
        <f t="array" aca="1" ref="AC309" ca="1">pHUM*(T309+W309+Z309+AD309)</f>
        <v>0</v>
      </c>
      <c r="AD309" s="77">
        <f t="shared" ca="1" si="322"/>
        <v>0</v>
      </c>
      <c r="AE309" s="45">
        <f t="shared" ca="1" si="335"/>
        <v>6.3847072090583081</v>
      </c>
      <c r="AF309" s="45">
        <f t="shared" ca="1" si="323"/>
        <v>0</v>
      </c>
      <c r="AG309" s="76">
        <f t="shared" ca="1" si="324"/>
        <v>63.486535868023985</v>
      </c>
      <c r="AH309" s="45">
        <f t="shared" ca="1" si="325"/>
        <v>0</v>
      </c>
      <c r="AI309" s="77">
        <f t="shared" ca="1" si="326"/>
        <v>1.3420201223608657E-2</v>
      </c>
      <c r="AJ309" s="384">
        <f t="shared" ca="1" si="328"/>
        <v>1.2435674093663751E-2</v>
      </c>
      <c r="AU309" s="1"/>
    </row>
    <row r="310" spans="3:47" x14ac:dyDescent="0.25">
      <c r="C310" s="10">
        <f t="shared" si="353"/>
        <v>18</v>
      </c>
      <c r="D310" s="91">
        <f t="shared" si="336"/>
        <v>4</v>
      </c>
      <c r="E310" s="278"/>
      <c r="F310" s="76">
        <f t="shared" ref="F310:Q310" si="372">F238</f>
        <v>5.3144</v>
      </c>
      <c r="G310" s="46">
        <f t="shared" si="372"/>
        <v>88.517400984298064</v>
      </c>
      <c r="H310" s="46">
        <f t="shared" si="312"/>
        <v>-32.987250984298058</v>
      </c>
      <c r="I310" s="45">
        <f t="shared" si="313"/>
        <v>0</v>
      </c>
      <c r="J310" s="45">
        <f t="shared" si="314"/>
        <v>0.19391725365845511</v>
      </c>
      <c r="K310" s="45">
        <f t="shared" ca="1" si="330"/>
        <v>0.62676101449980381</v>
      </c>
      <c r="L310" s="358">
        <f t="shared" si="315"/>
        <v>0.55593677468735669</v>
      </c>
      <c r="M310" s="76">
        <f t="shared" ca="1" si="372"/>
        <v>0.25347808785320641</v>
      </c>
      <c r="N310" s="45">
        <f t="shared" ca="1" si="372"/>
        <v>0.25</v>
      </c>
      <c r="O310" s="45">
        <f t="shared" ca="1" si="372"/>
        <v>0</v>
      </c>
      <c r="P310" s="46" t="str">
        <f t="shared" ca="1" si="372"/>
        <v/>
      </c>
      <c r="Q310" s="243" t="str">
        <f t="shared" ca="1" si="372"/>
        <v/>
      </c>
      <c r="R310" s="45">
        <f t="shared" ca="1" si="331"/>
        <v>0.3243947186015162</v>
      </c>
      <c r="S310" s="45">
        <f t="shared" ca="1" si="355"/>
        <v>5.0695617570641283E-2</v>
      </c>
      <c r="T310" s="77">
        <f t="shared" ca="1" si="316"/>
        <v>0</v>
      </c>
      <c r="U310" s="45">
        <f t="shared" ca="1" si="332"/>
        <v>16.975199570906558</v>
      </c>
      <c r="V310" s="45">
        <f t="shared" ca="1" si="317"/>
        <v>0.20278247028256513</v>
      </c>
      <c r="W310" s="77">
        <f t="shared" ca="1" si="318"/>
        <v>0</v>
      </c>
      <c r="X310" s="45">
        <f t="shared" ca="1" si="333"/>
        <v>0.97810309442180399</v>
      </c>
      <c r="Y310" s="45">
        <f t="shared" ca="1" si="319"/>
        <v>0</v>
      </c>
      <c r="Z310" s="77">
        <f t="shared" ca="1" si="320"/>
        <v>0</v>
      </c>
      <c r="AA310" s="45">
        <f t="shared" ca="1" si="334"/>
        <v>39.077609362889007</v>
      </c>
      <c r="AB310" s="45">
        <f t="shared" ca="1" si="321"/>
        <v>0</v>
      </c>
      <c r="AC310" s="45" cm="1">
        <f t="array" aca="1" ref="AC310" ca="1">pHUM*(T310+W310+Z310+AD310)</f>
        <v>0</v>
      </c>
      <c r="AD310" s="77">
        <f t="shared" ca="1" si="322"/>
        <v>0</v>
      </c>
      <c r="AE310" s="45">
        <f t="shared" ca="1" si="335"/>
        <v>6.3847072090583081</v>
      </c>
      <c r="AF310" s="45">
        <f t="shared" ca="1" si="323"/>
        <v>0</v>
      </c>
      <c r="AG310" s="76">
        <f t="shared" ca="1" si="324"/>
        <v>63.740013955877188</v>
      </c>
      <c r="AH310" s="45">
        <f t="shared" ca="1" si="325"/>
        <v>0</v>
      </c>
      <c r="AI310" s="77">
        <f t="shared" ca="1" si="326"/>
        <v>1.4185852830733373E-2</v>
      </c>
      <c r="AJ310" s="384">
        <f t="shared" ca="1" si="328"/>
        <v>1.7447201561788805E-2</v>
      </c>
      <c r="AU310" s="1"/>
    </row>
    <row r="311" spans="3:47" x14ac:dyDescent="0.25">
      <c r="C311" s="10">
        <f t="shared" si="353"/>
        <v>18</v>
      </c>
      <c r="D311" s="91">
        <f t="shared" si="336"/>
        <v>5</v>
      </c>
      <c r="E311" s="278"/>
      <c r="F311" s="76">
        <f t="shared" ref="F311:Q311" si="373">F239</f>
        <v>12.662516129032257</v>
      </c>
      <c r="G311" s="46">
        <f t="shared" si="373"/>
        <v>89.413014608233681</v>
      </c>
      <c r="H311" s="46">
        <f t="shared" si="312"/>
        <v>-33.882864608233675</v>
      </c>
      <c r="I311" s="45">
        <f t="shared" si="313"/>
        <v>0</v>
      </c>
      <c r="J311" s="45">
        <f t="shared" si="314"/>
        <v>0.19052718077467024</v>
      </c>
      <c r="K311" s="45">
        <f t="shared" ca="1" si="330"/>
        <v>0.6158039414194908</v>
      </c>
      <c r="L311" s="358">
        <f t="shared" si="315"/>
        <v>0.78870900469063665</v>
      </c>
      <c r="M311" s="76">
        <f t="shared" ca="1" si="373"/>
        <v>0.25347808785320641</v>
      </c>
      <c r="N311" s="45">
        <f t="shared" ca="1" si="373"/>
        <v>0.25</v>
      </c>
      <c r="O311" s="45">
        <f t="shared" ca="1" si="373"/>
        <v>0</v>
      </c>
      <c r="P311" s="46" t="str">
        <f t="shared" ca="1" si="373"/>
        <v/>
      </c>
      <c r="Q311" s="243" t="str">
        <f t="shared" ca="1" si="373"/>
        <v/>
      </c>
      <c r="R311" s="45">
        <f t="shared" ca="1" si="331"/>
        <v>0.37509033617215748</v>
      </c>
      <c r="S311" s="45">
        <f t="shared" ca="1" si="355"/>
        <v>5.0695617570641283E-2</v>
      </c>
      <c r="T311" s="77">
        <f t="shared" ca="1" si="316"/>
        <v>0</v>
      </c>
      <c r="U311" s="45">
        <f t="shared" ca="1" si="332"/>
        <v>17.177982041189122</v>
      </c>
      <c r="V311" s="45">
        <f t="shared" ca="1" si="317"/>
        <v>0.20278247028256513</v>
      </c>
      <c r="W311" s="77">
        <f t="shared" ca="1" si="318"/>
        <v>0</v>
      </c>
      <c r="X311" s="45">
        <f t="shared" ca="1" si="333"/>
        <v>0.97810309442180399</v>
      </c>
      <c r="Y311" s="45">
        <f t="shared" ca="1" si="319"/>
        <v>0</v>
      </c>
      <c r="Z311" s="77">
        <f t="shared" ca="1" si="320"/>
        <v>0</v>
      </c>
      <c r="AA311" s="45">
        <f t="shared" ca="1" si="334"/>
        <v>39.077609362889007</v>
      </c>
      <c r="AB311" s="45">
        <f t="shared" ca="1" si="321"/>
        <v>0</v>
      </c>
      <c r="AC311" s="45" cm="1">
        <f t="array" aca="1" ref="AC311" ca="1">pHUM*(T311+W311+Z311+AD311)</f>
        <v>0</v>
      </c>
      <c r="AD311" s="77">
        <f t="shared" ca="1" si="322"/>
        <v>0</v>
      </c>
      <c r="AE311" s="45">
        <f t="shared" ca="1" si="335"/>
        <v>6.3847072090583081</v>
      </c>
      <c r="AF311" s="45">
        <f t="shared" ca="1" si="323"/>
        <v>0</v>
      </c>
      <c r="AG311" s="76">
        <f t="shared" ca="1" si="324"/>
        <v>63.993492043730399</v>
      </c>
      <c r="AH311" s="45">
        <f t="shared" ca="1" si="325"/>
        <v>0</v>
      </c>
      <c r="AI311" s="77">
        <f t="shared" ca="1" si="326"/>
        <v>1.4944766718744843E-2</v>
      </c>
      <c r="AJ311" s="384">
        <f t="shared" ca="1" si="328"/>
        <v>2.5620523847598164E-2</v>
      </c>
      <c r="AU311" s="1"/>
    </row>
    <row r="312" spans="3:47" x14ac:dyDescent="0.25">
      <c r="C312" s="10">
        <f t="shared" si="353"/>
        <v>18</v>
      </c>
      <c r="D312" s="91">
        <f t="shared" si="336"/>
        <v>6</v>
      </c>
      <c r="E312" s="278"/>
      <c r="F312" s="76">
        <f t="shared" ref="F312:Q312" si="374">F240</f>
        <v>17.952400000000004</v>
      </c>
      <c r="G312" s="46">
        <f t="shared" si="374"/>
        <v>83.948488098886401</v>
      </c>
      <c r="H312" s="46">
        <f t="shared" si="312"/>
        <v>-28.418338098886395</v>
      </c>
      <c r="I312" s="45">
        <f t="shared" si="313"/>
        <v>0</v>
      </c>
      <c r="J312" s="45">
        <f t="shared" si="314"/>
        <v>0.21095121603234232</v>
      </c>
      <c r="K312" s="45">
        <f t="shared" ca="1" si="330"/>
        <v>0.68181657730811884</v>
      </c>
      <c r="L312" s="358">
        <f t="shared" si="315"/>
        <v>0.89013124354981255</v>
      </c>
      <c r="M312" s="76">
        <f t="shared" ca="1" si="374"/>
        <v>0.25347808785320641</v>
      </c>
      <c r="N312" s="45">
        <f t="shared" ca="1" si="374"/>
        <v>0.25</v>
      </c>
      <c r="O312" s="45">
        <f t="shared" ca="1" si="374"/>
        <v>0</v>
      </c>
      <c r="P312" s="46" t="str">
        <f t="shared" ca="1" si="374"/>
        <v/>
      </c>
      <c r="Q312" s="243" t="str">
        <f t="shared" ca="1" si="374"/>
        <v/>
      </c>
      <c r="R312" s="45">
        <f t="shared" ca="1" si="331"/>
        <v>0.42578595374279876</v>
      </c>
      <c r="S312" s="45">
        <f t="shared" ca="1" si="355"/>
        <v>5.0695617570641283E-2</v>
      </c>
      <c r="T312" s="77">
        <f t="shared" ca="1" si="316"/>
        <v>0</v>
      </c>
      <c r="U312" s="45">
        <f t="shared" ca="1" si="332"/>
        <v>17.380764511471686</v>
      </c>
      <c r="V312" s="45">
        <f t="shared" ca="1" si="317"/>
        <v>0.20278247028256513</v>
      </c>
      <c r="W312" s="77">
        <f t="shared" ca="1" si="318"/>
        <v>0</v>
      </c>
      <c r="X312" s="45">
        <f t="shared" ca="1" si="333"/>
        <v>0.97810309442180399</v>
      </c>
      <c r="Y312" s="45">
        <f t="shared" ca="1" si="319"/>
        <v>0</v>
      </c>
      <c r="Z312" s="77">
        <f t="shared" ca="1" si="320"/>
        <v>0</v>
      </c>
      <c r="AA312" s="45">
        <f t="shared" ca="1" si="334"/>
        <v>39.077609362889007</v>
      </c>
      <c r="AB312" s="45">
        <f t="shared" ca="1" si="321"/>
        <v>0</v>
      </c>
      <c r="AC312" s="45" cm="1">
        <f t="array" aca="1" ref="AC312" ca="1">pHUM*(T312+W312+Z312+AD312)</f>
        <v>0</v>
      </c>
      <c r="AD312" s="77">
        <f t="shared" ca="1" si="322"/>
        <v>0</v>
      </c>
      <c r="AE312" s="45">
        <f t="shared" ca="1" si="335"/>
        <v>6.3847072090583081</v>
      </c>
      <c r="AF312" s="45">
        <f t="shared" ca="1" si="323"/>
        <v>0</v>
      </c>
      <c r="AG312" s="76">
        <f t="shared" ca="1" si="324"/>
        <v>64.246970131583609</v>
      </c>
      <c r="AH312" s="45">
        <f t="shared" ca="1" si="325"/>
        <v>0</v>
      </c>
      <c r="AI312" s="77">
        <f t="shared" ca="1" si="326"/>
        <v>1.5697031435726278E-2</v>
      </c>
      <c r="AJ312" s="384">
        <f t="shared" ca="1" si="328"/>
        <v>3.3626018739979502E-2</v>
      </c>
      <c r="AU312" s="1"/>
    </row>
    <row r="313" spans="3:47" x14ac:dyDescent="0.25">
      <c r="C313" s="10">
        <f t="shared" si="353"/>
        <v>18</v>
      </c>
      <c r="D313" s="91">
        <f t="shared" si="336"/>
        <v>7</v>
      </c>
      <c r="E313" s="278"/>
      <c r="F313" s="76">
        <f t="shared" ref="F313:Q313" si="375">F241</f>
        <v>21.363032258064525</v>
      </c>
      <c r="G313" s="46">
        <f t="shared" si="375"/>
        <v>73.679575814389409</v>
      </c>
      <c r="H313" s="46">
        <f t="shared" si="312"/>
        <v>-18.149425814389403</v>
      </c>
      <c r="I313" s="45">
        <f t="shared" si="313"/>
        <v>0</v>
      </c>
      <c r="J313" s="45">
        <f t="shared" si="314"/>
        <v>0.2468878570948656</v>
      </c>
      <c r="K313" s="45">
        <f t="shared" ca="1" si="330"/>
        <v>0.79796759113040194</v>
      </c>
      <c r="L313" s="358">
        <f t="shared" si="315"/>
        <v>0.92905557700722019</v>
      </c>
      <c r="M313" s="76">
        <f t="shared" ca="1" si="375"/>
        <v>0.25347808785320641</v>
      </c>
      <c r="N313" s="45">
        <f t="shared" ca="1" si="375"/>
        <v>0.25</v>
      </c>
      <c r="O313" s="45">
        <f t="shared" ca="1" si="375"/>
        <v>0</v>
      </c>
      <c r="P313" s="46" t="str">
        <f t="shared" ca="1" si="375"/>
        <v/>
      </c>
      <c r="Q313" s="243" t="str">
        <f t="shared" ca="1" si="375"/>
        <v/>
      </c>
      <c r="R313" s="45">
        <f t="shared" ca="1" si="331"/>
        <v>0.47648157131344004</v>
      </c>
      <c r="S313" s="45">
        <f t="shared" ca="1" si="355"/>
        <v>5.0695617570641283E-2</v>
      </c>
      <c r="T313" s="77">
        <f t="shared" ca="1" si="316"/>
        <v>0</v>
      </c>
      <c r="U313" s="45">
        <f t="shared" ca="1" si="332"/>
        <v>17.58354698175425</v>
      </c>
      <c r="V313" s="45">
        <f t="shared" ca="1" si="317"/>
        <v>0.20278247028256513</v>
      </c>
      <c r="W313" s="77">
        <f t="shared" ca="1" si="318"/>
        <v>0</v>
      </c>
      <c r="X313" s="45">
        <f t="shared" ca="1" si="333"/>
        <v>0.97810309442180399</v>
      </c>
      <c r="Y313" s="45">
        <f t="shared" ca="1" si="319"/>
        <v>0</v>
      </c>
      <c r="Z313" s="77">
        <f t="shared" ca="1" si="320"/>
        <v>0</v>
      </c>
      <c r="AA313" s="45">
        <f t="shared" ca="1" si="334"/>
        <v>39.077609362889007</v>
      </c>
      <c r="AB313" s="45">
        <f t="shared" ca="1" si="321"/>
        <v>0</v>
      </c>
      <c r="AC313" s="45" cm="1">
        <f t="array" aca="1" ref="AC313" ca="1">pHUM*(T313+W313+Z313+AD313)</f>
        <v>0</v>
      </c>
      <c r="AD313" s="77">
        <f t="shared" ca="1" si="322"/>
        <v>0</v>
      </c>
      <c r="AE313" s="45">
        <f t="shared" ca="1" si="335"/>
        <v>6.3847072090583081</v>
      </c>
      <c r="AF313" s="45">
        <f t="shared" ca="1" si="323"/>
        <v>0</v>
      </c>
      <c r="AG313" s="76">
        <f t="shared" ca="1" si="324"/>
        <v>64.500448219436805</v>
      </c>
      <c r="AH313" s="45">
        <f t="shared" ca="1" si="325"/>
        <v>0</v>
      </c>
      <c r="AI313" s="77">
        <f t="shared" ca="1" si="326"/>
        <v>1.6442733984912732E-2</v>
      </c>
      <c r="AJ313" s="384">
        <f t="shared" ca="1" si="328"/>
        <v>4.3026245249810913E-2</v>
      </c>
      <c r="AU313" s="1"/>
    </row>
    <row r="314" spans="3:47" x14ac:dyDescent="0.25">
      <c r="C314" s="10">
        <f t="shared" si="353"/>
        <v>18</v>
      </c>
      <c r="D314" s="91">
        <f t="shared" si="336"/>
        <v>8</v>
      </c>
      <c r="E314" s="278"/>
      <c r="F314" s="76">
        <f t="shared" ref="F314:Q314" si="376">F242</f>
        <v>21.84690322580645</v>
      </c>
      <c r="G314" s="46">
        <f t="shared" si="376"/>
        <v>71.917724933598876</v>
      </c>
      <c r="H314" s="46">
        <f t="shared" si="312"/>
        <v>-16.38757493359887</v>
      </c>
      <c r="I314" s="45">
        <f t="shared" si="313"/>
        <v>0</v>
      </c>
      <c r="J314" s="45">
        <f t="shared" si="314"/>
        <v>0.25260629061506468</v>
      </c>
      <c r="K314" s="45">
        <f t="shared" ca="1" si="330"/>
        <v>0.81645017133846476</v>
      </c>
      <c r="L314" s="358">
        <f t="shared" si="315"/>
        <v>0.93325603418156189</v>
      </c>
      <c r="M314" s="76">
        <f t="shared" ca="1" si="376"/>
        <v>0.25347808785320641</v>
      </c>
      <c r="N314" s="45">
        <f t="shared" ca="1" si="376"/>
        <v>0.25</v>
      </c>
      <c r="O314" s="45">
        <f t="shared" ca="1" si="376"/>
        <v>0</v>
      </c>
      <c r="P314" s="46" t="str">
        <f t="shared" ca="1" si="376"/>
        <v/>
      </c>
      <c r="Q314" s="243" t="str">
        <f t="shared" ca="1" si="376"/>
        <v/>
      </c>
      <c r="R314" s="45">
        <f t="shared" ca="1" si="331"/>
        <v>0.52717718888408127</v>
      </c>
      <c r="S314" s="45">
        <f t="shared" ca="1" si="355"/>
        <v>5.0695617570641283E-2</v>
      </c>
      <c r="T314" s="77">
        <f t="shared" ca="1" si="316"/>
        <v>0</v>
      </c>
      <c r="U314" s="45">
        <f t="shared" ca="1" si="332"/>
        <v>17.786329452036814</v>
      </c>
      <c r="V314" s="45">
        <f t="shared" ca="1" si="317"/>
        <v>0.20278247028256513</v>
      </c>
      <c r="W314" s="77">
        <f t="shared" ca="1" si="318"/>
        <v>0</v>
      </c>
      <c r="X314" s="45">
        <f t="shared" ca="1" si="333"/>
        <v>0.97810309442180399</v>
      </c>
      <c r="Y314" s="45">
        <f t="shared" ca="1" si="319"/>
        <v>0</v>
      </c>
      <c r="Z314" s="77">
        <f t="shared" ca="1" si="320"/>
        <v>0</v>
      </c>
      <c r="AA314" s="45">
        <f t="shared" ca="1" si="334"/>
        <v>39.077609362889007</v>
      </c>
      <c r="AB314" s="45">
        <f t="shared" ca="1" si="321"/>
        <v>0</v>
      </c>
      <c r="AC314" s="45" cm="1">
        <f t="array" aca="1" ref="AC314" ca="1">pHUM*(T314+W314+Z314+AD314)</f>
        <v>0</v>
      </c>
      <c r="AD314" s="77">
        <f t="shared" ca="1" si="322"/>
        <v>0</v>
      </c>
      <c r="AE314" s="45">
        <f t="shared" ca="1" si="335"/>
        <v>6.3847072090583081</v>
      </c>
      <c r="AF314" s="45">
        <f t="shared" ca="1" si="323"/>
        <v>0</v>
      </c>
      <c r="AG314" s="76">
        <f t="shared" ca="1" si="324"/>
        <v>64.753926307290016</v>
      </c>
      <c r="AH314" s="45">
        <f t="shared" ca="1" si="325"/>
        <v>0</v>
      </c>
      <c r="AI314" s="77">
        <f t="shared" ca="1" si="326"/>
        <v>1.718195985823491E-2</v>
      </c>
      <c r="AJ314" s="384">
        <f t="shared" ca="1" si="328"/>
        <v>4.6209828487511206E-2</v>
      </c>
      <c r="AU314" s="1"/>
    </row>
    <row r="315" spans="3:47" x14ac:dyDescent="0.25">
      <c r="C315" s="10">
        <f t="shared" si="353"/>
        <v>18</v>
      </c>
      <c r="D315" s="91">
        <f t="shared" si="336"/>
        <v>9</v>
      </c>
      <c r="E315" s="278"/>
      <c r="F315" s="76">
        <f t="shared" ref="F315:Q315" si="377">F243</f>
        <v>19.915099999999999</v>
      </c>
      <c r="G315" s="46">
        <f t="shared" si="377"/>
        <v>90.121120170480822</v>
      </c>
      <c r="H315" s="46">
        <f t="shared" si="312"/>
        <v>-34.590970170480816</v>
      </c>
      <c r="I315" s="45">
        <f t="shared" si="313"/>
        <v>0</v>
      </c>
      <c r="J315" s="45">
        <f t="shared" si="314"/>
        <v>0.18783711693191202</v>
      </c>
      <c r="K315" s="45">
        <f t="shared" ca="1" si="330"/>
        <v>0.60710937138331467</v>
      </c>
      <c r="L315" s="358">
        <f t="shared" si="315"/>
        <v>0.91464137695305081</v>
      </c>
      <c r="M315" s="76">
        <f t="shared" ca="1" si="377"/>
        <v>0.25347808785320641</v>
      </c>
      <c r="N315" s="45">
        <f t="shared" ca="1" si="377"/>
        <v>0.25</v>
      </c>
      <c r="O315" s="45">
        <f t="shared" ca="1" si="377"/>
        <v>0</v>
      </c>
      <c r="P315" s="46" t="str">
        <f t="shared" ca="1" si="377"/>
        <v/>
      </c>
      <c r="Q315" s="243" t="str">
        <f t="shared" ca="1" si="377"/>
        <v/>
      </c>
      <c r="R315" s="45">
        <f t="shared" ca="1" si="331"/>
        <v>0.5778728064547225</v>
      </c>
      <c r="S315" s="45">
        <f t="shared" ca="1" si="355"/>
        <v>5.0695617570641283E-2</v>
      </c>
      <c r="T315" s="77">
        <f t="shared" ca="1" si="316"/>
        <v>0</v>
      </c>
      <c r="U315" s="45">
        <f t="shared" ca="1" si="332"/>
        <v>17.989111922319378</v>
      </c>
      <c r="V315" s="45">
        <f t="shared" ca="1" si="317"/>
        <v>0.20278247028256513</v>
      </c>
      <c r="W315" s="77">
        <f t="shared" ca="1" si="318"/>
        <v>0</v>
      </c>
      <c r="X315" s="45">
        <f t="shared" ca="1" si="333"/>
        <v>0.97810309442180399</v>
      </c>
      <c r="Y315" s="45">
        <f t="shared" ca="1" si="319"/>
        <v>0</v>
      </c>
      <c r="Z315" s="77">
        <f t="shared" ca="1" si="320"/>
        <v>0</v>
      </c>
      <c r="AA315" s="45">
        <f t="shared" ca="1" si="334"/>
        <v>39.077609362889007</v>
      </c>
      <c r="AB315" s="45">
        <f t="shared" ca="1" si="321"/>
        <v>0</v>
      </c>
      <c r="AC315" s="45" cm="1">
        <f t="array" aca="1" ref="AC315" ca="1">pHUM*(T315+W315+Z315+AD315)</f>
        <v>0</v>
      </c>
      <c r="AD315" s="77">
        <f t="shared" ca="1" si="322"/>
        <v>0</v>
      </c>
      <c r="AE315" s="45">
        <f t="shared" ca="1" si="335"/>
        <v>6.3847072090583081</v>
      </c>
      <c r="AF315" s="45">
        <f t="shared" ca="1" si="323"/>
        <v>0</v>
      </c>
      <c r="AG315" s="76">
        <f t="shared" ca="1" si="324"/>
        <v>65.007404395143212</v>
      </c>
      <c r="AH315" s="45">
        <f t="shared" ca="1" si="325"/>
        <v>0</v>
      </c>
      <c r="AI315" s="77">
        <f t="shared" ca="1" si="326"/>
        <v>1.7914793068992737E-2</v>
      </c>
      <c r="AJ315" s="384">
        <f t="shared" ca="1" si="328"/>
        <v>3.5112785976095795E-2</v>
      </c>
      <c r="AU315" s="1"/>
    </row>
    <row r="316" spans="3:47" x14ac:dyDescent="0.25">
      <c r="C316" s="10">
        <f t="shared" si="353"/>
        <v>18</v>
      </c>
      <c r="D316" s="91">
        <f t="shared" si="336"/>
        <v>10</v>
      </c>
      <c r="E316" s="278"/>
      <c r="F316" s="76">
        <f t="shared" ref="F316:Q316" si="378">F244</f>
        <v>16.404967741935486</v>
      </c>
      <c r="G316" s="46">
        <f t="shared" si="378"/>
        <v>93.270963763991602</v>
      </c>
      <c r="H316" s="46">
        <f t="shared" si="312"/>
        <v>-37.740813763991596</v>
      </c>
      <c r="I316" s="45">
        <f t="shared" si="313"/>
        <v>0</v>
      </c>
      <c r="J316" s="45">
        <f t="shared" si="314"/>
        <v>0.1757835150476853</v>
      </c>
      <c r="K316" s="45">
        <f t="shared" ca="1" si="330"/>
        <v>0.56815085891056294</v>
      </c>
      <c r="L316" s="358">
        <f t="shared" si="315"/>
        <v>0.86618676922472848</v>
      </c>
      <c r="M316" s="76">
        <f t="shared" ca="1" si="378"/>
        <v>0.25347808785320641</v>
      </c>
      <c r="N316" s="45">
        <f t="shared" ca="1" si="378"/>
        <v>0.25</v>
      </c>
      <c r="O316" s="45">
        <f t="shared" ca="1" si="378"/>
        <v>0</v>
      </c>
      <c r="P316" s="46" t="str">
        <f t="shared" ca="1" si="378"/>
        <v/>
      </c>
      <c r="Q316" s="243" t="str">
        <f t="shared" ca="1" si="378"/>
        <v/>
      </c>
      <c r="R316" s="45">
        <f t="shared" ca="1" si="331"/>
        <v>0.62856842402536373</v>
      </c>
      <c r="S316" s="45">
        <f t="shared" ca="1" si="355"/>
        <v>5.0695617570641283E-2</v>
      </c>
      <c r="T316" s="77">
        <f t="shared" ca="1" si="316"/>
        <v>0</v>
      </c>
      <c r="U316" s="45">
        <f t="shared" ca="1" si="332"/>
        <v>18.191894392601942</v>
      </c>
      <c r="V316" s="45">
        <f t="shared" ca="1" si="317"/>
        <v>0.20278247028256513</v>
      </c>
      <c r="W316" s="77">
        <f t="shared" ca="1" si="318"/>
        <v>0</v>
      </c>
      <c r="X316" s="45">
        <f t="shared" ca="1" si="333"/>
        <v>0.97810309442180399</v>
      </c>
      <c r="Y316" s="45">
        <f t="shared" ca="1" si="319"/>
        <v>0</v>
      </c>
      <c r="Z316" s="77">
        <f t="shared" ca="1" si="320"/>
        <v>0</v>
      </c>
      <c r="AA316" s="45">
        <f t="shared" ca="1" si="334"/>
        <v>39.077609362889007</v>
      </c>
      <c r="AB316" s="45">
        <f t="shared" ca="1" si="321"/>
        <v>0</v>
      </c>
      <c r="AC316" s="45" cm="1">
        <f t="array" aca="1" ref="AC316" ca="1">pHUM*(T316+W316+Z316+AD316)</f>
        <v>0</v>
      </c>
      <c r="AD316" s="77">
        <f t="shared" ca="1" si="322"/>
        <v>0</v>
      </c>
      <c r="AE316" s="45">
        <f t="shared" ca="1" si="335"/>
        <v>6.3847072090583081</v>
      </c>
      <c r="AF316" s="45">
        <f t="shared" ca="1" si="323"/>
        <v>0</v>
      </c>
      <c r="AG316" s="76">
        <f t="shared" ca="1" si="324"/>
        <v>65.260882482996422</v>
      </c>
      <c r="AH316" s="45">
        <f t="shared" ca="1" si="325"/>
        <v>0</v>
      </c>
      <c r="AI316" s="77">
        <f t="shared" ca="1" si="326"/>
        <v>1.8641316183684919E-2</v>
      </c>
      <c r="AJ316" s="384">
        <f t="shared" ca="1" si="328"/>
        <v>3.2380877797923979E-2</v>
      </c>
      <c r="AU316" s="1"/>
    </row>
    <row r="317" spans="3:47" x14ac:dyDescent="0.25">
      <c r="C317" s="10">
        <f t="shared" si="353"/>
        <v>18</v>
      </c>
      <c r="D317" s="91">
        <f t="shared" si="336"/>
        <v>11</v>
      </c>
      <c r="E317" s="278"/>
      <c r="F317" s="76">
        <f t="shared" ref="F317:Q317" si="379">F245</f>
        <v>8.5982333333333347</v>
      </c>
      <c r="G317" s="46">
        <f t="shared" si="379"/>
        <v>93.768190396309464</v>
      </c>
      <c r="H317" s="46">
        <f t="shared" si="312"/>
        <v>-38.238040396309458</v>
      </c>
      <c r="I317" s="45">
        <f t="shared" si="313"/>
        <v>0</v>
      </c>
      <c r="J317" s="45">
        <f t="shared" si="314"/>
        <v>0.17386998013358751</v>
      </c>
      <c r="K317" s="45">
        <f t="shared" ca="1" si="330"/>
        <v>0.56196611226520721</v>
      </c>
      <c r="L317" s="358">
        <f t="shared" si="315"/>
        <v>0.6712335176859634</v>
      </c>
      <c r="M317" s="76">
        <f t="shared" ca="1" si="379"/>
        <v>0.25347808785320641</v>
      </c>
      <c r="N317" s="45">
        <f t="shared" ca="1" si="379"/>
        <v>0.25</v>
      </c>
      <c r="O317" s="45">
        <f t="shared" ca="1" si="379"/>
        <v>0</v>
      </c>
      <c r="P317" s="46" t="str">
        <f t="shared" ca="1" si="379"/>
        <v/>
      </c>
      <c r="Q317" s="243" t="str">
        <f t="shared" ca="1" si="379"/>
        <v/>
      </c>
      <c r="R317" s="45">
        <f t="shared" ca="1" si="331"/>
        <v>0.67926404159600495</v>
      </c>
      <c r="S317" s="45">
        <f t="shared" ca="1" si="355"/>
        <v>5.0695617570641283E-2</v>
      </c>
      <c r="T317" s="77">
        <f t="shared" ca="1" si="316"/>
        <v>0</v>
      </c>
      <c r="U317" s="45">
        <f t="shared" ca="1" si="332"/>
        <v>18.394676862884506</v>
      </c>
      <c r="V317" s="45">
        <f t="shared" ca="1" si="317"/>
        <v>0.20278247028256513</v>
      </c>
      <c r="W317" s="77">
        <f t="shared" ca="1" si="318"/>
        <v>0</v>
      </c>
      <c r="X317" s="45">
        <f t="shared" ca="1" si="333"/>
        <v>0.97810309442180399</v>
      </c>
      <c r="Y317" s="45">
        <f t="shared" ca="1" si="319"/>
        <v>0</v>
      </c>
      <c r="Z317" s="77">
        <f t="shared" ca="1" si="320"/>
        <v>0</v>
      </c>
      <c r="AA317" s="45">
        <f t="shared" ca="1" si="334"/>
        <v>39.077609362889007</v>
      </c>
      <c r="AB317" s="45">
        <f t="shared" ca="1" si="321"/>
        <v>0</v>
      </c>
      <c r="AC317" s="45" cm="1">
        <f t="array" aca="1" ref="AC317" ca="1">pHUM*(T317+W317+Z317+AD317)</f>
        <v>0</v>
      </c>
      <c r="AD317" s="77">
        <f t="shared" ca="1" si="322"/>
        <v>0</v>
      </c>
      <c r="AE317" s="45">
        <f t="shared" ca="1" si="335"/>
        <v>6.3847072090583081</v>
      </c>
      <c r="AF317" s="45">
        <f t="shared" ca="1" si="323"/>
        <v>0</v>
      </c>
      <c r="AG317" s="76">
        <f t="shared" ca="1" si="324"/>
        <v>65.514360570849632</v>
      </c>
      <c r="AH317" s="45">
        <f t="shared" ca="1" si="325"/>
        <v>0</v>
      </c>
      <c r="AI317" s="77">
        <f t="shared" ca="1" si="326"/>
        <v>1.9361610353019802E-2</v>
      </c>
      <c r="AJ317" s="384">
        <f t="shared" ca="1" si="328"/>
        <v>2.5778923312250734E-2</v>
      </c>
      <c r="AU317" s="1"/>
    </row>
    <row r="318" spans="3:47" x14ac:dyDescent="0.25">
      <c r="C318" s="10">
        <f t="shared" si="353"/>
        <v>18</v>
      </c>
      <c r="D318" s="91">
        <f t="shared" si="336"/>
        <v>12</v>
      </c>
      <c r="E318" s="278"/>
      <c r="F318" s="76">
        <f t="shared" ref="F318:Q318" si="380">F246</f>
        <v>5.8543548387096775</v>
      </c>
      <c r="G318" s="46">
        <f t="shared" si="380"/>
        <v>92.353978821555827</v>
      </c>
      <c r="H318" s="46">
        <f t="shared" si="312"/>
        <v>-36.823828821555821</v>
      </c>
      <c r="I318" s="45">
        <f t="shared" si="313"/>
        <v>0</v>
      </c>
      <c r="J318" s="45">
        <f t="shared" si="314"/>
        <v>0.17930557122010893</v>
      </c>
      <c r="K318" s="45">
        <f t="shared" ca="1" si="330"/>
        <v>0.57953451589882432</v>
      </c>
      <c r="L318" s="358">
        <f t="shared" si="315"/>
        <v>0.57570255434605899</v>
      </c>
      <c r="M318" s="76">
        <f t="shared" ca="1" si="380"/>
        <v>0.25347808785320641</v>
      </c>
      <c r="N318" s="45">
        <f t="shared" ca="1" si="380"/>
        <v>0.25</v>
      </c>
      <c r="O318" s="45">
        <f t="shared" ca="1" si="380"/>
        <v>0</v>
      </c>
      <c r="P318" s="46" t="str">
        <f t="shared" ca="1" si="380"/>
        <v/>
      </c>
      <c r="Q318" s="243" t="str">
        <f t="shared" ca="1" si="380"/>
        <v/>
      </c>
      <c r="R318" s="45">
        <f t="shared" ca="1" si="331"/>
        <v>0.72995965916664618</v>
      </c>
      <c r="S318" s="45">
        <f t="shared" ca="1" si="355"/>
        <v>5.0695617570641283E-2</v>
      </c>
      <c r="T318" s="77">
        <f t="shared" ca="1" si="316"/>
        <v>0</v>
      </c>
      <c r="U318" s="45">
        <f t="shared" ca="1" si="332"/>
        <v>18.59745933316707</v>
      </c>
      <c r="V318" s="45">
        <f t="shared" ca="1" si="317"/>
        <v>0.20278247028256513</v>
      </c>
      <c r="W318" s="77">
        <f t="shared" ca="1" si="318"/>
        <v>0</v>
      </c>
      <c r="X318" s="45">
        <f t="shared" ca="1" si="333"/>
        <v>0.97810309442180399</v>
      </c>
      <c r="Y318" s="45">
        <f t="shared" ca="1" si="319"/>
        <v>0</v>
      </c>
      <c r="Z318" s="77">
        <f t="shared" ca="1" si="320"/>
        <v>0</v>
      </c>
      <c r="AA318" s="45">
        <f t="shared" ca="1" si="334"/>
        <v>39.077609362889007</v>
      </c>
      <c r="AB318" s="45">
        <f t="shared" ca="1" si="321"/>
        <v>0</v>
      </c>
      <c r="AC318" s="45" cm="1">
        <f t="array" aca="1" ref="AC318" ca="1">pHUM*(T318+W318+Z318+AD318)</f>
        <v>0</v>
      </c>
      <c r="AD318" s="77">
        <f t="shared" ca="1" si="322"/>
        <v>0</v>
      </c>
      <c r="AE318" s="45">
        <f t="shared" ca="1" si="335"/>
        <v>6.3847072090583081</v>
      </c>
      <c r="AF318" s="45">
        <f t="shared" ca="1" si="323"/>
        <v>0</v>
      </c>
      <c r="AG318" s="76">
        <f t="shared" ca="1" si="324"/>
        <v>65.767838658702829</v>
      </c>
      <c r="AH318" s="45">
        <f t="shared" ca="1" si="325"/>
        <v>0</v>
      </c>
      <c r="AI318" s="77">
        <f t="shared" ca="1" si="326"/>
        <v>2.0075755342132025E-2</v>
      </c>
      <c r="AJ318" s="384">
        <f t="shared" ca="1" si="328"/>
        <v>2.3642302492279388E-2</v>
      </c>
      <c r="AU318" s="1"/>
    </row>
    <row r="319" spans="3:47" x14ac:dyDescent="0.25">
      <c r="C319" s="10">
        <f t="shared" si="353"/>
        <v>19</v>
      </c>
      <c r="D319" s="91">
        <f t="shared" si="336"/>
        <v>1</v>
      </c>
      <c r="E319" s="278"/>
      <c r="F319" s="76">
        <f t="shared" ref="F319:Q319" si="381">F247</f>
        <v>2.2624333333333326</v>
      </c>
      <c r="G319" s="46">
        <f t="shared" si="381"/>
        <v>87.461548542671366</v>
      </c>
      <c r="H319" s="46">
        <f t="shared" si="312"/>
        <v>-31.93139854267136</v>
      </c>
      <c r="I319" s="45">
        <f t="shared" si="313"/>
        <v>0</v>
      </c>
      <c r="J319" s="45">
        <f t="shared" si="314"/>
        <v>0.19789456043296222</v>
      </c>
      <c r="K319" s="45">
        <f t="shared" ca="1" si="330"/>
        <v>0.63961608944510806</v>
      </c>
      <c r="L319" s="358">
        <f t="shared" si="315"/>
        <v>0.44266298791276926</v>
      </c>
      <c r="M319" s="76">
        <f t="shared" ca="1" si="381"/>
        <v>0.25347808785320641</v>
      </c>
      <c r="N319" s="45">
        <f t="shared" ca="1" si="381"/>
        <v>0.25</v>
      </c>
      <c r="O319" s="45">
        <f t="shared" ca="1" si="381"/>
        <v>0</v>
      </c>
      <c r="P319" s="46" t="str">
        <f t="shared" ca="1" si="381"/>
        <v/>
      </c>
      <c r="Q319" s="243" t="str">
        <f t="shared" ca="1" si="381"/>
        <v/>
      </c>
      <c r="R319" s="45">
        <f t="shared" ca="1" si="331"/>
        <v>0.78065527673728741</v>
      </c>
      <c r="S319" s="45">
        <f t="shared" ca="1" si="355"/>
        <v>5.0695617570641283E-2</v>
      </c>
      <c r="T319" s="77">
        <f t="shared" ca="1" si="316"/>
        <v>0</v>
      </c>
      <c r="U319" s="45">
        <f t="shared" ca="1" si="332"/>
        <v>18.800241803449634</v>
      </c>
      <c r="V319" s="45">
        <f t="shared" ca="1" si="317"/>
        <v>0.20278247028256513</v>
      </c>
      <c r="W319" s="77">
        <f t="shared" ca="1" si="318"/>
        <v>0</v>
      </c>
      <c r="X319" s="45">
        <f t="shared" ca="1" si="333"/>
        <v>0.97810309442180399</v>
      </c>
      <c r="Y319" s="45">
        <f t="shared" ca="1" si="319"/>
        <v>0</v>
      </c>
      <c r="Z319" s="77">
        <f t="shared" ca="1" si="320"/>
        <v>0</v>
      </c>
      <c r="AA319" s="45">
        <f t="shared" ca="1" si="334"/>
        <v>39.077609362889007</v>
      </c>
      <c r="AB319" s="45">
        <f t="shared" ca="1" si="321"/>
        <v>0</v>
      </c>
      <c r="AC319" s="45" cm="1">
        <f t="array" aca="1" ref="AC319" ca="1">pHUM*(T319+W319+Z319+AD319)</f>
        <v>0</v>
      </c>
      <c r="AD319" s="77">
        <f t="shared" ca="1" si="322"/>
        <v>0</v>
      </c>
      <c r="AE319" s="45">
        <f t="shared" ca="1" si="335"/>
        <v>6.3847072090583081</v>
      </c>
      <c r="AF319" s="45">
        <f t="shared" ca="1" si="323"/>
        <v>0</v>
      </c>
      <c r="AG319" s="76">
        <f t="shared" ca="1" si="324"/>
        <v>66.021316746556039</v>
      </c>
      <c r="AH319" s="45">
        <f t="shared" ca="1" si="325"/>
        <v>0</v>
      </c>
      <c r="AI319" s="77">
        <f t="shared" ca="1" si="326"/>
        <v>2.0783829560028583E-2</v>
      </c>
      <c r="AJ319" s="384">
        <f t="shared" ca="1" si="328"/>
        <v>2.0771112199525765E-2</v>
      </c>
      <c r="AU319" s="1"/>
    </row>
    <row r="320" spans="3:47" x14ac:dyDescent="0.25">
      <c r="C320" s="10">
        <f t="shared" si="353"/>
        <v>19</v>
      </c>
      <c r="D320" s="91">
        <f t="shared" si="336"/>
        <v>2</v>
      </c>
      <c r="E320" s="278"/>
      <c r="F320" s="76">
        <f t="shared" ref="F320:Q320" si="382">F248</f>
        <v>1.5363448275862068</v>
      </c>
      <c r="G320" s="46">
        <f t="shared" si="382"/>
        <v>89.651029216467379</v>
      </c>
      <c r="H320" s="46">
        <f t="shared" si="312"/>
        <v>-34.120879216467372</v>
      </c>
      <c r="I320" s="45">
        <f t="shared" si="313"/>
        <v>0</v>
      </c>
      <c r="J320" s="45">
        <f t="shared" si="314"/>
        <v>0.18962389606700991</v>
      </c>
      <c r="K320" s="45">
        <f t="shared" ca="1" si="330"/>
        <v>0.61288442998317227</v>
      </c>
      <c r="L320" s="358">
        <f t="shared" si="315"/>
        <v>0.41613501220093307</v>
      </c>
      <c r="M320" s="76">
        <f t="shared" ca="1" si="382"/>
        <v>0.25347808785320641</v>
      </c>
      <c r="N320" s="45">
        <f t="shared" ca="1" si="382"/>
        <v>0.25</v>
      </c>
      <c r="O320" s="45">
        <f t="shared" ca="1" si="382"/>
        <v>0</v>
      </c>
      <c r="P320" s="46" t="str">
        <f t="shared" ca="1" si="382"/>
        <v/>
      </c>
      <c r="Q320" s="243" t="str">
        <f t="shared" ca="1" si="382"/>
        <v/>
      </c>
      <c r="R320" s="45">
        <f t="shared" ca="1" si="331"/>
        <v>0.83135089430792863</v>
      </c>
      <c r="S320" s="45">
        <f t="shared" ca="1" si="355"/>
        <v>5.0695617570641283E-2</v>
      </c>
      <c r="T320" s="77">
        <f t="shared" ca="1" si="316"/>
        <v>0</v>
      </c>
      <c r="U320" s="45">
        <f t="shared" ca="1" si="332"/>
        <v>19.003024273732198</v>
      </c>
      <c r="V320" s="45">
        <f t="shared" ca="1" si="317"/>
        <v>0.20278247028256513</v>
      </c>
      <c r="W320" s="77">
        <f t="shared" ca="1" si="318"/>
        <v>0</v>
      </c>
      <c r="X320" s="45">
        <f t="shared" ca="1" si="333"/>
        <v>0.97810309442180399</v>
      </c>
      <c r="Y320" s="45">
        <f t="shared" ca="1" si="319"/>
        <v>0</v>
      </c>
      <c r="Z320" s="77">
        <f t="shared" ca="1" si="320"/>
        <v>0</v>
      </c>
      <c r="AA320" s="45">
        <f t="shared" ca="1" si="334"/>
        <v>39.077609362889007</v>
      </c>
      <c r="AB320" s="45">
        <f t="shared" ca="1" si="321"/>
        <v>0</v>
      </c>
      <c r="AC320" s="45" cm="1">
        <f t="array" aca="1" ref="AC320" ca="1">pHUM*(T320+W320+Z320+AD320)</f>
        <v>0</v>
      </c>
      <c r="AD320" s="77">
        <f t="shared" ca="1" si="322"/>
        <v>0</v>
      </c>
      <c r="AE320" s="45">
        <f t="shared" ca="1" si="335"/>
        <v>6.3847072090583081</v>
      </c>
      <c r="AF320" s="45">
        <f t="shared" ca="1" si="323"/>
        <v>0</v>
      </c>
      <c r="AG320" s="76">
        <f t="shared" ca="1" si="324"/>
        <v>66.274794834409249</v>
      </c>
      <c r="AH320" s="45">
        <f t="shared" ca="1" si="325"/>
        <v>0</v>
      </c>
      <c r="AI320" s="77">
        <f t="shared" ca="1" si="326"/>
        <v>2.1485910088287107E-2</v>
      </c>
      <c r="AJ320" s="384">
        <f t="shared" ca="1" si="328"/>
        <v>1.9342329342121323E-2</v>
      </c>
      <c r="AU320" s="1"/>
    </row>
    <row r="321" spans="3:47" x14ac:dyDescent="0.25">
      <c r="C321" s="10">
        <f t="shared" si="353"/>
        <v>19</v>
      </c>
      <c r="D321" s="91">
        <f t="shared" si="336"/>
        <v>3</v>
      </c>
      <c r="E321" s="278"/>
      <c r="F321" s="76">
        <f t="shared" ref="F321:Q321" ca="1" si="383">F249</f>
        <v>-0.57999999999999996</v>
      </c>
      <c r="G321" s="46">
        <f t="shared" ca="1" si="383"/>
        <v>55.530150000000006</v>
      </c>
      <c r="H321" s="46">
        <f t="shared" ca="1" si="312"/>
        <v>0</v>
      </c>
      <c r="I321" s="45">
        <f t="shared" ca="1" si="313"/>
        <v>8.1834107856600266E-2</v>
      </c>
      <c r="J321" s="45">
        <f t="shared" ca="1" si="314"/>
        <v>0.29595601705647312</v>
      </c>
      <c r="K321" s="45">
        <f t="shared" ca="1" si="330"/>
        <v>0.95656105889548582</v>
      </c>
      <c r="L321" s="358">
        <f t="shared" ca="1" si="315"/>
        <v>0.34200470507454295</v>
      </c>
      <c r="M321" s="76">
        <f t="shared" ca="1" si="383"/>
        <v>0.25347808785320641</v>
      </c>
      <c r="N321" s="45">
        <f t="shared" ca="1" si="383"/>
        <v>0.25</v>
      </c>
      <c r="O321" s="45">
        <f t="shared" ca="1" si="383"/>
        <v>0</v>
      </c>
      <c r="P321" s="46" t="str">
        <f t="shared" ca="1" si="383"/>
        <v/>
      </c>
      <c r="Q321" s="243" t="str">
        <f t="shared" ca="1" si="383"/>
        <v/>
      </c>
      <c r="R321" s="45">
        <f t="shared" ca="1" si="331"/>
        <v>0.88204651187856986</v>
      </c>
      <c r="S321" s="45">
        <f t="shared" ca="1" si="355"/>
        <v>5.0695617570641283E-2</v>
      </c>
      <c r="T321" s="77">
        <f t="shared" ca="1" si="316"/>
        <v>5.8146070292331417E-2</v>
      </c>
      <c r="U321" s="45">
        <f t="shared" ca="1" si="332"/>
        <v>19.205806744014762</v>
      </c>
      <c r="V321" s="45">
        <f t="shared" ca="1" si="317"/>
        <v>0.20278247028256513</v>
      </c>
      <c r="W321" s="77">
        <f t="shared" ca="1" si="318"/>
        <v>3.9252085830406354E-2</v>
      </c>
      <c r="X321" s="45">
        <f t="shared" ca="1" si="333"/>
        <v>0.97810309442180399</v>
      </c>
      <c r="Y321" s="45">
        <f t="shared" ca="1" si="319"/>
        <v>8.8339159034953006E-3</v>
      </c>
      <c r="Z321" s="77">
        <f t="shared" ca="1" si="320"/>
        <v>4.3924283741257697E-3</v>
      </c>
      <c r="AA321" s="45">
        <f t="shared" ca="1" si="334"/>
        <v>39.077609362889007</v>
      </c>
      <c r="AB321" s="45">
        <f t="shared" ca="1" si="321"/>
        <v>0</v>
      </c>
      <c r="AC321" s="45" cm="1">
        <f t="array" aca="1" ref="AC321" ca="1">pHUM*(T321+W321+Z321+AD321)</f>
        <v>1.0392842239406236E-2</v>
      </c>
      <c r="AD321" s="77">
        <f t="shared" ca="1" si="322"/>
        <v>5.3294387158226509E-3</v>
      </c>
      <c r="AE321" s="45">
        <f t="shared" ca="1" si="335"/>
        <v>6.3847072090583081</v>
      </c>
      <c r="AF321" s="45">
        <f t="shared" ca="1" si="323"/>
        <v>0</v>
      </c>
      <c r="AG321" s="76">
        <f t="shared" ca="1" si="324"/>
        <v>66.528272922262445</v>
      </c>
      <c r="AH321" s="45">
        <f t="shared" ca="1" si="325"/>
        <v>8.789326506978469E-2</v>
      </c>
      <c r="AI321" s="77">
        <f t="shared" ca="1" si="326"/>
        <v>2.2182072709028448E-2</v>
      </c>
      <c r="AJ321" s="384">
        <f t="shared" ca="1" si="328"/>
        <v>2.5614536775407926E-2</v>
      </c>
      <c r="AU321" s="1"/>
    </row>
    <row r="322" spans="3:47" x14ac:dyDescent="0.25">
      <c r="C322" s="10">
        <f t="shared" si="353"/>
        <v>19</v>
      </c>
      <c r="D322" s="91">
        <f t="shared" si="336"/>
        <v>4</v>
      </c>
      <c r="E322" s="278"/>
      <c r="F322" s="76">
        <f t="shared" ref="F322:Q322" ca="1" si="384">F250</f>
        <v>7.18</v>
      </c>
      <c r="G322" s="46">
        <f t="shared" ca="1" si="384"/>
        <v>29.828585295978598</v>
      </c>
      <c r="H322" s="46">
        <f t="shared" ca="1" si="312"/>
        <v>25.701564704021408</v>
      </c>
      <c r="I322" s="45">
        <f t="shared" ca="1" si="313"/>
        <v>0.34975431431902781</v>
      </c>
      <c r="J322" s="45">
        <f t="shared" ca="1" si="314"/>
        <v>0.29147915612483932</v>
      </c>
      <c r="K322" s="45">
        <f t="shared" ca="1" si="330"/>
        <v>0.94209137223094908</v>
      </c>
      <c r="L322" s="358">
        <f t="shared" ca="1" si="315"/>
        <v>0.62308014794471589</v>
      </c>
      <c r="M322" s="76">
        <f t="shared" ca="1" si="384"/>
        <v>0.25347808785320641</v>
      </c>
      <c r="N322" s="45">
        <f t="shared" ca="1" si="384"/>
        <v>0.25</v>
      </c>
      <c r="O322" s="45">
        <f t="shared" ca="1" si="384"/>
        <v>0</v>
      </c>
      <c r="P322" s="46" t="str">
        <f t="shared" ca="1" si="384"/>
        <v/>
      </c>
      <c r="Q322" s="243" t="str">
        <f t="shared" ca="1" si="384"/>
        <v/>
      </c>
      <c r="R322" s="45">
        <f t="shared" ca="1" si="331"/>
        <v>0.87459605915687966</v>
      </c>
      <c r="S322" s="45">
        <f t="shared" ca="1" si="355"/>
        <v>5.0695617570641283E-2</v>
      </c>
      <c r="T322" s="77">
        <f t="shared" ca="1" si="316"/>
        <v>0.22112372029543051</v>
      </c>
      <c r="U322" s="45">
        <f t="shared" ca="1" si="332"/>
        <v>19.36933712846692</v>
      </c>
      <c r="V322" s="45">
        <f t="shared" ca="1" si="317"/>
        <v>0.20278247028256513</v>
      </c>
      <c r="W322" s="77">
        <f t="shared" ca="1" si="318"/>
        <v>0.16862444222959266</v>
      </c>
      <c r="X322" s="45">
        <f t="shared" ca="1" si="333"/>
        <v>0.98254458195117345</v>
      </c>
      <c r="Y322" s="45">
        <f t="shared" ca="1" si="319"/>
        <v>3.5563581236062562E-2</v>
      </c>
      <c r="Z322" s="77">
        <f t="shared" ca="1" si="320"/>
        <v>1.8720074854214563E-2</v>
      </c>
      <c r="AA322" s="45">
        <f t="shared" ca="1" si="334"/>
        <v>39.082672766412585</v>
      </c>
      <c r="AB322" s="45">
        <f t="shared" ca="1" si="321"/>
        <v>0</v>
      </c>
      <c r="AC322" s="45" cm="1">
        <f t="array" aca="1" ref="AC322" ca="1">pHUM*(T322+W322+Z322+AD322)</f>
        <v>4.1839507336544193E-2</v>
      </c>
      <c r="AD322" s="77">
        <f t="shared" ca="1" si="322"/>
        <v>2.2775583498199685E-2</v>
      </c>
      <c r="AE322" s="45">
        <f t="shared" ca="1" si="335"/>
        <v>6.3847072090583081</v>
      </c>
      <c r="AF322" s="45">
        <f t="shared" ca="1" si="323"/>
        <v>0</v>
      </c>
      <c r="AG322" s="76">
        <f t="shared" ca="1" si="324"/>
        <v>66.693857745045861</v>
      </c>
      <c r="AH322" s="45">
        <f t="shared" ca="1" si="325"/>
        <v>0.35384073230483076</v>
      </c>
      <c r="AI322" s="77">
        <f t="shared" ca="1" si="326"/>
        <v>2.209020033643876E-2</v>
      </c>
      <c r="AJ322" s="384">
        <f t="shared" ca="1" si="328"/>
        <v>4.5768633024432237E-2</v>
      </c>
      <c r="AU322" s="1"/>
    </row>
    <row r="323" spans="3:47" x14ac:dyDescent="0.25">
      <c r="C323" s="10">
        <f t="shared" si="353"/>
        <v>19</v>
      </c>
      <c r="D323" s="91">
        <f t="shared" si="336"/>
        <v>5</v>
      </c>
      <c r="E323" s="278"/>
      <c r="F323" s="76">
        <f t="shared" ref="F323:Q323" ca="1" si="385">F251</f>
        <v>14.05</v>
      </c>
      <c r="G323" s="46">
        <f t="shared" ca="1" si="385"/>
        <v>27.012600000000003</v>
      </c>
      <c r="H323" s="46">
        <f t="shared" ca="1" si="312"/>
        <v>28.517550000000004</v>
      </c>
      <c r="I323" s="45">
        <f t="shared" ca="1" si="313"/>
        <v>0.75173784437395219</v>
      </c>
      <c r="J323" s="45">
        <f t="shared" ca="1" si="314"/>
        <v>0.27952512346894071</v>
      </c>
      <c r="K323" s="45">
        <f t="shared" ca="1" si="330"/>
        <v>0.90345467800480783</v>
      </c>
      <c r="L323" s="358">
        <f t="shared" ca="1" si="315"/>
        <v>0.82085140481213359</v>
      </c>
      <c r="M323" s="76">
        <f t="shared" ca="1" si="385"/>
        <v>0.25347808785320641</v>
      </c>
      <c r="N323" s="45">
        <f t="shared" ca="1" si="385"/>
        <v>0.25</v>
      </c>
      <c r="O323" s="45">
        <f t="shared" ca="1" si="385"/>
        <v>0</v>
      </c>
      <c r="P323" s="46" t="str">
        <f t="shared" ca="1" si="385"/>
        <v/>
      </c>
      <c r="Q323" s="243" t="str">
        <f t="shared" ca="1" si="385"/>
        <v/>
      </c>
      <c r="R323" s="45">
        <f t="shared" ca="1" si="331"/>
        <v>0.70416795643209051</v>
      </c>
      <c r="S323" s="45">
        <f t="shared" ca="1" si="355"/>
        <v>5.0695617570641283E-2</v>
      </c>
      <c r="T323" s="77">
        <f t="shared" ca="1" si="316"/>
        <v>0.32779946324687731</v>
      </c>
      <c r="U323" s="45">
        <f t="shared" ca="1" si="332"/>
        <v>19.403495156519892</v>
      </c>
      <c r="V323" s="45">
        <f t="shared" ca="1" si="317"/>
        <v>0.20278247028256513</v>
      </c>
      <c r="W323" s="77">
        <f t="shared" ca="1" si="318"/>
        <v>0.36125331061032528</v>
      </c>
      <c r="X323" s="45">
        <f t="shared" ca="1" si="333"/>
        <v>0.9993880883330214</v>
      </c>
      <c r="Y323" s="45">
        <f t="shared" ca="1" si="319"/>
        <v>6.4200111186604222E-2</v>
      </c>
      <c r="Z323" s="77">
        <f t="shared" ca="1" si="320"/>
        <v>4.0477727918136586E-2</v>
      </c>
      <c r="AA323" s="45">
        <f t="shared" ca="1" si="334"/>
        <v>39.101736690250931</v>
      </c>
      <c r="AB323" s="45">
        <f t="shared" ca="1" si="321"/>
        <v>0</v>
      </c>
      <c r="AC323" s="45" cm="1">
        <f t="array" aca="1" ref="AC323" ca="1">pHUM*(T323+W323+Z323+AD323)</f>
        <v>7.5529542572475558E-2</v>
      </c>
      <c r="AD323" s="77">
        <f t="shared" ca="1" si="322"/>
        <v>4.8959748267116347E-2</v>
      </c>
      <c r="AE323" s="45">
        <f t="shared" ca="1" si="335"/>
        <v>6.3847072090583081</v>
      </c>
      <c r="AF323" s="45">
        <f t="shared" ca="1" si="323"/>
        <v>0</v>
      </c>
      <c r="AG323" s="76">
        <f t="shared" ca="1" si="324"/>
        <v>66.593495100594239</v>
      </c>
      <c r="AH323" s="45">
        <f t="shared" ca="1" si="325"/>
        <v>0.63876059628337567</v>
      </c>
      <c r="AI323" s="77">
        <f t="shared" ca="1" si="326"/>
        <v>1.9798271266134905E-2</v>
      </c>
      <c r="AJ323" s="384">
        <f t="shared" ca="1" si="328"/>
        <v>5.1823537210029524E-2</v>
      </c>
      <c r="AU323" s="1"/>
    </row>
    <row r="324" spans="3:47" x14ac:dyDescent="0.25">
      <c r="C324" s="10">
        <f t="shared" si="353"/>
        <v>19</v>
      </c>
      <c r="D324" s="91">
        <f t="shared" si="336"/>
        <v>6</v>
      </c>
      <c r="E324" s="278"/>
      <c r="F324" s="76">
        <f t="shared" ref="F324:Q324" ca="1" si="386">F252</f>
        <v>17.96</v>
      </c>
      <c r="G324" s="46">
        <f t="shared" ca="1" si="386"/>
        <v>27.012600000000003</v>
      </c>
      <c r="H324" s="46">
        <f t="shared" ca="1" si="312"/>
        <v>28.517550000000004</v>
      </c>
      <c r="I324" s="45">
        <f t="shared" ca="1" si="313"/>
        <v>1.0549705763362276</v>
      </c>
      <c r="J324" s="45">
        <f t="shared" ca="1" si="314"/>
        <v>0.27952512346894071</v>
      </c>
      <c r="K324" s="45">
        <f t="shared" ca="1" si="330"/>
        <v>0.90345467800480783</v>
      </c>
      <c r="L324" s="358">
        <f t="shared" ca="1" si="315"/>
        <v>0.89023829243059249</v>
      </c>
      <c r="M324" s="76">
        <f t="shared" ca="1" si="386"/>
        <v>0.25347808785320641</v>
      </c>
      <c r="N324" s="45">
        <f t="shared" ca="1" si="386"/>
        <v>0.25</v>
      </c>
      <c r="O324" s="45">
        <f t="shared" ca="1" si="386"/>
        <v>0</v>
      </c>
      <c r="P324" s="46" t="str">
        <f t="shared" ca="1" si="386"/>
        <v/>
      </c>
      <c r="Q324" s="243" t="str">
        <f t="shared" ca="1" si="386"/>
        <v/>
      </c>
      <c r="R324" s="45">
        <f t="shared" ca="1" si="331"/>
        <v>0.42706411075585454</v>
      </c>
      <c r="S324" s="45">
        <f t="shared" ca="1" si="355"/>
        <v>5.0695617570641283E-2</v>
      </c>
      <c r="T324" s="77">
        <f t="shared" ca="1" si="316"/>
        <v>0.24977319108169391</v>
      </c>
      <c r="U324" s="45">
        <f t="shared" ca="1" si="332"/>
        <v>19.245024316192129</v>
      </c>
      <c r="V324" s="45">
        <f t="shared" ca="1" si="317"/>
        <v>0.20278247028256513</v>
      </c>
      <c r="W324" s="77">
        <f t="shared" ca="1" si="318"/>
        <v>0.50093838172778538</v>
      </c>
      <c r="X324" s="45">
        <f t="shared" ca="1" si="333"/>
        <v>1.0231104716014892</v>
      </c>
      <c r="Y324" s="45">
        <f t="shared" ca="1" si="319"/>
        <v>7.2334244580685686E-2</v>
      </c>
      <c r="Z324" s="77">
        <f t="shared" ca="1" si="320"/>
        <v>5.7674902639998936E-2</v>
      </c>
      <c r="AA324" s="45">
        <f t="shared" ca="1" si="334"/>
        <v>39.12830648455629</v>
      </c>
      <c r="AB324" s="45">
        <f t="shared" ca="1" si="321"/>
        <v>0</v>
      </c>
      <c r="AC324" s="45" cm="1">
        <f t="array" aca="1" ref="AC324" ca="1">pHUM*(T324+W324+Z324+AD324)</f>
        <v>8.5099111271394939E-2</v>
      </c>
      <c r="AD324" s="77">
        <f t="shared" ca="1" si="322"/>
        <v>6.873823834696606E-2</v>
      </c>
      <c r="AE324" s="45">
        <f t="shared" ca="1" si="335"/>
        <v>6.3847072090583081</v>
      </c>
      <c r="AF324" s="45">
        <f t="shared" ca="1" si="323"/>
        <v>0</v>
      </c>
      <c r="AG324" s="76">
        <f t="shared" ca="1" si="324"/>
        <v>66.208212592164074</v>
      </c>
      <c r="AH324" s="45">
        <f t="shared" ca="1" si="325"/>
        <v>0.71969135794436379</v>
      </c>
      <c r="AI324" s="77">
        <f t="shared" ca="1" si="326"/>
        <v>1.602208497828523E-2</v>
      </c>
      <c r="AJ324" s="384">
        <f t="shared" ca="1" si="328"/>
        <v>4.54844696647283E-2</v>
      </c>
      <c r="AU324" s="1"/>
    </row>
    <row r="325" spans="3:47" x14ac:dyDescent="0.25">
      <c r="C325" s="10">
        <f t="shared" si="353"/>
        <v>19</v>
      </c>
      <c r="D325" s="91">
        <f t="shared" si="336"/>
        <v>7</v>
      </c>
      <c r="E325" s="278"/>
      <c r="F325" s="76">
        <f t="shared" ref="F325:Q325" ca="1" si="387">F253</f>
        <v>21.89</v>
      </c>
      <c r="G325" s="46">
        <f t="shared" ca="1" si="387"/>
        <v>27.012600000000003</v>
      </c>
      <c r="H325" s="46">
        <f t="shared" ca="1" si="312"/>
        <v>28.517550000000004</v>
      </c>
      <c r="I325" s="45">
        <f t="shared" ca="1" si="313"/>
        <v>1.3816368002949853</v>
      </c>
      <c r="J325" s="45">
        <f t="shared" ca="1" si="314"/>
        <v>0.27952512346894071</v>
      </c>
      <c r="K325" s="45">
        <f t="shared" ca="1" si="330"/>
        <v>0.90345467800480783</v>
      </c>
      <c r="L325" s="358">
        <f t="shared" ca="1" si="315"/>
        <v>0.9336160920992449</v>
      </c>
      <c r="M325" s="76">
        <f t="shared" ca="1" si="387"/>
        <v>0.25347808785320641</v>
      </c>
      <c r="N325" s="45">
        <f t="shared" ca="1" si="387"/>
        <v>0.25</v>
      </c>
      <c r="O325" s="45">
        <f t="shared" ca="1" si="387"/>
        <v>0</v>
      </c>
      <c r="P325" s="46" t="str">
        <f t="shared" ca="1" si="387"/>
        <v/>
      </c>
      <c r="Q325" s="243" t="str">
        <f t="shared" ca="1" si="387"/>
        <v/>
      </c>
      <c r="R325" s="45">
        <f t="shared" ca="1" si="331"/>
        <v>0.22798653724480192</v>
      </c>
      <c r="S325" s="45">
        <f t="shared" ca="1" si="355"/>
        <v>5.0695617570641283E-2</v>
      </c>
      <c r="T325" s="77">
        <f t="shared" ca="1" si="316"/>
        <v>0.15589601521205412</v>
      </c>
      <c r="U325" s="45">
        <f t="shared" ca="1" si="332"/>
        <v>18.946868404746908</v>
      </c>
      <c r="V325" s="45">
        <f t="shared" ca="1" si="317"/>
        <v>0.20278247028256513</v>
      </c>
      <c r="W325" s="77">
        <f t="shared" ca="1" si="318"/>
        <v>0.64326876410321165</v>
      </c>
      <c r="X325" s="45">
        <f t="shared" ca="1" si="333"/>
        <v>1.0377698135421758</v>
      </c>
      <c r="Y325" s="45">
        <f t="shared" ca="1" si="319"/>
        <v>7.9592553466450111E-2</v>
      </c>
      <c r="Z325" s="77">
        <f t="shared" ca="1" si="320"/>
        <v>7.5938336505829734E-2</v>
      </c>
      <c r="AA325" s="45">
        <f t="shared" ca="1" si="334"/>
        <v>39.144667357480721</v>
      </c>
      <c r="AB325" s="45">
        <f t="shared" ca="1" si="321"/>
        <v>0</v>
      </c>
      <c r="AC325" s="45" cm="1">
        <f t="array" aca="1" ref="AC325" ca="1">pHUM*(T325+W325+Z325+AD325)</f>
        <v>9.3638298195823672E-2</v>
      </c>
      <c r="AD325" s="77">
        <f t="shared" ca="1" si="322"/>
        <v>9.0035817809646354E-2</v>
      </c>
      <c r="AE325" s="45">
        <f t="shared" ca="1" si="335"/>
        <v>6.3847072090583081</v>
      </c>
      <c r="AF325" s="45">
        <f t="shared" ca="1" si="323"/>
        <v>0</v>
      </c>
      <c r="AG325" s="76">
        <f t="shared" ca="1" si="324"/>
        <v>65.741999322072914</v>
      </c>
      <c r="AH325" s="45">
        <f t="shared" ca="1" si="325"/>
        <v>0.79190808196846807</v>
      </c>
      <c r="AI325" s="77">
        <f t="shared" ca="1" si="326"/>
        <v>1.3241489211920473E-2</v>
      </c>
      <c r="AJ325" s="384">
        <f t="shared" ca="1" si="328"/>
        <v>3.9422619390832025E-2</v>
      </c>
      <c r="AU325" s="1"/>
    </row>
    <row r="326" spans="3:47" x14ac:dyDescent="0.25">
      <c r="C326" s="10">
        <f t="shared" si="353"/>
        <v>19</v>
      </c>
      <c r="D326" s="91">
        <f t="shared" si="336"/>
        <v>8</v>
      </c>
      <c r="E326" s="278"/>
      <c r="F326" s="76">
        <f t="shared" ref="F326:Q326" ca="1" si="388">F254</f>
        <v>20.350000000000001</v>
      </c>
      <c r="G326" s="46">
        <f t="shared" ca="1" si="388"/>
        <v>27.012600000000003</v>
      </c>
      <c r="H326" s="46">
        <f t="shared" ca="1" si="312"/>
        <v>28.517550000000004</v>
      </c>
      <c r="I326" s="45">
        <f t="shared" ca="1" si="313"/>
        <v>1.2518642054104028</v>
      </c>
      <c r="J326" s="45">
        <f t="shared" ca="1" si="314"/>
        <v>0.27952512346894071</v>
      </c>
      <c r="K326" s="45">
        <f t="shared" ca="1" si="330"/>
        <v>0.90345467800480783</v>
      </c>
      <c r="L326" s="358">
        <f t="shared" ca="1" si="315"/>
        <v>0.91927514332007565</v>
      </c>
      <c r="M326" s="76">
        <f t="shared" ca="1" si="388"/>
        <v>0.25347808785320641</v>
      </c>
      <c r="N326" s="45">
        <f t="shared" ca="1" si="388"/>
        <v>0.25</v>
      </c>
      <c r="O326" s="45">
        <f t="shared" ca="1" si="388"/>
        <v>0</v>
      </c>
      <c r="P326" s="46" t="str">
        <f t="shared" ca="1" si="388"/>
        <v/>
      </c>
      <c r="Q326" s="243" t="str">
        <f t="shared" ca="1" si="388"/>
        <v/>
      </c>
      <c r="R326" s="45">
        <f t="shared" ca="1" si="331"/>
        <v>0.12278613960338911</v>
      </c>
      <c r="S326" s="45">
        <f t="shared" ca="1" si="355"/>
        <v>5.0695617570641283E-2</v>
      </c>
      <c r="T326" s="77">
        <f t="shared" ca="1" si="316"/>
        <v>7.9526332198068456E-2</v>
      </c>
      <c r="U326" s="45">
        <f t="shared" ca="1" si="332"/>
        <v>18.506382110926261</v>
      </c>
      <c r="V326" s="45">
        <f t="shared" ca="1" si="317"/>
        <v>0.20278247028256513</v>
      </c>
      <c r="W326" s="77">
        <f t="shared" ca="1" si="318"/>
        <v>0.57021745595716355</v>
      </c>
      <c r="X326" s="45">
        <f t="shared" ca="1" si="333"/>
        <v>1.0414240305027962</v>
      </c>
      <c r="Y326" s="45">
        <f t="shared" ca="1" si="319"/>
        <v>6.6026003783583045E-2</v>
      </c>
      <c r="Z326" s="77">
        <f t="shared" ca="1" si="320"/>
        <v>6.9291849058543853E-2</v>
      </c>
      <c r="AA326" s="45">
        <f t="shared" ca="1" si="334"/>
        <v>39.148269837866891</v>
      </c>
      <c r="AB326" s="45">
        <f t="shared" ca="1" si="321"/>
        <v>0</v>
      </c>
      <c r="AC326" s="45" cm="1">
        <f t="array" aca="1" ref="AC326" ca="1">pHUM*(T326+W326+Z326+AD326)</f>
        <v>7.7677651510097701E-2</v>
      </c>
      <c r="AD326" s="77">
        <f t="shared" ca="1" si="322"/>
        <v>8.1595377978464917E-2</v>
      </c>
      <c r="AE326" s="45">
        <f t="shared" ca="1" si="335"/>
        <v>6.3847072090583081</v>
      </c>
      <c r="AF326" s="45">
        <f t="shared" ca="1" si="323"/>
        <v>0</v>
      </c>
      <c r="AG326" s="76">
        <f t="shared" ca="1" si="324"/>
        <v>65.203569327957638</v>
      </c>
      <c r="AH326" s="45">
        <f t="shared" ca="1" si="325"/>
        <v>0.6569273598985601</v>
      </c>
      <c r="AI326" s="77">
        <f t="shared" ca="1" si="326"/>
        <v>1.1688542570924264E-2</v>
      </c>
      <c r="AJ326" s="384">
        <f t="shared" ca="1" si="328"/>
        <v>3.4264808644117739E-2</v>
      </c>
      <c r="AU326" s="1"/>
    </row>
    <row r="327" spans="3:47" x14ac:dyDescent="0.25">
      <c r="C327" s="10">
        <f t="shared" si="353"/>
        <v>19</v>
      </c>
      <c r="D327" s="91">
        <f t="shared" si="336"/>
        <v>9</v>
      </c>
      <c r="E327" s="278"/>
      <c r="F327" s="76">
        <f t="shared" ref="F327:Q327" ca="1" si="389">F255</f>
        <v>17.38</v>
      </c>
      <c r="G327" s="46">
        <f t="shared" ca="1" si="389"/>
        <v>27.012600000000003</v>
      </c>
      <c r="H327" s="46">
        <f t="shared" ca="1" si="312"/>
        <v>28.517550000000004</v>
      </c>
      <c r="I327" s="45">
        <f t="shared" ca="1" si="313"/>
        <v>1.0082864185928893</v>
      </c>
      <c r="J327" s="45">
        <f t="shared" ca="1" si="314"/>
        <v>0.27952512346894071</v>
      </c>
      <c r="K327" s="45">
        <f t="shared" ca="1" si="330"/>
        <v>0.90345467800480783</v>
      </c>
      <c r="L327" s="358">
        <f t="shared" ca="1" si="315"/>
        <v>0.88177917719725518</v>
      </c>
      <c r="M327" s="76">
        <f t="shared" ca="1" si="389"/>
        <v>0.25347808785320641</v>
      </c>
      <c r="N327" s="45">
        <f t="shared" ca="1" si="389"/>
        <v>0.25</v>
      </c>
      <c r="O327" s="45">
        <f t="shared" ca="1" si="389"/>
        <v>0</v>
      </c>
      <c r="P327" s="46" t="str">
        <f t="shared" ca="1" si="389"/>
        <v/>
      </c>
      <c r="Q327" s="243" t="str">
        <f t="shared" ca="1" si="389"/>
        <v/>
      </c>
      <c r="R327" s="45">
        <f t="shared" ca="1" si="331"/>
        <v>9.3955424975961932E-2</v>
      </c>
      <c r="S327" s="45">
        <f t="shared" ca="1" si="355"/>
        <v>5.0695617570641283E-2</v>
      </c>
      <c r="T327" s="77">
        <f t="shared" ca="1" si="316"/>
        <v>5.340355944267039E-2</v>
      </c>
      <c r="U327" s="45">
        <f t="shared" ca="1" si="332"/>
        <v>18.138947125251661</v>
      </c>
      <c r="V327" s="45">
        <f t="shared" ca="1" si="317"/>
        <v>0.20278247028256513</v>
      </c>
      <c r="W327" s="77">
        <f t="shared" ca="1" si="318"/>
        <v>0.45151671609925509</v>
      </c>
      <c r="X327" s="45">
        <f t="shared" ca="1" si="333"/>
        <v>1.0381581852278354</v>
      </c>
      <c r="Y327" s="45">
        <f t="shared" ca="1" si="319"/>
        <v>5.1678300796223618E-2</v>
      </c>
      <c r="Z327" s="77">
        <f t="shared" ca="1" si="320"/>
        <v>5.6004603164498269E-2</v>
      </c>
      <c r="AA327" s="45">
        <f t="shared" ca="1" si="334"/>
        <v>39.144352111398526</v>
      </c>
      <c r="AB327" s="45">
        <f t="shared" ca="1" si="321"/>
        <v>0</v>
      </c>
      <c r="AC327" s="45" cm="1">
        <f t="array" aca="1" ref="AC327" ca="1">pHUM*(T327+W327+Z327+AD327)</f>
        <v>6.0798000936733675E-2</v>
      </c>
      <c r="AD327" s="77">
        <f t="shared" ca="1" si="322"/>
        <v>6.5725956705459776E-2</v>
      </c>
      <c r="AE327" s="45">
        <f t="shared" ca="1" si="335"/>
        <v>6.3847072090583081</v>
      </c>
      <c r="AF327" s="45">
        <f t="shared" ca="1" si="323"/>
        <v>0</v>
      </c>
      <c r="AG327" s="76">
        <f t="shared" ca="1" si="324"/>
        <v>64.800120055912288</v>
      </c>
      <c r="AH327" s="45">
        <f t="shared" ca="1" si="325"/>
        <v>0.5141745336789264</v>
      </c>
      <c r="AI327" s="77">
        <f t="shared" ca="1" si="326"/>
        <v>1.1197543948991353E-2</v>
      </c>
      <c r="AJ327" s="384">
        <f t="shared" ca="1" si="328"/>
        <v>3.1486630204609067E-2</v>
      </c>
      <c r="AU327" s="1"/>
    </row>
    <row r="328" spans="3:47" x14ac:dyDescent="0.25">
      <c r="C328" s="10">
        <f t="shared" si="353"/>
        <v>19</v>
      </c>
      <c r="D328" s="91">
        <f t="shared" si="336"/>
        <v>10</v>
      </c>
      <c r="E328" s="278"/>
      <c r="F328" s="76">
        <f t="shared" ref="F328:Q328" ca="1" si="390">F256</f>
        <v>9.61</v>
      </c>
      <c r="G328" s="46">
        <f t="shared" ca="1" si="390"/>
        <v>27.012600000000003</v>
      </c>
      <c r="H328" s="46">
        <f t="shared" ca="1" si="312"/>
        <v>28.517550000000004</v>
      </c>
      <c r="I328" s="45">
        <f t="shared" ca="1" si="313"/>
        <v>0.45243046736638293</v>
      </c>
      <c r="J328" s="45">
        <f t="shared" ca="1" si="314"/>
        <v>0.27952512346894071</v>
      </c>
      <c r="K328" s="45">
        <f t="shared" ca="1" si="330"/>
        <v>0.90345467800480783</v>
      </c>
      <c r="L328" s="358">
        <f t="shared" ca="1" si="315"/>
        <v>0.70354868513849667</v>
      </c>
      <c r="M328" s="76">
        <f t="shared" ca="1" si="390"/>
        <v>0.25347808785320641</v>
      </c>
      <c r="N328" s="45">
        <f t="shared" ca="1" si="390"/>
        <v>0.25</v>
      </c>
      <c r="O328" s="45">
        <f t="shared" ca="1" si="390"/>
        <v>0</v>
      </c>
      <c r="P328" s="46" t="str">
        <f t="shared" ca="1" si="390"/>
        <v/>
      </c>
      <c r="Q328" s="243" t="str">
        <f t="shared" ca="1" si="390"/>
        <v/>
      </c>
      <c r="R328" s="45">
        <f t="shared" ca="1" si="331"/>
        <v>9.1247483103932825E-2</v>
      </c>
      <c r="S328" s="45">
        <f t="shared" ca="1" si="355"/>
        <v>5.0695617570641283E-2</v>
      </c>
      <c r="T328" s="77">
        <f t="shared" ca="1" si="316"/>
        <v>2.8660956799418685E-2</v>
      </c>
      <c r="U328" s="45">
        <f t="shared" ca="1" si="332"/>
        <v>17.890212879434969</v>
      </c>
      <c r="V328" s="45">
        <f t="shared" ca="1" si="317"/>
        <v>0.20278247028256513</v>
      </c>
      <c r="W328" s="77">
        <f t="shared" ca="1" si="318"/>
        <v>0.20121185952525333</v>
      </c>
      <c r="X328" s="45">
        <f t="shared" ca="1" si="333"/>
        <v>1.0338318828595607</v>
      </c>
      <c r="Y328" s="45">
        <f t="shared" ca="1" si="319"/>
        <v>2.3485322205265557E-2</v>
      </c>
      <c r="Z328" s="77">
        <f t="shared" ca="1" si="320"/>
        <v>2.5408102772988318E-2</v>
      </c>
      <c r="AA328" s="45">
        <f t="shared" ca="1" si="334"/>
        <v>39.139424155629804</v>
      </c>
      <c r="AB328" s="45">
        <f t="shared" ca="1" si="321"/>
        <v>0</v>
      </c>
      <c r="AC328" s="45" cm="1">
        <f t="array" aca="1" ref="AC328" ca="1">pHUM*(T328+W328+Z328+AD328)</f>
        <v>2.7629790829724186E-2</v>
      </c>
      <c r="AD328" s="77">
        <f t="shared" ca="1" si="322"/>
        <v>2.9501988875242139E-2</v>
      </c>
      <c r="AE328" s="45">
        <f t="shared" ca="1" si="335"/>
        <v>6.3847072090583081</v>
      </c>
      <c r="AF328" s="45">
        <f t="shared" ca="1" si="323"/>
        <v>0</v>
      </c>
      <c r="AG328" s="76">
        <f t="shared" ca="1" si="324"/>
        <v>64.539423610086573</v>
      </c>
      <c r="AH328" s="45">
        <f t="shared" ca="1" si="325"/>
        <v>0.23366779493791273</v>
      </c>
      <c r="AI328" s="77">
        <f t="shared" ca="1" si="326"/>
        <v>1.1097776041733603E-2</v>
      </c>
      <c r="AJ328" s="384">
        <f t="shared" ca="1" si="328"/>
        <v>2.4898683247037701E-2</v>
      </c>
      <c r="AU328" s="1"/>
    </row>
    <row r="329" spans="3:47" x14ac:dyDescent="0.25">
      <c r="C329" s="10">
        <f t="shared" si="353"/>
        <v>19</v>
      </c>
      <c r="D329" s="91">
        <f t="shared" si="336"/>
        <v>11</v>
      </c>
      <c r="E329" s="278"/>
      <c r="F329" s="76">
        <f t="shared" ref="F329:Q329" ca="1" si="391">F257</f>
        <v>5.71</v>
      </c>
      <c r="G329" s="46">
        <f t="shared" ca="1" si="391"/>
        <v>27.012600000000003</v>
      </c>
      <c r="H329" s="46">
        <f t="shared" ca="1" si="312"/>
        <v>28.517550000000004</v>
      </c>
      <c r="I329" s="45">
        <f t="shared" ca="1" si="313"/>
        <v>0.24617612464957264</v>
      </c>
      <c r="J329" s="45">
        <f t="shared" ca="1" si="314"/>
        <v>0.27952512346894071</v>
      </c>
      <c r="K329" s="45">
        <f t="shared" ca="1" si="330"/>
        <v>0.90345467800480783</v>
      </c>
      <c r="L329" s="358">
        <f t="shared" ca="1" si="315"/>
        <v>0.57043958344737544</v>
      </c>
      <c r="M329" s="76">
        <f t="shared" ca="1" si="391"/>
        <v>0.25347808785320641</v>
      </c>
      <c r="N329" s="45">
        <f t="shared" ca="1" si="391"/>
        <v>0.25</v>
      </c>
      <c r="O329" s="45">
        <f t="shared" ca="1" si="391"/>
        <v>0</v>
      </c>
      <c r="P329" s="46" t="str">
        <f t="shared" ca="1" si="391"/>
        <v/>
      </c>
      <c r="Q329" s="243" t="str">
        <f t="shared" ca="1" si="391"/>
        <v/>
      </c>
      <c r="R329" s="45">
        <f t="shared" ca="1" si="331"/>
        <v>0.11328214387515542</v>
      </c>
      <c r="S329" s="45">
        <f t="shared" ca="1" si="355"/>
        <v>5.0695617570641283E-2</v>
      </c>
      <c r="T329" s="77">
        <f t="shared" ca="1" si="316"/>
        <v>2.1010693094592452E-2</v>
      </c>
      <c r="U329" s="45">
        <f t="shared" ca="1" si="332"/>
        <v>17.891783490192282</v>
      </c>
      <c r="V329" s="45">
        <f t="shared" ca="1" si="317"/>
        <v>0.20278247028256513</v>
      </c>
      <c r="W329" s="77">
        <f t="shared" ca="1" si="318"/>
        <v>0.10977510146106668</v>
      </c>
      <c r="X329" s="45">
        <f t="shared" ca="1" si="333"/>
        <v>1.0319091022918381</v>
      </c>
      <c r="Y329" s="45">
        <f t="shared" ca="1" si="319"/>
        <v>1.3254000683532314E-2</v>
      </c>
      <c r="Z329" s="77">
        <f t="shared" ca="1" si="320"/>
        <v>1.3877565159418471E-2</v>
      </c>
      <c r="AA329" s="45">
        <f t="shared" ca="1" si="334"/>
        <v>39.137551957584286</v>
      </c>
      <c r="AB329" s="45">
        <f t="shared" ca="1" si="321"/>
        <v>0</v>
      </c>
      <c r="AC329" s="45" cm="1">
        <f t="array" aca="1" ref="AC329" ca="1">pHUM*(T329+W329+Z329+AD329)</f>
        <v>1.5592941980626251E-2</v>
      </c>
      <c r="AD329" s="77">
        <f t="shared" ca="1" si="322"/>
        <v>1.6054591009264565E-2</v>
      </c>
      <c r="AE329" s="45">
        <f t="shared" ca="1" si="335"/>
        <v>6.3847072090583081</v>
      </c>
      <c r="AF329" s="45">
        <f t="shared" ca="1" si="323"/>
        <v>0</v>
      </c>
      <c r="AG329" s="76">
        <f t="shared" ca="1" si="324"/>
        <v>64.559233903001868</v>
      </c>
      <c r="AH329" s="45">
        <f t="shared" ca="1" si="325"/>
        <v>0.13187100806018362</v>
      </c>
      <c r="AI329" s="77">
        <f t="shared" ca="1" si="326"/>
        <v>1.1408440522391436E-2</v>
      </c>
      <c r="AJ329" s="384">
        <f t="shared" ca="1" si="328"/>
        <v>2.0753144186430594E-2</v>
      </c>
      <c r="AU329" s="1"/>
    </row>
    <row r="330" spans="3:47" x14ac:dyDescent="0.25">
      <c r="C330" s="10">
        <f t="shared" si="353"/>
        <v>19</v>
      </c>
      <c r="D330" s="91">
        <f t="shared" si="336"/>
        <v>12</v>
      </c>
      <c r="E330" s="278"/>
      <c r="F330" s="76">
        <f t="shared" ref="F330:Q330" ca="1" si="392">F258</f>
        <v>-0.46</v>
      </c>
      <c r="G330" s="46">
        <f t="shared" ca="1" si="392"/>
        <v>27.012600000000003</v>
      </c>
      <c r="H330" s="46">
        <f t="shared" ca="1" si="312"/>
        <v>28.517550000000004</v>
      </c>
      <c r="I330" s="45">
        <f t="shared" ca="1" si="313"/>
        <v>5.3686278337302371E-2</v>
      </c>
      <c r="J330" s="45">
        <f t="shared" ca="1" si="314"/>
        <v>0.27952512346894071</v>
      </c>
      <c r="K330" s="45">
        <f t="shared" ca="1" si="330"/>
        <v>0.90345467800480783</v>
      </c>
      <c r="L330" s="358">
        <f t="shared" ca="1" si="315"/>
        <v>0.34604490353891793</v>
      </c>
      <c r="M330" s="76">
        <f t="shared" ca="1" si="392"/>
        <v>0.25347808785320641</v>
      </c>
      <c r="N330" s="45">
        <f t="shared" ca="1" si="392"/>
        <v>0.25</v>
      </c>
      <c r="O330" s="45">
        <f t="shared" ca="1" si="392"/>
        <v>0</v>
      </c>
      <c r="P330" s="46" t="str">
        <f t="shared" ca="1" si="392"/>
        <v/>
      </c>
      <c r="Q330" s="243" t="str">
        <f t="shared" ca="1" si="392"/>
        <v/>
      </c>
      <c r="R330" s="45">
        <f t="shared" ca="1" si="331"/>
        <v>0.14296706835120426</v>
      </c>
      <c r="S330" s="45">
        <f t="shared" ca="1" si="355"/>
        <v>5.0695617570641283E-2</v>
      </c>
      <c r="T330" s="77">
        <f t="shared" ca="1" si="316"/>
        <v>6.255174458432983E-3</v>
      </c>
      <c r="U330" s="45">
        <f t="shared" ca="1" si="332"/>
        <v>17.984790859013778</v>
      </c>
      <c r="V330" s="45">
        <f t="shared" ca="1" si="317"/>
        <v>0.20278247028256513</v>
      </c>
      <c r="W330" s="77">
        <f t="shared" ca="1" si="318"/>
        <v>2.4122220673097827E-2</v>
      </c>
      <c r="X330" s="45">
        <f t="shared" ca="1" si="333"/>
        <v>1.0312855378159518</v>
      </c>
      <c r="Y330" s="45">
        <f t="shared" ca="1" si="319"/>
        <v>3.0446775001817701E-3</v>
      </c>
      <c r="Z330" s="77">
        <f t="shared" ca="1" si="320"/>
        <v>3.0406322181070382E-3</v>
      </c>
      <c r="AA330" s="45">
        <f t="shared" ca="1" si="334"/>
        <v>39.137090308555649</v>
      </c>
      <c r="AB330" s="45">
        <f t="shared" ca="1" si="321"/>
        <v>0</v>
      </c>
      <c r="AC330" s="45" cm="1">
        <f t="array" aca="1" ref="AC330" ca="1">pHUM*(T330+W330+Z330+AD330)</f>
        <v>3.581973529625612E-3</v>
      </c>
      <c r="AD330" s="77">
        <f t="shared" ca="1" si="322"/>
        <v>3.5017178751915001E-3</v>
      </c>
      <c r="AE330" s="45">
        <f t="shared" ca="1" si="335"/>
        <v>6.3847072090583081</v>
      </c>
      <c r="AF330" s="45">
        <f t="shared" ca="1" si="323"/>
        <v>0</v>
      </c>
      <c r="AG330" s="76">
        <f t="shared" ca="1" si="324"/>
        <v>64.680840982794891</v>
      </c>
      <c r="AH330" s="45">
        <f t="shared" ca="1" si="325"/>
        <v>3.0293094195021967E-2</v>
      </c>
      <c r="AI330" s="77">
        <f t="shared" ca="1" si="326"/>
        <v>1.1848267437591101E-2</v>
      </c>
      <c r="AJ330" s="384">
        <f t="shared" ca="1" si="328"/>
        <v>1.3074901285261564E-2</v>
      </c>
      <c r="AU330" s="1"/>
    </row>
    <row r="331" spans="3:47" x14ac:dyDescent="0.25">
      <c r="C331" s="10">
        <f t="shared" si="353"/>
        <v>20</v>
      </c>
      <c r="D331" s="91">
        <f t="shared" si="336"/>
        <v>1</v>
      </c>
      <c r="E331" s="278"/>
      <c r="F331" s="76">
        <f t="shared" ref="F331:Q331" ca="1" si="393">F259</f>
        <v>-3.44</v>
      </c>
      <c r="G331" s="46">
        <f t="shared" ca="1" si="393"/>
        <v>27.012600000000003</v>
      </c>
      <c r="H331" s="46">
        <f t="shared" ca="1" si="312"/>
        <v>28.517550000000004</v>
      </c>
      <c r="I331" s="45">
        <f t="shared" ca="1" si="313"/>
        <v>1.6253779081695344E-2</v>
      </c>
      <c r="J331" s="45">
        <f t="shared" ca="1" si="314"/>
        <v>0.27952512346894071</v>
      </c>
      <c r="K331" s="45">
        <f t="shared" ca="1" si="330"/>
        <v>0.90345467800480783</v>
      </c>
      <c r="L331" s="358">
        <f t="shared" ca="1" si="315"/>
        <v>0.25329647647379749</v>
      </c>
      <c r="M331" s="76">
        <f t="shared" ca="1" si="393"/>
        <v>0.25347808785320641</v>
      </c>
      <c r="N331" s="45">
        <f t="shared" ca="1" si="393"/>
        <v>0.25</v>
      </c>
      <c r="O331" s="45">
        <f t="shared" ca="1" si="393"/>
        <v>0</v>
      </c>
      <c r="P331" s="46" t="str">
        <f t="shared" ca="1" si="393"/>
        <v/>
      </c>
      <c r="Q331" s="243" t="str">
        <f t="shared" ca="1" si="393"/>
        <v/>
      </c>
      <c r="R331" s="45">
        <f t="shared" ca="1" si="331"/>
        <v>0.18740751146341256</v>
      </c>
      <c r="S331" s="45">
        <f t="shared" ca="1" si="355"/>
        <v>5.0695617570641283E-2</v>
      </c>
      <c r="T331" s="77">
        <f t="shared" ca="1" si="316"/>
        <v>2.5212865139021302E-3</v>
      </c>
      <c r="U331" s="45">
        <f t="shared" ca="1" si="332"/>
        <v>18.163451108623242</v>
      </c>
      <c r="V331" s="45">
        <f t="shared" ca="1" si="317"/>
        <v>0.20278247028256513</v>
      </c>
      <c r="W331" s="77">
        <f t="shared" ca="1" si="318"/>
        <v>7.3791187084183392E-3</v>
      </c>
      <c r="X331" s="45">
        <f t="shared" ca="1" si="333"/>
        <v>1.0312895830980264</v>
      </c>
      <c r="Y331" s="45">
        <f t="shared" ca="1" si="319"/>
        <v>9.7988820811960851E-4</v>
      </c>
      <c r="Z331" s="77">
        <f t="shared" ca="1" si="320"/>
        <v>9.2151745765865843E-4</v>
      </c>
      <c r="AA331" s="45">
        <f t="shared" ca="1" si="334"/>
        <v>39.137170564210088</v>
      </c>
      <c r="AB331" s="45">
        <f t="shared" ca="1" si="321"/>
        <v>0</v>
      </c>
      <c r="AC331" s="45" cm="1">
        <f t="array" aca="1" ref="AC331" ca="1">pHUM*(T331+W331+Z331+AD331)</f>
        <v>1.152809656611304E-3</v>
      </c>
      <c r="AD331" s="77">
        <f t="shared" ca="1" si="322"/>
        <v>1.0601971801475006E-3</v>
      </c>
      <c r="AE331" s="45">
        <f t="shared" ca="1" si="335"/>
        <v>6.3847072090583081</v>
      </c>
      <c r="AF331" s="45">
        <f t="shared" ca="1" si="323"/>
        <v>0</v>
      </c>
      <c r="AG331" s="76">
        <f t="shared" ca="1" si="324"/>
        <v>64.90402597645307</v>
      </c>
      <c r="AH331" s="45">
        <f t="shared" ca="1" si="325"/>
        <v>9.7494219953957149E-3</v>
      </c>
      <c r="AI331" s="77">
        <f t="shared" ca="1" si="326"/>
        <v>1.2512256875766379E-2</v>
      </c>
      <c r="AJ331" s="384">
        <f t="shared" ca="1" si="328"/>
        <v>1.0106880461585588E-2</v>
      </c>
      <c r="AU331" s="1"/>
    </row>
    <row r="332" spans="3:47" x14ac:dyDescent="0.25">
      <c r="C332" s="10">
        <f t="shared" si="353"/>
        <v>20</v>
      </c>
      <c r="D332" s="91">
        <f t="shared" si="336"/>
        <v>2</v>
      </c>
      <c r="E332" s="278"/>
      <c r="F332" s="76">
        <f t="shared" ref="F332:Q332" ca="1" si="394">F260</f>
        <v>-1.65</v>
      </c>
      <c r="G332" s="46">
        <f t="shared" ca="1" si="394"/>
        <v>27.012600000000003</v>
      </c>
      <c r="H332" s="46">
        <f t="shared" ca="1" si="312"/>
        <v>28.517550000000004</v>
      </c>
      <c r="I332" s="45">
        <f t="shared" ca="1" si="313"/>
        <v>3.508132091145684E-2</v>
      </c>
      <c r="J332" s="45">
        <f t="shared" ca="1" si="314"/>
        <v>0.27952512346894071</v>
      </c>
      <c r="K332" s="45">
        <f t="shared" ca="1" si="330"/>
        <v>0.90345467800480783</v>
      </c>
      <c r="L332" s="358">
        <f t="shared" ca="1" si="315"/>
        <v>0.30703519550320224</v>
      </c>
      <c r="M332" s="76">
        <f t="shared" ca="1" si="394"/>
        <v>0.25347808785320641</v>
      </c>
      <c r="N332" s="45">
        <f t="shared" ca="1" si="394"/>
        <v>0.25</v>
      </c>
      <c r="O332" s="45">
        <f t="shared" ca="1" si="394"/>
        <v>0</v>
      </c>
      <c r="P332" s="46" t="str">
        <f t="shared" ca="1" si="394"/>
        <v/>
      </c>
      <c r="Q332" s="243" t="str">
        <f t="shared" ca="1" si="394"/>
        <v/>
      </c>
      <c r="R332" s="45">
        <f t="shared" ca="1" si="331"/>
        <v>0.23558184252015171</v>
      </c>
      <c r="S332" s="45">
        <f t="shared" ca="1" si="355"/>
        <v>5.0695617570641283E-2</v>
      </c>
      <c r="T332" s="77">
        <f t="shared" ca="1" si="316"/>
        <v>6.7874054706907241E-3</v>
      </c>
      <c r="U332" s="45">
        <f t="shared" ca="1" si="332"/>
        <v>18.358854460197389</v>
      </c>
      <c r="V332" s="45">
        <f t="shared" ca="1" si="317"/>
        <v>0.20278247028256513</v>
      </c>
      <c r="W332" s="77">
        <f t="shared" ca="1" si="318"/>
        <v>1.6094262990438247E-2</v>
      </c>
      <c r="X332" s="45">
        <f t="shared" ca="1" si="333"/>
        <v>1.0313479538484873</v>
      </c>
      <c r="Y332" s="45">
        <f t="shared" ca="1" si="319"/>
        <v>2.2396472512961211E-3</v>
      </c>
      <c r="Z332" s="77">
        <f t="shared" ca="1" si="320"/>
        <v>1.9880391193974937E-3</v>
      </c>
      <c r="AA332" s="45">
        <f t="shared" ca="1" si="334"/>
        <v>39.137263176686552</v>
      </c>
      <c r="AB332" s="45">
        <f t="shared" ca="1" si="321"/>
        <v>0</v>
      </c>
      <c r="AC332" s="45" cm="1">
        <f t="array" aca="1" ref="AC332" ca="1">pHUM*(T332+W332+Z332+AD332)</f>
        <v>2.6348791191719073E-3</v>
      </c>
      <c r="AD332" s="77">
        <f t="shared" ca="1" si="322"/>
        <v>2.2882445856407716E-3</v>
      </c>
      <c r="AE332" s="45">
        <f t="shared" ca="1" si="335"/>
        <v>6.3847072090583081</v>
      </c>
      <c r="AF332" s="45">
        <f t="shared" ca="1" si="323"/>
        <v>0</v>
      </c>
      <c r="AG332" s="76">
        <f t="shared" ca="1" si="324"/>
        <v>65.147754642310886</v>
      </c>
      <c r="AH332" s="45">
        <f t="shared" ca="1" si="325"/>
        <v>2.2283425795699207E-2</v>
      </c>
      <c r="AI332" s="77">
        <f t="shared" ca="1" si="326"/>
        <v>1.3226721672505527E-2</v>
      </c>
      <c r="AJ332" s="384">
        <f t="shared" ca="1" si="328"/>
        <v>1.2950649214864551E-2</v>
      </c>
      <c r="AU332" s="1"/>
    </row>
    <row r="333" spans="3:47" x14ac:dyDescent="0.25">
      <c r="C333" s="10">
        <f t="shared" si="353"/>
        <v>20</v>
      </c>
      <c r="D333" s="91">
        <f t="shared" si="336"/>
        <v>3</v>
      </c>
      <c r="E333" s="278"/>
      <c r="F333" s="76">
        <f t="shared" ref="F333:Q333" ca="1" si="395">F261</f>
        <v>4.68</v>
      </c>
      <c r="G333" s="46">
        <f t="shared" ca="1" si="395"/>
        <v>27.012600000000003</v>
      </c>
      <c r="H333" s="46">
        <f t="shared" ca="1" si="312"/>
        <v>28.517550000000004</v>
      </c>
      <c r="I333" s="45">
        <f t="shared" ca="1" si="313"/>
        <v>0.20228669449817699</v>
      </c>
      <c r="J333" s="45">
        <f t="shared" ca="1" si="314"/>
        <v>0.27952512346894071</v>
      </c>
      <c r="K333" s="45">
        <f t="shared" ca="1" si="330"/>
        <v>0.90345467800480783</v>
      </c>
      <c r="L333" s="358">
        <f t="shared" ca="1" si="315"/>
        <v>0.53248567772813127</v>
      </c>
      <c r="M333" s="76">
        <f t="shared" ca="1" si="395"/>
        <v>0.25347808785320641</v>
      </c>
      <c r="N333" s="45">
        <f t="shared" ca="1" si="395"/>
        <v>0.25</v>
      </c>
      <c r="O333" s="45">
        <f t="shared" ca="1" si="395"/>
        <v>0</v>
      </c>
      <c r="P333" s="46" t="str">
        <f t="shared" ca="1" si="395"/>
        <v/>
      </c>
      <c r="Q333" s="243" t="str">
        <f t="shared" ca="1" si="395"/>
        <v/>
      </c>
      <c r="R333" s="45">
        <f t="shared" ca="1" si="331"/>
        <v>0.27949005462010229</v>
      </c>
      <c r="S333" s="45">
        <f t="shared" ca="1" si="355"/>
        <v>5.0695617570641283E-2</v>
      </c>
      <c r="T333" s="77">
        <f t="shared" ca="1" si="316"/>
        <v>4.3357229787122406E-2</v>
      </c>
      <c r="U333" s="45">
        <f t="shared" ca="1" si="332"/>
        <v>18.545542667489514</v>
      </c>
      <c r="V333" s="45">
        <f t="shared" ca="1" si="317"/>
        <v>0.20278247028256513</v>
      </c>
      <c r="W333" s="77">
        <f t="shared" ca="1" si="318"/>
        <v>9.3551161775633912E-2</v>
      </c>
      <c r="X333" s="45">
        <f t="shared" ca="1" si="333"/>
        <v>1.0315995619803859</v>
      </c>
      <c r="Y333" s="45">
        <f t="shared" ca="1" si="319"/>
        <v>1.3319725014379901E-2</v>
      </c>
      <c r="Z333" s="77">
        <f t="shared" ca="1" si="320"/>
        <v>1.141372662584657E-2</v>
      </c>
      <c r="AA333" s="45">
        <f t="shared" ca="1" si="334"/>
        <v>39.137609811220081</v>
      </c>
      <c r="AB333" s="45">
        <f t="shared" ca="1" si="321"/>
        <v>0</v>
      </c>
      <c r="AC333" s="45" cm="1">
        <f t="array" aca="1" ref="AC333" ca="1">pHUM*(T333+W333+Z333+AD333)</f>
        <v>1.5670264722799886E-2</v>
      </c>
      <c r="AD333" s="77">
        <f t="shared" ca="1" si="322"/>
        <v>1.3192805466310905E-2</v>
      </c>
      <c r="AE333" s="45">
        <f t="shared" ca="1" si="335"/>
        <v>6.3847072090583081</v>
      </c>
      <c r="AF333" s="45">
        <f t="shared" ca="1" si="323"/>
        <v>0</v>
      </c>
      <c r="AG333" s="76">
        <f t="shared" ca="1" si="324"/>
        <v>65.37894930436839</v>
      </c>
      <c r="AH333" s="45">
        <f t="shared" ca="1" si="325"/>
        <v>0.13252493391773401</v>
      </c>
      <c r="AI333" s="77">
        <f t="shared" ca="1" si="326"/>
        <v>1.387447727202315E-2</v>
      </c>
      <c r="AJ333" s="384">
        <f t="shared" ca="1" si="328"/>
        <v>2.3559787974880564E-2</v>
      </c>
      <c r="AU333" s="1"/>
    </row>
    <row r="334" spans="3:47" x14ac:dyDescent="0.25">
      <c r="C334" s="10">
        <f t="shared" si="353"/>
        <v>20</v>
      </c>
      <c r="D334" s="91">
        <f t="shared" si="336"/>
        <v>4</v>
      </c>
      <c r="E334" s="278"/>
      <c r="F334" s="76">
        <f t="shared" ref="F334:Q334" ca="1" si="396">F262</f>
        <v>7.69</v>
      </c>
      <c r="G334" s="46">
        <f t="shared" ca="1" si="396"/>
        <v>27.012600000000003</v>
      </c>
      <c r="H334" s="46">
        <f t="shared" ca="1" si="312"/>
        <v>28.517550000000004</v>
      </c>
      <c r="I334" s="45">
        <f t="shared" ca="1" si="313"/>
        <v>0.3433111911106958</v>
      </c>
      <c r="J334" s="45">
        <f t="shared" ca="1" si="314"/>
        <v>0.27952512346894071</v>
      </c>
      <c r="K334" s="45">
        <f t="shared" ca="1" si="330"/>
        <v>0.90345467800480783</v>
      </c>
      <c r="L334" s="358">
        <f t="shared" ca="1" si="315"/>
        <v>0.64074183470648283</v>
      </c>
      <c r="M334" s="76">
        <f t="shared" ca="1" si="396"/>
        <v>0.25347808785320641</v>
      </c>
      <c r="N334" s="45">
        <f t="shared" ca="1" si="396"/>
        <v>0.25</v>
      </c>
      <c r="O334" s="45">
        <f t="shared" ca="1" si="396"/>
        <v>0</v>
      </c>
      <c r="P334" s="46" t="str">
        <f t="shared" ca="1" si="396"/>
        <v/>
      </c>
      <c r="Q334" s="243" t="str">
        <f t="shared" ca="1" si="396"/>
        <v/>
      </c>
      <c r="R334" s="45">
        <f t="shared" ca="1" si="331"/>
        <v>0.28682844240362115</v>
      </c>
      <c r="S334" s="45">
        <f t="shared" ca="1" si="355"/>
        <v>5.0695617570641283E-2</v>
      </c>
      <c r="T334" s="77">
        <f t="shared" ca="1" si="316"/>
        <v>7.1364922050609986E-2</v>
      </c>
      <c r="U334" s="45">
        <f t="shared" ca="1" si="332"/>
        <v>18.654773975996445</v>
      </c>
      <c r="V334" s="45">
        <f t="shared" ca="1" si="317"/>
        <v>0.20278247028256513</v>
      </c>
      <c r="W334" s="77">
        <f t="shared" ca="1" si="318"/>
        <v>0.15942468470478327</v>
      </c>
      <c r="X334" s="45">
        <f t="shared" ca="1" si="333"/>
        <v>1.0335055603689194</v>
      </c>
      <c r="Y334" s="45">
        <f t="shared" ca="1" si="319"/>
        <v>2.2473228926323738E-2</v>
      </c>
      <c r="Z334" s="77">
        <f t="shared" ca="1" si="320"/>
        <v>1.9331685449421574E-2</v>
      </c>
      <c r="AA334" s="45">
        <f t="shared" ca="1" si="334"/>
        <v>39.14008727047657</v>
      </c>
      <c r="AB334" s="45">
        <f t="shared" ca="1" si="321"/>
        <v>0</v>
      </c>
      <c r="AC334" s="45" cm="1">
        <f t="array" aca="1" ref="AC334" ca="1">pHUM*(T334+W334+Z334+AD334)</f>
        <v>2.6439092854498514E-2</v>
      </c>
      <c r="AD334" s="77">
        <f t="shared" ca="1" si="322"/>
        <v>2.2388977368761758E-2</v>
      </c>
      <c r="AE334" s="45">
        <f t="shared" ca="1" si="335"/>
        <v>6.3847072090583081</v>
      </c>
      <c r="AF334" s="45">
        <f t="shared" ca="1" si="323"/>
        <v>0</v>
      </c>
      <c r="AG334" s="76">
        <f t="shared" ca="1" si="324"/>
        <v>65.499902458303865</v>
      </c>
      <c r="AH334" s="45">
        <f t="shared" ca="1" si="325"/>
        <v>0.22359794779275438</v>
      </c>
      <c r="AI334" s="77">
        <f t="shared" ca="1" si="326"/>
        <v>1.3997574270346461E-2</v>
      </c>
      <c r="AJ334" s="384">
        <f t="shared" ca="1" si="328"/>
        <v>2.860096011194857E-2</v>
      </c>
      <c r="AU334" s="1"/>
    </row>
    <row r="335" spans="3:47" x14ac:dyDescent="0.25">
      <c r="C335" s="10">
        <f t="shared" si="353"/>
        <v>20</v>
      </c>
      <c r="D335" s="91">
        <f t="shared" si="336"/>
        <v>5</v>
      </c>
      <c r="E335" s="278"/>
      <c r="F335" s="76">
        <f t="shared" ref="F335:Q335" ca="1" si="397">F263</f>
        <v>15.52</v>
      </c>
      <c r="G335" s="46">
        <f t="shared" ca="1" si="397"/>
        <v>27.012600000000003</v>
      </c>
      <c r="H335" s="46">
        <f t="shared" ca="1" si="312"/>
        <v>28.517550000000004</v>
      </c>
      <c r="I335" s="45">
        <f t="shared" ca="1" si="313"/>
        <v>0.86230369296737164</v>
      </c>
      <c r="J335" s="45">
        <f t="shared" ca="1" si="314"/>
        <v>0.27952512346894071</v>
      </c>
      <c r="K335" s="45">
        <f t="shared" ca="1" si="330"/>
        <v>0.90345467800480783</v>
      </c>
      <c r="L335" s="358">
        <f t="shared" ca="1" si="315"/>
        <v>0.85046529796407655</v>
      </c>
      <c r="M335" s="76">
        <f t="shared" ca="1" si="397"/>
        <v>0.25347808785320641</v>
      </c>
      <c r="N335" s="45">
        <f t="shared" ca="1" si="397"/>
        <v>0.25</v>
      </c>
      <c r="O335" s="45">
        <f t="shared" ca="1" si="397"/>
        <v>0</v>
      </c>
      <c r="P335" s="46" t="str">
        <f t="shared" ca="1" si="397"/>
        <v/>
      </c>
      <c r="Q335" s="243" t="str">
        <f t="shared" ca="1" si="397"/>
        <v/>
      </c>
      <c r="R335" s="45">
        <f t="shared" ca="1" si="331"/>
        <v>0.26615913792365242</v>
      </c>
      <c r="S335" s="45">
        <f t="shared" ca="1" si="355"/>
        <v>5.0695617570641283E-2</v>
      </c>
      <c r="T335" s="77">
        <f t="shared" ca="1" si="316"/>
        <v>0.13642231208113587</v>
      </c>
      <c r="U335" s="45">
        <f t="shared" ca="1" si="332"/>
        <v>18.698131761574224</v>
      </c>
      <c r="V335" s="45">
        <f t="shared" ca="1" si="317"/>
        <v>0.20278247028256513</v>
      </c>
      <c r="W335" s="77">
        <f t="shared" ca="1" si="318"/>
        <v>0.39877296587247052</v>
      </c>
      <c r="X335" s="45">
        <f t="shared" ca="1" si="333"/>
        <v>1.0366471038458214</v>
      </c>
      <c r="Y335" s="45">
        <f t="shared" ca="1" si="319"/>
        <v>5.2732072820450344E-2</v>
      </c>
      <c r="Z335" s="77">
        <f t="shared" ca="1" si="320"/>
        <v>4.8017107830550833E-2</v>
      </c>
      <c r="AA335" s="45">
        <f t="shared" ca="1" si="334"/>
        <v>39.144137385962303</v>
      </c>
      <c r="AB335" s="45">
        <f t="shared" ca="1" si="321"/>
        <v>0</v>
      </c>
      <c r="AC335" s="45" cm="1">
        <f t="array" aca="1" ref="AC335" ca="1">pHUM*(T335+W335+Z335+AD335)</f>
        <v>6.2037732729941585E-2</v>
      </c>
      <c r="AD335" s="77">
        <f t="shared" ca="1" si="322"/>
        <v>5.6216484298781205E-2</v>
      </c>
      <c r="AE335" s="45">
        <f t="shared" ca="1" si="335"/>
        <v>6.3847072090583081</v>
      </c>
      <c r="AF335" s="45">
        <f t="shared" ca="1" si="323"/>
        <v>0</v>
      </c>
      <c r="AG335" s="76">
        <f t="shared" ca="1" si="324"/>
        <v>65.529782598364307</v>
      </c>
      <c r="AH335" s="45">
        <f t="shared" ca="1" si="325"/>
        <v>0.52465906453254663</v>
      </c>
      <c r="AI335" s="77">
        <f t="shared" ca="1" si="326"/>
        <v>1.3720641828402366E-2</v>
      </c>
      <c r="AJ335" s="384">
        <f t="shared" ca="1" si="328"/>
        <v>3.7211077722648644E-2</v>
      </c>
      <c r="AU335" s="1"/>
    </row>
    <row r="336" spans="3:47" x14ac:dyDescent="0.25">
      <c r="C336" s="10">
        <f t="shared" si="353"/>
        <v>20</v>
      </c>
      <c r="D336" s="91">
        <f t="shared" si="336"/>
        <v>6</v>
      </c>
      <c r="E336" s="278"/>
      <c r="F336" s="76">
        <f t="shared" ref="F336:Q336" ca="1" si="398">F264</f>
        <v>17.8</v>
      </c>
      <c r="G336" s="46">
        <f t="shared" ca="1" si="398"/>
        <v>27.012600000000003</v>
      </c>
      <c r="H336" s="46">
        <f t="shared" ca="1" si="312"/>
        <v>28.517550000000004</v>
      </c>
      <c r="I336" s="45">
        <f t="shared" ca="1" si="313"/>
        <v>1.0420430221807615</v>
      </c>
      <c r="J336" s="45">
        <f t="shared" ca="1" si="314"/>
        <v>0.27952512346894071</v>
      </c>
      <c r="K336" s="45">
        <f t="shared" ca="1" si="330"/>
        <v>0.90345467800480783</v>
      </c>
      <c r="L336" s="358">
        <f t="shared" ca="1" si="315"/>
        <v>0.88796358149435028</v>
      </c>
      <c r="M336" s="76">
        <f t="shared" ca="1" si="398"/>
        <v>0.25347808785320641</v>
      </c>
      <c r="N336" s="45">
        <f t="shared" ca="1" si="398"/>
        <v>0.25</v>
      </c>
      <c r="O336" s="45">
        <f t="shared" ca="1" si="398"/>
        <v>0</v>
      </c>
      <c r="P336" s="46" t="str">
        <f t="shared" ca="1" si="398"/>
        <v/>
      </c>
      <c r="Q336" s="243" t="str">
        <f t="shared" ca="1" si="398"/>
        <v/>
      </c>
      <c r="R336" s="45">
        <f t="shared" ca="1" si="331"/>
        <v>0.18043244341315784</v>
      </c>
      <c r="S336" s="45">
        <f t="shared" ca="1" si="355"/>
        <v>5.0695617570641283E-2</v>
      </c>
      <c r="T336" s="77">
        <f t="shared" ca="1" si="316"/>
        <v>0.10471661384205616</v>
      </c>
      <c r="U336" s="45">
        <f t="shared" ca="1" si="332"/>
        <v>18.502141265984317</v>
      </c>
      <c r="V336" s="45">
        <f t="shared" ca="1" si="317"/>
        <v>0.20278247028256513</v>
      </c>
      <c r="W336" s="77">
        <f t="shared" ca="1" si="318"/>
        <v>0.475776527725918</v>
      </c>
      <c r="X336" s="45">
        <f t="shared" ca="1" si="333"/>
        <v>1.0413620688357208</v>
      </c>
      <c r="Y336" s="45">
        <f t="shared" ca="1" si="319"/>
        <v>5.8257668528001655E-2</v>
      </c>
      <c r="Z336" s="77">
        <f t="shared" ca="1" si="320"/>
        <v>5.8004850106895628E-2</v>
      </c>
      <c r="AA336" s="45">
        <f t="shared" ca="1" si="334"/>
        <v>39.149958634393464</v>
      </c>
      <c r="AB336" s="45">
        <f t="shared" ca="1" si="321"/>
        <v>0</v>
      </c>
      <c r="AC336" s="45" cm="1">
        <f t="array" aca="1" ref="AC336" ca="1">pHUM*(T336+W336+Z336+AD336)</f>
        <v>6.8538433562354895E-2</v>
      </c>
      <c r="AD336" s="77">
        <f t="shared" ca="1" si="322"/>
        <v>6.7934226291720134E-2</v>
      </c>
      <c r="AE336" s="45">
        <f t="shared" ca="1" si="335"/>
        <v>6.3847072090583081</v>
      </c>
      <c r="AF336" s="45">
        <f t="shared" ca="1" si="323"/>
        <v>0</v>
      </c>
      <c r="AG336" s="76">
        <f t="shared" ca="1" si="324"/>
        <v>65.25860162168496</v>
      </c>
      <c r="AH336" s="45">
        <f t="shared" ca="1" si="325"/>
        <v>0.57963611587623332</v>
      </c>
      <c r="AI336" s="77">
        <f t="shared" ca="1" si="326"/>
        <v>1.2491763171796065E-2</v>
      </c>
      <c r="AJ336" s="384">
        <f t="shared" ca="1" si="328"/>
        <v>3.5372102361507229E-2</v>
      </c>
      <c r="AU336" s="1"/>
    </row>
    <row r="337" spans="3:47" x14ac:dyDescent="0.25">
      <c r="C337" s="10">
        <f t="shared" si="353"/>
        <v>20</v>
      </c>
      <c r="D337" s="91">
        <f t="shared" si="336"/>
        <v>7</v>
      </c>
      <c r="E337" s="278"/>
      <c r="F337" s="76">
        <f t="shared" ref="F337:Q337" ca="1" si="399">F265</f>
        <v>22.99</v>
      </c>
      <c r="G337" s="46">
        <f t="shared" ca="1" si="399"/>
        <v>27.012600000000003</v>
      </c>
      <c r="H337" s="46">
        <f t="shared" ca="1" si="312"/>
        <v>28.517550000000004</v>
      </c>
      <c r="I337" s="45">
        <f t="shared" ca="1" si="313"/>
        <v>1.4752596357037575</v>
      </c>
      <c r="J337" s="45">
        <f t="shared" ca="1" si="314"/>
        <v>0.27952512346894071</v>
      </c>
      <c r="K337" s="45">
        <f t="shared" ca="1" si="330"/>
        <v>0.90345467800480783</v>
      </c>
      <c r="L337" s="358">
        <f t="shared" ca="1" si="315"/>
        <v>0.94206720469222516</v>
      </c>
      <c r="M337" s="76">
        <f t="shared" ca="1" si="399"/>
        <v>0.25347808785320641</v>
      </c>
      <c r="N337" s="45">
        <f t="shared" ca="1" si="399"/>
        <v>0.25</v>
      </c>
      <c r="O337" s="45">
        <f t="shared" ca="1" si="399"/>
        <v>0</v>
      </c>
      <c r="P337" s="46" t="str">
        <f t="shared" ca="1" si="399"/>
        <v/>
      </c>
      <c r="Q337" s="243" t="str">
        <f t="shared" ca="1" si="399"/>
        <v/>
      </c>
      <c r="R337" s="45">
        <f t="shared" ca="1" si="331"/>
        <v>0.12641144714174296</v>
      </c>
      <c r="S337" s="45">
        <f t="shared" ca="1" si="355"/>
        <v>5.0695617570641283E-2</v>
      </c>
      <c r="T337" s="77">
        <f t="shared" ca="1" si="316"/>
        <v>8.9439515862024505E-2</v>
      </c>
      <c r="U337" s="45">
        <f t="shared" ca="1" si="332"/>
        <v>18.229147208540962</v>
      </c>
      <c r="V337" s="45">
        <f t="shared" ca="1" si="317"/>
        <v>0.20278247028256513</v>
      </c>
      <c r="W337" s="77">
        <f t="shared" ca="1" si="318"/>
        <v>0.66007110374686084</v>
      </c>
      <c r="X337" s="45">
        <f t="shared" ca="1" si="333"/>
        <v>1.0416148872568267</v>
      </c>
      <c r="Y337" s="45">
        <f t="shared" ca="1" si="319"/>
        <v>7.643351410045858E-2</v>
      </c>
      <c r="Z337" s="77">
        <f t="shared" ca="1" si="320"/>
        <v>8.1177988246377272E-2</v>
      </c>
      <c r="AA337" s="45">
        <f t="shared" ca="1" si="334"/>
        <v>39.150562841664097</v>
      </c>
      <c r="AB337" s="45">
        <f t="shared" ca="1" si="321"/>
        <v>0</v>
      </c>
      <c r="AC337" s="45" cm="1">
        <f t="array" aca="1" ref="AC337" ca="1">pHUM*(T337+W337+Z337+AD337)</f>
        <v>8.9921781294657152E-2</v>
      </c>
      <c r="AD337" s="77">
        <f t="shared" ca="1" si="322"/>
        <v>9.614382909704576E-2</v>
      </c>
      <c r="AE337" s="45">
        <f t="shared" ca="1" si="335"/>
        <v>6.3847072090583081</v>
      </c>
      <c r="AF337" s="45">
        <f t="shared" ca="1" si="323"/>
        <v>0</v>
      </c>
      <c r="AG337" s="76">
        <f t="shared" ca="1" si="324"/>
        <v>64.93244359366193</v>
      </c>
      <c r="AH337" s="45">
        <f t="shared" ca="1" si="325"/>
        <v>0.7604771415571927</v>
      </c>
      <c r="AI337" s="77">
        <f t="shared" ca="1" si="326"/>
        <v>1.1676135610256985E-2</v>
      </c>
      <c r="AJ337" s="384">
        <f t="shared" ca="1" si="328"/>
        <v>3.5077054182979239E-2</v>
      </c>
      <c r="AU337" s="1"/>
    </row>
    <row r="338" spans="3:47" x14ac:dyDescent="0.25">
      <c r="C338" s="10">
        <f t="shared" si="353"/>
        <v>20</v>
      </c>
      <c r="D338" s="91">
        <f t="shared" si="336"/>
        <v>8</v>
      </c>
      <c r="E338" s="278"/>
      <c r="F338" s="76">
        <f t="shared" ref="F338:Q338" ca="1" si="400">F266</f>
        <v>21.76</v>
      </c>
      <c r="G338" s="46">
        <f t="shared" ca="1" si="400"/>
        <v>27.012600000000003</v>
      </c>
      <c r="H338" s="46">
        <f t="shared" ref="H338:H401" ca="1" si="401">FC-G338</f>
        <v>28.517550000000004</v>
      </c>
      <c r="I338" s="45">
        <f t="shared" ref="I338:I401" ca="1" si="402">PRODUCT(47.91/(1+EXP(106.06/(F338+18.27))), IF(IF(H338&lt;=0,1-((1-RM_PWP)*(G338-FC)/(WSAT-FC)),IF(H338&lt;=Wat1bar,1,1-((1-RM_PWP)*(H338-Wat1bar)/(FC-Wat1bar))))&lt;=RM_PWP,RM_PWP,IF(H338&lt;=0,1-((1-RM_PWP)*(G338-FC)/(WSAT-FC)),IF(H338&lt;=Wat1bar,1,1-((1-RM_PWP)*(H338-Wat1bar)/(FC-Wat1bar))))),0.56+(ATAN(3.14*0.45*(SoilpH-5)))/3.14,EXP(-0.09*SoilSal))</f>
        <v>1.3706166748122235</v>
      </c>
      <c r="J338" s="45">
        <f t="shared" ref="J338:J401" ca="1" si="403">POWER(((G338/150)-$J$9),$M$9)*POWER(($L$9-(G338/150)),$N$9)</f>
        <v>0.27952512346894071</v>
      </c>
      <c r="K338" s="45">
        <f t="shared" ca="1" si="330"/>
        <v>0.90345467800480783</v>
      </c>
      <c r="L338" s="358">
        <f t="shared" ref="L338:L401" ca="1" si="404">1/(1+EXP(-(F338-3.8)/6.7))+1/(1+EXP((F338-62.2)/7.1))-1</f>
        <v>0.93252308258228611</v>
      </c>
      <c r="M338" s="76">
        <f t="shared" ca="1" si="400"/>
        <v>0.25347808785320641</v>
      </c>
      <c r="N338" s="45">
        <f t="shared" ca="1" si="400"/>
        <v>0.25</v>
      </c>
      <c r="O338" s="45">
        <f t="shared" ca="1" si="400"/>
        <v>0</v>
      </c>
      <c r="P338" s="46" t="str">
        <f t="shared" ca="1" si="400"/>
        <v/>
      </c>
      <c r="Q338" s="243" t="str">
        <f t="shared" ca="1" si="400"/>
        <v/>
      </c>
      <c r="R338" s="45">
        <f t="shared" ca="1" si="331"/>
        <v>8.7667548850359739E-2</v>
      </c>
      <c r="S338" s="45">
        <f t="shared" ca="1" si="355"/>
        <v>5.0695617570641283E-2</v>
      </c>
      <c r="T338" s="77">
        <f t="shared" ref="T338:T401" ca="1" si="405">R338*(1-EXP(-kDPM*I338))</f>
        <v>5.9690870583984493E-2</v>
      </c>
      <c r="U338" s="45">
        <f t="shared" ca="1" si="332"/>
        <v>17.771858575076664</v>
      </c>
      <c r="V338" s="45">
        <f t="shared" ref="V338:V401" ca="1" si="406">M338*1/(1+N338)</f>
        <v>0.20278247028256513</v>
      </c>
      <c r="W338" s="77">
        <f t="shared" ref="W338:W401" ca="1" si="407">U338*(1-EXP(-kRPM*I338))</f>
        <v>0.59864515746483471</v>
      </c>
      <c r="X338" s="45">
        <f t="shared" ca="1" si="333"/>
        <v>1.0368704131109081</v>
      </c>
      <c r="Y338" s="45">
        <f t="shared" ref="Y338:Y401" ca="1" si="408">pBIO*(T338+W338+Z338+AD338)</f>
        <v>6.7866071010972709E-2</v>
      </c>
      <c r="Z338" s="77">
        <f t="shared" ref="Z338:Z401" ca="1" si="409">X338*(1-EXP(-kBIO*I338))</f>
        <v>7.528987927841875E-2</v>
      </c>
      <c r="AA338" s="45">
        <f t="shared" ca="1" si="334"/>
        <v>39.144340793861709</v>
      </c>
      <c r="AB338" s="45">
        <f t="shared" ref="AB338:AB401" ca="1" si="410">IF(O338&gt;0,O338*(1-Q338)/(1+P338),0)</f>
        <v>0</v>
      </c>
      <c r="AC338" s="45" cm="1">
        <f t="array" aca="1" ref="AC338" ca="1">pHUM*(T338+W338+Z338+AD338)</f>
        <v>7.98424364834973E-2</v>
      </c>
      <c r="AD338" s="77">
        <f t="shared" ref="AD338:AD401" ca="1" si="411">AA338*(1-EXP(-kHUM*I338))</f>
        <v>8.9317754517309514E-2</v>
      </c>
      <c r="AE338" s="45">
        <f t="shared" ca="1" si="335"/>
        <v>6.3847072090583081</v>
      </c>
      <c r="AF338" s="45">
        <f t="shared" ref="AF338:AF401" ca="1" si="412">IF(O338&gt;0,O338*Q338,0)</f>
        <v>0</v>
      </c>
      <c r="AG338" s="76">
        <f t="shared" ref="AG338:AG401" ca="1" si="413">R338+U338+X338+AA338+AE338</f>
        <v>64.425444539957951</v>
      </c>
      <c r="AH338" s="45">
        <f t="shared" ref="AH338:AH401" ca="1" si="414">p_CO2*(T338+W338+Z338+AD338)</f>
        <v>0.67523515435007753</v>
      </c>
      <c r="AI338" s="77">
        <f t="shared" ref="AI338:AI401" ca="1" si="415">((kRPM*U338)+(kDPM*R338)+(kBIO*X338)+(kHUM*AA338))/(U338+R338+AA338+X338)</f>
        <v>1.1020211410303684E-2</v>
      </c>
      <c r="AJ338" s="384">
        <f t="shared" ca="1" si="328"/>
        <v>3.2771216212693632E-2</v>
      </c>
      <c r="AU338" s="1"/>
    </row>
    <row r="339" spans="3:47" x14ac:dyDescent="0.25">
      <c r="C339" s="10">
        <f t="shared" si="353"/>
        <v>20</v>
      </c>
      <c r="D339" s="91">
        <f t="shared" si="336"/>
        <v>9</v>
      </c>
      <c r="E339" s="278"/>
      <c r="F339" s="76">
        <f t="shared" ref="F339:Q339" ca="1" si="416">F267</f>
        <v>16.16</v>
      </c>
      <c r="G339" s="46">
        <f t="shared" ca="1" si="416"/>
        <v>27.012600000000003</v>
      </c>
      <c r="H339" s="46">
        <f t="shared" ca="1" si="401"/>
        <v>28.517550000000004</v>
      </c>
      <c r="I339" s="45">
        <f t="shared" ca="1" si="402"/>
        <v>0.91183635166446475</v>
      </c>
      <c r="J339" s="45">
        <f t="shared" ca="1" si="403"/>
        <v>0.27952512346894071</v>
      </c>
      <c r="K339" s="45">
        <f t="shared" ca="1" si="330"/>
        <v>0.90345467800480783</v>
      </c>
      <c r="L339" s="358">
        <f t="shared" ca="1" si="404"/>
        <v>0.86198800670670384</v>
      </c>
      <c r="M339" s="76">
        <f t="shared" ca="1" si="416"/>
        <v>0.25347808785320641</v>
      </c>
      <c r="N339" s="45">
        <f t="shared" ca="1" si="416"/>
        <v>0.25</v>
      </c>
      <c r="O339" s="45">
        <f t="shared" ca="1" si="416"/>
        <v>0</v>
      </c>
      <c r="P339" s="46" t="str">
        <f t="shared" ca="1" si="416"/>
        <v/>
      </c>
      <c r="Q339" s="243" t="str">
        <f t="shared" ca="1" si="416"/>
        <v/>
      </c>
      <c r="R339" s="45">
        <f t="shared" ca="1" si="331"/>
        <v>7.8672295837016529E-2</v>
      </c>
      <c r="S339" s="45">
        <f t="shared" ca="1" si="355"/>
        <v>5.0695617570641283E-2</v>
      </c>
      <c r="T339" s="77">
        <f t="shared" ca="1" si="405"/>
        <v>4.1874886484751211E-2</v>
      </c>
      <c r="U339" s="45">
        <f t="shared" ca="1" si="332"/>
        <v>17.375995887894394</v>
      </c>
      <c r="V339" s="45">
        <f t="shared" ca="1" si="406"/>
        <v>0.20278247028256513</v>
      </c>
      <c r="W339" s="77">
        <f t="shared" ca="1" si="407"/>
        <v>0.39162098056081196</v>
      </c>
      <c r="X339" s="45">
        <f t="shared" ca="1" si="333"/>
        <v>1.0294466048434621</v>
      </c>
      <c r="Y339" s="45">
        <f t="shared" ca="1" si="408"/>
        <v>4.4802885043884466E-2</v>
      </c>
      <c r="Z339" s="77">
        <f t="shared" ca="1" si="409"/>
        <v>5.0354556781174967E-2</v>
      </c>
      <c r="AA339" s="45">
        <f t="shared" ca="1" si="334"/>
        <v>39.134865475827894</v>
      </c>
      <c r="AB339" s="45">
        <f t="shared" ca="1" si="410"/>
        <v>0</v>
      </c>
      <c r="AC339" s="45" cm="1">
        <f t="array" aca="1" ref="AC339" ca="1">pHUM*(T339+W339+Z339+AD339)</f>
        <v>5.2709276522217026E-2</v>
      </c>
      <c r="AD339" s="77">
        <f t="shared" ca="1" si="411"/>
        <v>5.9429152108243358E-2</v>
      </c>
      <c r="AE339" s="45">
        <f t="shared" ca="1" si="335"/>
        <v>6.3847072090583081</v>
      </c>
      <c r="AF339" s="45">
        <f t="shared" ca="1" si="412"/>
        <v>0</v>
      </c>
      <c r="AG339" s="76">
        <f t="shared" ca="1" si="413"/>
        <v>64.003687473461071</v>
      </c>
      <c r="AH339" s="45">
        <f t="shared" ca="1" si="414"/>
        <v>0.44576741436888012</v>
      </c>
      <c r="AI339" s="77">
        <f t="shared" ca="1" si="415"/>
        <v>1.0791660663453238E-2</v>
      </c>
      <c r="AJ339" s="384">
        <f t="shared" ref="AJ339:AJ402" ca="1" si="417">(530)*(1-EXP((-$AJ$9*L339*K339*AI339)))</f>
        <v>2.9664280543483246E-2</v>
      </c>
      <c r="AU339" s="1"/>
    </row>
    <row r="340" spans="3:47" x14ac:dyDescent="0.25">
      <c r="C340" s="10">
        <f t="shared" si="353"/>
        <v>20</v>
      </c>
      <c r="D340" s="91">
        <f t="shared" si="336"/>
        <v>10</v>
      </c>
      <c r="E340" s="278"/>
      <c r="F340" s="76">
        <f t="shared" ref="F340:Q340" ca="1" si="418">F268</f>
        <v>11.21</v>
      </c>
      <c r="G340" s="46">
        <f t="shared" ca="1" si="418"/>
        <v>27.012600000000003</v>
      </c>
      <c r="H340" s="46">
        <f t="shared" ca="1" si="401"/>
        <v>28.517550000000004</v>
      </c>
      <c r="I340" s="45">
        <f t="shared" ca="1" si="402"/>
        <v>0.55341948356365211</v>
      </c>
      <c r="J340" s="45">
        <f t="shared" ca="1" si="403"/>
        <v>0.27952512346894071</v>
      </c>
      <c r="K340" s="45">
        <f t="shared" ref="K340:K403" ca="1" si="419">J340/$I$15</f>
        <v>0.90345467800480783</v>
      </c>
      <c r="L340" s="358">
        <f t="shared" ca="1" si="404"/>
        <v>0.75061725573145499</v>
      </c>
      <c r="M340" s="76">
        <f t="shared" ca="1" si="418"/>
        <v>0.25347808785320641</v>
      </c>
      <c r="N340" s="45">
        <f t="shared" ca="1" si="418"/>
        <v>0.25</v>
      </c>
      <c r="O340" s="45">
        <f t="shared" ca="1" si="418"/>
        <v>0</v>
      </c>
      <c r="P340" s="46" t="str">
        <f t="shared" ca="1" si="418"/>
        <v/>
      </c>
      <c r="Q340" s="243" t="str">
        <f t="shared" ca="1" si="418"/>
        <v/>
      </c>
      <c r="R340" s="45">
        <f t="shared" ref="R340:R403" ca="1" si="420">R339+S340-T339</f>
        <v>8.7493026922906586E-2</v>
      </c>
      <c r="S340" s="45">
        <f t="shared" ca="1" si="355"/>
        <v>5.0695617570641283E-2</v>
      </c>
      <c r="T340" s="77">
        <f t="shared" ca="1" si="405"/>
        <v>3.2325406484756646E-2</v>
      </c>
      <c r="U340" s="45">
        <f t="shared" ref="U340:U403" ca="1" si="421">U339+V340-W339</f>
        <v>17.187157377616145</v>
      </c>
      <c r="V340" s="45">
        <f t="shared" ca="1" si="406"/>
        <v>0.20278247028256513</v>
      </c>
      <c r="W340" s="77">
        <f t="shared" ca="1" si="407"/>
        <v>0.2361552653618301</v>
      </c>
      <c r="X340" s="45">
        <f t="shared" ref="X340:X403" ca="1" si="422">X339+Y339-Z339</f>
        <v>1.0238949331061715</v>
      </c>
      <c r="Y340" s="45">
        <f t="shared" ca="1" si="408"/>
        <v>2.7647243996326461E-2</v>
      </c>
      <c r="Z340" s="77">
        <f t="shared" ca="1" si="409"/>
        <v>3.0695856069870651E-2</v>
      </c>
      <c r="AA340" s="45">
        <f t="shared" ref="AA340:AA403" ca="1" si="423">AA339+AC339+AB340-AD339</f>
        <v>39.128145600241865</v>
      </c>
      <c r="AB340" s="45">
        <f t="shared" ca="1" si="410"/>
        <v>0</v>
      </c>
      <c r="AC340" s="45" cm="1">
        <f t="array" aca="1" ref="AC340" ca="1">pHUM*(T340+W340+Z340+AD340)</f>
        <v>3.2526169407442893E-2</v>
      </c>
      <c r="AD340" s="77">
        <f t="shared" ca="1" si="411"/>
        <v>3.6073824362930898E-2</v>
      </c>
      <c r="AE340" s="45">
        <f t="shared" ref="AE340:AE403" ca="1" si="424">AE339+AF340</f>
        <v>6.3847072090583081</v>
      </c>
      <c r="AF340" s="45">
        <f t="shared" ca="1" si="412"/>
        <v>0</v>
      </c>
      <c r="AG340" s="76">
        <f t="shared" ca="1" si="413"/>
        <v>63.811398146945393</v>
      </c>
      <c r="AH340" s="45">
        <f t="shared" ca="1" si="414"/>
        <v>0.27507693887561896</v>
      </c>
      <c r="AI340" s="77">
        <f t="shared" ca="1" si="415"/>
        <v>1.0868075059483799E-2</v>
      </c>
      <c r="AJ340" s="384">
        <f t="shared" ca="1" si="417"/>
        <v>2.6014589918751385E-2</v>
      </c>
      <c r="AU340" s="1"/>
    </row>
    <row r="341" spans="3:47" x14ac:dyDescent="0.25">
      <c r="C341" s="10">
        <f t="shared" si="353"/>
        <v>20</v>
      </c>
      <c r="D341" s="91">
        <f t="shared" ref="D341:D404" si="425">IF(D340+1&lt;13,D340+1,1)</f>
        <v>11</v>
      </c>
      <c r="E341" s="278"/>
      <c r="F341" s="76">
        <f t="shared" ref="F341:Q341" ca="1" si="426">F269</f>
        <v>1.8</v>
      </c>
      <c r="G341" s="46">
        <f t="shared" ca="1" si="426"/>
        <v>27.012600000000003</v>
      </c>
      <c r="H341" s="46">
        <f t="shared" ca="1" si="401"/>
        <v>28.517550000000004</v>
      </c>
      <c r="I341" s="45">
        <f t="shared" ca="1" si="402"/>
        <v>0.10471759589279002</v>
      </c>
      <c r="J341" s="45">
        <f t="shared" ca="1" si="403"/>
        <v>0.27952512346894071</v>
      </c>
      <c r="K341" s="45">
        <f t="shared" ca="1" si="419"/>
        <v>0.90345467800480783</v>
      </c>
      <c r="L341" s="358">
        <f t="shared" ca="1" si="404"/>
        <v>0.42572038710161686</v>
      </c>
      <c r="M341" s="76">
        <f t="shared" ca="1" si="426"/>
        <v>0.25347808785320641</v>
      </c>
      <c r="N341" s="45">
        <f t="shared" ca="1" si="426"/>
        <v>0.25</v>
      </c>
      <c r="O341" s="45">
        <f t="shared" ca="1" si="426"/>
        <v>0</v>
      </c>
      <c r="P341" s="46" t="str">
        <f t="shared" ca="1" si="426"/>
        <v/>
      </c>
      <c r="Q341" s="243" t="str">
        <f t="shared" ca="1" si="426"/>
        <v/>
      </c>
      <c r="R341" s="45">
        <f t="shared" ca="1" si="420"/>
        <v>0.10586323800879122</v>
      </c>
      <c r="S341" s="45">
        <f t="shared" ca="1" si="355"/>
        <v>5.0695617570641283E-2</v>
      </c>
      <c r="T341" s="77">
        <f t="shared" ca="1" si="405"/>
        <v>8.8465126159825002E-3</v>
      </c>
      <c r="U341" s="45">
        <f t="shared" ca="1" si="421"/>
        <v>17.153784582536879</v>
      </c>
      <c r="V341" s="45">
        <f t="shared" ca="1" si="406"/>
        <v>0.20278247028256513</v>
      </c>
      <c r="W341" s="77">
        <f t="shared" ca="1" si="407"/>
        <v>4.4848845642771237E-2</v>
      </c>
      <c r="X341" s="45">
        <f t="shared" ca="1" si="422"/>
        <v>1.0208463210326273</v>
      </c>
      <c r="Y341" s="45">
        <f t="shared" ca="1" si="408"/>
        <v>5.4746668345108601E-3</v>
      </c>
      <c r="Z341" s="77">
        <f t="shared" ca="1" si="409"/>
        <v>5.8626324609324047E-3</v>
      </c>
      <c r="AA341" s="45">
        <f t="shared" ca="1" si="423"/>
        <v>39.124597945286375</v>
      </c>
      <c r="AB341" s="45">
        <f t="shared" ca="1" si="410"/>
        <v>0</v>
      </c>
      <c r="AC341" s="45" cm="1">
        <f t="array" aca="1" ref="AC341" ca="1">pHUM*(T341+W341+Z341+AD341)</f>
        <v>6.4407845111892478E-3</v>
      </c>
      <c r="AD341" s="77">
        <f t="shared" ca="1" si="411"/>
        <v>6.8277938860387636E-3</v>
      </c>
      <c r="AE341" s="45">
        <f t="shared" ca="1" si="424"/>
        <v>6.3847072090583081</v>
      </c>
      <c r="AF341" s="45">
        <f t="shared" ca="1" si="412"/>
        <v>0</v>
      </c>
      <c r="AG341" s="76">
        <f t="shared" ca="1" si="413"/>
        <v>63.789799295922975</v>
      </c>
      <c r="AH341" s="45">
        <f t="shared" ca="1" si="414"/>
        <v>5.4470333260024803E-2</v>
      </c>
      <c r="AI341" s="77">
        <f t="shared" ca="1" si="415"/>
        <v>1.1121281532022279E-2</v>
      </c>
      <c r="AJ341" s="384">
        <f t="shared" ca="1" si="417"/>
        <v>1.5098352722696662E-2</v>
      </c>
      <c r="AU341" s="1"/>
    </row>
    <row r="342" spans="3:47" x14ac:dyDescent="0.25">
      <c r="C342" s="10">
        <f t="shared" si="353"/>
        <v>20</v>
      </c>
      <c r="D342" s="91">
        <f t="shared" si="425"/>
        <v>12</v>
      </c>
      <c r="E342" s="278"/>
      <c r="F342" s="76">
        <f t="shared" ref="F342:Q342" ca="1" si="427">F270</f>
        <v>-0.63</v>
      </c>
      <c r="G342" s="46">
        <f t="shared" ca="1" si="427"/>
        <v>27.012600000000003</v>
      </c>
      <c r="H342" s="46">
        <f t="shared" ca="1" si="401"/>
        <v>28.517550000000004</v>
      </c>
      <c r="I342" s="45">
        <f t="shared" ca="1" si="402"/>
        <v>5.069926650983797E-2</v>
      </c>
      <c r="J342" s="45">
        <f t="shared" ca="1" si="403"/>
        <v>0.27952512346894071</v>
      </c>
      <c r="K342" s="45">
        <f t="shared" ca="1" si="419"/>
        <v>0.90345467800480783</v>
      </c>
      <c r="L342" s="358">
        <f t="shared" ca="1" si="404"/>
        <v>0.3403279781726225</v>
      </c>
      <c r="M342" s="76">
        <f t="shared" ca="1" si="427"/>
        <v>0.25347808785320641</v>
      </c>
      <c r="N342" s="45">
        <f t="shared" ca="1" si="427"/>
        <v>0.25</v>
      </c>
      <c r="O342" s="45">
        <f t="shared" ca="1" si="427"/>
        <v>0</v>
      </c>
      <c r="P342" s="46" t="str">
        <f t="shared" ca="1" si="427"/>
        <v/>
      </c>
      <c r="Q342" s="243" t="str">
        <f t="shared" ca="1" si="427"/>
        <v/>
      </c>
      <c r="R342" s="45">
        <f t="shared" ca="1" si="420"/>
        <v>0.14771234296345001</v>
      </c>
      <c r="S342" s="45">
        <f t="shared" ca="1" si="355"/>
        <v>5.0695617570641283E-2</v>
      </c>
      <c r="T342" s="77">
        <f t="shared" ca="1" si="405"/>
        <v>6.1107593251454049E-3</v>
      </c>
      <c r="U342" s="45">
        <f t="shared" ca="1" si="421"/>
        <v>17.311718207176671</v>
      </c>
      <c r="V342" s="45">
        <f t="shared" ca="1" si="406"/>
        <v>0.20278247028256513</v>
      </c>
      <c r="W342" s="77">
        <f t="shared" ca="1" si="407"/>
        <v>2.1928385529265754E-2</v>
      </c>
      <c r="X342" s="45">
        <f t="shared" ca="1" si="422"/>
        <v>1.0204583554062059</v>
      </c>
      <c r="Y342" s="45">
        <f t="shared" ca="1" si="408"/>
        <v>2.8192734311300056E-3</v>
      </c>
      <c r="Z342" s="77">
        <f t="shared" ca="1" si="409"/>
        <v>2.8415433510574528E-3</v>
      </c>
      <c r="AA342" s="45">
        <f t="shared" ca="1" si="423"/>
        <v>39.124210935911528</v>
      </c>
      <c r="AB342" s="45">
        <f t="shared" ca="1" si="410"/>
        <v>0</v>
      </c>
      <c r="AC342" s="45" cm="1">
        <f t="array" aca="1" ref="AC342" ca="1">pHUM*(T342+W342+Z342+AD342)</f>
        <v>3.3167922719176536E-3</v>
      </c>
      <c r="AD342" s="77">
        <f t="shared" ca="1" si="411"/>
        <v>3.3058083250296685E-3</v>
      </c>
      <c r="AE342" s="45">
        <f t="shared" ca="1" si="424"/>
        <v>6.3847072090583081</v>
      </c>
      <c r="AF342" s="45">
        <f t="shared" ca="1" si="412"/>
        <v>0</v>
      </c>
      <c r="AG342" s="76">
        <f t="shared" ca="1" si="413"/>
        <v>63.988807050516158</v>
      </c>
      <c r="AH342" s="45">
        <f t="shared" ca="1" si="414"/>
        <v>2.8050430827450627E-2</v>
      </c>
      <c r="AI342" s="77">
        <f t="shared" ca="1" si="415"/>
        <v>1.1756434072459701E-2</v>
      </c>
      <c r="AJ342" s="384">
        <f t="shared" ca="1" si="417"/>
        <v>1.2759231244222624E-2</v>
      </c>
      <c r="AU342" s="1"/>
    </row>
    <row r="343" spans="3:47" x14ac:dyDescent="0.25">
      <c r="C343" s="10">
        <f t="shared" si="353"/>
        <v>21</v>
      </c>
      <c r="D343" s="91">
        <f t="shared" si="425"/>
        <v>1</v>
      </c>
      <c r="E343" s="278"/>
      <c r="F343" s="76">
        <f t="shared" ref="F343:Q343" ca="1" si="428">F271</f>
        <v>-5.04</v>
      </c>
      <c r="G343" s="46">
        <f t="shared" ca="1" si="428"/>
        <v>27.012600000000003</v>
      </c>
      <c r="H343" s="46">
        <f t="shared" ca="1" si="401"/>
        <v>28.517550000000004</v>
      </c>
      <c r="I343" s="45">
        <f t="shared" ca="1" si="402"/>
        <v>6.847402527399577E-3</v>
      </c>
      <c r="J343" s="45">
        <f t="shared" ca="1" si="403"/>
        <v>0.27952512346894071</v>
      </c>
      <c r="K343" s="45">
        <f t="shared" ca="1" si="419"/>
        <v>0.90345467800480783</v>
      </c>
      <c r="L343" s="358">
        <f t="shared" ca="1" si="404"/>
        <v>0.21084054547214914</v>
      </c>
      <c r="M343" s="76">
        <f t="shared" ca="1" si="428"/>
        <v>0.25347808785320641</v>
      </c>
      <c r="N343" s="45">
        <f t="shared" ca="1" si="428"/>
        <v>0.25</v>
      </c>
      <c r="O343" s="45">
        <f t="shared" ca="1" si="428"/>
        <v>0</v>
      </c>
      <c r="P343" s="46" t="str">
        <f t="shared" ca="1" si="428"/>
        <v/>
      </c>
      <c r="Q343" s="243" t="str">
        <f t="shared" ca="1" si="428"/>
        <v/>
      </c>
      <c r="R343" s="45">
        <f t="shared" ca="1" si="420"/>
        <v>0.19229720120894589</v>
      </c>
      <c r="S343" s="45">
        <f t="shared" ca="1" si="355"/>
        <v>5.0695617570641283E-2</v>
      </c>
      <c r="T343" s="77">
        <f t="shared" ca="1" si="405"/>
        <v>1.0941555975497383E-3</v>
      </c>
      <c r="U343" s="45">
        <f t="shared" ca="1" si="421"/>
        <v>17.492572291929971</v>
      </c>
      <c r="V343" s="45">
        <f t="shared" ca="1" si="406"/>
        <v>0.20278247028256513</v>
      </c>
      <c r="W343" s="77">
        <f t="shared" ca="1" si="407"/>
        <v>2.9942108036672666E-3</v>
      </c>
      <c r="X343" s="45">
        <f t="shared" ca="1" si="422"/>
        <v>1.0204360854862786</v>
      </c>
      <c r="Y343" s="45">
        <f t="shared" ca="1" si="408"/>
        <v>4.0566515937147905E-4</v>
      </c>
      <c r="Z343" s="77">
        <f t="shared" ca="1" si="409"/>
        <v>3.8423115805446271E-4</v>
      </c>
      <c r="AA343" s="45">
        <f t="shared" ca="1" si="423"/>
        <v>39.124221919858414</v>
      </c>
      <c r="AB343" s="45">
        <f t="shared" ca="1" si="410"/>
        <v>0</v>
      </c>
      <c r="AC343" s="45" cm="1">
        <f t="array" aca="1" ref="AC343" ca="1">pHUM*(T343+W343+Z343+AD343)</f>
        <v>4.7725312867232829E-4</v>
      </c>
      <c r="AD343" s="77">
        <f t="shared" ca="1" si="411"/>
        <v>4.4649627897269922E-4</v>
      </c>
      <c r="AE343" s="45">
        <f t="shared" ca="1" si="424"/>
        <v>6.3847072090583081</v>
      </c>
      <c r="AF343" s="45">
        <f t="shared" ca="1" si="412"/>
        <v>0</v>
      </c>
      <c r="AG343" s="76">
        <f t="shared" ca="1" si="413"/>
        <v>64.21423470754192</v>
      </c>
      <c r="AH343" s="45">
        <f t="shared" ca="1" si="414"/>
        <v>4.0361755502003605E-3</v>
      </c>
      <c r="AI343" s="77">
        <f t="shared" ca="1" si="415"/>
        <v>1.2431244509581442E-2</v>
      </c>
      <c r="AJ343" s="384">
        <f t="shared" ca="1" si="417"/>
        <v>8.3583737110082268E-3</v>
      </c>
      <c r="AU343" s="1"/>
    </row>
    <row r="344" spans="3:47" x14ac:dyDescent="0.25">
      <c r="C344" s="10">
        <f t="shared" si="353"/>
        <v>21</v>
      </c>
      <c r="D344" s="91">
        <f t="shared" si="425"/>
        <v>2</v>
      </c>
      <c r="E344" s="278"/>
      <c r="F344" s="76">
        <f t="shared" ref="F344:Q344" ca="1" si="429">F272</f>
        <v>-4.4400000000000004</v>
      </c>
      <c r="G344" s="46">
        <f t="shared" ca="1" si="429"/>
        <v>27.012600000000003</v>
      </c>
      <c r="H344" s="46">
        <f t="shared" ca="1" si="401"/>
        <v>28.517550000000004</v>
      </c>
      <c r="I344" s="45">
        <f t="shared" ca="1" si="402"/>
        <v>9.6941753008840392E-3</v>
      </c>
      <c r="J344" s="45">
        <f t="shared" ca="1" si="403"/>
        <v>0.27952512346894071</v>
      </c>
      <c r="K344" s="45">
        <f t="shared" ca="1" si="419"/>
        <v>0.90345467800480783</v>
      </c>
      <c r="L344" s="358">
        <f t="shared" ca="1" si="404"/>
        <v>0.22612365929309886</v>
      </c>
      <c r="M344" s="76">
        <f t="shared" ca="1" si="429"/>
        <v>0.25347808785320641</v>
      </c>
      <c r="N344" s="45">
        <f t="shared" ca="1" si="429"/>
        <v>0.25</v>
      </c>
      <c r="O344" s="45">
        <f t="shared" ca="1" si="429"/>
        <v>0</v>
      </c>
      <c r="P344" s="46" t="str">
        <f t="shared" ca="1" si="429"/>
        <v/>
      </c>
      <c r="Q344" s="243" t="str">
        <f t="shared" ca="1" si="429"/>
        <v/>
      </c>
      <c r="R344" s="45">
        <f t="shared" ca="1" si="420"/>
        <v>0.24189866318203743</v>
      </c>
      <c r="S344" s="45">
        <f t="shared" ca="1" si="355"/>
        <v>5.0695617570641283E-2</v>
      </c>
      <c r="T344" s="77">
        <f t="shared" ca="1" si="405"/>
        <v>1.9463012095627269E-3</v>
      </c>
      <c r="U344" s="45">
        <f t="shared" ca="1" si="421"/>
        <v>17.692360551408868</v>
      </c>
      <c r="V344" s="45">
        <f t="shared" ca="1" si="406"/>
        <v>0.20278247028256513</v>
      </c>
      <c r="W344" s="77">
        <f t="shared" ca="1" si="407"/>
        <v>4.2873015726483865E-3</v>
      </c>
      <c r="X344" s="45">
        <f t="shared" ca="1" si="422"/>
        <v>1.0204575194875958</v>
      </c>
      <c r="Y344" s="45">
        <f t="shared" ca="1" si="408"/>
        <v>6.1105654016100405E-4</v>
      </c>
      <c r="Z344" s="77">
        <f t="shared" ca="1" si="409"/>
        <v>5.4394215212918312E-4</v>
      </c>
      <c r="AA344" s="45">
        <f t="shared" ca="1" si="423"/>
        <v>39.12425267670811</v>
      </c>
      <c r="AB344" s="45">
        <f t="shared" ca="1" si="410"/>
        <v>0</v>
      </c>
      <c r="AC344" s="45" cm="1">
        <f t="array" aca="1" ref="AC344" ca="1">pHUM*(T344+W344+Z344+AD344)</f>
        <v>7.1889004724824007E-4</v>
      </c>
      <c r="AD344" s="77">
        <f t="shared" ca="1" si="411"/>
        <v>6.3212383332495413E-4</v>
      </c>
      <c r="AE344" s="45">
        <f t="shared" ca="1" si="424"/>
        <v>6.3847072090583081</v>
      </c>
      <c r="AF344" s="45">
        <f t="shared" ca="1" si="412"/>
        <v>0</v>
      </c>
      <c r="AG344" s="76">
        <f t="shared" ca="1" si="413"/>
        <v>64.463676619844918</v>
      </c>
      <c r="AH344" s="45">
        <f t="shared" ca="1" si="414"/>
        <v>6.0797221802560064E-3</v>
      </c>
      <c r="AI344" s="77">
        <f t="shared" ca="1" si="415"/>
        <v>1.3175569267725293E-2</v>
      </c>
      <c r="AJ344" s="384">
        <f t="shared" ca="1" si="417"/>
        <v>9.5009705191351213E-3</v>
      </c>
      <c r="AU344" s="1"/>
    </row>
    <row r="345" spans="3:47" x14ac:dyDescent="0.25">
      <c r="C345" s="10">
        <f t="shared" si="353"/>
        <v>21</v>
      </c>
      <c r="D345" s="91">
        <f t="shared" si="425"/>
        <v>3</v>
      </c>
      <c r="E345" s="278"/>
      <c r="F345" s="76">
        <f t="shared" ref="F345:Q345" ca="1" si="430">F273</f>
        <v>-0.82</v>
      </c>
      <c r="G345" s="46">
        <f t="shared" ca="1" si="430"/>
        <v>27.012600000000003</v>
      </c>
      <c r="H345" s="46">
        <f t="shared" ca="1" si="401"/>
        <v>28.517550000000004</v>
      </c>
      <c r="I345" s="45">
        <f t="shared" ca="1" si="402"/>
        <v>4.749388171975074E-2</v>
      </c>
      <c r="J345" s="45">
        <f t="shared" ca="1" si="403"/>
        <v>0.27952512346894071</v>
      </c>
      <c r="K345" s="45">
        <f t="shared" ca="1" si="419"/>
        <v>0.90345467800480783</v>
      </c>
      <c r="L345" s="358">
        <f t="shared" ca="1" si="404"/>
        <v>0.33399301288143546</v>
      </c>
      <c r="M345" s="76">
        <f t="shared" ca="1" si="430"/>
        <v>0.25347808785320641</v>
      </c>
      <c r="N345" s="45">
        <f t="shared" ca="1" si="430"/>
        <v>0.25</v>
      </c>
      <c r="O345" s="45">
        <f t="shared" ca="1" si="430"/>
        <v>0</v>
      </c>
      <c r="P345" s="46" t="str">
        <f t="shared" ca="1" si="430"/>
        <v/>
      </c>
      <c r="Q345" s="243" t="str">
        <f t="shared" ca="1" si="430"/>
        <v/>
      </c>
      <c r="R345" s="45">
        <f t="shared" ca="1" si="420"/>
        <v>0.29064797954311594</v>
      </c>
      <c r="S345" s="45">
        <f t="shared" ca="1" si="355"/>
        <v>5.0695617570641283E-2</v>
      </c>
      <c r="T345" s="77">
        <f t="shared" ca="1" si="405"/>
        <v>1.1278666868164679E-2</v>
      </c>
      <c r="U345" s="45">
        <f t="shared" ca="1" si="421"/>
        <v>17.890855720118783</v>
      </c>
      <c r="V345" s="45">
        <f t="shared" ca="1" si="406"/>
        <v>0.20278247028256513</v>
      </c>
      <c r="W345" s="77">
        <f t="shared" ca="1" si="407"/>
        <v>2.123004842413782E-2</v>
      </c>
      <c r="X345" s="45">
        <f t="shared" ca="1" si="422"/>
        <v>1.0205246338756275</v>
      </c>
      <c r="Y345" s="45">
        <f t="shared" ca="1" si="408"/>
        <v>3.1558511022965786E-3</v>
      </c>
      <c r="Z345" s="77">
        <f t="shared" ca="1" si="409"/>
        <v>2.6622985006317414E-3</v>
      </c>
      <c r="AA345" s="45">
        <f t="shared" ca="1" si="423"/>
        <v>39.124339442922029</v>
      </c>
      <c r="AB345" s="45">
        <f t="shared" ca="1" si="410"/>
        <v>0</v>
      </c>
      <c r="AC345" s="45" cm="1">
        <f t="array" aca="1" ref="AC345" ca="1">pHUM*(T345+W345+Z345+AD345)</f>
        <v>3.7127660027018571E-3</v>
      </c>
      <c r="AD345" s="77">
        <f t="shared" ca="1" si="411"/>
        <v>3.0968220147434538E-3</v>
      </c>
      <c r="AE345" s="45">
        <f t="shared" ca="1" si="424"/>
        <v>6.3847072090583081</v>
      </c>
      <c r="AF345" s="45">
        <f t="shared" ca="1" si="412"/>
        <v>0</v>
      </c>
      <c r="AG345" s="76">
        <f t="shared" ca="1" si="413"/>
        <v>64.711074985517868</v>
      </c>
      <c r="AH345" s="45">
        <f t="shared" ca="1" si="414"/>
        <v>3.1399218702679255E-2</v>
      </c>
      <c r="AI345" s="77">
        <f t="shared" ca="1" si="415"/>
        <v>1.3901330749718072E-2</v>
      </c>
      <c r="AJ345" s="384">
        <f t="shared" ca="1" si="417"/>
        <v>1.4806218746985511E-2</v>
      </c>
      <c r="AU345" s="1"/>
    </row>
    <row r="346" spans="3:47" x14ac:dyDescent="0.25">
      <c r="C346" s="10">
        <f t="shared" si="353"/>
        <v>21</v>
      </c>
      <c r="D346" s="91">
        <f t="shared" si="425"/>
        <v>4</v>
      </c>
      <c r="E346" s="278"/>
      <c r="F346" s="76">
        <f t="shared" ref="F346:Q346" ca="1" si="431">F274</f>
        <v>6.18</v>
      </c>
      <c r="G346" s="46">
        <f t="shared" ca="1" si="431"/>
        <v>27.012600000000003</v>
      </c>
      <c r="H346" s="46">
        <f t="shared" ca="1" si="401"/>
        <v>28.517550000000004</v>
      </c>
      <c r="I346" s="45">
        <f t="shared" ca="1" si="402"/>
        <v>0.26773980091806004</v>
      </c>
      <c r="J346" s="45">
        <f t="shared" ca="1" si="403"/>
        <v>0.27952512346894071</v>
      </c>
      <c r="K346" s="45">
        <f t="shared" ca="1" si="419"/>
        <v>0.90345467800480783</v>
      </c>
      <c r="L346" s="358">
        <f t="shared" ca="1" si="404"/>
        <v>0.58750950384279488</v>
      </c>
      <c r="M346" s="76">
        <f t="shared" ca="1" si="431"/>
        <v>0.25347808785320641</v>
      </c>
      <c r="N346" s="45">
        <f t="shared" ca="1" si="431"/>
        <v>0.25</v>
      </c>
      <c r="O346" s="45">
        <f t="shared" ca="1" si="431"/>
        <v>0</v>
      </c>
      <c r="P346" s="46" t="str">
        <f t="shared" ca="1" si="431"/>
        <v/>
      </c>
      <c r="Q346" s="243" t="str">
        <f t="shared" ca="1" si="431"/>
        <v/>
      </c>
      <c r="R346" s="45">
        <f t="shared" ca="1" si="420"/>
        <v>0.33006493024559252</v>
      </c>
      <c r="S346" s="45">
        <f t="shared" ca="1" si="355"/>
        <v>5.0695617570641283E-2</v>
      </c>
      <c r="T346" s="77">
        <f t="shared" ca="1" si="405"/>
        <v>6.6005843202412762E-2</v>
      </c>
      <c r="U346" s="45">
        <f t="shared" ca="1" si="421"/>
        <v>18.07240814197721</v>
      </c>
      <c r="V346" s="45">
        <f t="shared" ca="1" si="406"/>
        <v>0.20278247028256513</v>
      </c>
      <c r="W346" s="77">
        <f t="shared" ca="1" si="407"/>
        <v>0.12056362779700305</v>
      </c>
      <c r="X346" s="45">
        <f t="shared" ca="1" si="422"/>
        <v>1.0210181864772925</v>
      </c>
      <c r="Y346" s="45">
        <f t="shared" ca="1" si="408"/>
        <v>1.8056205036906661E-2</v>
      </c>
      <c r="Z346" s="77">
        <f t="shared" ca="1" si="409"/>
        <v>1.4925035908252289E-2</v>
      </c>
      <c r="AA346" s="45">
        <f t="shared" ca="1" si="423"/>
        <v>39.124955386909988</v>
      </c>
      <c r="AB346" s="45">
        <f t="shared" ca="1" si="410"/>
        <v>0</v>
      </c>
      <c r="AC346" s="45" cm="1">
        <f t="array" aca="1" ref="AC346" ca="1">pHUM*(T346+W346+Z346+AD346)</f>
        <v>2.124259416106666E-2</v>
      </c>
      <c r="AD346" s="77">
        <f t="shared" ca="1" si="411"/>
        <v>1.7454951499692232E-2</v>
      </c>
      <c r="AE346" s="45">
        <f t="shared" ca="1" si="424"/>
        <v>6.3847072090583081</v>
      </c>
      <c r="AF346" s="45">
        <f t="shared" ca="1" si="412"/>
        <v>0</v>
      </c>
      <c r="AG346" s="76">
        <f t="shared" ca="1" si="413"/>
        <v>64.93315385466839</v>
      </c>
      <c r="AH346" s="45">
        <f t="shared" ca="1" si="414"/>
        <v>0.17965065920938703</v>
      </c>
      <c r="AI346" s="77">
        <f t="shared" ca="1" si="415"/>
        <v>1.4487635794270178E-2</v>
      </c>
      <c r="AJ346" s="384">
        <f t="shared" ca="1" si="417"/>
        <v>2.7142994878186499E-2</v>
      </c>
      <c r="AU346" s="1"/>
    </row>
    <row r="347" spans="3:47" x14ac:dyDescent="0.25">
      <c r="C347" s="10">
        <f t="shared" si="353"/>
        <v>21</v>
      </c>
      <c r="D347" s="91">
        <f t="shared" si="425"/>
        <v>5</v>
      </c>
      <c r="E347" s="278"/>
      <c r="F347" s="76">
        <f t="shared" ref="F347:Q347" ca="1" si="432">F275</f>
        <v>13.58</v>
      </c>
      <c r="G347" s="46">
        <f t="shared" ca="1" si="432"/>
        <v>27.012600000000003</v>
      </c>
      <c r="H347" s="46">
        <f t="shared" ca="1" si="401"/>
        <v>28.517550000000004</v>
      </c>
      <c r="I347" s="45">
        <f t="shared" ca="1" si="402"/>
        <v>0.71743035359667851</v>
      </c>
      <c r="J347" s="45">
        <f t="shared" ca="1" si="403"/>
        <v>0.27952512346894071</v>
      </c>
      <c r="K347" s="45">
        <f t="shared" ca="1" si="419"/>
        <v>0.90345467800480783</v>
      </c>
      <c r="L347" s="358">
        <f t="shared" ca="1" si="404"/>
        <v>0.81042644426030708</v>
      </c>
      <c r="M347" s="76">
        <f t="shared" ca="1" si="432"/>
        <v>0.25347808785320641</v>
      </c>
      <c r="N347" s="45">
        <f t="shared" ca="1" si="432"/>
        <v>0.25</v>
      </c>
      <c r="O347" s="45">
        <f t="shared" ca="1" si="432"/>
        <v>0</v>
      </c>
      <c r="P347" s="46" t="str">
        <f t="shared" ca="1" si="432"/>
        <v/>
      </c>
      <c r="Q347" s="243" t="str">
        <f t="shared" ca="1" si="432"/>
        <v/>
      </c>
      <c r="R347" s="45">
        <f t="shared" ca="1" si="420"/>
        <v>0.31475470461382105</v>
      </c>
      <c r="S347" s="45">
        <f t="shared" ca="1" si="355"/>
        <v>5.0695617570641283E-2</v>
      </c>
      <c r="T347" s="77">
        <f t="shared" ca="1" si="405"/>
        <v>0.14164336103755834</v>
      </c>
      <c r="U347" s="45">
        <f t="shared" ca="1" si="421"/>
        <v>18.154626984462769</v>
      </c>
      <c r="V347" s="45">
        <f t="shared" ca="1" si="406"/>
        <v>0.20278247028256513</v>
      </c>
      <c r="W347" s="77">
        <f t="shared" ca="1" si="407"/>
        <v>0.32271429736014307</v>
      </c>
      <c r="X347" s="45">
        <f t="shared" ca="1" si="422"/>
        <v>1.0241493556059469</v>
      </c>
      <c r="Y347" s="45">
        <f t="shared" ca="1" si="408"/>
        <v>4.5418232174621792E-2</v>
      </c>
      <c r="Z347" s="77">
        <f t="shared" ca="1" si="409"/>
        <v>3.9624661554752957E-2</v>
      </c>
      <c r="AA347" s="45">
        <f t="shared" ca="1" si="423"/>
        <v>39.128743029571361</v>
      </c>
      <c r="AB347" s="45">
        <f t="shared" ca="1" si="410"/>
        <v>0</v>
      </c>
      <c r="AC347" s="45" cm="1">
        <f t="array" aca="1" ref="AC347" ca="1">pHUM*(T347+W347+Z347+AD347)</f>
        <v>5.3433214323084462E-2</v>
      </c>
      <c r="AD347" s="77">
        <f t="shared" ca="1" si="411"/>
        <v>4.6758952431591359E-2</v>
      </c>
      <c r="AE347" s="45">
        <f t="shared" ca="1" si="424"/>
        <v>6.3847072090583081</v>
      </c>
      <c r="AF347" s="45">
        <f t="shared" ca="1" si="412"/>
        <v>0</v>
      </c>
      <c r="AG347" s="76">
        <f t="shared" ca="1" si="413"/>
        <v>65.0069812833122</v>
      </c>
      <c r="AH347" s="45">
        <f t="shared" ca="1" si="414"/>
        <v>0.45188982588633947</v>
      </c>
      <c r="AI347" s="77">
        <f t="shared" ca="1" si="415"/>
        <v>1.4289859294829725E-2</v>
      </c>
      <c r="AJ347" s="384">
        <f t="shared" ca="1" si="417"/>
        <v>3.6930305022867538E-2</v>
      </c>
      <c r="AU347" s="1"/>
    </row>
    <row r="348" spans="3:47" x14ac:dyDescent="0.25">
      <c r="C348" s="10">
        <f t="shared" si="353"/>
        <v>21</v>
      </c>
      <c r="D348" s="91">
        <f t="shared" si="425"/>
        <v>6</v>
      </c>
      <c r="E348" s="278"/>
      <c r="F348" s="76">
        <f t="shared" ref="F348:Q348" ca="1" si="433">F276</f>
        <v>18.37</v>
      </c>
      <c r="G348" s="46">
        <f t="shared" ca="1" si="433"/>
        <v>27.012600000000003</v>
      </c>
      <c r="H348" s="46">
        <f t="shared" ca="1" si="401"/>
        <v>28.517550000000004</v>
      </c>
      <c r="I348" s="45">
        <f t="shared" ca="1" si="402"/>
        <v>1.0882596087882719</v>
      </c>
      <c r="J348" s="45">
        <f t="shared" ca="1" si="403"/>
        <v>0.27952512346894071</v>
      </c>
      <c r="K348" s="45">
        <f t="shared" ca="1" si="419"/>
        <v>0.90345467800480783</v>
      </c>
      <c r="L348" s="358">
        <f t="shared" ca="1" si="404"/>
        <v>0.89586760620832129</v>
      </c>
      <c r="M348" s="76">
        <f t="shared" ca="1" si="433"/>
        <v>0.25347808785320641</v>
      </c>
      <c r="N348" s="45">
        <f t="shared" ca="1" si="433"/>
        <v>0.25</v>
      </c>
      <c r="O348" s="45">
        <f t="shared" ca="1" si="433"/>
        <v>0</v>
      </c>
      <c r="P348" s="46" t="str">
        <f t="shared" ca="1" si="433"/>
        <v/>
      </c>
      <c r="Q348" s="243" t="str">
        <f t="shared" ca="1" si="433"/>
        <v/>
      </c>
      <c r="R348" s="45">
        <f t="shared" ca="1" si="420"/>
        <v>0.22380696114690399</v>
      </c>
      <c r="S348" s="45">
        <f t="shared" ca="1" si="355"/>
        <v>5.0695617570641283E-2</v>
      </c>
      <c r="T348" s="77">
        <f t="shared" ca="1" si="405"/>
        <v>0.1334379969187959</v>
      </c>
      <c r="U348" s="45">
        <f t="shared" ca="1" si="421"/>
        <v>18.03469515738519</v>
      </c>
      <c r="V348" s="45">
        <f t="shared" ca="1" si="406"/>
        <v>0.20278247028256513</v>
      </c>
      <c r="W348" s="77">
        <f t="shared" ca="1" si="407"/>
        <v>0.48404630000824128</v>
      </c>
      <c r="X348" s="45">
        <f t="shared" ca="1" si="422"/>
        <v>1.0299429262258157</v>
      </c>
      <c r="Y348" s="45">
        <f t="shared" ca="1" si="408"/>
        <v>6.1705475118986407E-2</v>
      </c>
      <c r="Z348" s="77">
        <f t="shared" ca="1" si="409"/>
        <v>5.9837851807088858E-2</v>
      </c>
      <c r="AA348" s="45">
        <f t="shared" ca="1" si="423"/>
        <v>39.135417291462858</v>
      </c>
      <c r="AB348" s="45">
        <f t="shared" ca="1" si="410"/>
        <v>0</v>
      </c>
      <c r="AC348" s="45" cm="1">
        <f t="array" aca="1" ref="AC348" ca="1">pHUM*(T348+W348+Z348+AD348)</f>
        <v>7.2594676610572242E-2</v>
      </c>
      <c r="AD348" s="77">
        <f t="shared" ca="1" si="411"/>
        <v>7.0918155939855496E-2</v>
      </c>
      <c r="AE348" s="45">
        <f t="shared" ca="1" si="424"/>
        <v>6.3847072090583081</v>
      </c>
      <c r="AF348" s="45">
        <f t="shared" ca="1" si="412"/>
        <v>0</v>
      </c>
      <c r="AG348" s="76">
        <f t="shared" ca="1" si="413"/>
        <v>64.80856954527907</v>
      </c>
      <c r="AH348" s="45">
        <f t="shared" ca="1" si="414"/>
        <v>0.61394015294442306</v>
      </c>
      <c r="AI348" s="77">
        <f t="shared" ca="1" si="415"/>
        <v>1.2995473184385285E-2</v>
      </c>
      <c r="AJ348" s="384">
        <f t="shared" ca="1" si="417"/>
        <v>3.7125916961668892E-2</v>
      </c>
      <c r="AU348" s="1"/>
    </row>
    <row r="349" spans="3:47" x14ac:dyDescent="0.25">
      <c r="C349" s="10">
        <f t="shared" si="353"/>
        <v>21</v>
      </c>
      <c r="D349" s="91">
        <f t="shared" si="425"/>
        <v>7</v>
      </c>
      <c r="E349" s="278"/>
      <c r="F349" s="76">
        <f t="shared" ref="F349:Q349" ca="1" si="434">F277</f>
        <v>22.71</v>
      </c>
      <c r="G349" s="46">
        <f t="shared" ca="1" si="434"/>
        <v>27.012600000000003</v>
      </c>
      <c r="H349" s="46">
        <f t="shared" ca="1" si="401"/>
        <v>28.517550000000004</v>
      </c>
      <c r="I349" s="45">
        <f t="shared" ca="1" si="402"/>
        <v>1.4513708414333564</v>
      </c>
      <c r="J349" s="45">
        <f t="shared" ca="1" si="403"/>
        <v>0.27952512346894071</v>
      </c>
      <c r="K349" s="45">
        <f t="shared" ca="1" si="419"/>
        <v>0.90345467800480783</v>
      </c>
      <c r="L349" s="358">
        <f t="shared" ca="1" si="404"/>
        <v>0.94004721434733285</v>
      </c>
      <c r="M349" s="76">
        <f t="shared" ca="1" si="434"/>
        <v>0.25347808785320641</v>
      </c>
      <c r="N349" s="45">
        <f t="shared" ca="1" si="434"/>
        <v>0.25</v>
      </c>
      <c r="O349" s="45">
        <f t="shared" ca="1" si="434"/>
        <v>0</v>
      </c>
      <c r="P349" s="46" t="str">
        <f t="shared" ca="1" si="434"/>
        <v/>
      </c>
      <c r="Q349" s="243" t="str">
        <f t="shared" ca="1" si="434"/>
        <v/>
      </c>
      <c r="R349" s="45">
        <f t="shared" ca="1" si="420"/>
        <v>0.14106458179874934</v>
      </c>
      <c r="S349" s="45">
        <f t="shared" ca="1" si="355"/>
        <v>5.0695617570641283E-2</v>
      </c>
      <c r="T349" s="77">
        <f t="shared" ca="1" si="405"/>
        <v>9.8977446831495092E-2</v>
      </c>
      <c r="U349" s="45">
        <f t="shared" ca="1" si="421"/>
        <v>17.753431327659513</v>
      </c>
      <c r="V349" s="45">
        <f t="shared" ca="1" si="406"/>
        <v>0.20278247028256513</v>
      </c>
      <c r="W349" s="77">
        <f t="shared" ca="1" si="407"/>
        <v>0.63262376294627365</v>
      </c>
      <c r="X349" s="45">
        <f t="shared" ca="1" si="422"/>
        <v>1.0318105495377135</v>
      </c>
      <c r="Y349" s="45">
        <f t="shared" ca="1" si="408"/>
        <v>7.4659485276264467E-2</v>
      </c>
      <c r="Z349" s="77">
        <f t="shared" ca="1" si="409"/>
        <v>7.9163043606357689E-2</v>
      </c>
      <c r="AA349" s="45">
        <f t="shared" ca="1" si="423"/>
        <v>39.137093812133571</v>
      </c>
      <c r="AB349" s="45">
        <f t="shared" ca="1" si="410"/>
        <v>0</v>
      </c>
      <c r="AC349" s="45" cm="1">
        <f t="array" aca="1" ref="AC349" ca="1">pHUM*(T349+W349+Z349+AD349)</f>
        <v>8.7834688560311139E-2</v>
      </c>
      <c r="AD349" s="77">
        <f t="shared" ca="1" si="411"/>
        <v>9.4556318286279209E-2</v>
      </c>
      <c r="AE349" s="45">
        <f t="shared" ca="1" si="424"/>
        <v>6.3847072090583081</v>
      </c>
      <c r="AF349" s="45">
        <f t="shared" ca="1" si="412"/>
        <v>0</v>
      </c>
      <c r="AG349" s="76">
        <f t="shared" ca="1" si="413"/>
        <v>64.448107480187858</v>
      </c>
      <c r="AH349" s="45">
        <f t="shared" ca="1" si="414"/>
        <v>0.7428263978338302</v>
      </c>
      <c r="AI349" s="77">
        <f t="shared" ca="1" si="415"/>
        <v>1.1769336071906934E-2</v>
      </c>
      <c r="AJ349" s="384">
        <f t="shared" ca="1" si="417"/>
        <v>3.5281224138615785E-2</v>
      </c>
      <c r="AU349" s="1"/>
    </row>
    <row r="350" spans="3:47" x14ac:dyDescent="0.25">
      <c r="C350" s="10">
        <f t="shared" si="353"/>
        <v>21</v>
      </c>
      <c r="D350" s="91">
        <f t="shared" si="425"/>
        <v>8</v>
      </c>
      <c r="E350" s="278"/>
      <c r="F350" s="76">
        <f t="shared" ref="F350:Q350" ca="1" si="435">F278</f>
        <v>19.329999999999998</v>
      </c>
      <c r="G350" s="46">
        <f t="shared" ca="1" si="435"/>
        <v>27.012600000000003</v>
      </c>
      <c r="H350" s="46">
        <f t="shared" ca="1" si="401"/>
        <v>28.517550000000004</v>
      </c>
      <c r="I350" s="45">
        <f t="shared" ca="1" si="402"/>
        <v>1.1670427279291871</v>
      </c>
      <c r="J350" s="45">
        <f t="shared" ca="1" si="403"/>
        <v>0.27952512346894071</v>
      </c>
      <c r="K350" s="45">
        <f t="shared" ca="1" si="419"/>
        <v>0.90345467800480783</v>
      </c>
      <c r="L350" s="358">
        <f t="shared" ca="1" si="404"/>
        <v>0.9079689727892073</v>
      </c>
      <c r="M350" s="76">
        <f t="shared" ca="1" si="435"/>
        <v>0.25347808785320641</v>
      </c>
      <c r="N350" s="45">
        <f t="shared" ca="1" si="435"/>
        <v>0.25</v>
      </c>
      <c r="O350" s="45">
        <f t="shared" ca="1" si="435"/>
        <v>0</v>
      </c>
      <c r="P350" s="46" t="str">
        <f t="shared" ca="1" si="435"/>
        <v/>
      </c>
      <c r="Q350" s="243" t="str">
        <f t="shared" ca="1" si="435"/>
        <v/>
      </c>
      <c r="R350" s="45">
        <f t="shared" ca="1" si="420"/>
        <v>9.278275253789553E-2</v>
      </c>
      <c r="S350" s="45">
        <f t="shared" ca="1" si="355"/>
        <v>5.0695617570641283E-2</v>
      </c>
      <c r="T350" s="77">
        <f t="shared" ca="1" si="405"/>
        <v>5.7699455138857644E-2</v>
      </c>
      <c r="U350" s="45">
        <f t="shared" ca="1" si="421"/>
        <v>17.323590034995803</v>
      </c>
      <c r="V350" s="45">
        <f t="shared" ca="1" si="406"/>
        <v>0.20278247028256513</v>
      </c>
      <c r="W350" s="77">
        <f t="shared" ca="1" si="407"/>
        <v>0.49813214019719115</v>
      </c>
      <c r="X350" s="45">
        <f t="shared" ca="1" si="422"/>
        <v>1.0273069912076203</v>
      </c>
      <c r="Y350" s="45">
        <f t="shared" ca="1" si="408"/>
        <v>5.7375693869519177E-2</v>
      </c>
      <c r="Z350" s="77">
        <f t="shared" ca="1" si="409"/>
        <v>6.3868414563541143E-2</v>
      </c>
      <c r="AA350" s="45">
        <f t="shared" ca="1" si="423"/>
        <v>39.130372182407605</v>
      </c>
      <c r="AB350" s="45">
        <f t="shared" ca="1" si="410"/>
        <v>0</v>
      </c>
      <c r="AC350" s="45" cm="1">
        <f t="array" aca="1" ref="AC350" ca="1">pHUM*(T350+W350+Z350+AD350)</f>
        <v>6.7500816317081394E-2</v>
      </c>
      <c r="AD350" s="77">
        <f t="shared" ca="1" si="411"/>
        <v>7.6037387454969588E-2</v>
      </c>
      <c r="AE350" s="45">
        <f t="shared" ca="1" si="424"/>
        <v>6.3847072090583081</v>
      </c>
      <c r="AF350" s="45">
        <f t="shared" ca="1" si="412"/>
        <v>0</v>
      </c>
      <c r="AG350" s="76">
        <f t="shared" ca="1" si="413"/>
        <v>63.95875917020723</v>
      </c>
      <c r="AH350" s="45">
        <f t="shared" ca="1" si="414"/>
        <v>0.57086088716795902</v>
      </c>
      <c r="AI350" s="77">
        <f t="shared" ca="1" si="415"/>
        <v>1.0979388479323999E-2</v>
      </c>
      <c r="AJ350" s="384">
        <f t="shared" ca="1" si="417"/>
        <v>3.1790152001384131E-2</v>
      </c>
      <c r="AU350" s="1"/>
    </row>
    <row r="351" spans="3:47" x14ac:dyDescent="0.25">
      <c r="C351" s="10">
        <f t="shared" si="353"/>
        <v>21</v>
      </c>
      <c r="D351" s="91">
        <f t="shared" si="425"/>
        <v>9</v>
      </c>
      <c r="E351" s="278"/>
      <c r="F351" s="76">
        <f t="shared" ref="F351:Q351" ca="1" si="436">F279</f>
        <v>15.36</v>
      </c>
      <c r="G351" s="46">
        <f t="shared" ca="1" si="436"/>
        <v>27.012600000000003</v>
      </c>
      <c r="H351" s="46">
        <f t="shared" ca="1" si="401"/>
        <v>28.517550000000004</v>
      </c>
      <c r="I351" s="45">
        <f t="shared" ca="1" si="402"/>
        <v>0.85004563012661705</v>
      </c>
      <c r="J351" s="45">
        <f t="shared" ca="1" si="403"/>
        <v>0.27952512346894071</v>
      </c>
      <c r="K351" s="45">
        <f t="shared" ca="1" si="419"/>
        <v>0.90345467800480783</v>
      </c>
      <c r="L351" s="358">
        <f t="shared" ca="1" si="404"/>
        <v>0.84745728919304408</v>
      </c>
      <c r="M351" s="76">
        <f t="shared" ca="1" si="436"/>
        <v>0.25347808785320641</v>
      </c>
      <c r="N351" s="45">
        <f t="shared" ca="1" si="436"/>
        <v>0.25</v>
      </c>
      <c r="O351" s="45">
        <f t="shared" ca="1" si="436"/>
        <v>0</v>
      </c>
      <c r="P351" s="46" t="str">
        <f t="shared" ca="1" si="436"/>
        <v/>
      </c>
      <c r="Q351" s="243" t="str">
        <f t="shared" ca="1" si="436"/>
        <v/>
      </c>
      <c r="R351" s="45">
        <f t="shared" ca="1" si="420"/>
        <v>8.5778914969679168E-2</v>
      </c>
      <c r="S351" s="45">
        <f t="shared" ca="1" si="355"/>
        <v>5.0695617570641283E-2</v>
      </c>
      <c r="T351" s="77">
        <f t="shared" ca="1" si="405"/>
        <v>4.3537468977546526E-2</v>
      </c>
      <c r="U351" s="45">
        <f t="shared" ca="1" si="421"/>
        <v>17.028240365081174</v>
      </c>
      <c r="V351" s="45">
        <f t="shared" ca="1" si="406"/>
        <v>0.20278247028256513</v>
      </c>
      <c r="W351" s="77">
        <f t="shared" ca="1" si="407"/>
        <v>0.35805155587186605</v>
      </c>
      <c r="X351" s="45">
        <f t="shared" ca="1" si="422"/>
        <v>1.0208142705135983</v>
      </c>
      <c r="Y351" s="45">
        <f t="shared" ca="1" si="408"/>
        <v>4.153081954017971E-2</v>
      </c>
      <c r="Z351" s="77">
        <f t="shared" ca="1" si="409"/>
        <v>4.6627167668636602E-2</v>
      </c>
      <c r="AA351" s="45">
        <f t="shared" ca="1" si="423"/>
        <v>39.121835611269717</v>
      </c>
      <c r="AB351" s="45">
        <f t="shared" ca="1" si="410"/>
        <v>0</v>
      </c>
      <c r="AC351" s="45" cm="1">
        <f t="array" aca="1" ref="AC351" ca="1">pHUM*(T351+W351+Z351+AD351)</f>
        <v>4.8859787694329075E-2</v>
      </c>
      <c r="AD351" s="77">
        <f t="shared" ca="1" si="411"/>
        <v>5.5386332317589229E-2</v>
      </c>
      <c r="AE351" s="45">
        <f t="shared" ca="1" si="424"/>
        <v>6.3847072090583081</v>
      </c>
      <c r="AF351" s="45">
        <f t="shared" ca="1" si="412"/>
        <v>0</v>
      </c>
      <c r="AG351" s="76">
        <f t="shared" ca="1" si="413"/>
        <v>63.641376370892473</v>
      </c>
      <c r="AH351" s="45">
        <f t="shared" ca="1" si="414"/>
        <v>0.41321191760112963</v>
      </c>
      <c r="AI351" s="77">
        <f t="shared" ca="1" si="415"/>
        <v>1.0802868758406458E-2</v>
      </c>
      <c r="AJ351" s="384">
        <f t="shared" ca="1" si="417"/>
        <v>2.9194525942602967E-2</v>
      </c>
      <c r="AU351" s="1"/>
    </row>
    <row r="352" spans="3:47" x14ac:dyDescent="0.25">
      <c r="C352" s="10">
        <f t="shared" si="353"/>
        <v>21</v>
      </c>
      <c r="D352" s="91">
        <f t="shared" si="425"/>
        <v>10</v>
      </c>
      <c r="E352" s="278"/>
      <c r="F352" s="76">
        <f t="shared" ref="F352:Q352" ca="1" si="437">F280</f>
        <v>10.24</v>
      </c>
      <c r="G352" s="46">
        <f t="shared" ca="1" si="437"/>
        <v>27.012600000000003</v>
      </c>
      <c r="H352" s="46">
        <f t="shared" ca="1" si="401"/>
        <v>28.517550000000004</v>
      </c>
      <c r="I352" s="45">
        <f t="shared" ca="1" si="402"/>
        <v>0.49116850915432075</v>
      </c>
      <c r="J352" s="45">
        <f t="shared" ca="1" si="403"/>
        <v>0.27952512346894071</v>
      </c>
      <c r="K352" s="45">
        <f t="shared" ca="1" si="419"/>
        <v>0.90345467800480783</v>
      </c>
      <c r="L352" s="358">
        <f t="shared" ca="1" si="404"/>
        <v>0.72269796343841763</v>
      </c>
      <c r="M352" s="76">
        <f t="shared" ca="1" si="437"/>
        <v>0.25347808785320641</v>
      </c>
      <c r="N352" s="45">
        <f t="shared" ca="1" si="437"/>
        <v>0.25</v>
      </c>
      <c r="O352" s="45">
        <f t="shared" ca="1" si="437"/>
        <v>0</v>
      </c>
      <c r="P352" s="46" t="str">
        <f t="shared" ca="1" si="437"/>
        <v/>
      </c>
      <c r="Q352" s="243" t="str">
        <f t="shared" ca="1" si="437"/>
        <v/>
      </c>
      <c r="R352" s="45">
        <f t="shared" ca="1" si="420"/>
        <v>9.2937063562773911E-2</v>
      </c>
      <c r="S352" s="45">
        <f t="shared" ca="1" si="355"/>
        <v>5.0695617570641283E-2</v>
      </c>
      <c r="T352" s="77">
        <f t="shared" ca="1" si="405"/>
        <v>3.1216606232968552E-2</v>
      </c>
      <c r="U352" s="45">
        <f t="shared" ca="1" si="421"/>
        <v>16.872971279491871</v>
      </c>
      <c r="V352" s="45">
        <f t="shared" ca="1" si="406"/>
        <v>0.20278247028256513</v>
      </c>
      <c r="W352" s="77">
        <f t="shared" ca="1" si="407"/>
        <v>0.20591994891823548</v>
      </c>
      <c r="X352" s="45">
        <f t="shared" ca="1" si="422"/>
        <v>1.0157179223851416</v>
      </c>
      <c r="Y352" s="45">
        <f t="shared" ca="1" si="408"/>
        <v>2.4428128261221559E-2</v>
      </c>
      <c r="Z352" s="77">
        <f t="shared" ca="1" si="409"/>
        <v>2.7071570524049349E-2</v>
      </c>
      <c r="AA352" s="45">
        <f t="shared" ca="1" si="423"/>
        <v>39.115309066646454</v>
      </c>
      <c r="AB352" s="45">
        <f t="shared" ca="1" si="410"/>
        <v>0</v>
      </c>
      <c r="AC352" s="45" cm="1">
        <f t="array" aca="1" ref="AC352" ca="1">pHUM*(T352+W352+Z352+AD352)</f>
        <v>2.8738974424966538E-2</v>
      </c>
      <c r="AD352" s="77">
        <f t="shared" ca="1" si="411"/>
        <v>3.2007244152884556E-2</v>
      </c>
      <c r="AE352" s="45">
        <f t="shared" ca="1" si="424"/>
        <v>6.3847072090583081</v>
      </c>
      <c r="AF352" s="45">
        <f t="shared" ca="1" si="412"/>
        <v>0</v>
      </c>
      <c r="AG352" s="76">
        <f t="shared" ca="1" si="413"/>
        <v>63.481642541144552</v>
      </c>
      <c r="AH352" s="45">
        <f t="shared" ca="1" si="414"/>
        <v>0.24304826714194983</v>
      </c>
      <c r="AI352" s="77">
        <f t="shared" ca="1" si="415"/>
        <v>1.0864479833414134E-2</v>
      </c>
      <c r="AJ352" s="384">
        <f t="shared" ca="1" si="417"/>
        <v>2.5038711713386563E-2</v>
      </c>
      <c r="AU352" s="1"/>
    </row>
    <row r="353" spans="3:47" x14ac:dyDescent="0.25">
      <c r="C353" s="10">
        <f t="shared" si="353"/>
        <v>21</v>
      </c>
      <c r="D353" s="91">
        <f t="shared" si="425"/>
        <v>11</v>
      </c>
      <c r="E353" s="278"/>
      <c r="F353" s="76">
        <f t="shared" ref="F353:Q353" ca="1" si="438">F281</f>
        <v>1.6</v>
      </c>
      <c r="G353" s="46">
        <f t="shared" ca="1" si="438"/>
        <v>27.012600000000003</v>
      </c>
      <c r="H353" s="46">
        <f t="shared" ca="1" si="401"/>
        <v>28.517550000000004</v>
      </c>
      <c r="I353" s="45">
        <f t="shared" ca="1" si="402"/>
        <v>9.9319080037688343E-2</v>
      </c>
      <c r="J353" s="45">
        <f t="shared" ca="1" si="403"/>
        <v>0.27952512346894071</v>
      </c>
      <c r="K353" s="45">
        <f t="shared" ca="1" si="419"/>
        <v>0.90345467800480783</v>
      </c>
      <c r="L353" s="358">
        <f t="shared" ca="1" si="404"/>
        <v>0.41844375967031366</v>
      </c>
      <c r="M353" s="76">
        <f t="shared" ca="1" si="438"/>
        <v>0.25347808785320641</v>
      </c>
      <c r="N353" s="45">
        <f t="shared" ca="1" si="438"/>
        <v>0.25</v>
      </c>
      <c r="O353" s="45">
        <f t="shared" ca="1" si="438"/>
        <v>0</v>
      </c>
      <c r="P353" s="46" t="str">
        <f t="shared" ca="1" si="438"/>
        <v/>
      </c>
      <c r="Q353" s="243" t="str">
        <f t="shared" ca="1" si="438"/>
        <v/>
      </c>
      <c r="R353" s="45">
        <f t="shared" ca="1" si="420"/>
        <v>0.11241607490044665</v>
      </c>
      <c r="S353" s="45">
        <f t="shared" ca="1" si="355"/>
        <v>5.0695617570641283E-2</v>
      </c>
      <c r="T353" s="77">
        <f t="shared" ca="1" si="405"/>
        <v>8.9295880519691829E-3</v>
      </c>
      <c r="U353" s="45">
        <f t="shared" ca="1" si="421"/>
        <v>16.869833800856199</v>
      </c>
      <c r="V353" s="45">
        <f t="shared" ca="1" si="406"/>
        <v>0.20278247028256513</v>
      </c>
      <c r="W353" s="77">
        <f t="shared" ca="1" si="407"/>
        <v>4.1835449614066149E-2</v>
      </c>
      <c r="X353" s="45">
        <f t="shared" ca="1" si="422"/>
        <v>1.0130744801223137</v>
      </c>
      <c r="Y353" s="45">
        <f t="shared" ca="1" si="408"/>
        <v>5.1754654867007211E-3</v>
      </c>
      <c r="Z353" s="77">
        <f t="shared" ca="1" si="409"/>
        <v>5.5188820892605331E-3</v>
      </c>
      <c r="AA353" s="45">
        <f t="shared" ca="1" si="423"/>
        <v>39.112040796918535</v>
      </c>
      <c r="AB353" s="45">
        <f t="shared" ca="1" si="410"/>
        <v>0</v>
      </c>
      <c r="AC353" s="45" cm="1">
        <f t="array" aca="1" ref="AC353" ca="1">pHUM*(T353+W353+Z353+AD353)</f>
        <v>6.088782925530261E-3</v>
      </c>
      <c r="AD353" s="77">
        <f t="shared" ca="1" si="411"/>
        <v>6.4737506966586009E-3</v>
      </c>
      <c r="AE353" s="45">
        <f t="shared" ca="1" si="424"/>
        <v>6.3847072090583081</v>
      </c>
      <c r="AF353" s="45">
        <f t="shared" ca="1" si="412"/>
        <v>0</v>
      </c>
      <c r="AG353" s="76">
        <f t="shared" ca="1" si="413"/>
        <v>63.492072361855804</v>
      </c>
      <c r="AH353" s="45">
        <f t="shared" ca="1" si="414"/>
        <v>5.1493422039723485E-2</v>
      </c>
      <c r="AI353" s="77">
        <f t="shared" ca="1" si="415"/>
        <v>1.1142726280649112E-2</v>
      </c>
      <c r="AJ353" s="384">
        <f t="shared" ca="1" si="417"/>
        <v>1.4868903247899912E-2</v>
      </c>
      <c r="AU353" s="1"/>
    </row>
    <row r="354" spans="3:47" x14ac:dyDescent="0.25">
      <c r="C354" s="10">
        <f t="shared" si="353"/>
        <v>21</v>
      </c>
      <c r="D354" s="91">
        <f t="shared" si="425"/>
        <v>12</v>
      </c>
      <c r="E354" s="278"/>
      <c r="F354" s="76">
        <f t="shared" ref="F354:Q354" ca="1" si="439">F282</f>
        <v>-3.59</v>
      </c>
      <c r="G354" s="46">
        <f t="shared" ca="1" si="439"/>
        <v>27.012600000000003</v>
      </c>
      <c r="H354" s="46">
        <f t="shared" ca="1" si="401"/>
        <v>28.517550000000004</v>
      </c>
      <c r="I354" s="45">
        <f t="shared" ca="1" si="402"/>
        <v>1.5109209527995384E-2</v>
      </c>
      <c r="J354" s="45">
        <f t="shared" ca="1" si="403"/>
        <v>0.27952512346894071</v>
      </c>
      <c r="K354" s="45">
        <f t="shared" ca="1" si="419"/>
        <v>0.90345467800480783</v>
      </c>
      <c r="L354" s="358">
        <f t="shared" ca="1" si="404"/>
        <v>0.24908644075501707</v>
      </c>
      <c r="M354" s="76">
        <f t="shared" ca="1" si="439"/>
        <v>0.25347808785320641</v>
      </c>
      <c r="N354" s="45">
        <f t="shared" ca="1" si="439"/>
        <v>0.25</v>
      </c>
      <c r="O354" s="45">
        <f t="shared" ca="1" si="439"/>
        <v>0</v>
      </c>
      <c r="P354" s="46" t="str">
        <f t="shared" ca="1" si="439"/>
        <v/>
      </c>
      <c r="Q354" s="243" t="str">
        <f t="shared" ca="1" si="439"/>
        <v/>
      </c>
      <c r="R354" s="45">
        <f t="shared" ca="1" si="420"/>
        <v>0.15418210441911873</v>
      </c>
      <c r="S354" s="45">
        <f t="shared" ca="1" si="355"/>
        <v>5.0695617570641283E-2</v>
      </c>
      <c r="T354" s="77">
        <f t="shared" ca="1" si="405"/>
        <v>1.9291377207575763E-3</v>
      </c>
      <c r="U354" s="45">
        <f t="shared" ca="1" si="421"/>
        <v>17.030780821524697</v>
      </c>
      <c r="V354" s="45">
        <f t="shared" ca="1" si="406"/>
        <v>0.20278247028256513</v>
      </c>
      <c r="W354" s="77">
        <f t="shared" ca="1" si="407"/>
        <v>6.4318260723730163E-3</v>
      </c>
      <c r="X354" s="45">
        <f t="shared" ca="1" si="422"/>
        <v>1.0127310635197539</v>
      </c>
      <c r="Y354" s="45">
        <f t="shared" ca="1" si="408"/>
        <v>8.4010408779416998E-4</v>
      </c>
      <c r="Z354" s="77">
        <f t="shared" ca="1" si="409"/>
        <v>8.4123653594661086E-4</v>
      </c>
      <c r="AA354" s="45">
        <f t="shared" ca="1" si="423"/>
        <v>39.111655829147409</v>
      </c>
      <c r="AB354" s="45">
        <f t="shared" ca="1" si="410"/>
        <v>0</v>
      </c>
      <c r="AC354" s="45" cm="1">
        <f t="array" aca="1" ref="AC354" ca="1">pHUM*(T354+W354+Z354+AD354)</f>
        <v>9.883577503460824E-4</v>
      </c>
      <c r="AD354" s="77">
        <f t="shared" ca="1" si="411"/>
        <v>9.8489793727340601E-4</v>
      </c>
      <c r="AE354" s="45">
        <f t="shared" ca="1" si="424"/>
        <v>6.3847072090583081</v>
      </c>
      <c r="AF354" s="45">
        <f t="shared" ca="1" si="412"/>
        <v>0</v>
      </c>
      <c r="AG354" s="76">
        <f t="shared" ca="1" si="413"/>
        <v>63.694057027669288</v>
      </c>
      <c r="AH354" s="45">
        <f t="shared" ca="1" si="414"/>
        <v>8.3586364282103587E-3</v>
      </c>
      <c r="AI354" s="77">
        <f t="shared" ca="1" si="415"/>
        <v>1.1780641574770857E-2</v>
      </c>
      <c r="AJ354" s="384">
        <f t="shared" ca="1" si="417"/>
        <v>9.3577548918855058E-3</v>
      </c>
      <c r="AU354" s="1"/>
    </row>
    <row r="355" spans="3:47" x14ac:dyDescent="0.25">
      <c r="C355" s="10">
        <f t="shared" si="353"/>
        <v>22</v>
      </c>
      <c r="D355" s="91">
        <f t="shared" si="425"/>
        <v>1</v>
      </c>
      <c r="E355" s="278"/>
      <c r="F355" s="76">
        <f t="shared" ref="F355:Q355" ca="1" si="440">F283</f>
        <v>-7.32</v>
      </c>
      <c r="G355" s="46">
        <f t="shared" ca="1" si="440"/>
        <v>27.012600000000003</v>
      </c>
      <c r="H355" s="46">
        <f t="shared" ca="1" si="401"/>
        <v>28.517550000000004</v>
      </c>
      <c r="I355" s="45">
        <f t="shared" ca="1" si="402"/>
        <v>1.2903599790233234E-3</v>
      </c>
      <c r="J355" s="45">
        <f t="shared" ca="1" si="403"/>
        <v>0.27952512346894071</v>
      </c>
      <c r="K355" s="45">
        <f t="shared" ca="1" si="419"/>
        <v>0.90345467800480783</v>
      </c>
      <c r="L355" s="358">
        <f t="shared" ca="1" si="404"/>
        <v>0.15974615302556239</v>
      </c>
      <c r="M355" s="76">
        <f t="shared" ca="1" si="440"/>
        <v>0.25347808785320641</v>
      </c>
      <c r="N355" s="45">
        <f t="shared" ca="1" si="440"/>
        <v>0.25</v>
      </c>
      <c r="O355" s="45">
        <f t="shared" ca="1" si="440"/>
        <v>0</v>
      </c>
      <c r="P355" s="46" t="str">
        <f t="shared" ca="1" si="440"/>
        <v/>
      </c>
      <c r="Q355" s="243" t="str">
        <f t="shared" ca="1" si="440"/>
        <v/>
      </c>
      <c r="R355" s="45">
        <f t="shared" ca="1" si="420"/>
        <v>0.20294858426900242</v>
      </c>
      <c r="S355" s="45">
        <f t="shared" ca="1" si="355"/>
        <v>5.0695617570641283E-2</v>
      </c>
      <c r="T355" s="77">
        <f t="shared" ca="1" si="405"/>
        <v>2.1811331947600471E-4</v>
      </c>
      <c r="U355" s="45">
        <f t="shared" ca="1" si="421"/>
        <v>17.227131465734889</v>
      </c>
      <c r="V355" s="45">
        <f t="shared" ca="1" si="406"/>
        <v>0.20278247028256513</v>
      </c>
      <c r="W355" s="77">
        <f t="shared" ca="1" si="407"/>
        <v>5.5572106136819439E-4</v>
      </c>
      <c r="X355" s="45">
        <f t="shared" ca="1" si="422"/>
        <v>1.0127299310716014</v>
      </c>
      <c r="Y355" s="45">
        <f t="shared" ca="1" si="408"/>
        <v>7.6679768168413795E-5</v>
      </c>
      <c r="Z355" s="77">
        <f t="shared" ca="1" si="409"/>
        <v>7.187068913940826E-5</v>
      </c>
      <c r="AA355" s="45">
        <f t="shared" ca="1" si="423"/>
        <v>39.111659288960482</v>
      </c>
      <c r="AB355" s="45">
        <f t="shared" ca="1" si="410"/>
        <v>0</v>
      </c>
      <c r="AC355" s="45" cm="1">
        <f t="array" aca="1" ref="AC355" ca="1">pHUM*(T355+W355+Z355+AD355)</f>
        <v>9.0211491962839763E-5</v>
      </c>
      <c r="AD355" s="77">
        <f t="shared" ca="1" si="411"/>
        <v>8.4113442652888125E-5</v>
      </c>
      <c r="AE355" s="45">
        <f t="shared" ca="1" si="424"/>
        <v>6.3847072090583081</v>
      </c>
      <c r="AF355" s="45">
        <f t="shared" ca="1" si="412"/>
        <v>0</v>
      </c>
      <c r="AG355" s="76">
        <f t="shared" ca="1" si="413"/>
        <v>63.939176479094279</v>
      </c>
      <c r="AH355" s="45">
        <f t="shared" ca="1" si="414"/>
        <v>7.6292725250524192E-4</v>
      </c>
      <c r="AI355" s="77">
        <f t="shared" ca="1" si="415"/>
        <v>1.2521848624996669E-2</v>
      </c>
      <c r="AJ355" s="384">
        <f t="shared" ca="1" si="417"/>
        <v>6.3790016412856865E-3</v>
      </c>
      <c r="AU355" s="1"/>
    </row>
    <row r="356" spans="3:47" x14ac:dyDescent="0.25">
      <c r="C356" s="10">
        <f t="shared" si="353"/>
        <v>22</v>
      </c>
      <c r="D356" s="91">
        <f t="shared" si="425"/>
        <v>2</v>
      </c>
      <c r="E356" s="278"/>
      <c r="F356" s="76">
        <f t="shared" ref="F356:Q356" ca="1" si="441">F284</f>
        <v>-7.56</v>
      </c>
      <c r="G356" s="46">
        <f t="shared" ca="1" si="441"/>
        <v>27.012600000000003</v>
      </c>
      <c r="H356" s="46">
        <f t="shared" ca="1" si="401"/>
        <v>28.517550000000004</v>
      </c>
      <c r="I356" s="45">
        <f t="shared" ca="1" si="402"/>
        <v>1.0386103497602255E-3</v>
      </c>
      <c r="J356" s="45">
        <f t="shared" ca="1" si="403"/>
        <v>0.27952512346894071</v>
      </c>
      <c r="K356" s="45">
        <f t="shared" ca="1" si="419"/>
        <v>0.90345467800480783</v>
      </c>
      <c r="L356" s="358">
        <f t="shared" ca="1" si="404"/>
        <v>0.15499691161362872</v>
      </c>
      <c r="M356" s="76">
        <f t="shared" ca="1" si="441"/>
        <v>0.25347808785320641</v>
      </c>
      <c r="N356" s="45">
        <f t="shared" ca="1" si="441"/>
        <v>0.25</v>
      </c>
      <c r="O356" s="45">
        <f t="shared" ca="1" si="441"/>
        <v>0</v>
      </c>
      <c r="P356" s="46" t="str">
        <f t="shared" ca="1" si="441"/>
        <v/>
      </c>
      <c r="Q356" s="243" t="str">
        <f t="shared" ca="1" si="441"/>
        <v/>
      </c>
      <c r="R356" s="45">
        <f t="shared" ca="1" si="420"/>
        <v>0.25342608852016768</v>
      </c>
      <c r="S356" s="45">
        <f t="shared" ca="1" si="355"/>
        <v>5.0695617570641283E-2</v>
      </c>
      <c r="T356" s="77">
        <f t="shared" ca="1" si="405"/>
        <v>2.1924757134496564E-4</v>
      </c>
      <c r="U356" s="45">
        <f t="shared" ca="1" si="421"/>
        <v>17.429358214956086</v>
      </c>
      <c r="V356" s="45">
        <f t="shared" ca="1" si="406"/>
        <v>0.20278247028256513</v>
      </c>
      <c r="W356" s="77">
        <f t="shared" ca="1" si="407"/>
        <v>4.5255192045475569E-4</v>
      </c>
      <c r="X356" s="45">
        <f t="shared" ca="1" si="422"/>
        <v>1.0127347401506304</v>
      </c>
      <c r="Y356" s="45">
        <f t="shared" ca="1" si="408"/>
        <v>6.5755572887199102E-5</v>
      </c>
      <c r="Z356" s="77">
        <f t="shared" ca="1" si="409"/>
        <v>5.7849370750510189E-5</v>
      </c>
      <c r="AA356" s="45">
        <f t="shared" ca="1" si="423"/>
        <v>39.111665387009793</v>
      </c>
      <c r="AB356" s="45">
        <f t="shared" ca="1" si="410"/>
        <v>0</v>
      </c>
      <c r="AC356" s="45" cm="1">
        <f t="array" aca="1" ref="AC356" ca="1">pHUM*(T356+W356+Z356+AD356)</f>
        <v>7.7359497514351876E-5</v>
      </c>
      <c r="AD356" s="77">
        <f t="shared" ca="1" si="411"/>
        <v>6.7702908848595541E-5</v>
      </c>
      <c r="AE356" s="45">
        <f t="shared" ca="1" si="424"/>
        <v>6.3847072090583081</v>
      </c>
      <c r="AF356" s="45">
        <f t="shared" ca="1" si="412"/>
        <v>0</v>
      </c>
      <c r="AG356" s="76">
        <f t="shared" ca="1" si="413"/>
        <v>64.191891639694987</v>
      </c>
      <c r="AH356" s="45">
        <f t="shared" ca="1" si="414"/>
        <v>6.5423670099727617E-4</v>
      </c>
      <c r="AI356" s="77">
        <f t="shared" ca="1" si="415"/>
        <v>1.3282239737553323E-2</v>
      </c>
      <c r="AJ356" s="384">
        <f t="shared" ca="1" si="417"/>
        <v>6.5652026992579771E-3</v>
      </c>
      <c r="AU356" s="1"/>
    </row>
    <row r="357" spans="3:47" x14ac:dyDescent="0.25">
      <c r="C357" s="10">
        <f t="shared" ref="C357:C420" si="442">IF(D357=1,C356+1,C356)</f>
        <v>22</v>
      </c>
      <c r="D357" s="91">
        <f t="shared" si="425"/>
        <v>3</v>
      </c>
      <c r="E357" s="278"/>
      <c r="F357" s="76">
        <f t="shared" ref="F357:Q357" ca="1" si="443">F285</f>
        <v>-3.72</v>
      </c>
      <c r="G357" s="46">
        <f t="shared" ca="1" si="443"/>
        <v>27.012600000000003</v>
      </c>
      <c r="H357" s="46">
        <f t="shared" ca="1" si="401"/>
        <v>28.517550000000004</v>
      </c>
      <c r="I357" s="45">
        <f t="shared" ca="1" si="402"/>
        <v>1.416534540335657E-2</v>
      </c>
      <c r="J357" s="45">
        <f t="shared" ca="1" si="403"/>
        <v>0.27952512346894071</v>
      </c>
      <c r="K357" s="45">
        <f t="shared" ca="1" si="419"/>
        <v>0.90345467800480783</v>
      </c>
      <c r="L357" s="358">
        <f t="shared" ca="1" si="404"/>
        <v>0.24547574864616473</v>
      </c>
      <c r="M357" s="76">
        <f t="shared" ca="1" si="443"/>
        <v>0.25347808785320641</v>
      </c>
      <c r="N357" s="45">
        <f t="shared" ca="1" si="443"/>
        <v>0.25</v>
      </c>
      <c r="O357" s="45">
        <f t="shared" ca="1" si="443"/>
        <v>0</v>
      </c>
      <c r="P357" s="46" t="str">
        <f t="shared" ca="1" si="443"/>
        <v/>
      </c>
      <c r="Q357" s="243" t="str">
        <f t="shared" ca="1" si="443"/>
        <v/>
      </c>
      <c r="R357" s="45">
        <f t="shared" ca="1" si="420"/>
        <v>0.30390245851946401</v>
      </c>
      <c r="S357" s="45">
        <f t="shared" ref="S357:S420" ca="1" si="444">M357*N357/(1+N357) +   IF(O357&gt;0,O357*P357*(1-Q357)/(1+P357),0)</f>
        <v>5.0695617570641283E-2</v>
      </c>
      <c r="T357" s="77">
        <f t="shared" ca="1" si="405"/>
        <v>3.5663121478739478E-3</v>
      </c>
      <c r="U357" s="45">
        <f t="shared" ca="1" si="421"/>
        <v>17.631688133318196</v>
      </c>
      <c r="V357" s="45">
        <f t="shared" ca="1" si="406"/>
        <v>0.20278247028256513</v>
      </c>
      <c r="W357" s="77">
        <f t="shared" ca="1" si="407"/>
        <v>6.2428683412451775E-3</v>
      </c>
      <c r="X357" s="45">
        <f t="shared" ca="1" si="422"/>
        <v>1.0127426463527669</v>
      </c>
      <c r="Y357" s="45">
        <f t="shared" ca="1" si="408"/>
        <v>9.501296730047592E-4</v>
      </c>
      <c r="Z357" s="77">
        <f t="shared" ca="1" si="409"/>
        <v>7.8871443523029119E-4</v>
      </c>
      <c r="AA357" s="45">
        <f t="shared" ca="1" si="423"/>
        <v>39.11167504359846</v>
      </c>
      <c r="AB357" s="45">
        <f t="shared" ca="1" si="410"/>
        <v>0</v>
      </c>
      <c r="AC357" s="45" cm="1">
        <f t="array" aca="1" ref="AC357" ca="1">pHUM*(T357+W357+Z357+AD357)</f>
        <v>1.1177996152997166E-3</v>
      </c>
      <c r="AD357" s="77">
        <f t="shared" ca="1" si="411"/>
        <v>9.2337307720145769E-4</v>
      </c>
      <c r="AE357" s="45">
        <f t="shared" ca="1" si="424"/>
        <v>6.3847072090583081</v>
      </c>
      <c r="AF357" s="45">
        <f t="shared" ca="1" si="412"/>
        <v>0</v>
      </c>
      <c r="AG357" s="76">
        <f t="shared" ca="1" si="413"/>
        <v>64.444715490847187</v>
      </c>
      <c r="AH357" s="45">
        <f t="shared" ca="1" si="414"/>
        <v>9.4533387132463963E-3</v>
      </c>
      <c r="AI357" s="77">
        <f t="shared" ca="1" si="415"/>
        <v>1.4036016301720933E-2</v>
      </c>
      <c r="AJ357" s="384">
        <f t="shared" ca="1" si="417"/>
        <v>1.0987640085067252E-2</v>
      </c>
      <c r="AU357" s="1"/>
    </row>
    <row r="358" spans="3:47" x14ac:dyDescent="0.25">
      <c r="C358" s="10">
        <f t="shared" si="442"/>
        <v>22</v>
      </c>
      <c r="D358" s="91">
        <f t="shared" si="425"/>
        <v>4</v>
      </c>
      <c r="E358" s="278"/>
      <c r="F358" s="76">
        <f t="shared" ref="F358:Q358" ca="1" si="445">F286</f>
        <v>5.88</v>
      </c>
      <c r="G358" s="46">
        <f t="shared" ca="1" si="445"/>
        <v>27.012600000000003</v>
      </c>
      <c r="H358" s="46">
        <f t="shared" ca="1" si="401"/>
        <v>28.517550000000004</v>
      </c>
      <c r="I358" s="45">
        <f t="shared" ca="1" si="402"/>
        <v>0.2538659245156123</v>
      </c>
      <c r="J358" s="45">
        <f t="shared" ca="1" si="403"/>
        <v>0.27952512346894071</v>
      </c>
      <c r="K358" s="45">
        <f t="shared" ca="1" si="419"/>
        <v>0.90345467800480783</v>
      </c>
      <c r="L358" s="358">
        <f t="shared" ca="1" si="404"/>
        <v>0.57663575359475594</v>
      </c>
      <c r="M358" s="76">
        <f t="shared" ca="1" si="445"/>
        <v>0.25347808785320641</v>
      </c>
      <c r="N358" s="45">
        <f t="shared" ca="1" si="445"/>
        <v>0.25</v>
      </c>
      <c r="O358" s="45">
        <f t="shared" ca="1" si="445"/>
        <v>0</v>
      </c>
      <c r="P358" s="46" t="str">
        <f t="shared" ca="1" si="445"/>
        <v/>
      </c>
      <c r="Q358" s="243" t="str">
        <f t="shared" ca="1" si="445"/>
        <v/>
      </c>
      <c r="R358" s="45">
        <f t="shared" ca="1" si="420"/>
        <v>0.35103176394223135</v>
      </c>
      <c r="S358" s="45">
        <f t="shared" ca="1" si="444"/>
        <v>5.0695617570641283E-2</v>
      </c>
      <c r="T358" s="77">
        <f t="shared" ca="1" si="405"/>
        <v>6.6933045521027232E-2</v>
      </c>
      <c r="U358" s="45">
        <f t="shared" ca="1" si="421"/>
        <v>17.828227735259514</v>
      </c>
      <c r="V358" s="45">
        <f t="shared" ca="1" si="406"/>
        <v>0.20278247028256513</v>
      </c>
      <c r="W358" s="77">
        <f t="shared" ca="1" si="407"/>
        <v>0.11279118632562291</v>
      </c>
      <c r="X358" s="45">
        <f t="shared" ca="1" si="422"/>
        <v>1.0129040615905414</v>
      </c>
      <c r="Y358" s="45">
        <f t="shared" ca="1" si="408"/>
        <v>1.7344050237807697E-2</v>
      </c>
      <c r="Z358" s="77">
        <f t="shared" ca="1" si="409"/>
        <v>1.4044523051976633E-2</v>
      </c>
      <c r="AA358" s="45">
        <f t="shared" ca="1" si="423"/>
        <v>39.111869470136561</v>
      </c>
      <c r="AB358" s="45">
        <f t="shared" ca="1" si="410"/>
        <v>0</v>
      </c>
      <c r="AC358" s="45" cm="1">
        <f t="array" aca="1" ref="AC358" ca="1">pHUM*(T358+W358+Z358+AD358)</f>
        <v>2.0404764985656115E-2</v>
      </c>
      <c r="AD358" s="77">
        <f t="shared" ca="1" si="411"/>
        <v>1.654511772278297E-2</v>
      </c>
      <c r="AE358" s="45">
        <f t="shared" ca="1" si="424"/>
        <v>6.3847072090583081</v>
      </c>
      <c r="AF358" s="45">
        <f t="shared" ca="1" si="412"/>
        <v>0</v>
      </c>
      <c r="AG358" s="76">
        <f t="shared" ca="1" si="413"/>
        <v>64.688740239987155</v>
      </c>
      <c r="AH358" s="45">
        <f t="shared" ca="1" si="414"/>
        <v>0.17256505739794595</v>
      </c>
      <c r="AI358" s="77">
        <f t="shared" ca="1" si="415"/>
        <v>1.4735315743629178E-2</v>
      </c>
      <c r="AJ358" s="384">
        <f t="shared" ca="1" si="417"/>
        <v>2.7096074699411998E-2</v>
      </c>
      <c r="AU358" s="1"/>
    </row>
    <row r="359" spans="3:47" x14ac:dyDescent="0.25">
      <c r="C359" s="10">
        <f t="shared" si="442"/>
        <v>22</v>
      </c>
      <c r="D359" s="91">
        <f t="shared" si="425"/>
        <v>5</v>
      </c>
      <c r="E359" s="278"/>
      <c r="F359" s="76">
        <f t="shared" ref="F359:Q359" ca="1" si="446">F287</f>
        <v>13.3</v>
      </c>
      <c r="G359" s="46">
        <f t="shared" ca="1" si="446"/>
        <v>27.012600000000003</v>
      </c>
      <c r="H359" s="46">
        <f t="shared" ca="1" si="401"/>
        <v>28.517550000000004</v>
      </c>
      <c r="I359" s="45">
        <f t="shared" ca="1" si="402"/>
        <v>0.69725265541392489</v>
      </c>
      <c r="J359" s="45">
        <f t="shared" ca="1" si="403"/>
        <v>0.27952512346894071</v>
      </c>
      <c r="K359" s="45">
        <f t="shared" ca="1" si="419"/>
        <v>0.90345467800480783</v>
      </c>
      <c r="L359" s="358">
        <f t="shared" ca="1" si="404"/>
        <v>0.80399103068855049</v>
      </c>
      <c r="M359" s="76">
        <f t="shared" ca="1" si="446"/>
        <v>0.25347808785320641</v>
      </c>
      <c r="N359" s="45">
        <f t="shared" ca="1" si="446"/>
        <v>0.25</v>
      </c>
      <c r="O359" s="45">
        <f t="shared" ca="1" si="446"/>
        <v>0</v>
      </c>
      <c r="P359" s="46" t="str">
        <f t="shared" ca="1" si="446"/>
        <v/>
      </c>
      <c r="Q359" s="243" t="str">
        <f t="shared" ca="1" si="446"/>
        <v/>
      </c>
      <c r="R359" s="45">
        <f t="shared" ca="1" si="420"/>
        <v>0.33479433599184538</v>
      </c>
      <c r="S359" s="45">
        <f t="shared" ca="1" si="444"/>
        <v>5.0695617570641283E-2</v>
      </c>
      <c r="T359" s="77">
        <f t="shared" ca="1" si="405"/>
        <v>0.14753910809057297</v>
      </c>
      <c r="U359" s="45">
        <f t="shared" ca="1" si="421"/>
        <v>17.918219019216455</v>
      </c>
      <c r="V359" s="45">
        <f t="shared" ca="1" si="406"/>
        <v>0.20278247028256513</v>
      </c>
      <c r="W359" s="77">
        <f t="shared" ca="1" si="407"/>
        <v>0.30963166095105965</v>
      </c>
      <c r="X359" s="45">
        <f t="shared" ca="1" si="422"/>
        <v>1.0162035887763725</v>
      </c>
      <c r="Y359" s="45">
        <f t="shared" ca="1" si="408"/>
        <v>4.4601104866291513E-2</v>
      </c>
      <c r="Z359" s="77">
        <f t="shared" ca="1" si="409"/>
        <v>3.8232513054804164E-2</v>
      </c>
      <c r="AA359" s="45">
        <f t="shared" ca="1" si="423"/>
        <v>39.115729117399432</v>
      </c>
      <c r="AB359" s="45">
        <f t="shared" ca="1" si="410"/>
        <v>0</v>
      </c>
      <c r="AC359" s="45" cm="1">
        <f t="array" aca="1" ref="AC359" ca="1">pHUM*(T359+W359+Z359+AD359)</f>
        <v>5.2471888077990018E-2</v>
      </c>
      <c r="AD359" s="77">
        <f t="shared" ca="1" si="411"/>
        <v>4.5429508342311416E-2</v>
      </c>
      <c r="AE359" s="45">
        <f t="shared" ca="1" si="424"/>
        <v>6.3847072090583081</v>
      </c>
      <c r="AF359" s="45">
        <f t="shared" ca="1" si="412"/>
        <v>0</v>
      </c>
      <c r="AG359" s="76">
        <f t="shared" ca="1" si="413"/>
        <v>64.769653270442419</v>
      </c>
      <c r="AH359" s="45">
        <f t="shared" ca="1" si="414"/>
        <v>0.4437597974944667</v>
      </c>
      <c r="AI359" s="77">
        <f t="shared" ca="1" si="415"/>
        <v>1.452488855307071E-2</v>
      </c>
      <c r="AJ359" s="384">
        <f t="shared" ca="1" si="417"/>
        <v>3.7239618600185542E-2</v>
      </c>
      <c r="AU359" s="1"/>
    </row>
    <row r="360" spans="3:47" x14ac:dyDescent="0.25">
      <c r="C360" s="10">
        <f t="shared" si="442"/>
        <v>22</v>
      </c>
      <c r="D360" s="91">
        <f t="shared" si="425"/>
        <v>6</v>
      </c>
      <c r="E360" s="278"/>
      <c r="F360" s="76">
        <f t="shared" ref="F360:Q360" ca="1" si="447">F288</f>
        <v>18.579999999999998</v>
      </c>
      <c r="G360" s="46">
        <f t="shared" ca="1" si="447"/>
        <v>27.012600000000003</v>
      </c>
      <c r="H360" s="46">
        <f t="shared" ca="1" si="401"/>
        <v>28.517550000000004</v>
      </c>
      <c r="I360" s="45">
        <f t="shared" ca="1" si="402"/>
        <v>1.1053966357180092</v>
      </c>
      <c r="J360" s="45">
        <f t="shared" ca="1" si="403"/>
        <v>0.27952512346894071</v>
      </c>
      <c r="K360" s="45">
        <f t="shared" ca="1" si="419"/>
        <v>0.90345467800480783</v>
      </c>
      <c r="L360" s="358">
        <f t="shared" ca="1" si="404"/>
        <v>0.89864190578209513</v>
      </c>
      <c r="M360" s="76">
        <f t="shared" ca="1" si="447"/>
        <v>0.25347808785320641</v>
      </c>
      <c r="N360" s="45">
        <f t="shared" ca="1" si="447"/>
        <v>0.25</v>
      </c>
      <c r="O360" s="45">
        <f t="shared" ca="1" si="447"/>
        <v>0</v>
      </c>
      <c r="P360" s="46" t="str">
        <f t="shared" ca="1" si="447"/>
        <v/>
      </c>
      <c r="Q360" s="243" t="str">
        <f t="shared" ca="1" si="447"/>
        <v/>
      </c>
      <c r="R360" s="45">
        <f t="shared" ca="1" si="420"/>
        <v>0.2379508454719137</v>
      </c>
      <c r="S360" s="45">
        <f t="shared" ca="1" si="444"/>
        <v>5.0695617570641283E-2</v>
      </c>
      <c r="T360" s="77">
        <f t="shared" ca="1" si="405"/>
        <v>0.14323320525148991</v>
      </c>
      <c r="U360" s="45">
        <f t="shared" ca="1" si="421"/>
        <v>17.81136982854796</v>
      </c>
      <c r="V360" s="45">
        <f t="shared" ca="1" si="406"/>
        <v>0.20278247028256513</v>
      </c>
      <c r="W360" s="77">
        <f t="shared" ca="1" si="407"/>
        <v>0.48547675678475988</v>
      </c>
      <c r="X360" s="45">
        <f t="shared" ca="1" si="422"/>
        <v>1.0225721805878598</v>
      </c>
      <c r="Y360" s="45">
        <f t="shared" ca="1" si="408"/>
        <v>6.2760834489800882E-2</v>
      </c>
      <c r="Z360" s="77">
        <f t="shared" ca="1" si="409"/>
        <v>6.0317012753527292E-2</v>
      </c>
      <c r="AA360" s="45">
        <f t="shared" ca="1" si="423"/>
        <v>39.122771497135112</v>
      </c>
      <c r="AB360" s="45">
        <f t="shared" ca="1" si="410"/>
        <v>0</v>
      </c>
      <c r="AC360" s="45" cm="1">
        <f t="array" aca="1" ref="AC360" ca="1">pHUM*(T360+W360+Z360+AD360)</f>
        <v>7.3836275870353976E-2</v>
      </c>
      <c r="AD360" s="77">
        <f t="shared" ca="1" si="411"/>
        <v>7.2010612712609376E-2</v>
      </c>
      <c r="AE360" s="45">
        <f t="shared" ca="1" si="424"/>
        <v>6.3847072090583081</v>
      </c>
      <c r="AF360" s="45">
        <f t="shared" ca="1" si="412"/>
        <v>0</v>
      </c>
      <c r="AG360" s="76">
        <f t="shared" ca="1" si="413"/>
        <v>64.57937156080115</v>
      </c>
      <c r="AH360" s="45">
        <f t="shared" ca="1" si="414"/>
        <v>0.62444047714223161</v>
      </c>
      <c r="AI360" s="77">
        <f t="shared" ca="1" si="415"/>
        <v>1.314592522452802E-2</v>
      </c>
      <c r="AJ360" s="384">
        <f t="shared" ca="1" si="417"/>
        <v>3.7672015762678646E-2</v>
      </c>
      <c r="AU360" s="1"/>
    </row>
    <row r="361" spans="3:47" x14ac:dyDescent="0.25">
      <c r="C361" s="10">
        <f t="shared" si="442"/>
        <v>22</v>
      </c>
      <c r="D361" s="91">
        <f t="shared" si="425"/>
        <v>7</v>
      </c>
      <c r="E361" s="278"/>
      <c r="F361" s="76">
        <f t="shared" ref="F361:Q361" ca="1" si="448">F289</f>
        <v>20.88</v>
      </c>
      <c r="G361" s="46">
        <f t="shared" ca="1" si="448"/>
        <v>27.012600000000003</v>
      </c>
      <c r="H361" s="46">
        <f t="shared" ca="1" si="401"/>
        <v>28.517550000000004</v>
      </c>
      <c r="I361" s="45">
        <f t="shared" ca="1" si="402"/>
        <v>1.2963209464812457</v>
      </c>
      <c r="J361" s="45">
        <f t="shared" ca="1" si="403"/>
        <v>0.27952512346894071</v>
      </c>
      <c r="K361" s="45">
        <f t="shared" ca="1" si="419"/>
        <v>0.90345467800480783</v>
      </c>
      <c r="L361" s="358">
        <f t="shared" ca="1" si="404"/>
        <v>0.92456370800230281</v>
      </c>
      <c r="M361" s="76">
        <f t="shared" ca="1" si="448"/>
        <v>0.25347808785320641</v>
      </c>
      <c r="N361" s="45">
        <f t="shared" ca="1" si="448"/>
        <v>0.25</v>
      </c>
      <c r="O361" s="45">
        <f t="shared" ca="1" si="448"/>
        <v>0</v>
      </c>
      <c r="P361" s="46" t="str">
        <f t="shared" ca="1" si="448"/>
        <v/>
      </c>
      <c r="Q361" s="243" t="str">
        <f t="shared" ca="1" si="448"/>
        <v/>
      </c>
      <c r="R361" s="45">
        <f t="shared" ca="1" si="420"/>
        <v>0.14541325779106506</v>
      </c>
      <c r="S361" s="45">
        <f t="shared" ca="1" si="444"/>
        <v>5.0695617570641283E-2</v>
      </c>
      <c r="T361" s="77">
        <f t="shared" ca="1" si="405"/>
        <v>9.6044771709889135E-2</v>
      </c>
      <c r="U361" s="45">
        <f t="shared" ca="1" si="421"/>
        <v>17.528675542045765</v>
      </c>
      <c r="V361" s="45">
        <f t="shared" ca="1" si="406"/>
        <v>0.20278247028256513</v>
      </c>
      <c r="W361" s="77">
        <f t="shared" ca="1" si="407"/>
        <v>0.558963361330443</v>
      </c>
      <c r="X361" s="45">
        <f t="shared" ca="1" si="422"/>
        <v>1.0250160023241335</v>
      </c>
      <c r="Y361" s="45">
        <f t="shared" ca="1" si="408"/>
        <v>6.6797299548433497E-2</v>
      </c>
      <c r="Z361" s="77">
        <f t="shared" ca="1" si="409"/>
        <v>7.053680232104452E-2</v>
      </c>
      <c r="AA361" s="45">
        <f t="shared" ca="1" si="423"/>
        <v>39.124597160292858</v>
      </c>
      <c r="AB361" s="45">
        <f t="shared" ca="1" si="410"/>
        <v>0</v>
      </c>
      <c r="AC361" s="45" cm="1">
        <f t="array" aca="1" ref="AC361" ca="1">pHUM*(T361+W361+Z361+AD361)</f>
        <v>7.8585058292274704E-2</v>
      </c>
      <c r="AD361" s="77">
        <f t="shared" ca="1" si="411"/>
        <v>8.4438808692810494E-2</v>
      </c>
      <c r="AE361" s="45">
        <f t="shared" ca="1" si="424"/>
        <v>6.3847072090583081</v>
      </c>
      <c r="AF361" s="45">
        <f t="shared" ca="1" si="412"/>
        <v>0</v>
      </c>
      <c r="AG361" s="76">
        <f t="shared" ca="1" si="413"/>
        <v>64.20840917151213</v>
      </c>
      <c r="AH361" s="45">
        <f t="shared" ca="1" si="414"/>
        <v>0.66460138621347897</v>
      </c>
      <c r="AI361" s="77">
        <f t="shared" ca="1" si="415"/>
        <v>1.1776799518661988E-2</v>
      </c>
      <c r="AJ361" s="384">
        <f t="shared" ca="1" si="417"/>
        <v>3.4722130679882834E-2</v>
      </c>
      <c r="AU361" s="1"/>
    </row>
    <row r="362" spans="3:47" x14ac:dyDescent="0.25">
      <c r="C362" s="10">
        <f t="shared" si="442"/>
        <v>22</v>
      </c>
      <c r="D362" s="91">
        <f t="shared" si="425"/>
        <v>8</v>
      </c>
      <c r="E362" s="278"/>
      <c r="F362" s="76">
        <f t="shared" ref="F362:Q362" ca="1" si="449">F290</f>
        <v>19.38</v>
      </c>
      <c r="G362" s="46">
        <f t="shared" ca="1" si="449"/>
        <v>27.012600000000003</v>
      </c>
      <c r="H362" s="46">
        <f t="shared" ca="1" si="401"/>
        <v>28.517550000000004</v>
      </c>
      <c r="I362" s="45">
        <f t="shared" ca="1" si="402"/>
        <v>1.1711755949831784</v>
      </c>
      <c r="J362" s="45">
        <f t="shared" ca="1" si="403"/>
        <v>0.27952512346894071</v>
      </c>
      <c r="K362" s="45">
        <f t="shared" ca="1" si="419"/>
        <v>0.90345467800480783</v>
      </c>
      <c r="L362" s="358">
        <f t="shared" ca="1" si="404"/>
        <v>0.9085593811553081</v>
      </c>
      <c r="M362" s="76">
        <f t="shared" ca="1" si="449"/>
        <v>0.25347808785320641</v>
      </c>
      <c r="N362" s="45">
        <f t="shared" ca="1" si="449"/>
        <v>0.25</v>
      </c>
      <c r="O362" s="45">
        <f t="shared" ca="1" si="449"/>
        <v>0</v>
      </c>
      <c r="P362" s="46" t="str">
        <f t="shared" ca="1" si="449"/>
        <v/>
      </c>
      <c r="Q362" s="243" t="str">
        <f t="shared" ca="1" si="449"/>
        <v/>
      </c>
      <c r="R362" s="45">
        <f t="shared" ca="1" si="420"/>
        <v>0.10006410365181721</v>
      </c>
      <c r="S362" s="45">
        <f t="shared" ca="1" si="444"/>
        <v>5.0695617570641283E-2</v>
      </c>
      <c r="T362" s="77">
        <f t="shared" ca="1" si="405"/>
        <v>6.2357646589744672E-2</v>
      </c>
      <c r="U362" s="45">
        <f t="shared" ca="1" si="421"/>
        <v>17.172494650997887</v>
      </c>
      <c r="V362" s="45">
        <f t="shared" ca="1" si="406"/>
        <v>0.20278247028256513</v>
      </c>
      <c r="W362" s="77">
        <f t="shared" ca="1" si="407"/>
        <v>0.49551064247682486</v>
      </c>
      <c r="X362" s="45">
        <f t="shared" ca="1" si="422"/>
        <v>1.0212764995515227</v>
      </c>
      <c r="Y362" s="45">
        <f t="shared" ca="1" si="408"/>
        <v>5.7551002642733308E-2</v>
      </c>
      <c r="Z362" s="77">
        <f t="shared" ca="1" si="409"/>
        <v>6.3711181258250413E-2</v>
      </c>
      <c r="AA362" s="45">
        <f t="shared" ca="1" si="423"/>
        <v>39.118743409892325</v>
      </c>
      <c r="AB362" s="45">
        <f t="shared" ca="1" si="410"/>
        <v>0</v>
      </c>
      <c r="AC362" s="45" cm="1">
        <f t="array" aca="1" ref="AC362" ca="1">pHUM*(T362+W362+Z362+AD362)</f>
        <v>6.7707061932627419E-2</v>
      </c>
      <c r="AD362" s="77">
        <f t="shared" ca="1" si="411"/>
        <v>7.6283720399433638E-2</v>
      </c>
      <c r="AE362" s="45">
        <f t="shared" ca="1" si="424"/>
        <v>6.3847072090583081</v>
      </c>
      <c r="AF362" s="45">
        <f t="shared" ca="1" si="412"/>
        <v>0</v>
      </c>
      <c r="AG362" s="76">
        <f t="shared" ca="1" si="413"/>
        <v>63.797285873151857</v>
      </c>
      <c r="AH362" s="45">
        <f t="shared" ca="1" si="414"/>
        <v>0.57260512614889281</v>
      </c>
      <c r="AI362" s="77">
        <f t="shared" ca="1" si="415"/>
        <v>1.1044047266826012E-2</v>
      </c>
      <c r="AJ362" s="384">
        <f t="shared" ca="1" si="417"/>
        <v>3.1998154648819055E-2</v>
      </c>
      <c r="AU362" s="1"/>
    </row>
    <row r="363" spans="3:47" x14ac:dyDescent="0.25">
      <c r="C363" s="10">
        <f t="shared" si="442"/>
        <v>22</v>
      </c>
      <c r="D363" s="91">
        <f t="shared" si="425"/>
        <v>9</v>
      </c>
      <c r="E363" s="278"/>
      <c r="F363" s="76">
        <f t="shared" ref="F363:Q363" ca="1" si="450">F291</f>
        <v>16.57</v>
      </c>
      <c r="G363" s="46">
        <f t="shared" ca="1" si="450"/>
        <v>27.012600000000003</v>
      </c>
      <c r="H363" s="46">
        <f t="shared" ca="1" si="401"/>
        <v>28.517550000000004</v>
      </c>
      <c r="I363" s="45">
        <f t="shared" ca="1" si="402"/>
        <v>0.9439672665218134</v>
      </c>
      <c r="J363" s="45">
        <f t="shared" ca="1" si="403"/>
        <v>0.27952512346894071</v>
      </c>
      <c r="K363" s="45">
        <f t="shared" ca="1" si="419"/>
        <v>0.90345467800480783</v>
      </c>
      <c r="L363" s="358">
        <f t="shared" ca="1" si="404"/>
        <v>0.86895066774150642</v>
      </c>
      <c r="M363" s="76">
        <f t="shared" ca="1" si="450"/>
        <v>0.25347808785320641</v>
      </c>
      <c r="N363" s="45">
        <f t="shared" ca="1" si="450"/>
        <v>0.25</v>
      </c>
      <c r="O363" s="45">
        <f t="shared" ca="1" si="450"/>
        <v>0</v>
      </c>
      <c r="P363" s="46" t="str">
        <f t="shared" ca="1" si="450"/>
        <v/>
      </c>
      <c r="Q363" s="243" t="str">
        <f t="shared" ca="1" si="450"/>
        <v/>
      </c>
      <c r="R363" s="45">
        <f t="shared" ca="1" si="420"/>
        <v>8.8402074632713837E-2</v>
      </c>
      <c r="S363" s="45">
        <f t="shared" ca="1" si="444"/>
        <v>5.0695617570641283E-2</v>
      </c>
      <c r="T363" s="77">
        <f t="shared" ca="1" si="405"/>
        <v>4.8146195874830794E-2</v>
      </c>
      <c r="U363" s="45">
        <f t="shared" ca="1" si="421"/>
        <v>16.879766478803628</v>
      </c>
      <c r="V363" s="45">
        <f t="shared" ca="1" si="406"/>
        <v>0.20278247028256513</v>
      </c>
      <c r="W363" s="77">
        <f t="shared" ca="1" si="407"/>
        <v>0.39368508188023277</v>
      </c>
      <c r="X363" s="45">
        <f t="shared" ca="1" si="422"/>
        <v>1.0151163209360055</v>
      </c>
      <c r="Y363" s="45">
        <f t="shared" ca="1" si="408"/>
        <v>4.5742418755429566E-2</v>
      </c>
      <c r="Z363" s="77">
        <f t="shared" ca="1" si="409"/>
        <v>5.1358261754239631E-2</v>
      </c>
      <c r="AA363" s="45">
        <f t="shared" ca="1" si="423"/>
        <v>39.110166751425524</v>
      </c>
      <c r="AB363" s="45">
        <f t="shared" ca="1" si="410"/>
        <v>0</v>
      </c>
      <c r="AC363" s="45" cm="1">
        <f t="array" aca="1" ref="AC363" ca="1">pHUM*(T363+W363+Z363+AD363)</f>
        <v>5.3814610300505376E-2</v>
      </c>
      <c r="AD363" s="77">
        <f t="shared" ca="1" si="411"/>
        <v>6.1482817847787072E-2</v>
      </c>
      <c r="AE363" s="45">
        <f t="shared" ca="1" si="424"/>
        <v>6.3847072090583081</v>
      </c>
      <c r="AF363" s="45">
        <f t="shared" ca="1" si="412"/>
        <v>0</v>
      </c>
      <c r="AG363" s="76">
        <f t="shared" ca="1" si="413"/>
        <v>63.478158834856174</v>
      </c>
      <c r="AH363" s="45">
        <f t="shared" ca="1" si="414"/>
        <v>0.45511532830115542</v>
      </c>
      <c r="AI363" s="77">
        <f t="shared" ca="1" si="415"/>
        <v>1.0801196088879665E-2</v>
      </c>
      <c r="AJ363" s="384">
        <f t="shared" ca="1" si="417"/>
        <v>2.9930307478094331E-2</v>
      </c>
      <c r="AU363" s="1"/>
    </row>
    <row r="364" spans="3:47" x14ac:dyDescent="0.25">
      <c r="C364" s="10">
        <f t="shared" si="442"/>
        <v>22</v>
      </c>
      <c r="D364" s="91">
        <f t="shared" si="425"/>
        <v>10</v>
      </c>
      <c r="E364" s="278"/>
      <c r="F364" s="76">
        <f t="shared" ref="F364:Q364" ca="1" si="451">F292</f>
        <v>10.87</v>
      </c>
      <c r="G364" s="46">
        <f t="shared" ca="1" si="451"/>
        <v>27.012600000000003</v>
      </c>
      <c r="H364" s="46">
        <f t="shared" ca="1" si="401"/>
        <v>28.517550000000004</v>
      </c>
      <c r="I364" s="45">
        <f t="shared" ca="1" si="402"/>
        <v>0.53125146958099567</v>
      </c>
      <c r="J364" s="45">
        <f t="shared" ca="1" si="403"/>
        <v>0.27952512346894071</v>
      </c>
      <c r="K364" s="45">
        <f t="shared" ca="1" si="419"/>
        <v>0.90345467800480783</v>
      </c>
      <c r="L364" s="358">
        <f t="shared" ca="1" si="404"/>
        <v>0.74105246316705919</v>
      </c>
      <c r="M364" s="76">
        <f t="shared" ca="1" si="451"/>
        <v>0.25347808785320641</v>
      </c>
      <c r="N364" s="45">
        <f t="shared" ca="1" si="451"/>
        <v>0.25</v>
      </c>
      <c r="O364" s="45">
        <f t="shared" ca="1" si="451"/>
        <v>0</v>
      </c>
      <c r="P364" s="46" t="str">
        <f t="shared" ca="1" si="451"/>
        <v/>
      </c>
      <c r="Q364" s="243" t="str">
        <f t="shared" ca="1" si="451"/>
        <v/>
      </c>
      <c r="R364" s="45">
        <f t="shared" ca="1" si="420"/>
        <v>9.0951496328524312E-2</v>
      </c>
      <c r="S364" s="45">
        <f t="shared" ca="1" si="444"/>
        <v>5.0695617570641283E-2</v>
      </c>
      <c r="T364" s="77">
        <f t="shared" ca="1" si="405"/>
        <v>3.2533920585815154E-2</v>
      </c>
      <c r="U364" s="45">
        <f t="shared" ca="1" si="421"/>
        <v>16.68886386720596</v>
      </c>
      <c r="V364" s="45">
        <f t="shared" ca="1" si="406"/>
        <v>0.20278247028256513</v>
      </c>
      <c r="W364" s="77">
        <f t="shared" ca="1" si="407"/>
        <v>0.22018418516609625</v>
      </c>
      <c r="X364" s="45">
        <f t="shared" ca="1" si="422"/>
        <v>1.0095004779371954</v>
      </c>
      <c r="Y364" s="45">
        <f t="shared" ca="1" si="408"/>
        <v>2.6092253700697048E-2</v>
      </c>
      <c r="Z364" s="77">
        <f t="shared" ca="1" si="409"/>
        <v>2.9069664744343828E-2</v>
      </c>
      <c r="AA364" s="45">
        <f t="shared" ca="1" si="423"/>
        <v>39.102498543878241</v>
      </c>
      <c r="AB364" s="45">
        <f t="shared" ca="1" si="410"/>
        <v>0</v>
      </c>
      <c r="AC364" s="45" cm="1">
        <f t="array" aca="1" ref="AC364" ca="1">pHUM*(T364+W364+Z364+AD364)</f>
        <v>3.0696769059643587E-2</v>
      </c>
      <c r="AD364" s="77">
        <f t="shared" ca="1" si="411"/>
        <v>3.4606776681182991E-2</v>
      </c>
      <c r="AE364" s="45">
        <f t="shared" ca="1" si="424"/>
        <v>6.3847072090583081</v>
      </c>
      <c r="AF364" s="45">
        <f t="shared" ca="1" si="412"/>
        <v>0</v>
      </c>
      <c r="AG364" s="76">
        <f t="shared" ca="1" si="413"/>
        <v>63.276521594408223</v>
      </c>
      <c r="AH364" s="45">
        <f t="shared" ca="1" si="414"/>
        <v>0.25960552441709761</v>
      </c>
      <c r="AI364" s="77">
        <f t="shared" ca="1" si="415"/>
        <v>1.0787278875013283E-2</v>
      </c>
      <c r="AJ364" s="384">
        <f t="shared" ca="1" si="417"/>
        <v>2.5492174730404882E-2</v>
      </c>
      <c r="AU364" s="1"/>
    </row>
    <row r="365" spans="3:47" x14ac:dyDescent="0.25">
      <c r="C365" s="10">
        <f t="shared" si="442"/>
        <v>22</v>
      </c>
      <c r="D365" s="91">
        <f t="shared" si="425"/>
        <v>11</v>
      </c>
      <c r="E365" s="278"/>
      <c r="F365" s="76">
        <f t="shared" ref="F365:Q365" ca="1" si="452">F293</f>
        <v>1.4</v>
      </c>
      <c r="G365" s="46">
        <f t="shared" ca="1" si="452"/>
        <v>28.536243189942063</v>
      </c>
      <c r="H365" s="46">
        <f t="shared" ca="1" si="401"/>
        <v>26.993906810057943</v>
      </c>
      <c r="I365" s="45">
        <f t="shared" ca="1" si="402"/>
        <v>9.940372096718314E-2</v>
      </c>
      <c r="J365" s="45">
        <f t="shared" ca="1" si="403"/>
        <v>0.28648639837560558</v>
      </c>
      <c r="K365" s="45">
        <f t="shared" ca="1" si="419"/>
        <v>0.92595425264501963</v>
      </c>
      <c r="L365" s="358">
        <f t="shared" ca="1" si="404"/>
        <v>0.41120226021724715</v>
      </c>
      <c r="M365" s="76">
        <f t="shared" ca="1" si="452"/>
        <v>0.25347808785320641</v>
      </c>
      <c r="N365" s="45">
        <f t="shared" ca="1" si="452"/>
        <v>0.25</v>
      </c>
      <c r="O365" s="45">
        <f t="shared" ca="1" si="452"/>
        <v>0</v>
      </c>
      <c r="P365" s="46" t="str">
        <f t="shared" ca="1" si="452"/>
        <v/>
      </c>
      <c r="Q365" s="243" t="str">
        <f t="shared" ca="1" si="452"/>
        <v/>
      </c>
      <c r="R365" s="45">
        <f t="shared" ca="1" si="420"/>
        <v>0.10911319331335044</v>
      </c>
      <c r="S365" s="45">
        <f t="shared" ca="1" si="444"/>
        <v>5.0695617570641283E-2</v>
      </c>
      <c r="T365" s="77">
        <f t="shared" ca="1" si="405"/>
        <v>8.6743136422450483E-3</v>
      </c>
      <c r="U365" s="45">
        <f t="shared" ca="1" si="421"/>
        <v>16.671462152322427</v>
      </c>
      <c r="V365" s="45">
        <f t="shared" ca="1" si="406"/>
        <v>0.20278247028256513</v>
      </c>
      <c r="W365" s="77">
        <f t="shared" ca="1" si="407"/>
        <v>4.1378698045522917E-2</v>
      </c>
      <c r="X365" s="45">
        <f t="shared" ca="1" si="422"/>
        <v>1.0065230668935488</v>
      </c>
      <c r="Y365" s="45">
        <f t="shared" ca="1" si="408"/>
        <v>5.1144587269127892E-3</v>
      </c>
      <c r="Z365" s="77">
        <f t="shared" ca="1" si="409"/>
        <v>5.4878523195317627E-3</v>
      </c>
      <c r="AA365" s="45">
        <f t="shared" ca="1" si="423"/>
        <v>39.098588536256706</v>
      </c>
      <c r="AB365" s="45">
        <f t="shared" ca="1" si="410"/>
        <v>0</v>
      </c>
      <c r="AC365" s="45" cm="1">
        <f t="array" aca="1" ref="AC365" ca="1">pHUM*(T365+W365+Z365+AD365)</f>
        <v>6.0170102669562225E-3</v>
      </c>
      <c r="AD365" s="77">
        <f t="shared" ca="1" si="411"/>
        <v>6.477038758839624E-3</v>
      </c>
      <c r="AE365" s="45">
        <f t="shared" ca="1" si="424"/>
        <v>6.3847072090583081</v>
      </c>
      <c r="AF365" s="45">
        <f t="shared" ca="1" si="412"/>
        <v>0</v>
      </c>
      <c r="AG365" s="76">
        <f t="shared" ca="1" si="413"/>
        <v>63.270394157844336</v>
      </c>
      <c r="AH365" s="45">
        <f t="shared" ca="1" si="414"/>
        <v>5.088643377227034E-2</v>
      </c>
      <c r="AI365" s="77">
        <f t="shared" ca="1" si="415"/>
        <v>1.1043855344040383E-2</v>
      </c>
      <c r="AJ365" s="384">
        <f t="shared" ca="1" si="417"/>
        <v>1.4842592041747205E-2</v>
      </c>
      <c r="AU365" s="1"/>
    </row>
    <row r="366" spans="3:47" x14ac:dyDescent="0.25">
      <c r="C366" s="10">
        <f t="shared" si="442"/>
        <v>22</v>
      </c>
      <c r="D366" s="91">
        <f t="shared" si="425"/>
        <v>12</v>
      </c>
      <c r="E366" s="278"/>
      <c r="F366" s="76">
        <f t="shared" ref="F366:Q366" ca="1" si="453">F294</f>
        <v>-1.78</v>
      </c>
      <c r="G366" s="46">
        <f t="shared" ca="1" si="453"/>
        <v>32.216243189942062</v>
      </c>
      <c r="H366" s="46">
        <f t="shared" ca="1" si="401"/>
        <v>23.313906810057944</v>
      </c>
      <c r="I366" s="45">
        <f t="shared" ca="1" si="402"/>
        <v>3.9789790397057247E-2</v>
      </c>
      <c r="J366" s="45">
        <f t="shared" ca="1" si="403"/>
        <v>0.29882189650486002</v>
      </c>
      <c r="K366" s="45">
        <f t="shared" ca="1" si="419"/>
        <v>0.96582388351071458</v>
      </c>
      <c r="L366" s="358">
        <f t="shared" ca="1" si="404"/>
        <v>0.30292377267304249</v>
      </c>
      <c r="M366" s="76">
        <f t="shared" ca="1" si="453"/>
        <v>0.25347808785320641</v>
      </c>
      <c r="N366" s="45">
        <f t="shared" ca="1" si="453"/>
        <v>0.25</v>
      </c>
      <c r="O366" s="45">
        <f t="shared" ca="1" si="453"/>
        <v>0</v>
      </c>
      <c r="P366" s="46" t="str">
        <f t="shared" ca="1" si="453"/>
        <v/>
      </c>
      <c r="Q366" s="243" t="str">
        <f t="shared" ca="1" si="453"/>
        <v/>
      </c>
      <c r="R366" s="45">
        <f t="shared" ca="1" si="420"/>
        <v>0.15113449724174668</v>
      </c>
      <c r="S366" s="45">
        <f t="shared" ca="1" si="444"/>
        <v>5.0695617570641283E-2</v>
      </c>
      <c r="T366" s="77">
        <f t="shared" ca="1" si="405"/>
        <v>4.9291689443774654E-3</v>
      </c>
      <c r="U366" s="45">
        <f t="shared" ca="1" si="421"/>
        <v>16.832865924559467</v>
      </c>
      <c r="V366" s="45">
        <f t="shared" ca="1" si="406"/>
        <v>0.20278247028256513</v>
      </c>
      <c r="W366" s="77">
        <f t="shared" ca="1" si="407"/>
        <v>1.6736079729140978E-2</v>
      </c>
      <c r="X366" s="45">
        <f t="shared" ca="1" si="422"/>
        <v>1.0061496733009296</v>
      </c>
      <c r="Y366" s="45">
        <f t="shared" ca="1" si="408"/>
        <v>2.1818823837797367E-3</v>
      </c>
      <c r="Z366" s="77">
        <f t="shared" ca="1" si="409"/>
        <v>2.1994890524212568E-3</v>
      </c>
      <c r="AA366" s="45">
        <f t="shared" ca="1" si="423"/>
        <v>39.098128507764827</v>
      </c>
      <c r="AB366" s="45">
        <f t="shared" ca="1" si="410"/>
        <v>0</v>
      </c>
      <c r="AC366" s="45" cm="1">
        <f t="array" aca="1" ref="AC366" ca="1">pHUM*(T366+W366+Z366+AD366)</f>
        <v>2.5669204515055724E-3</v>
      </c>
      <c r="AD366" s="77">
        <f t="shared" ca="1" si="411"/>
        <v>2.5927579250387758E-3</v>
      </c>
      <c r="AE366" s="45">
        <f t="shared" ca="1" si="424"/>
        <v>6.3847072090583081</v>
      </c>
      <c r="AF366" s="45">
        <f t="shared" ca="1" si="412"/>
        <v>0</v>
      </c>
      <c r="AG366" s="76">
        <f t="shared" ca="1" si="413"/>
        <v>63.47298581192527</v>
      </c>
      <c r="AH366" s="45">
        <f t="shared" ca="1" si="414"/>
        <v>2.1708692815693171E-2</v>
      </c>
      <c r="AI366" s="77">
        <f t="shared" ca="1" si="415"/>
        <v>1.1688368582076865E-2</v>
      </c>
      <c r="AJ366" s="384">
        <f t="shared" ca="1" si="417"/>
        <v>1.2070641434739349E-2</v>
      </c>
      <c r="AU366" s="1"/>
    </row>
    <row r="367" spans="3:47" x14ac:dyDescent="0.25">
      <c r="C367" s="10">
        <f t="shared" si="442"/>
        <v>23</v>
      </c>
      <c r="D367" s="91">
        <f t="shared" si="425"/>
        <v>1</v>
      </c>
      <c r="E367" s="278"/>
      <c r="F367" s="76">
        <f t="shared" ref="F367:Q367" ca="1" si="454">F295</f>
        <v>-8.2799999999999994</v>
      </c>
      <c r="G367" s="46">
        <f t="shared" ca="1" si="454"/>
        <v>27.676243189942063</v>
      </c>
      <c r="H367" s="46">
        <f t="shared" ca="1" si="401"/>
        <v>27.853906810057943</v>
      </c>
      <c r="I367" s="45">
        <f t="shared" ca="1" si="402"/>
        <v>5.2124139735228647E-4</v>
      </c>
      <c r="J367" s="45">
        <f t="shared" ca="1" si="403"/>
        <v>0.28271042830183513</v>
      </c>
      <c r="K367" s="45">
        <f t="shared" ca="1" si="419"/>
        <v>0.91374991914963299</v>
      </c>
      <c r="L367" s="358">
        <f t="shared" ca="1" si="404"/>
        <v>0.14143923467074027</v>
      </c>
      <c r="M367" s="76">
        <f t="shared" ca="1" si="454"/>
        <v>0.25347808785320641</v>
      </c>
      <c r="N367" s="45">
        <f t="shared" ca="1" si="454"/>
        <v>0.25</v>
      </c>
      <c r="O367" s="45">
        <f t="shared" ca="1" si="454"/>
        <v>0</v>
      </c>
      <c r="P367" s="46" t="str">
        <f t="shared" ca="1" si="454"/>
        <v/>
      </c>
      <c r="Q367" s="243" t="str">
        <f t="shared" ca="1" si="454"/>
        <v/>
      </c>
      <c r="R367" s="45">
        <f t="shared" ca="1" si="420"/>
        <v>0.19690094586801049</v>
      </c>
      <c r="S367" s="45">
        <f t="shared" ca="1" si="444"/>
        <v>5.0695617570641283E-2</v>
      </c>
      <c r="T367" s="77">
        <f t="shared" ca="1" si="405"/>
        <v>8.5508864309104358E-5</v>
      </c>
      <c r="U367" s="45">
        <f t="shared" ca="1" si="421"/>
        <v>17.018912315112889</v>
      </c>
      <c r="V367" s="45">
        <f t="shared" ca="1" si="406"/>
        <v>0.20278247028256513</v>
      </c>
      <c r="W367" s="77">
        <f t="shared" ca="1" si="407"/>
        <v>2.2177259594737645E-4</v>
      </c>
      <c r="X367" s="45">
        <f t="shared" ca="1" si="422"/>
        <v>1.0061320666322882</v>
      </c>
      <c r="Y367" s="45">
        <f t="shared" ca="1" si="408"/>
        <v>3.0520465328498294E-5</v>
      </c>
      <c r="Z367" s="77">
        <f t="shared" ca="1" si="409"/>
        <v>2.8843659187306694E-5</v>
      </c>
      <c r="AA367" s="45">
        <f t="shared" ca="1" si="423"/>
        <v>39.098102670291297</v>
      </c>
      <c r="AB367" s="45">
        <f t="shared" ca="1" si="410"/>
        <v>0</v>
      </c>
      <c r="AC367" s="45" cm="1">
        <f t="array" aca="1" ref="AC367" ca="1">pHUM*(T367+W367+Z367+AD367)</f>
        <v>3.590642979823329E-5</v>
      </c>
      <c r="AD367" s="77">
        <f t="shared" ca="1" si="411"/>
        <v>3.3965901363546957E-5</v>
      </c>
      <c r="AE367" s="45">
        <f t="shared" ca="1" si="424"/>
        <v>6.3847072090583081</v>
      </c>
      <c r="AF367" s="45">
        <f t="shared" ca="1" si="412"/>
        <v>0</v>
      </c>
      <c r="AG367" s="76">
        <f t="shared" ca="1" si="413"/>
        <v>63.704755206962787</v>
      </c>
      <c r="AH367" s="45">
        <f t="shared" ca="1" si="414"/>
        <v>3.036641256806029E-4</v>
      </c>
      <c r="AI367" s="77">
        <f t="shared" ca="1" si="415"/>
        <v>1.2387597748971135E-2</v>
      </c>
      <c r="AJ367" s="384">
        <f t="shared" ca="1" si="417"/>
        <v>5.6510887400418319E-3</v>
      </c>
      <c r="AU367" s="1"/>
    </row>
    <row r="368" spans="3:47" x14ac:dyDescent="0.25">
      <c r="C368" s="10">
        <f t="shared" si="442"/>
        <v>23</v>
      </c>
      <c r="D368" s="91">
        <f t="shared" si="425"/>
        <v>2</v>
      </c>
      <c r="E368" s="278"/>
      <c r="F368" s="76">
        <f t="shared" ref="F368:Q368" ca="1" si="455">F296</f>
        <v>-13.02</v>
      </c>
      <c r="G368" s="46">
        <f t="shared" ca="1" si="455"/>
        <v>27.012600000000003</v>
      </c>
      <c r="H368" s="46">
        <f t="shared" ca="1" si="401"/>
        <v>28.517550000000004</v>
      </c>
      <c r="I368" s="45">
        <f t="shared" ca="1" si="402"/>
        <v>3.4968020066039631E-8</v>
      </c>
      <c r="J368" s="45">
        <f t="shared" ca="1" si="403"/>
        <v>0.27952512346894071</v>
      </c>
      <c r="K368" s="45">
        <f t="shared" ca="1" si="419"/>
        <v>0.90345467800480783</v>
      </c>
      <c r="L368" s="358">
        <f t="shared" ca="1" si="404"/>
        <v>7.5103934893711255E-2</v>
      </c>
      <c r="M368" s="76">
        <f t="shared" ca="1" si="455"/>
        <v>0.25347808785320641</v>
      </c>
      <c r="N368" s="45">
        <f t="shared" ca="1" si="455"/>
        <v>0.25</v>
      </c>
      <c r="O368" s="45">
        <f t="shared" ca="1" si="455"/>
        <v>0</v>
      </c>
      <c r="P368" s="46" t="str">
        <f t="shared" ca="1" si="455"/>
        <v/>
      </c>
      <c r="Q368" s="243" t="str">
        <f t="shared" ca="1" si="455"/>
        <v/>
      </c>
      <c r="R368" s="45">
        <f t="shared" ca="1" si="420"/>
        <v>0.24751105457434266</v>
      </c>
      <c r="S368" s="45">
        <f t="shared" ca="1" si="444"/>
        <v>5.0695617570641283E-2</v>
      </c>
      <c r="T368" s="77">
        <f t="shared" ca="1" si="405"/>
        <v>7.2124761619648606E-9</v>
      </c>
      <c r="U368" s="45">
        <f t="shared" ca="1" si="421"/>
        <v>17.221473012799507</v>
      </c>
      <c r="V368" s="45">
        <f t="shared" ca="1" si="406"/>
        <v>0.20278247028256513</v>
      </c>
      <c r="W368" s="77">
        <f t="shared" ca="1" si="407"/>
        <v>1.5055020142444705E-8</v>
      </c>
      <c r="X368" s="45">
        <f t="shared" ca="1" si="422"/>
        <v>1.0061337434384294</v>
      </c>
      <c r="Y368" s="45">
        <f t="shared" ca="1" si="408"/>
        <v>2.1838350346237462E-9</v>
      </c>
      <c r="Z368" s="77">
        <f t="shared" ca="1" si="409"/>
        <v>1.9350377895270618E-9</v>
      </c>
      <c r="AA368" s="45">
        <f t="shared" ca="1" si="423"/>
        <v>39.098104610819732</v>
      </c>
      <c r="AB368" s="45">
        <f t="shared" ca="1" si="410"/>
        <v>0</v>
      </c>
      <c r="AC368" s="45" cm="1">
        <f t="array" aca="1" ref="AC368" ca="1">pHUM*(T368+W368+Z368+AD368)</f>
        <v>2.5692176877926427E-9</v>
      </c>
      <c r="AD368" s="77">
        <f t="shared" ca="1" si="411"/>
        <v>2.2786393921063421E-9</v>
      </c>
      <c r="AE368" s="45">
        <f t="shared" ca="1" si="424"/>
        <v>6.3847072090583081</v>
      </c>
      <c r="AF368" s="45">
        <f t="shared" ca="1" si="412"/>
        <v>0</v>
      </c>
      <c r="AG368" s="76">
        <f t="shared" ca="1" si="413"/>
        <v>63.957929630690316</v>
      </c>
      <c r="AH368" s="45">
        <f t="shared" ca="1" si="414"/>
        <v>2.1728120763626582E-8</v>
      </c>
      <c r="AI368" s="77">
        <f t="shared" ca="1" si="415"/>
        <v>1.315363061482115E-2</v>
      </c>
      <c r="AJ368" s="384">
        <f t="shared" ca="1" si="417"/>
        <v>3.150384137632356E-3</v>
      </c>
      <c r="AU368" s="1"/>
    </row>
    <row r="369" spans="3:47" x14ac:dyDescent="0.25">
      <c r="C369" s="10">
        <f t="shared" si="442"/>
        <v>23</v>
      </c>
      <c r="D369" s="91">
        <f t="shared" si="425"/>
        <v>3</v>
      </c>
      <c r="E369" s="278"/>
      <c r="F369" s="76">
        <f t="shared" ref="F369:Q369" ca="1" si="456">F297</f>
        <v>-3.52</v>
      </c>
      <c r="G369" s="46">
        <f t="shared" ca="1" si="456"/>
        <v>29.742600000000003</v>
      </c>
      <c r="H369" s="46">
        <f t="shared" ca="1" si="401"/>
        <v>25.787550000000003</v>
      </c>
      <c r="I369" s="45">
        <f t="shared" ca="1" si="402"/>
        <v>1.7216068766348798E-2</v>
      </c>
      <c r="J369" s="45">
        <f t="shared" ca="1" si="403"/>
        <v>0.2911707845539237</v>
      </c>
      <c r="K369" s="45">
        <f t="shared" ca="1" si="419"/>
        <v>0.94109468279262609</v>
      </c>
      <c r="L369" s="358">
        <f t="shared" ca="1" si="404"/>
        <v>0.2510452916114092</v>
      </c>
      <c r="M369" s="76">
        <f t="shared" ca="1" si="456"/>
        <v>0.25347808785320641</v>
      </c>
      <c r="N369" s="45">
        <f t="shared" ca="1" si="456"/>
        <v>0.25</v>
      </c>
      <c r="O369" s="45">
        <f t="shared" ca="1" si="456"/>
        <v>0</v>
      </c>
      <c r="P369" s="46" t="str">
        <f t="shared" ca="1" si="456"/>
        <v/>
      </c>
      <c r="Q369" s="243" t="str">
        <f t="shared" ca="1" si="456"/>
        <v/>
      </c>
      <c r="R369" s="45">
        <f t="shared" ca="1" si="420"/>
        <v>0.2982066649325078</v>
      </c>
      <c r="S369" s="45">
        <f t="shared" ca="1" si="444"/>
        <v>5.0695617570641283E-2</v>
      </c>
      <c r="T369" s="77">
        <f t="shared" ca="1" si="405"/>
        <v>4.2477452355207971E-3</v>
      </c>
      <c r="U369" s="45">
        <f t="shared" ca="1" si="421"/>
        <v>17.424255468027052</v>
      </c>
      <c r="V369" s="45">
        <f t="shared" ca="1" si="406"/>
        <v>0.20278247028256513</v>
      </c>
      <c r="W369" s="77">
        <f t="shared" ca="1" si="407"/>
        <v>7.4978158563377166E-3</v>
      </c>
      <c r="X369" s="45">
        <f t="shared" ca="1" si="422"/>
        <v>1.0061337436872269</v>
      </c>
      <c r="Y369" s="45">
        <f t="shared" ca="1" si="408"/>
        <v>1.1396709997369098E-3</v>
      </c>
      <c r="Z369" s="77">
        <f t="shared" ca="1" si="409"/>
        <v>9.5224082272725994E-4</v>
      </c>
      <c r="AA369" s="45">
        <f t="shared" ca="1" si="423"/>
        <v>39.098104611110308</v>
      </c>
      <c r="AB369" s="45">
        <f t="shared" ca="1" si="410"/>
        <v>0</v>
      </c>
      <c r="AC369" s="45" cm="1">
        <f t="array" aca="1" ref="AC369" ca="1">pHUM*(T369+W369+Z369+AD369)</f>
        <v>1.3407894114551881E-3</v>
      </c>
      <c r="AD369" s="77">
        <f t="shared" ca="1" si="411"/>
        <v>1.1218433345091682E-3</v>
      </c>
      <c r="AE369" s="45">
        <f t="shared" ca="1" si="424"/>
        <v>6.3847072090583081</v>
      </c>
      <c r="AF369" s="45">
        <f t="shared" ca="1" si="412"/>
        <v>0</v>
      </c>
      <c r="AG369" s="76">
        <f t="shared" ca="1" si="413"/>
        <v>64.2114076968154</v>
      </c>
      <c r="AH369" s="45">
        <f t="shared" ca="1" si="414"/>
        <v>1.1339184837902845E-2</v>
      </c>
      <c r="AI369" s="77">
        <f t="shared" ca="1" si="415"/>
        <v>1.3914209138898233E-2</v>
      </c>
      <c r="AJ369" s="384">
        <f t="shared" ca="1" si="417"/>
        <v>1.1603507080417685E-2</v>
      </c>
      <c r="AU369" s="1"/>
    </row>
    <row r="370" spans="3:47" x14ac:dyDescent="0.25">
      <c r="C370" s="10">
        <f t="shared" si="442"/>
        <v>23</v>
      </c>
      <c r="D370" s="91">
        <f t="shared" si="425"/>
        <v>4</v>
      </c>
      <c r="E370" s="278"/>
      <c r="F370" s="76">
        <f t="shared" ref="F370:Q370" ca="1" si="457">F298</f>
        <v>6.08</v>
      </c>
      <c r="G370" s="46">
        <f t="shared" ca="1" si="457"/>
        <v>27.012600000000003</v>
      </c>
      <c r="H370" s="46">
        <f t="shared" ca="1" si="401"/>
        <v>28.517550000000004</v>
      </c>
      <c r="I370" s="45">
        <f t="shared" ca="1" si="402"/>
        <v>0.26307228538649535</v>
      </c>
      <c r="J370" s="45">
        <f t="shared" ca="1" si="403"/>
        <v>0.27952512346894071</v>
      </c>
      <c r="K370" s="45">
        <f t="shared" ca="1" si="419"/>
        <v>0.90345467800480783</v>
      </c>
      <c r="L370" s="358">
        <f t="shared" ca="1" si="404"/>
        <v>0.58389398806465831</v>
      </c>
      <c r="M370" s="76">
        <f t="shared" ca="1" si="457"/>
        <v>0.25347808785320641</v>
      </c>
      <c r="N370" s="45">
        <f t="shared" ca="1" si="457"/>
        <v>0.25</v>
      </c>
      <c r="O370" s="45">
        <f t="shared" ca="1" si="457"/>
        <v>0</v>
      </c>
      <c r="P370" s="46" t="str">
        <f t="shared" ca="1" si="457"/>
        <v/>
      </c>
      <c r="Q370" s="243" t="str">
        <f t="shared" ca="1" si="457"/>
        <v/>
      </c>
      <c r="R370" s="45">
        <f t="shared" ca="1" si="420"/>
        <v>0.34465453726762829</v>
      </c>
      <c r="S370" s="45">
        <f t="shared" ca="1" si="444"/>
        <v>5.0695617570641283E-2</v>
      </c>
      <c r="T370" s="77">
        <f t="shared" ca="1" si="405"/>
        <v>6.7848877793297319E-2</v>
      </c>
      <c r="U370" s="45">
        <f t="shared" ca="1" si="421"/>
        <v>17.61954012245328</v>
      </c>
      <c r="V370" s="45">
        <f t="shared" ca="1" si="406"/>
        <v>0.20278247028256513</v>
      </c>
      <c r="W370" s="77">
        <f t="shared" ca="1" si="407"/>
        <v>0.11550008995543551</v>
      </c>
      <c r="X370" s="45">
        <f t="shared" ca="1" si="422"/>
        <v>1.0063211738642366</v>
      </c>
      <c r="Y370" s="45">
        <f t="shared" ca="1" si="408"/>
        <v>1.7725854104495925E-2</v>
      </c>
      <c r="Z370" s="77">
        <f t="shared" ca="1" si="409"/>
        <v>1.4455605514121771E-2</v>
      </c>
      <c r="AA370" s="45">
        <f t="shared" ca="1" si="423"/>
        <v>39.098323557187257</v>
      </c>
      <c r="AB370" s="45">
        <f t="shared" ca="1" si="410"/>
        <v>0</v>
      </c>
      <c r="AC370" s="45" cm="1">
        <f t="array" aca="1" ref="AC370" ca="1">pHUM*(T370+W370+Z370+AD370)</f>
        <v>2.0853946005289326E-2</v>
      </c>
      <c r="AD370" s="77">
        <f t="shared" ca="1" si="411"/>
        <v>1.7139051272556712E-2</v>
      </c>
      <c r="AE370" s="45">
        <f t="shared" ca="1" si="424"/>
        <v>6.3847072090583081</v>
      </c>
      <c r="AF370" s="45">
        <f t="shared" ca="1" si="412"/>
        <v>0</v>
      </c>
      <c r="AG370" s="76">
        <f t="shared" ca="1" si="413"/>
        <v>64.453546599830716</v>
      </c>
      <c r="AH370" s="45">
        <f t="shared" ca="1" si="414"/>
        <v>0.17636382442562609</v>
      </c>
      <c r="AI370" s="77">
        <f t="shared" ca="1" si="415"/>
        <v>1.4607010636132241E-2</v>
      </c>
      <c r="AJ370" s="384">
        <f t="shared" ca="1" si="417"/>
        <v>2.719823207800065E-2</v>
      </c>
      <c r="AU370" s="1"/>
    </row>
    <row r="371" spans="3:47" x14ac:dyDescent="0.25">
      <c r="C371" s="10">
        <f t="shared" si="442"/>
        <v>23</v>
      </c>
      <c r="D371" s="91">
        <f t="shared" si="425"/>
        <v>5</v>
      </c>
      <c r="E371" s="278"/>
      <c r="F371" s="76">
        <f t="shared" ref="F371:Q371" ca="1" si="458">F299</f>
        <v>16.079999999999998</v>
      </c>
      <c r="G371" s="46">
        <f t="shared" ca="1" si="458"/>
        <v>27.012600000000003</v>
      </c>
      <c r="H371" s="46">
        <f t="shared" ca="1" si="401"/>
        <v>28.517550000000004</v>
      </c>
      <c r="I371" s="45">
        <f t="shared" ca="1" si="402"/>
        <v>0.90560233354751607</v>
      </c>
      <c r="J371" s="45">
        <f t="shared" ca="1" si="403"/>
        <v>0.27952512346894071</v>
      </c>
      <c r="K371" s="45">
        <f t="shared" ca="1" si="419"/>
        <v>0.90345467800480783</v>
      </c>
      <c r="L371" s="358">
        <f t="shared" ca="1" si="404"/>
        <v>0.86059167822175908</v>
      </c>
      <c r="M371" s="76">
        <f t="shared" ca="1" si="458"/>
        <v>0.25347808785320641</v>
      </c>
      <c r="N371" s="45">
        <f t="shared" ca="1" si="458"/>
        <v>0.25</v>
      </c>
      <c r="O371" s="45">
        <f t="shared" ca="1" si="458"/>
        <v>0</v>
      </c>
      <c r="P371" s="46" t="str">
        <f t="shared" ca="1" si="458"/>
        <v/>
      </c>
      <c r="Q371" s="243" t="str">
        <f t="shared" ca="1" si="458"/>
        <v/>
      </c>
      <c r="R371" s="45">
        <f t="shared" ca="1" si="420"/>
        <v>0.32750127704497223</v>
      </c>
      <c r="S371" s="45">
        <f t="shared" ca="1" si="444"/>
        <v>5.0695617570641283E-2</v>
      </c>
      <c r="T371" s="77">
        <f t="shared" ca="1" si="405"/>
        <v>0.17352118168479536</v>
      </c>
      <c r="U371" s="45">
        <f t="shared" ca="1" si="421"/>
        <v>17.706822502780408</v>
      </c>
      <c r="V371" s="45">
        <f t="shared" ca="1" si="406"/>
        <v>0.20278247028256513</v>
      </c>
      <c r="W371" s="77">
        <f t="shared" ca="1" si="407"/>
        <v>0.39637953559966865</v>
      </c>
      <c r="X371" s="45">
        <f t="shared" ca="1" si="422"/>
        <v>1.0095914224546108</v>
      </c>
      <c r="Y371" s="45">
        <f t="shared" ca="1" si="408"/>
        <v>5.5907034043420595E-2</v>
      </c>
      <c r="Z371" s="77">
        <f t="shared" ca="1" si="409"/>
        <v>4.9054072481166042E-2</v>
      </c>
      <c r="AA371" s="45">
        <f t="shared" ca="1" si="423"/>
        <v>39.102038451919988</v>
      </c>
      <c r="AB371" s="45">
        <f t="shared" ca="1" si="410"/>
        <v>0</v>
      </c>
      <c r="AC371" s="45" cm="1">
        <f t="array" aca="1" ref="AC371" ca="1">pHUM*(T371+W371+Z371+AD371)</f>
        <v>6.5772981227553637E-2</v>
      </c>
      <c r="AD371" s="77">
        <f t="shared" ca="1" si="411"/>
        <v>5.8973645359509518E-2</v>
      </c>
      <c r="AE371" s="45">
        <f t="shared" ca="1" si="424"/>
        <v>6.3847072090583081</v>
      </c>
      <c r="AF371" s="45">
        <f t="shared" ca="1" si="412"/>
        <v>0</v>
      </c>
      <c r="AG371" s="76">
        <f t="shared" ca="1" si="413"/>
        <v>64.530660863258291</v>
      </c>
      <c r="AH371" s="45">
        <f t="shared" ca="1" si="414"/>
        <v>0.5562484198541654</v>
      </c>
      <c r="AI371" s="77">
        <f t="shared" ca="1" si="415"/>
        <v>1.4382529362839869E-2</v>
      </c>
      <c r="AJ371" s="384">
        <f t="shared" ca="1" si="417"/>
        <v>3.9470507390569898E-2</v>
      </c>
      <c r="AU371" s="1"/>
    </row>
    <row r="372" spans="3:47" x14ac:dyDescent="0.25">
      <c r="C372" s="10">
        <f t="shared" si="442"/>
        <v>23</v>
      </c>
      <c r="D372" s="91">
        <f t="shared" si="425"/>
        <v>6</v>
      </c>
      <c r="E372" s="278"/>
      <c r="F372" s="76">
        <f t="shared" ref="F372:Q372" ca="1" si="459">F300</f>
        <v>17.399999999999999</v>
      </c>
      <c r="G372" s="46">
        <f t="shared" ca="1" si="459"/>
        <v>27.012600000000003</v>
      </c>
      <c r="H372" s="46">
        <f t="shared" ca="1" si="401"/>
        <v>28.517550000000004</v>
      </c>
      <c r="I372" s="45">
        <f t="shared" ca="1" si="402"/>
        <v>1.0098878501236044</v>
      </c>
      <c r="J372" s="45">
        <f t="shared" ca="1" si="403"/>
        <v>0.27952512346894071</v>
      </c>
      <c r="K372" s="45">
        <f t="shared" ca="1" si="419"/>
        <v>0.90345467800480783</v>
      </c>
      <c r="L372" s="358">
        <f t="shared" ca="1" si="404"/>
        <v>0.88208077264421947</v>
      </c>
      <c r="M372" s="76">
        <f t="shared" ca="1" si="459"/>
        <v>0.25347808785320641</v>
      </c>
      <c r="N372" s="45">
        <f t="shared" ca="1" si="459"/>
        <v>0.25</v>
      </c>
      <c r="O372" s="45">
        <f t="shared" ca="1" si="459"/>
        <v>0</v>
      </c>
      <c r="P372" s="46" t="str">
        <f t="shared" ca="1" si="459"/>
        <v/>
      </c>
      <c r="Q372" s="243" t="str">
        <f t="shared" ca="1" si="459"/>
        <v/>
      </c>
      <c r="R372" s="45">
        <f t="shared" ca="1" si="420"/>
        <v>0.20467571293081815</v>
      </c>
      <c r="S372" s="45">
        <f t="shared" ca="1" si="444"/>
        <v>5.0695617570641283E-2</v>
      </c>
      <c r="T372" s="77">
        <f t="shared" ca="1" si="405"/>
        <v>0.11645395421434461</v>
      </c>
      <c r="U372" s="45">
        <f t="shared" ca="1" si="421"/>
        <v>17.513225437463305</v>
      </c>
      <c r="V372" s="45">
        <f t="shared" ca="1" si="406"/>
        <v>0.20278247028256513</v>
      </c>
      <c r="W372" s="77">
        <f t="shared" ca="1" si="407"/>
        <v>0.43662487017862439</v>
      </c>
      <c r="X372" s="45">
        <f t="shared" ca="1" si="422"/>
        <v>1.0164443840168653</v>
      </c>
      <c r="Y372" s="45">
        <f t="shared" ca="1" si="408"/>
        <v>5.5563874162197012E-2</v>
      </c>
      <c r="Z372" s="77">
        <f t="shared" ca="1" si="409"/>
        <v>5.491792166234194E-2</v>
      </c>
      <c r="AA372" s="45">
        <f t="shared" ca="1" si="423"/>
        <v>39.108837787788033</v>
      </c>
      <c r="AB372" s="45">
        <f t="shared" ca="1" si="410"/>
        <v>0</v>
      </c>
      <c r="AC372" s="45" cm="1">
        <f t="array" aca="1" ref="AC372" ca="1">pHUM*(T372+W372+Z372+AD372)</f>
        <v>6.5369263720231788E-2</v>
      </c>
      <c r="AD372" s="77">
        <f t="shared" ca="1" si="411"/>
        <v>6.5770533944072021E-2</v>
      </c>
      <c r="AE372" s="45">
        <f t="shared" ca="1" si="424"/>
        <v>6.3847072090583081</v>
      </c>
      <c r="AF372" s="45">
        <f t="shared" ca="1" si="412"/>
        <v>0</v>
      </c>
      <c r="AG372" s="76">
        <f t="shared" ca="1" si="413"/>
        <v>64.22789053125733</v>
      </c>
      <c r="AH372" s="45">
        <f t="shared" ca="1" si="414"/>
        <v>0.55283414211695414</v>
      </c>
      <c r="AI372" s="77">
        <f t="shared" ca="1" si="415"/>
        <v>1.2611331631181961E-2</v>
      </c>
      <c r="AJ372" s="384">
        <f t="shared" ca="1" si="417"/>
        <v>3.5474087825715372E-2</v>
      </c>
      <c r="AU372" s="1"/>
    </row>
    <row r="373" spans="3:47" x14ac:dyDescent="0.25">
      <c r="C373" s="10">
        <f t="shared" si="442"/>
        <v>23</v>
      </c>
      <c r="D373" s="91">
        <f t="shared" si="425"/>
        <v>7</v>
      </c>
      <c r="E373" s="278"/>
      <c r="F373" s="76">
        <f t="shared" ref="F373:Q373" ca="1" si="460">F301</f>
        <v>21.29</v>
      </c>
      <c r="G373" s="46">
        <f t="shared" ca="1" si="460"/>
        <v>27.012600000000003</v>
      </c>
      <c r="H373" s="46">
        <f t="shared" ca="1" si="401"/>
        <v>28.517550000000004</v>
      </c>
      <c r="I373" s="45">
        <f t="shared" ca="1" si="402"/>
        <v>1.3308669995183955</v>
      </c>
      <c r="J373" s="45">
        <f t="shared" ca="1" si="403"/>
        <v>0.27952512346894071</v>
      </c>
      <c r="K373" s="45">
        <f t="shared" ca="1" si="419"/>
        <v>0.90345467800480783</v>
      </c>
      <c r="L373" s="358">
        <f t="shared" ca="1" si="404"/>
        <v>0.92839591561968593</v>
      </c>
      <c r="M373" s="76">
        <f t="shared" ca="1" si="460"/>
        <v>0.25347808785320641</v>
      </c>
      <c r="N373" s="45">
        <f t="shared" ca="1" si="460"/>
        <v>0.25</v>
      </c>
      <c r="O373" s="45">
        <f t="shared" ca="1" si="460"/>
        <v>0</v>
      </c>
      <c r="P373" s="46" t="str">
        <f t="shared" ca="1" si="460"/>
        <v/>
      </c>
      <c r="Q373" s="243" t="str">
        <f t="shared" ca="1" si="460"/>
        <v/>
      </c>
      <c r="R373" s="45">
        <f t="shared" ca="1" si="420"/>
        <v>0.13891737628711481</v>
      </c>
      <c r="S373" s="45">
        <f t="shared" ca="1" si="444"/>
        <v>5.0695617570641283E-2</v>
      </c>
      <c r="T373" s="77">
        <f t="shared" ca="1" si="405"/>
        <v>9.3092664317525969E-2</v>
      </c>
      <c r="U373" s="45">
        <f t="shared" ca="1" si="421"/>
        <v>17.279383037567243</v>
      </c>
      <c r="V373" s="45">
        <f t="shared" ca="1" si="406"/>
        <v>0.20278247028256513</v>
      </c>
      <c r="W373" s="77">
        <f t="shared" ca="1" si="407"/>
        <v>0.56545503586170709</v>
      </c>
      <c r="X373" s="45">
        <f t="shared" ca="1" si="422"/>
        <v>1.0170903365167205</v>
      </c>
      <c r="Y373" s="45">
        <f t="shared" ca="1" si="408"/>
        <v>6.7374893794083041E-2</v>
      </c>
      <c r="Z373" s="77">
        <f t="shared" ca="1" si="409"/>
        <v>7.1789205780647986E-2</v>
      </c>
      <c r="AA373" s="45">
        <f t="shared" ca="1" si="423"/>
        <v>39.108436517564186</v>
      </c>
      <c r="AB373" s="45">
        <f t="shared" ca="1" si="410"/>
        <v>0</v>
      </c>
      <c r="AC373" s="45" cm="1">
        <f t="array" aca="1" ref="AC373" ca="1">pHUM*(T373+W373+Z373+AD373)</f>
        <v>7.9264580934215345E-2</v>
      </c>
      <c r="AD373" s="77">
        <f t="shared" ca="1" si="411"/>
        <v>8.6650743234156072E-2</v>
      </c>
      <c r="AE373" s="45">
        <f t="shared" ca="1" si="424"/>
        <v>6.3847072090583081</v>
      </c>
      <c r="AF373" s="45">
        <f t="shared" ca="1" si="412"/>
        <v>0</v>
      </c>
      <c r="AG373" s="76">
        <f t="shared" ca="1" si="413"/>
        <v>63.928534476993569</v>
      </c>
      <c r="AH373" s="45">
        <f t="shared" ca="1" si="414"/>
        <v>0.6703481744657388</v>
      </c>
      <c r="AI373" s="77">
        <f t="shared" ca="1" si="415"/>
        <v>1.1623657722691069E-2</v>
      </c>
      <c r="AJ373" s="384">
        <f t="shared" ca="1" si="417"/>
        <v>3.4412672723861393E-2</v>
      </c>
      <c r="AU373" s="1"/>
    </row>
    <row r="374" spans="3:47" x14ac:dyDescent="0.25">
      <c r="C374" s="10">
        <f t="shared" si="442"/>
        <v>23</v>
      </c>
      <c r="D374" s="91">
        <f t="shared" si="425"/>
        <v>8</v>
      </c>
      <c r="E374" s="278"/>
      <c r="F374" s="76">
        <f t="shared" ref="F374:Q374" ca="1" si="461">F302</f>
        <v>21.81</v>
      </c>
      <c r="G374" s="46">
        <f t="shared" ca="1" si="461"/>
        <v>27.012600000000003</v>
      </c>
      <c r="H374" s="46">
        <f t="shared" ca="1" si="401"/>
        <v>28.517550000000004</v>
      </c>
      <c r="I374" s="45">
        <f t="shared" ca="1" si="402"/>
        <v>1.3748539373542934</v>
      </c>
      <c r="J374" s="45">
        <f t="shared" ca="1" si="403"/>
        <v>0.27952512346894071</v>
      </c>
      <c r="K374" s="45">
        <f t="shared" ca="1" si="419"/>
        <v>0.90345467800480783</v>
      </c>
      <c r="L374" s="358">
        <f t="shared" ca="1" si="404"/>
        <v>0.93294591915671865</v>
      </c>
      <c r="M374" s="76">
        <f t="shared" ca="1" si="461"/>
        <v>0.25347808785320641</v>
      </c>
      <c r="N374" s="45">
        <f t="shared" ca="1" si="461"/>
        <v>0.25</v>
      </c>
      <c r="O374" s="45">
        <f t="shared" ca="1" si="461"/>
        <v>0</v>
      </c>
      <c r="P374" s="46" t="str">
        <f t="shared" ca="1" si="461"/>
        <v/>
      </c>
      <c r="Q374" s="243" t="str">
        <f t="shared" ca="1" si="461"/>
        <v/>
      </c>
      <c r="R374" s="45">
        <f t="shared" ca="1" si="420"/>
        <v>9.6520329540230126E-2</v>
      </c>
      <c r="S374" s="45">
        <f t="shared" ca="1" si="444"/>
        <v>5.0695617570641283E-2</v>
      </c>
      <c r="T374" s="77">
        <f t="shared" ca="1" si="405"/>
        <v>6.5827101645662786E-2</v>
      </c>
      <c r="U374" s="45">
        <f t="shared" ca="1" si="421"/>
        <v>16.9167104719881</v>
      </c>
      <c r="V374" s="45">
        <f t="shared" ca="1" si="406"/>
        <v>0.20278247028256513</v>
      </c>
      <c r="W374" s="77">
        <f t="shared" ca="1" si="407"/>
        <v>0.57157104662238178</v>
      </c>
      <c r="X374" s="45">
        <f t="shared" ca="1" si="422"/>
        <v>1.0126760245301556</v>
      </c>
      <c r="Y374" s="45">
        <f t="shared" ca="1" si="408"/>
        <v>6.6027118466384566E-2</v>
      </c>
      <c r="Z374" s="77">
        <f t="shared" ca="1" si="409"/>
        <v>7.3751902528109203E-2</v>
      </c>
      <c r="AA374" s="45">
        <f t="shared" ca="1" si="423"/>
        <v>39.101050355264242</v>
      </c>
      <c r="AB374" s="45">
        <f t="shared" ca="1" si="410"/>
        <v>0</v>
      </c>
      <c r="AC374" s="45" cm="1">
        <f t="array" aca="1" ref="AC374" ca="1">pHUM*(T374+W374+Z374+AD374)</f>
        <v>7.7678962901628901E-2</v>
      </c>
      <c r="AD374" s="77">
        <f t="shared" ca="1" si="411"/>
        <v>8.9494481034560702E-2</v>
      </c>
      <c r="AE374" s="45">
        <f t="shared" ca="1" si="424"/>
        <v>6.3847072090583081</v>
      </c>
      <c r="AF374" s="45">
        <f t="shared" ca="1" si="412"/>
        <v>0</v>
      </c>
      <c r="AG374" s="76">
        <f t="shared" ca="1" si="413"/>
        <v>63.511664390381029</v>
      </c>
      <c r="AH374" s="45">
        <f t="shared" ca="1" si="414"/>
        <v>0.65693845046270094</v>
      </c>
      <c r="AI374" s="77">
        <f t="shared" ca="1" si="415"/>
        <v>1.0926837331394049E-2</v>
      </c>
      <c r="AJ374" s="384">
        <f t="shared" ca="1" si="417"/>
        <v>3.2508287914642109E-2</v>
      </c>
      <c r="AU374" s="1"/>
    </row>
    <row r="375" spans="3:47" x14ac:dyDescent="0.25">
      <c r="C375" s="10">
        <f t="shared" si="442"/>
        <v>23</v>
      </c>
      <c r="D375" s="91">
        <f t="shared" si="425"/>
        <v>9</v>
      </c>
      <c r="E375" s="278"/>
      <c r="F375" s="76">
        <f t="shared" ref="F375:Q375" ca="1" si="462">F303</f>
        <v>19.09</v>
      </c>
      <c r="G375" s="46">
        <f t="shared" ca="1" si="462"/>
        <v>27.012600000000003</v>
      </c>
      <c r="H375" s="46">
        <f t="shared" ca="1" si="401"/>
        <v>28.517550000000004</v>
      </c>
      <c r="I375" s="45">
        <f t="shared" ca="1" si="402"/>
        <v>1.1472439462064867</v>
      </c>
      <c r="J375" s="45">
        <f t="shared" ca="1" si="403"/>
        <v>0.27952512346894071</v>
      </c>
      <c r="K375" s="45">
        <f t="shared" ca="1" si="419"/>
        <v>0.90345467800480783</v>
      </c>
      <c r="L375" s="358">
        <f t="shared" ca="1" si="404"/>
        <v>0.90508116523032656</v>
      </c>
      <c r="M375" s="76">
        <f t="shared" ca="1" si="462"/>
        <v>0.25347808785320641</v>
      </c>
      <c r="N375" s="45">
        <f t="shared" ca="1" si="462"/>
        <v>0.25</v>
      </c>
      <c r="O375" s="45">
        <f t="shared" ca="1" si="462"/>
        <v>0</v>
      </c>
      <c r="P375" s="46" t="str">
        <f t="shared" ca="1" si="462"/>
        <v/>
      </c>
      <c r="Q375" s="243" t="str">
        <f t="shared" ca="1" si="462"/>
        <v/>
      </c>
      <c r="R375" s="45">
        <f t="shared" ca="1" si="420"/>
        <v>8.1388845465208623E-2</v>
      </c>
      <c r="S375" s="45">
        <f t="shared" ca="1" si="444"/>
        <v>5.0695617570641283E-2</v>
      </c>
      <c r="T375" s="77">
        <f t="shared" ca="1" si="405"/>
        <v>5.0101878867953413E-2</v>
      </c>
      <c r="U375" s="45">
        <f t="shared" ca="1" si="421"/>
        <v>16.547921895648283</v>
      </c>
      <c r="V375" s="45">
        <f t="shared" ca="1" si="406"/>
        <v>0.20278247028256513</v>
      </c>
      <c r="W375" s="77">
        <f t="shared" ca="1" si="407"/>
        <v>0.46787098121457987</v>
      </c>
      <c r="X375" s="45">
        <f t="shared" ca="1" si="422"/>
        <v>1.0049512404684309</v>
      </c>
      <c r="Y375" s="45">
        <f t="shared" ca="1" si="408"/>
        <v>5.3941520161082966E-2</v>
      </c>
      <c r="Z375" s="77">
        <f t="shared" ca="1" si="409"/>
        <v>6.1451692858273857E-2</v>
      </c>
      <c r="AA375" s="45">
        <f t="shared" ca="1" si="423"/>
        <v>39.089234837131308</v>
      </c>
      <c r="AB375" s="45">
        <f t="shared" ca="1" si="410"/>
        <v>0</v>
      </c>
      <c r="AC375" s="45" cm="1">
        <f t="array" aca="1" ref="AC375" ca="1">pHUM*(T375+W375+Z375+AD375)</f>
        <v>6.3460611954215262E-2</v>
      </c>
      <c r="AD375" s="77">
        <f t="shared" ca="1" si="411"/>
        <v>7.4670069976820061E-2</v>
      </c>
      <c r="AE375" s="45">
        <f t="shared" ca="1" si="424"/>
        <v>6.3847072090583081</v>
      </c>
      <c r="AF375" s="45">
        <f t="shared" ca="1" si="412"/>
        <v>0</v>
      </c>
      <c r="AG375" s="76">
        <f t="shared" ca="1" si="413"/>
        <v>63.108204027771535</v>
      </c>
      <c r="AH375" s="45">
        <f t="shared" ca="1" si="414"/>
        <v>0.53669249080232906</v>
      </c>
      <c r="AI375" s="77">
        <f t="shared" ca="1" si="415"/>
        <v>1.0611883293390582E-2</v>
      </c>
      <c r="AJ375" s="384">
        <f t="shared" ca="1" si="417"/>
        <v>3.0628371985950142E-2</v>
      </c>
      <c r="AU375" s="1"/>
    </row>
    <row r="376" spans="3:47" x14ac:dyDescent="0.25">
      <c r="C376" s="10">
        <f t="shared" si="442"/>
        <v>23</v>
      </c>
      <c r="D376" s="91">
        <f t="shared" si="425"/>
        <v>10</v>
      </c>
      <c r="E376" s="278"/>
      <c r="F376" s="76">
        <f t="shared" ref="F376:Q376" ca="1" si="463">F304</f>
        <v>9.02</v>
      </c>
      <c r="G376" s="46">
        <f t="shared" ca="1" si="463"/>
        <v>27.012600000000003</v>
      </c>
      <c r="H376" s="46">
        <f t="shared" ca="1" si="401"/>
        <v>28.517550000000004</v>
      </c>
      <c r="I376" s="45">
        <f t="shared" ca="1" si="402"/>
        <v>0.41742778729268759</v>
      </c>
      <c r="J376" s="45">
        <f t="shared" ca="1" si="403"/>
        <v>0.27952512346894071</v>
      </c>
      <c r="K376" s="45">
        <f t="shared" ca="1" si="419"/>
        <v>0.90345467800480783</v>
      </c>
      <c r="L376" s="358">
        <f t="shared" ca="1" si="404"/>
        <v>0.68492882381082199</v>
      </c>
      <c r="M376" s="76">
        <f t="shared" ca="1" si="463"/>
        <v>0.25347808785320641</v>
      </c>
      <c r="N376" s="45">
        <f t="shared" ca="1" si="463"/>
        <v>0.25</v>
      </c>
      <c r="O376" s="45">
        <f t="shared" ca="1" si="463"/>
        <v>0</v>
      </c>
      <c r="P376" s="46" t="str">
        <f t="shared" ca="1" si="463"/>
        <v/>
      </c>
      <c r="Q376" s="243" t="str">
        <f t="shared" ca="1" si="463"/>
        <v/>
      </c>
      <c r="R376" s="45">
        <f t="shared" ca="1" si="420"/>
        <v>8.1982584167896499E-2</v>
      </c>
      <c r="S376" s="45">
        <f t="shared" ca="1" si="444"/>
        <v>5.0695617570641283E-2</v>
      </c>
      <c r="T376" s="77">
        <f t="shared" ca="1" si="405"/>
        <v>2.4086465507844296E-2</v>
      </c>
      <c r="U376" s="45">
        <f t="shared" ca="1" si="421"/>
        <v>16.282833384716266</v>
      </c>
      <c r="V376" s="45">
        <f t="shared" ca="1" si="406"/>
        <v>0.20278247028256513</v>
      </c>
      <c r="W376" s="77">
        <f t="shared" ca="1" si="407"/>
        <v>0.16903912334592597</v>
      </c>
      <c r="X376" s="45">
        <f t="shared" ca="1" si="422"/>
        <v>0.99744106777123986</v>
      </c>
      <c r="Y376" s="45">
        <f t="shared" ca="1" si="408"/>
        <v>2.0034819639200823E-2</v>
      </c>
      <c r="Z376" s="77">
        <f t="shared" ca="1" si="409"/>
        <v>2.2638906600201514E-2</v>
      </c>
      <c r="AA376" s="45">
        <f t="shared" ca="1" si="423"/>
        <v>39.078025379108702</v>
      </c>
      <c r="AB376" s="45">
        <f t="shared" ca="1" si="410"/>
        <v>0</v>
      </c>
      <c r="AC376" s="45" cm="1">
        <f t="array" aca="1" ref="AC376" ca="1">pHUM*(T376+W376+Z376+AD376)</f>
        <v>2.3570376046118616E-2</v>
      </c>
      <c r="AD376" s="77">
        <f t="shared" ca="1" si="411"/>
        <v>2.7177634430241664E-2</v>
      </c>
      <c r="AE376" s="45">
        <f t="shared" ca="1" si="424"/>
        <v>6.3847072090583081</v>
      </c>
      <c r="AF376" s="45">
        <f t="shared" ca="1" si="412"/>
        <v>0</v>
      </c>
      <c r="AG376" s="76">
        <f t="shared" ca="1" si="413"/>
        <v>62.824989624822408</v>
      </c>
      <c r="AH376" s="45">
        <f t="shared" ca="1" si="414"/>
        <v>0.19933693419889401</v>
      </c>
      <c r="AI376" s="77">
        <f t="shared" ca="1" si="415"/>
        <v>1.054883020247716E-2</v>
      </c>
      <c r="AJ376" s="384">
        <f t="shared" ca="1" si="417"/>
        <v>2.3040758626488023E-2</v>
      </c>
      <c r="AU376" s="1"/>
    </row>
    <row r="377" spans="3:47" x14ac:dyDescent="0.25">
      <c r="C377" s="10">
        <f t="shared" si="442"/>
        <v>23</v>
      </c>
      <c r="D377" s="91">
        <f t="shared" si="425"/>
        <v>11</v>
      </c>
      <c r="E377" s="278"/>
      <c r="F377" s="76">
        <f t="shared" ref="F377:Q377" ca="1" si="464">F305</f>
        <v>5.62</v>
      </c>
      <c r="G377" s="46">
        <f t="shared" ca="1" si="464"/>
        <v>27.012600000000003</v>
      </c>
      <c r="H377" s="46">
        <f t="shared" ca="1" si="401"/>
        <v>28.517550000000004</v>
      </c>
      <c r="I377" s="45">
        <f t="shared" ca="1" si="402"/>
        <v>0.24215575259059691</v>
      </c>
      <c r="J377" s="45">
        <f t="shared" ca="1" si="403"/>
        <v>0.27952512346894071</v>
      </c>
      <c r="K377" s="45">
        <f t="shared" ca="1" si="419"/>
        <v>0.90345467800480783</v>
      </c>
      <c r="L377" s="358">
        <f t="shared" ca="1" si="404"/>
        <v>0.5671500175141555</v>
      </c>
      <c r="M377" s="76">
        <f t="shared" ca="1" si="464"/>
        <v>0.25347808785320641</v>
      </c>
      <c r="N377" s="45">
        <f t="shared" ca="1" si="464"/>
        <v>0.25</v>
      </c>
      <c r="O377" s="45">
        <f t="shared" ca="1" si="464"/>
        <v>0</v>
      </c>
      <c r="P377" s="46" t="str">
        <f t="shared" ca="1" si="464"/>
        <v/>
      </c>
      <c r="Q377" s="243" t="str">
        <f t="shared" ca="1" si="464"/>
        <v/>
      </c>
      <c r="R377" s="45">
        <f t="shared" ca="1" si="420"/>
        <v>0.10859173623069349</v>
      </c>
      <c r="S377" s="45">
        <f t="shared" ca="1" si="444"/>
        <v>5.0695617570641283E-2</v>
      </c>
      <c r="T377" s="77">
        <f t="shared" ca="1" si="405"/>
        <v>1.9843917491017132E-2</v>
      </c>
      <c r="U377" s="45">
        <f t="shared" ca="1" si="421"/>
        <v>16.316576731652905</v>
      </c>
      <c r="V377" s="45">
        <f t="shared" ca="1" si="406"/>
        <v>0.20278247028256513</v>
      </c>
      <c r="W377" s="77">
        <f t="shared" ca="1" si="407"/>
        <v>9.8480427157049147E-2</v>
      </c>
      <c r="X377" s="45">
        <f t="shared" ca="1" si="422"/>
        <v>0.99483698081023908</v>
      </c>
      <c r="Y377" s="45">
        <f t="shared" ca="1" si="408"/>
        <v>1.214360351926486E-2</v>
      </c>
      <c r="Z377" s="77">
        <f t="shared" ca="1" si="409"/>
        <v>1.3161958609095093E-2</v>
      </c>
      <c r="AA377" s="45">
        <f t="shared" ca="1" si="423"/>
        <v>39.07441812072458</v>
      </c>
      <c r="AB377" s="45">
        <f t="shared" ca="1" si="410"/>
        <v>0</v>
      </c>
      <c r="AC377" s="45" cm="1">
        <f t="array" aca="1" ref="AC377" ca="1">pHUM*(T377+W377+Z377+AD377)</f>
        <v>1.4286592375605717E-2</v>
      </c>
      <c r="AD377" s="77">
        <f t="shared" ca="1" si="411"/>
        <v>1.5766976611012982E-2</v>
      </c>
      <c r="AE377" s="45">
        <f t="shared" ca="1" si="424"/>
        <v>6.3847072090583081</v>
      </c>
      <c r="AF377" s="45">
        <f t="shared" ca="1" si="412"/>
        <v>0</v>
      </c>
      <c r="AG377" s="76">
        <f t="shared" ca="1" si="413"/>
        <v>62.879130778476721</v>
      </c>
      <c r="AH377" s="45">
        <f t="shared" ca="1" si="414"/>
        <v>0.12082308397330378</v>
      </c>
      <c r="AI377" s="77">
        <f t="shared" ca="1" si="415"/>
        <v>1.0943515428615529E-2</v>
      </c>
      <c r="AJ377" s="384">
        <f t="shared" ca="1" si="417"/>
        <v>1.9792614441112022E-2</v>
      </c>
      <c r="AU377" s="1"/>
    </row>
    <row r="378" spans="3:47" x14ac:dyDescent="0.25">
      <c r="C378" s="10">
        <f t="shared" si="442"/>
        <v>23</v>
      </c>
      <c r="D378" s="91">
        <f t="shared" si="425"/>
        <v>12</v>
      </c>
      <c r="E378" s="278"/>
      <c r="F378" s="76">
        <f t="shared" ref="F378:Q378" ca="1" si="465">F306</f>
        <v>3.68</v>
      </c>
      <c r="G378" s="46">
        <f t="shared" ca="1" si="465"/>
        <v>27.012600000000003</v>
      </c>
      <c r="H378" s="46">
        <f t="shared" ca="1" si="401"/>
        <v>28.517550000000004</v>
      </c>
      <c r="I378" s="45">
        <f t="shared" ca="1" si="402"/>
        <v>0.16418562454767627</v>
      </c>
      <c r="J378" s="45">
        <f t="shared" ca="1" si="403"/>
        <v>0.27952512346894071</v>
      </c>
      <c r="K378" s="45">
        <f t="shared" ca="1" si="419"/>
        <v>0.90345467800480783</v>
      </c>
      <c r="L378" s="358">
        <f t="shared" ca="1" si="404"/>
        <v>0.49525928680467546</v>
      </c>
      <c r="M378" s="76">
        <f t="shared" ca="1" si="465"/>
        <v>0.25347808785320641</v>
      </c>
      <c r="N378" s="45">
        <f t="shared" ca="1" si="465"/>
        <v>0.25</v>
      </c>
      <c r="O378" s="45">
        <f t="shared" ca="1" si="465"/>
        <v>0</v>
      </c>
      <c r="P378" s="46" t="str">
        <f t="shared" ca="1" si="465"/>
        <v/>
      </c>
      <c r="Q378" s="243" t="str">
        <f t="shared" ca="1" si="465"/>
        <v/>
      </c>
      <c r="R378" s="45">
        <f t="shared" ca="1" si="420"/>
        <v>0.13944343631031764</v>
      </c>
      <c r="S378" s="45">
        <f t="shared" ca="1" si="444"/>
        <v>5.0695617570641283E-2</v>
      </c>
      <c r="T378" s="77">
        <f t="shared" ca="1" si="405"/>
        <v>1.7831187991366577E-2</v>
      </c>
      <c r="U378" s="45">
        <f t="shared" ca="1" si="421"/>
        <v>16.420878774778419</v>
      </c>
      <c r="V378" s="45">
        <f t="shared" ca="1" si="406"/>
        <v>0.20278247028256513</v>
      </c>
      <c r="W378" s="77">
        <f t="shared" ca="1" si="407"/>
        <v>6.7263664907487336E-2</v>
      </c>
      <c r="X378" s="45">
        <f t="shared" ca="1" si="422"/>
        <v>0.9938186257204088</v>
      </c>
      <c r="Y378" s="45">
        <f t="shared" ca="1" si="408"/>
        <v>8.635943126579268E-3</v>
      </c>
      <c r="Z378" s="77">
        <f t="shared" ca="1" si="409"/>
        <v>8.9339916290591594E-3</v>
      </c>
      <c r="AA378" s="45">
        <f t="shared" ca="1" si="423"/>
        <v>39.072937736489173</v>
      </c>
      <c r="AB378" s="45">
        <f t="shared" ca="1" si="410"/>
        <v>0</v>
      </c>
      <c r="AC378" s="45" cm="1">
        <f t="array" aca="1" ref="AC378" ca="1">pHUM*(T378+W378+Z378+AD378)</f>
        <v>1.0159933090093257E-2</v>
      </c>
      <c r="AD378" s="77">
        <f t="shared" ca="1" si="411"/>
        <v>1.0690561711462997E-2</v>
      </c>
      <c r="AE378" s="45">
        <f t="shared" ca="1" si="424"/>
        <v>6.3847072090583081</v>
      </c>
      <c r="AF378" s="45">
        <f t="shared" ca="1" si="412"/>
        <v>0</v>
      </c>
      <c r="AG378" s="76">
        <f t="shared" ca="1" si="413"/>
        <v>63.011785782356625</v>
      </c>
      <c r="AH378" s="45">
        <f t="shared" ca="1" si="414"/>
        <v>8.5923530022703545E-2</v>
      </c>
      <c r="AI378" s="77">
        <f t="shared" ca="1" si="415"/>
        <v>1.1416912836732736E-2</v>
      </c>
      <c r="AJ378" s="384">
        <f t="shared" ca="1" si="417"/>
        <v>1.8031439343421107E-2</v>
      </c>
      <c r="AU378" s="1"/>
    </row>
    <row r="379" spans="3:47" x14ac:dyDescent="0.25">
      <c r="C379" s="10">
        <f t="shared" si="442"/>
        <v>24</v>
      </c>
      <c r="D379" s="91">
        <f t="shared" si="425"/>
        <v>1</v>
      </c>
      <c r="E379" s="278"/>
      <c r="F379" s="76">
        <f t="shared" ref="F379:Q379" si="466">F307</f>
        <v>0.85587096774193583</v>
      </c>
      <c r="G379" s="46">
        <f t="shared" si="466"/>
        <v>78.439554282868485</v>
      </c>
      <c r="H379" s="46">
        <f t="shared" si="401"/>
        <v>-22.909404282868479</v>
      </c>
      <c r="I379" s="45">
        <f t="shared" si="402"/>
        <v>0</v>
      </c>
      <c r="J379" s="45">
        <f t="shared" si="403"/>
        <v>0.23072180944359474</v>
      </c>
      <c r="K379" s="45">
        <f t="shared" ca="1" si="419"/>
        <v>0.74571722023659515</v>
      </c>
      <c r="L379" s="358">
        <f t="shared" si="404"/>
        <v>0.39170179323548027</v>
      </c>
      <c r="M379" s="76">
        <f t="shared" ca="1" si="466"/>
        <v>0.25347808785320641</v>
      </c>
      <c r="N379" s="45">
        <f t="shared" ca="1" si="466"/>
        <v>0.25</v>
      </c>
      <c r="O379" s="45">
        <f t="shared" ca="1" si="466"/>
        <v>0</v>
      </c>
      <c r="P379" s="46" t="str">
        <f t="shared" ca="1" si="466"/>
        <v/>
      </c>
      <c r="Q379" s="243" t="str">
        <f t="shared" ca="1" si="466"/>
        <v/>
      </c>
      <c r="R379" s="45">
        <f t="shared" ca="1" si="420"/>
        <v>0.17230786588959235</v>
      </c>
      <c r="S379" s="45">
        <f t="shared" ca="1" si="444"/>
        <v>5.0695617570641283E-2</v>
      </c>
      <c r="T379" s="77">
        <f t="shared" ca="1" si="405"/>
        <v>0</v>
      </c>
      <c r="U379" s="45">
        <f t="shared" ca="1" si="421"/>
        <v>16.556397580153497</v>
      </c>
      <c r="V379" s="45">
        <f t="shared" ca="1" si="406"/>
        <v>0.20278247028256513</v>
      </c>
      <c r="W379" s="77">
        <f t="shared" ca="1" si="407"/>
        <v>0</v>
      </c>
      <c r="X379" s="45">
        <f t="shared" ca="1" si="422"/>
        <v>0.99352057721792897</v>
      </c>
      <c r="Y379" s="45">
        <f t="shared" ca="1" si="408"/>
        <v>0</v>
      </c>
      <c r="Z379" s="77">
        <f t="shared" ca="1" si="409"/>
        <v>0</v>
      </c>
      <c r="AA379" s="45">
        <f t="shared" ca="1" si="423"/>
        <v>39.072407107867804</v>
      </c>
      <c r="AB379" s="45">
        <f t="shared" ca="1" si="410"/>
        <v>0</v>
      </c>
      <c r="AC379" s="45" cm="1">
        <f t="array" aca="1" ref="AC379" ca="1">pHUM*(T379+W379+Z379+AD379)</f>
        <v>0</v>
      </c>
      <c r="AD379" s="77">
        <f t="shared" ca="1" si="411"/>
        <v>0</v>
      </c>
      <c r="AE379" s="45">
        <f t="shared" ca="1" si="424"/>
        <v>6.3847072090583081</v>
      </c>
      <c r="AF379" s="45">
        <f t="shared" ca="1" si="412"/>
        <v>0</v>
      </c>
      <c r="AG379" s="76">
        <f t="shared" ca="1" si="413"/>
        <v>63.179340340187125</v>
      </c>
      <c r="AH379" s="45">
        <f t="shared" ca="1" si="414"/>
        <v>0</v>
      </c>
      <c r="AI379" s="77">
        <f t="shared" ca="1" si="415"/>
        <v>1.192479114076817E-2</v>
      </c>
      <c r="AJ379" s="384">
        <f t="shared" ca="1" si="417"/>
        <v>1.2294916238820841E-2</v>
      </c>
      <c r="AU379" s="1"/>
    </row>
    <row r="380" spans="3:47" x14ac:dyDescent="0.25">
      <c r="C380" s="10">
        <f t="shared" si="442"/>
        <v>24</v>
      </c>
      <c r="D380" s="91">
        <f t="shared" si="425"/>
        <v>2</v>
      </c>
      <c r="E380" s="278"/>
      <c r="F380" s="76">
        <f t="shared" ref="F380:Q380" si="467">F308</f>
        <v>0.91042857142857181</v>
      </c>
      <c r="G380" s="46">
        <f t="shared" si="467"/>
        <v>77.312634079068317</v>
      </c>
      <c r="H380" s="46">
        <f t="shared" si="401"/>
        <v>-21.782484079068311</v>
      </c>
      <c r="I380" s="45">
        <f t="shared" si="402"/>
        <v>0</v>
      </c>
      <c r="J380" s="45">
        <f t="shared" si="403"/>
        <v>0.23463537609132465</v>
      </c>
      <c r="K380" s="45">
        <f t="shared" ca="1" si="419"/>
        <v>0.75836628037006848</v>
      </c>
      <c r="L380" s="358">
        <f t="shared" si="404"/>
        <v>0.39364266736760256</v>
      </c>
      <c r="M380" s="76">
        <f t="shared" ca="1" si="467"/>
        <v>0.25347808785320641</v>
      </c>
      <c r="N380" s="45">
        <f t="shared" ca="1" si="467"/>
        <v>0.25</v>
      </c>
      <c r="O380" s="45">
        <f t="shared" ca="1" si="467"/>
        <v>0</v>
      </c>
      <c r="P380" s="46" t="str">
        <f t="shared" ca="1" si="467"/>
        <v/>
      </c>
      <c r="Q380" s="243" t="str">
        <f t="shared" ca="1" si="467"/>
        <v/>
      </c>
      <c r="R380" s="45">
        <f t="shared" ca="1" si="420"/>
        <v>0.22300348346023363</v>
      </c>
      <c r="S380" s="45">
        <f t="shared" ca="1" si="444"/>
        <v>5.0695617570641283E-2</v>
      </c>
      <c r="T380" s="77">
        <f t="shared" ca="1" si="405"/>
        <v>0</v>
      </c>
      <c r="U380" s="45">
        <f t="shared" ca="1" si="421"/>
        <v>16.759180050436061</v>
      </c>
      <c r="V380" s="45">
        <f t="shared" ca="1" si="406"/>
        <v>0.20278247028256513</v>
      </c>
      <c r="W380" s="77">
        <f t="shared" ca="1" si="407"/>
        <v>0</v>
      </c>
      <c r="X380" s="45">
        <f t="shared" ca="1" si="422"/>
        <v>0.99352057721792897</v>
      </c>
      <c r="Y380" s="45">
        <f t="shared" ca="1" si="408"/>
        <v>0</v>
      </c>
      <c r="Z380" s="77">
        <f t="shared" ca="1" si="409"/>
        <v>0</v>
      </c>
      <c r="AA380" s="45">
        <f t="shared" ca="1" si="423"/>
        <v>39.072407107867804</v>
      </c>
      <c r="AB380" s="45">
        <f t="shared" ca="1" si="410"/>
        <v>0</v>
      </c>
      <c r="AC380" s="45" cm="1">
        <f t="array" aca="1" ref="AC380" ca="1">pHUM*(T380+W380+Z380+AD380)</f>
        <v>0</v>
      </c>
      <c r="AD380" s="77">
        <f t="shared" ca="1" si="411"/>
        <v>0</v>
      </c>
      <c r="AE380" s="45">
        <f t="shared" ca="1" si="424"/>
        <v>6.3847072090583081</v>
      </c>
      <c r="AF380" s="45">
        <f t="shared" ca="1" si="412"/>
        <v>0</v>
      </c>
      <c r="AG380" s="76">
        <f t="shared" ca="1" si="413"/>
        <v>63.432818428040335</v>
      </c>
      <c r="AH380" s="45">
        <f t="shared" ca="1" si="414"/>
        <v>0</v>
      </c>
      <c r="AI380" s="77">
        <f t="shared" ca="1" si="415"/>
        <v>1.2701210123443442E-2</v>
      </c>
      <c r="AJ380" s="384">
        <f t="shared" ca="1" si="417"/>
        <v>1.3383536776738758E-2</v>
      </c>
      <c r="AU380" s="1"/>
    </row>
    <row r="381" spans="3:47" x14ac:dyDescent="0.25">
      <c r="C381" s="10">
        <f t="shared" si="442"/>
        <v>24</v>
      </c>
      <c r="D381" s="91">
        <f t="shared" si="425"/>
        <v>3</v>
      </c>
      <c r="E381" s="278"/>
      <c r="F381" s="76">
        <f t="shared" ref="F381:Q381" si="468">F309</f>
        <v>1.7499333333333336</v>
      </c>
      <c r="G381" s="46">
        <f t="shared" si="468"/>
        <v>89.127050621045186</v>
      </c>
      <c r="H381" s="46">
        <f t="shared" si="401"/>
        <v>-33.596900621045179</v>
      </c>
      <c r="I381" s="45">
        <f t="shared" si="402"/>
        <v>0</v>
      </c>
      <c r="J381" s="45">
        <f t="shared" si="403"/>
        <v>0.19161115755788954</v>
      </c>
      <c r="K381" s="45">
        <f t="shared" ca="1" si="419"/>
        <v>0.61930746869995335</v>
      </c>
      <c r="L381" s="358">
        <f t="shared" si="404"/>
        <v>0.42389567243620196</v>
      </c>
      <c r="M381" s="76">
        <f t="shared" ca="1" si="468"/>
        <v>0.25347808785320641</v>
      </c>
      <c r="N381" s="45">
        <f t="shared" ca="1" si="468"/>
        <v>0.25</v>
      </c>
      <c r="O381" s="45">
        <f t="shared" ca="1" si="468"/>
        <v>0</v>
      </c>
      <c r="P381" s="46" t="str">
        <f t="shared" ca="1" si="468"/>
        <v/>
      </c>
      <c r="Q381" s="243" t="str">
        <f t="shared" ca="1" si="468"/>
        <v/>
      </c>
      <c r="R381" s="45">
        <f t="shared" ca="1" si="420"/>
        <v>0.27369910103087491</v>
      </c>
      <c r="S381" s="45">
        <f t="shared" ca="1" si="444"/>
        <v>5.0695617570641283E-2</v>
      </c>
      <c r="T381" s="77">
        <f t="shared" ca="1" si="405"/>
        <v>0</v>
      </c>
      <c r="U381" s="45">
        <f t="shared" ca="1" si="421"/>
        <v>16.961962520718625</v>
      </c>
      <c r="V381" s="45">
        <f t="shared" ca="1" si="406"/>
        <v>0.20278247028256513</v>
      </c>
      <c r="W381" s="77">
        <f t="shared" ca="1" si="407"/>
        <v>0</v>
      </c>
      <c r="X381" s="45">
        <f t="shared" ca="1" si="422"/>
        <v>0.99352057721792897</v>
      </c>
      <c r="Y381" s="45">
        <f t="shared" ca="1" si="408"/>
        <v>0</v>
      </c>
      <c r="Z381" s="77">
        <f t="shared" ca="1" si="409"/>
        <v>0</v>
      </c>
      <c r="AA381" s="45">
        <f t="shared" ca="1" si="423"/>
        <v>39.072407107867804</v>
      </c>
      <c r="AB381" s="45">
        <f t="shared" ca="1" si="410"/>
        <v>0</v>
      </c>
      <c r="AC381" s="45" cm="1">
        <f t="array" aca="1" ref="AC381" ca="1">pHUM*(T381+W381+Z381+AD381)</f>
        <v>0</v>
      </c>
      <c r="AD381" s="77">
        <f t="shared" ca="1" si="411"/>
        <v>0</v>
      </c>
      <c r="AE381" s="45">
        <f t="shared" ca="1" si="424"/>
        <v>6.3847072090583081</v>
      </c>
      <c r="AF381" s="45">
        <f t="shared" ca="1" si="412"/>
        <v>0</v>
      </c>
      <c r="AG381" s="76">
        <f t="shared" ca="1" si="413"/>
        <v>63.686296515893538</v>
      </c>
      <c r="AH381" s="45">
        <f t="shared" ca="1" si="414"/>
        <v>0</v>
      </c>
      <c r="AI381" s="77">
        <f t="shared" ca="1" si="415"/>
        <v>1.347076000522702E-2</v>
      </c>
      <c r="AJ381" s="384">
        <f t="shared" ca="1" si="417"/>
        <v>1.2482523251596822E-2</v>
      </c>
      <c r="AU381" s="1"/>
    </row>
    <row r="382" spans="3:47" x14ac:dyDescent="0.25">
      <c r="C382" s="10">
        <f t="shared" si="442"/>
        <v>24</v>
      </c>
      <c r="D382" s="91">
        <f t="shared" si="425"/>
        <v>4</v>
      </c>
      <c r="E382" s="278"/>
      <c r="F382" s="76">
        <f t="shared" ref="F382:Q382" si="469">F310</f>
        <v>5.3144</v>
      </c>
      <c r="G382" s="46">
        <f t="shared" si="469"/>
        <v>88.517400984298064</v>
      </c>
      <c r="H382" s="46">
        <f t="shared" si="401"/>
        <v>-32.987250984298058</v>
      </c>
      <c r="I382" s="45">
        <f t="shared" si="402"/>
        <v>0</v>
      </c>
      <c r="J382" s="45">
        <f t="shared" si="403"/>
        <v>0.19391725365845511</v>
      </c>
      <c r="K382" s="45">
        <f t="shared" ca="1" si="419"/>
        <v>0.62676101449980381</v>
      </c>
      <c r="L382" s="358">
        <f t="shared" si="404"/>
        <v>0.55593677468735669</v>
      </c>
      <c r="M382" s="76">
        <f t="shared" ca="1" si="469"/>
        <v>0.25347808785320641</v>
      </c>
      <c r="N382" s="45">
        <f t="shared" ca="1" si="469"/>
        <v>0.25</v>
      </c>
      <c r="O382" s="45">
        <f t="shared" ca="1" si="469"/>
        <v>0</v>
      </c>
      <c r="P382" s="46" t="str">
        <f t="shared" ca="1" si="469"/>
        <v/>
      </c>
      <c r="Q382" s="243" t="str">
        <f t="shared" ca="1" si="469"/>
        <v/>
      </c>
      <c r="R382" s="45">
        <f t="shared" ca="1" si="420"/>
        <v>0.3243947186015162</v>
      </c>
      <c r="S382" s="45">
        <f t="shared" ca="1" si="444"/>
        <v>5.0695617570641283E-2</v>
      </c>
      <c r="T382" s="77">
        <f t="shared" ca="1" si="405"/>
        <v>0</v>
      </c>
      <c r="U382" s="45">
        <f t="shared" ca="1" si="421"/>
        <v>17.164744991001189</v>
      </c>
      <c r="V382" s="45">
        <f t="shared" ca="1" si="406"/>
        <v>0.20278247028256513</v>
      </c>
      <c r="W382" s="77">
        <f t="shared" ca="1" si="407"/>
        <v>0</v>
      </c>
      <c r="X382" s="45">
        <f t="shared" ca="1" si="422"/>
        <v>0.99352057721792897</v>
      </c>
      <c r="Y382" s="45">
        <f t="shared" ca="1" si="408"/>
        <v>0</v>
      </c>
      <c r="Z382" s="77">
        <f t="shared" ca="1" si="409"/>
        <v>0</v>
      </c>
      <c r="AA382" s="45">
        <f t="shared" ca="1" si="423"/>
        <v>39.072407107867804</v>
      </c>
      <c r="AB382" s="45">
        <f t="shared" ca="1" si="410"/>
        <v>0</v>
      </c>
      <c r="AC382" s="45" cm="1">
        <f t="array" aca="1" ref="AC382" ca="1">pHUM*(T382+W382+Z382+AD382)</f>
        <v>0</v>
      </c>
      <c r="AD382" s="77">
        <f t="shared" ca="1" si="411"/>
        <v>0</v>
      </c>
      <c r="AE382" s="45">
        <f t="shared" ca="1" si="424"/>
        <v>6.3847072090583081</v>
      </c>
      <c r="AF382" s="45">
        <f t="shared" ca="1" si="412"/>
        <v>0</v>
      </c>
      <c r="AG382" s="76">
        <f t="shared" ca="1" si="413"/>
        <v>63.939774603746741</v>
      </c>
      <c r="AH382" s="45">
        <f t="shared" ca="1" si="414"/>
        <v>0</v>
      </c>
      <c r="AI382" s="77">
        <f t="shared" ca="1" si="415"/>
        <v>1.4233531542674576E-2</v>
      </c>
      <c r="AJ382" s="384">
        <f t="shared" ca="1" si="417"/>
        <v>1.7505840712329634E-2</v>
      </c>
      <c r="AU382" s="1"/>
    </row>
    <row r="383" spans="3:47" x14ac:dyDescent="0.25">
      <c r="C383" s="10">
        <f t="shared" si="442"/>
        <v>24</v>
      </c>
      <c r="D383" s="91">
        <f t="shared" si="425"/>
        <v>5</v>
      </c>
      <c r="E383" s="278"/>
      <c r="F383" s="76">
        <f t="shared" ref="F383:Q383" si="470">F311</f>
        <v>12.662516129032257</v>
      </c>
      <c r="G383" s="46">
        <f t="shared" si="470"/>
        <v>89.413014608233681</v>
      </c>
      <c r="H383" s="46">
        <f t="shared" si="401"/>
        <v>-33.882864608233675</v>
      </c>
      <c r="I383" s="45">
        <f t="shared" si="402"/>
        <v>0</v>
      </c>
      <c r="J383" s="45">
        <f t="shared" si="403"/>
        <v>0.19052718077467024</v>
      </c>
      <c r="K383" s="45">
        <f t="shared" ca="1" si="419"/>
        <v>0.6158039414194908</v>
      </c>
      <c r="L383" s="358">
        <f t="shared" si="404"/>
        <v>0.78870900469063665</v>
      </c>
      <c r="M383" s="76">
        <f t="shared" ca="1" si="470"/>
        <v>0.25347808785320641</v>
      </c>
      <c r="N383" s="45">
        <f t="shared" ca="1" si="470"/>
        <v>0.25</v>
      </c>
      <c r="O383" s="45">
        <f t="shared" ca="1" si="470"/>
        <v>0</v>
      </c>
      <c r="P383" s="46" t="str">
        <f t="shared" ca="1" si="470"/>
        <v/>
      </c>
      <c r="Q383" s="243" t="str">
        <f t="shared" ca="1" si="470"/>
        <v/>
      </c>
      <c r="R383" s="45">
        <f t="shared" ca="1" si="420"/>
        <v>0.37509033617215748</v>
      </c>
      <c r="S383" s="45">
        <f t="shared" ca="1" si="444"/>
        <v>5.0695617570641283E-2</v>
      </c>
      <c r="T383" s="77">
        <f t="shared" ca="1" si="405"/>
        <v>0</v>
      </c>
      <c r="U383" s="45">
        <f t="shared" ca="1" si="421"/>
        <v>17.367527461283753</v>
      </c>
      <c r="V383" s="45">
        <f t="shared" ca="1" si="406"/>
        <v>0.20278247028256513</v>
      </c>
      <c r="W383" s="77">
        <f t="shared" ca="1" si="407"/>
        <v>0</v>
      </c>
      <c r="X383" s="45">
        <f t="shared" ca="1" si="422"/>
        <v>0.99352057721792897</v>
      </c>
      <c r="Y383" s="45">
        <f t="shared" ca="1" si="408"/>
        <v>0</v>
      </c>
      <c r="Z383" s="77">
        <f t="shared" ca="1" si="409"/>
        <v>0</v>
      </c>
      <c r="AA383" s="45">
        <f t="shared" ca="1" si="423"/>
        <v>39.072407107867804</v>
      </c>
      <c r="AB383" s="45">
        <f t="shared" ca="1" si="410"/>
        <v>0</v>
      </c>
      <c r="AC383" s="45" cm="1">
        <f t="array" aca="1" ref="AC383" ca="1">pHUM*(T383+W383+Z383+AD383)</f>
        <v>0</v>
      </c>
      <c r="AD383" s="77">
        <f t="shared" ca="1" si="411"/>
        <v>0</v>
      </c>
      <c r="AE383" s="45">
        <f t="shared" ca="1" si="424"/>
        <v>6.3847072090583081</v>
      </c>
      <c r="AF383" s="45">
        <f t="shared" ca="1" si="412"/>
        <v>0</v>
      </c>
      <c r="AG383" s="76">
        <f t="shared" ca="1" si="413"/>
        <v>64.193252691599952</v>
      </c>
      <c r="AH383" s="45">
        <f t="shared" ca="1" si="414"/>
        <v>0</v>
      </c>
      <c r="AI383" s="77">
        <f t="shared" ca="1" si="415"/>
        <v>1.4989613900549556E-2</v>
      </c>
      <c r="AJ383" s="384">
        <f t="shared" ca="1" si="417"/>
        <v>2.5697405638837045E-2</v>
      </c>
      <c r="AU383" s="1"/>
    </row>
    <row r="384" spans="3:47" x14ac:dyDescent="0.25">
      <c r="C384" s="10">
        <f t="shared" si="442"/>
        <v>24</v>
      </c>
      <c r="D384" s="91">
        <f t="shared" si="425"/>
        <v>6</v>
      </c>
      <c r="E384" s="278"/>
      <c r="F384" s="76">
        <f t="shared" ref="F384:Q384" si="471">F312</f>
        <v>17.952400000000004</v>
      </c>
      <c r="G384" s="46">
        <f t="shared" si="471"/>
        <v>83.948488098886401</v>
      </c>
      <c r="H384" s="46">
        <f t="shared" si="401"/>
        <v>-28.418338098886395</v>
      </c>
      <c r="I384" s="45">
        <f t="shared" si="402"/>
        <v>0</v>
      </c>
      <c r="J384" s="45">
        <f t="shared" si="403"/>
        <v>0.21095121603234232</v>
      </c>
      <c r="K384" s="45">
        <f t="shared" ca="1" si="419"/>
        <v>0.68181657730811884</v>
      </c>
      <c r="L384" s="358">
        <f t="shared" si="404"/>
        <v>0.89013124354981255</v>
      </c>
      <c r="M384" s="76">
        <f t="shared" ca="1" si="471"/>
        <v>0.25347808785320641</v>
      </c>
      <c r="N384" s="45">
        <f t="shared" ca="1" si="471"/>
        <v>0.25</v>
      </c>
      <c r="O384" s="45">
        <f t="shared" ca="1" si="471"/>
        <v>0</v>
      </c>
      <c r="P384" s="46" t="str">
        <f t="shared" ca="1" si="471"/>
        <v/>
      </c>
      <c r="Q384" s="243" t="str">
        <f t="shared" ca="1" si="471"/>
        <v/>
      </c>
      <c r="R384" s="45">
        <f t="shared" ca="1" si="420"/>
        <v>0.42578595374279876</v>
      </c>
      <c r="S384" s="45">
        <f t="shared" ca="1" si="444"/>
        <v>5.0695617570641283E-2</v>
      </c>
      <c r="T384" s="77">
        <f t="shared" ca="1" si="405"/>
        <v>0</v>
      </c>
      <c r="U384" s="45">
        <f t="shared" ca="1" si="421"/>
        <v>17.570309931566317</v>
      </c>
      <c r="V384" s="45">
        <f t="shared" ca="1" si="406"/>
        <v>0.20278247028256513</v>
      </c>
      <c r="W384" s="77">
        <f t="shared" ca="1" si="407"/>
        <v>0</v>
      </c>
      <c r="X384" s="45">
        <f t="shared" ca="1" si="422"/>
        <v>0.99352057721792897</v>
      </c>
      <c r="Y384" s="45">
        <f t="shared" ca="1" si="408"/>
        <v>0</v>
      </c>
      <c r="Z384" s="77">
        <f t="shared" ca="1" si="409"/>
        <v>0</v>
      </c>
      <c r="AA384" s="45">
        <f t="shared" ca="1" si="423"/>
        <v>39.072407107867804</v>
      </c>
      <c r="AB384" s="45">
        <f t="shared" ca="1" si="410"/>
        <v>0</v>
      </c>
      <c r="AC384" s="45" cm="1">
        <f t="array" aca="1" ref="AC384" ca="1">pHUM*(T384+W384+Z384+AD384)</f>
        <v>0</v>
      </c>
      <c r="AD384" s="77">
        <f t="shared" ca="1" si="411"/>
        <v>0</v>
      </c>
      <c r="AE384" s="45">
        <f t="shared" ca="1" si="424"/>
        <v>6.3847072090583081</v>
      </c>
      <c r="AF384" s="45">
        <f t="shared" ca="1" si="412"/>
        <v>0</v>
      </c>
      <c r="AG384" s="76">
        <f t="shared" ca="1" si="413"/>
        <v>64.446730779453162</v>
      </c>
      <c r="AH384" s="45">
        <f t="shared" ca="1" si="414"/>
        <v>0</v>
      </c>
      <c r="AI384" s="77">
        <f t="shared" ca="1" si="415"/>
        <v>1.5739094686569179E-2</v>
      </c>
      <c r="AJ384" s="384">
        <f t="shared" ca="1" si="417"/>
        <v>3.3716123335625348E-2</v>
      </c>
      <c r="AU384" s="1"/>
    </row>
    <row r="385" spans="3:47" x14ac:dyDescent="0.25">
      <c r="C385" s="10">
        <f t="shared" si="442"/>
        <v>24</v>
      </c>
      <c r="D385" s="91">
        <f t="shared" si="425"/>
        <v>7</v>
      </c>
      <c r="E385" s="278"/>
      <c r="F385" s="76">
        <f t="shared" ref="F385:Q385" si="472">F313</f>
        <v>21.363032258064525</v>
      </c>
      <c r="G385" s="46">
        <f t="shared" si="472"/>
        <v>73.679575814389409</v>
      </c>
      <c r="H385" s="46">
        <f t="shared" si="401"/>
        <v>-18.149425814389403</v>
      </c>
      <c r="I385" s="45">
        <f t="shared" si="402"/>
        <v>0</v>
      </c>
      <c r="J385" s="45">
        <f t="shared" si="403"/>
        <v>0.2468878570948656</v>
      </c>
      <c r="K385" s="45">
        <f t="shared" ca="1" si="419"/>
        <v>0.79796759113040194</v>
      </c>
      <c r="L385" s="358">
        <f t="shared" si="404"/>
        <v>0.92905557700722019</v>
      </c>
      <c r="M385" s="76">
        <f t="shared" ca="1" si="472"/>
        <v>0.25347808785320641</v>
      </c>
      <c r="N385" s="45">
        <f t="shared" ca="1" si="472"/>
        <v>0.25</v>
      </c>
      <c r="O385" s="45">
        <f t="shared" ca="1" si="472"/>
        <v>0</v>
      </c>
      <c r="P385" s="46" t="str">
        <f t="shared" ca="1" si="472"/>
        <v/>
      </c>
      <c r="Q385" s="243" t="str">
        <f t="shared" ca="1" si="472"/>
        <v/>
      </c>
      <c r="R385" s="45">
        <f t="shared" ca="1" si="420"/>
        <v>0.47648157131344004</v>
      </c>
      <c r="S385" s="45">
        <f t="shared" ca="1" si="444"/>
        <v>5.0695617570641283E-2</v>
      </c>
      <c r="T385" s="77">
        <f t="shared" ca="1" si="405"/>
        <v>0</v>
      </c>
      <c r="U385" s="45">
        <f t="shared" ca="1" si="421"/>
        <v>17.773092401848881</v>
      </c>
      <c r="V385" s="45">
        <f t="shared" ca="1" si="406"/>
        <v>0.20278247028256513</v>
      </c>
      <c r="W385" s="77">
        <f t="shared" ca="1" si="407"/>
        <v>0</v>
      </c>
      <c r="X385" s="45">
        <f t="shared" ca="1" si="422"/>
        <v>0.99352057721792897</v>
      </c>
      <c r="Y385" s="45">
        <f t="shared" ca="1" si="408"/>
        <v>0</v>
      </c>
      <c r="Z385" s="77">
        <f t="shared" ca="1" si="409"/>
        <v>0</v>
      </c>
      <c r="AA385" s="45">
        <f t="shared" ca="1" si="423"/>
        <v>39.072407107867804</v>
      </c>
      <c r="AB385" s="45">
        <f t="shared" ca="1" si="410"/>
        <v>0</v>
      </c>
      <c r="AC385" s="45" cm="1">
        <f t="array" aca="1" ref="AC385" ca="1">pHUM*(T385+W385+Z385+AD385)</f>
        <v>0</v>
      </c>
      <c r="AD385" s="77">
        <f t="shared" ca="1" si="411"/>
        <v>0</v>
      </c>
      <c r="AE385" s="45">
        <f t="shared" ca="1" si="424"/>
        <v>6.3847072090583081</v>
      </c>
      <c r="AF385" s="45">
        <f t="shared" ca="1" si="412"/>
        <v>0</v>
      </c>
      <c r="AG385" s="76">
        <f t="shared" ca="1" si="413"/>
        <v>64.700208867306358</v>
      </c>
      <c r="AH385" s="45">
        <f t="shared" ca="1" si="414"/>
        <v>0</v>
      </c>
      <c r="AI385" s="77">
        <f t="shared" ca="1" si="415"/>
        <v>1.6482059985244241E-2</v>
      </c>
      <c r="AJ385" s="384">
        <f t="shared" ca="1" si="417"/>
        <v>4.3129146706989419E-2</v>
      </c>
      <c r="AU385" s="1"/>
    </row>
    <row r="386" spans="3:47" x14ac:dyDescent="0.25">
      <c r="C386" s="10">
        <f t="shared" si="442"/>
        <v>24</v>
      </c>
      <c r="D386" s="91">
        <f t="shared" si="425"/>
        <v>8</v>
      </c>
      <c r="E386" s="278"/>
      <c r="F386" s="76">
        <f t="shared" ref="F386:Q386" si="473">F314</f>
        <v>21.84690322580645</v>
      </c>
      <c r="G386" s="46">
        <f t="shared" si="473"/>
        <v>71.917724933598876</v>
      </c>
      <c r="H386" s="46">
        <f t="shared" si="401"/>
        <v>-16.38757493359887</v>
      </c>
      <c r="I386" s="45">
        <f t="shared" si="402"/>
        <v>0</v>
      </c>
      <c r="J386" s="45">
        <f t="shared" si="403"/>
        <v>0.25260629061506468</v>
      </c>
      <c r="K386" s="45">
        <f t="shared" ca="1" si="419"/>
        <v>0.81645017133846476</v>
      </c>
      <c r="L386" s="358">
        <f t="shared" si="404"/>
        <v>0.93325603418156189</v>
      </c>
      <c r="M386" s="76">
        <f t="shared" ca="1" si="473"/>
        <v>0.25347808785320641</v>
      </c>
      <c r="N386" s="45">
        <f t="shared" ca="1" si="473"/>
        <v>0.25</v>
      </c>
      <c r="O386" s="45">
        <f t="shared" ca="1" si="473"/>
        <v>0</v>
      </c>
      <c r="P386" s="46" t="str">
        <f t="shared" ca="1" si="473"/>
        <v/>
      </c>
      <c r="Q386" s="243" t="str">
        <f t="shared" ca="1" si="473"/>
        <v/>
      </c>
      <c r="R386" s="45">
        <f t="shared" ca="1" si="420"/>
        <v>0.52717718888408127</v>
      </c>
      <c r="S386" s="45">
        <f t="shared" ca="1" si="444"/>
        <v>5.0695617570641283E-2</v>
      </c>
      <c r="T386" s="77">
        <f t="shared" ca="1" si="405"/>
        <v>0</v>
      </c>
      <c r="U386" s="45">
        <f t="shared" ca="1" si="421"/>
        <v>17.975874872131445</v>
      </c>
      <c r="V386" s="45">
        <f t="shared" ca="1" si="406"/>
        <v>0.20278247028256513</v>
      </c>
      <c r="W386" s="77">
        <f t="shared" ca="1" si="407"/>
        <v>0</v>
      </c>
      <c r="X386" s="45">
        <f t="shared" ca="1" si="422"/>
        <v>0.99352057721792897</v>
      </c>
      <c r="Y386" s="45">
        <f t="shared" ca="1" si="408"/>
        <v>0</v>
      </c>
      <c r="Z386" s="77">
        <f t="shared" ca="1" si="409"/>
        <v>0</v>
      </c>
      <c r="AA386" s="45">
        <f t="shared" ca="1" si="423"/>
        <v>39.072407107867804</v>
      </c>
      <c r="AB386" s="45">
        <f t="shared" ca="1" si="410"/>
        <v>0</v>
      </c>
      <c r="AC386" s="45" cm="1">
        <f t="array" aca="1" ref="AC386" ca="1">pHUM*(T386+W386+Z386+AD386)</f>
        <v>0</v>
      </c>
      <c r="AD386" s="77">
        <f t="shared" ca="1" si="411"/>
        <v>0</v>
      </c>
      <c r="AE386" s="45">
        <f t="shared" ca="1" si="424"/>
        <v>6.3847072090583081</v>
      </c>
      <c r="AF386" s="45">
        <f t="shared" ca="1" si="412"/>
        <v>0</v>
      </c>
      <c r="AG386" s="76">
        <f t="shared" ca="1" si="413"/>
        <v>64.953686955159569</v>
      </c>
      <c r="AH386" s="45">
        <f t="shared" ca="1" si="414"/>
        <v>0</v>
      </c>
      <c r="AI386" s="77">
        <f t="shared" ca="1" si="415"/>
        <v>1.7218594390840211E-2</v>
      </c>
      <c r="AJ386" s="384">
        <f t="shared" ca="1" si="417"/>
        <v>4.6308350514291385E-2</v>
      </c>
      <c r="AU386" s="1"/>
    </row>
    <row r="387" spans="3:47" x14ac:dyDescent="0.25">
      <c r="C387" s="10">
        <f t="shared" si="442"/>
        <v>24</v>
      </c>
      <c r="D387" s="91">
        <f t="shared" si="425"/>
        <v>9</v>
      </c>
      <c r="E387" s="278"/>
      <c r="F387" s="76">
        <f t="shared" ref="F387:Q387" si="474">F315</f>
        <v>19.915099999999999</v>
      </c>
      <c r="G387" s="46">
        <f t="shared" si="474"/>
        <v>90.121120170480822</v>
      </c>
      <c r="H387" s="46">
        <f t="shared" si="401"/>
        <v>-34.590970170480816</v>
      </c>
      <c r="I387" s="45">
        <f t="shared" si="402"/>
        <v>0</v>
      </c>
      <c r="J387" s="45">
        <f t="shared" si="403"/>
        <v>0.18783711693191202</v>
      </c>
      <c r="K387" s="45">
        <f t="shared" ca="1" si="419"/>
        <v>0.60710937138331467</v>
      </c>
      <c r="L387" s="358">
        <f t="shared" si="404"/>
        <v>0.91464137695305081</v>
      </c>
      <c r="M387" s="76">
        <f t="shared" ca="1" si="474"/>
        <v>0.25347808785320641</v>
      </c>
      <c r="N387" s="45">
        <f t="shared" ca="1" si="474"/>
        <v>0.25</v>
      </c>
      <c r="O387" s="45">
        <f t="shared" ca="1" si="474"/>
        <v>0</v>
      </c>
      <c r="P387" s="46" t="str">
        <f t="shared" ca="1" si="474"/>
        <v/>
      </c>
      <c r="Q387" s="243" t="str">
        <f t="shared" ca="1" si="474"/>
        <v/>
      </c>
      <c r="R387" s="45">
        <f t="shared" ca="1" si="420"/>
        <v>0.5778728064547225</v>
      </c>
      <c r="S387" s="45">
        <f t="shared" ca="1" si="444"/>
        <v>5.0695617570641283E-2</v>
      </c>
      <c r="T387" s="77">
        <f t="shared" ca="1" si="405"/>
        <v>0</v>
      </c>
      <c r="U387" s="45">
        <f t="shared" ca="1" si="421"/>
        <v>18.178657342414009</v>
      </c>
      <c r="V387" s="45">
        <f t="shared" ca="1" si="406"/>
        <v>0.20278247028256513</v>
      </c>
      <c r="W387" s="77">
        <f t="shared" ca="1" si="407"/>
        <v>0</v>
      </c>
      <c r="X387" s="45">
        <f t="shared" ca="1" si="422"/>
        <v>0.99352057721792897</v>
      </c>
      <c r="Y387" s="45">
        <f t="shared" ca="1" si="408"/>
        <v>0</v>
      </c>
      <c r="Z387" s="77">
        <f t="shared" ca="1" si="409"/>
        <v>0</v>
      </c>
      <c r="AA387" s="45">
        <f t="shared" ca="1" si="423"/>
        <v>39.072407107867804</v>
      </c>
      <c r="AB387" s="45">
        <f t="shared" ca="1" si="410"/>
        <v>0</v>
      </c>
      <c r="AC387" s="45" cm="1">
        <f t="array" aca="1" ref="AC387" ca="1">pHUM*(T387+W387+Z387+AD387)</f>
        <v>0</v>
      </c>
      <c r="AD387" s="77">
        <f t="shared" ca="1" si="411"/>
        <v>0</v>
      </c>
      <c r="AE387" s="45">
        <f t="shared" ca="1" si="424"/>
        <v>6.3847072090583081</v>
      </c>
      <c r="AF387" s="45">
        <f t="shared" ca="1" si="412"/>
        <v>0</v>
      </c>
      <c r="AG387" s="76">
        <f t="shared" ca="1" si="413"/>
        <v>65.207165043012765</v>
      </c>
      <c r="AH387" s="45">
        <f t="shared" ca="1" si="414"/>
        <v>0</v>
      </c>
      <c r="AI387" s="77">
        <f t="shared" ca="1" si="415"/>
        <v>1.7948781039486082E-2</v>
      </c>
      <c r="AJ387" s="384">
        <f t="shared" ca="1" si="417"/>
        <v>3.5179399791902544E-2</v>
      </c>
      <c r="AU387" s="1"/>
    </row>
    <row r="388" spans="3:47" x14ac:dyDescent="0.25">
      <c r="C388" s="10">
        <f t="shared" si="442"/>
        <v>24</v>
      </c>
      <c r="D388" s="91">
        <f t="shared" si="425"/>
        <v>10</v>
      </c>
      <c r="E388" s="278"/>
      <c r="F388" s="76">
        <f t="shared" ref="F388:Q388" si="475">F316</f>
        <v>16.404967741935486</v>
      </c>
      <c r="G388" s="46">
        <f t="shared" si="475"/>
        <v>93.270963763991602</v>
      </c>
      <c r="H388" s="46">
        <f t="shared" si="401"/>
        <v>-37.740813763991596</v>
      </c>
      <c r="I388" s="45">
        <f t="shared" si="402"/>
        <v>0</v>
      </c>
      <c r="J388" s="45">
        <f t="shared" si="403"/>
        <v>0.1757835150476853</v>
      </c>
      <c r="K388" s="45">
        <f t="shared" ca="1" si="419"/>
        <v>0.56815085891056294</v>
      </c>
      <c r="L388" s="358">
        <f t="shared" si="404"/>
        <v>0.86618676922472848</v>
      </c>
      <c r="M388" s="76">
        <f t="shared" ca="1" si="475"/>
        <v>0.25347808785320641</v>
      </c>
      <c r="N388" s="45">
        <f t="shared" ca="1" si="475"/>
        <v>0.25</v>
      </c>
      <c r="O388" s="45">
        <f t="shared" ca="1" si="475"/>
        <v>0</v>
      </c>
      <c r="P388" s="46" t="str">
        <f t="shared" ca="1" si="475"/>
        <v/>
      </c>
      <c r="Q388" s="243" t="str">
        <f t="shared" ca="1" si="475"/>
        <v/>
      </c>
      <c r="R388" s="45">
        <f t="shared" ca="1" si="420"/>
        <v>0.62856842402536373</v>
      </c>
      <c r="S388" s="45">
        <f t="shared" ca="1" si="444"/>
        <v>5.0695617570641283E-2</v>
      </c>
      <c r="T388" s="77">
        <f t="shared" ca="1" si="405"/>
        <v>0</v>
      </c>
      <c r="U388" s="45">
        <f t="shared" ca="1" si="421"/>
        <v>18.381439812696573</v>
      </c>
      <c r="V388" s="45">
        <f t="shared" ca="1" si="406"/>
        <v>0.20278247028256513</v>
      </c>
      <c r="W388" s="77">
        <f t="shared" ca="1" si="407"/>
        <v>0</v>
      </c>
      <c r="X388" s="45">
        <f t="shared" ca="1" si="422"/>
        <v>0.99352057721792897</v>
      </c>
      <c r="Y388" s="45">
        <f t="shared" ca="1" si="408"/>
        <v>0</v>
      </c>
      <c r="Z388" s="77">
        <f t="shared" ca="1" si="409"/>
        <v>0</v>
      </c>
      <c r="AA388" s="45">
        <f t="shared" ca="1" si="423"/>
        <v>39.072407107867804</v>
      </c>
      <c r="AB388" s="45">
        <f t="shared" ca="1" si="410"/>
        <v>0</v>
      </c>
      <c r="AC388" s="45" cm="1">
        <f t="array" aca="1" ref="AC388" ca="1">pHUM*(T388+W388+Z388+AD388)</f>
        <v>0</v>
      </c>
      <c r="AD388" s="77">
        <f t="shared" ca="1" si="411"/>
        <v>0</v>
      </c>
      <c r="AE388" s="45">
        <f t="shared" ca="1" si="424"/>
        <v>6.3847072090583081</v>
      </c>
      <c r="AF388" s="45">
        <f t="shared" ca="1" si="412"/>
        <v>0</v>
      </c>
      <c r="AG388" s="76">
        <f t="shared" ca="1" si="413"/>
        <v>65.460643130865975</v>
      </c>
      <c r="AH388" s="45">
        <f t="shared" ca="1" si="414"/>
        <v>0</v>
      </c>
      <c r="AI388" s="77">
        <f t="shared" ca="1" si="415"/>
        <v>1.8672701640456649E-2</v>
      </c>
      <c r="AJ388" s="384">
        <f t="shared" ca="1" si="417"/>
        <v>3.2435394202856571E-2</v>
      </c>
      <c r="AU388" s="1"/>
    </row>
    <row r="389" spans="3:47" x14ac:dyDescent="0.25">
      <c r="C389" s="10">
        <f t="shared" si="442"/>
        <v>24</v>
      </c>
      <c r="D389" s="91">
        <f t="shared" si="425"/>
        <v>11</v>
      </c>
      <c r="E389" s="278"/>
      <c r="F389" s="76">
        <f t="shared" ref="F389:Q389" si="476">F317</f>
        <v>8.5982333333333347</v>
      </c>
      <c r="G389" s="46">
        <f t="shared" si="476"/>
        <v>93.768190396309464</v>
      </c>
      <c r="H389" s="46">
        <f t="shared" si="401"/>
        <v>-38.238040396309458</v>
      </c>
      <c r="I389" s="45">
        <f t="shared" si="402"/>
        <v>0</v>
      </c>
      <c r="J389" s="45">
        <f t="shared" si="403"/>
        <v>0.17386998013358751</v>
      </c>
      <c r="K389" s="45">
        <f t="shared" ca="1" si="419"/>
        <v>0.56196611226520721</v>
      </c>
      <c r="L389" s="358">
        <f t="shared" si="404"/>
        <v>0.6712335176859634</v>
      </c>
      <c r="M389" s="76">
        <f t="shared" ca="1" si="476"/>
        <v>0.25347808785320641</v>
      </c>
      <c r="N389" s="45">
        <f t="shared" ca="1" si="476"/>
        <v>0.25</v>
      </c>
      <c r="O389" s="45">
        <f t="shared" ca="1" si="476"/>
        <v>0</v>
      </c>
      <c r="P389" s="46" t="str">
        <f t="shared" ca="1" si="476"/>
        <v/>
      </c>
      <c r="Q389" s="243" t="str">
        <f t="shared" ca="1" si="476"/>
        <v/>
      </c>
      <c r="R389" s="45">
        <f t="shared" ca="1" si="420"/>
        <v>0.67926404159600495</v>
      </c>
      <c r="S389" s="45">
        <f t="shared" ca="1" si="444"/>
        <v>5.0695617570641283E-2</v>
      </c>
      <c r="T389" s="77">
        <f t="shared" ca="1" si="405"/>
        <v>0</v>
      </c>
      <c r="U389" s="45">
        <f t="shared" ca="1" si="421"/>
        <v>18.584222282979137</v>
      </c>
      <c r="V389" s="45">
        <f t="shared" ca="1" si="406"/>
        <v>0.20278247028256513</v>
      </c>
      <c r="W389" s="77">
        <f t="shared" ca="1" si="407"/>
        <v>0</v>
      </c>
      <c r="X389" s="45">
        <f t="shared" ca="1" si="422"/>
        <v>0.99352057721792897</v>
      </c>
      <c r="Y389" s="45">
        <f t="shared" ca="1" si="408"/>
        <v>0</v>
      </c>
      <c r="Z389" s="77">
        <f t="shared" ca="1" si="409"/>
        <v>0</v>
      </c>
      <c r="AA389" s="45">
        <f t="shared" ca="1" si="423"/>
        <v>39.072407107867804</v>
      </c>
      <c r="AB389" s="45">
        <f t="shared" ca="1" si="410"/>
        <v>0</v>
      </c>
      <c r="AC389" s="45" cm="1">
        <f t="array" aca="1" ref="AC389" ca="1">pHUM*(T389+W389+Z389+AD389)</f>
        <v>0</v>
      </c>
      <c r="AD389" s="77">
        <f t="shared" ca="1" si="411"/>
        <v>0</v>
      </c>
      <c r="AE389" s="45">
        <f t="shared" ca="1" si="424"/>
        <v>6.3847072090583081</v>
      </c>
      <c r="AF389" s="45">
        <f t="shared" ca="1" si="412"/>
        <v>0</v>
      </c>
      <c r="AG389" s="76">
        <f t="shared" ca="1" si="413"/>
        <v>65.714121218719185</v>
      </c>
      <c r="AH389" s="45">
        <f t="shared" ca="1" si="414"/>
        <v>0</v>
      </c>
      <c r="AI389" s="77">
        <f t="shared" ca="1" si="415"/>
        <v>1.9390436506652838E-2</v>
      </c>
      <c r="AJ389" s="384">
        <f t="shared" ca="1" si="417"/>
        <v>2.5817302821523613E-2</v>
      </c>
      <c r="AU389" s="1"/>
    </row>
    <row r="390" spans="3:47" x14ac:dyDescent="0.25">
      <c r="C390" s="10">
        <f t="shared" si="442"/>
        <v>24</v>
      </c>
      <c r="D390" s="91">
        <f t="shared" si="425"/>
        <v>12</v>
      </c>
      <c r="E390" s="278"/>
      <c r="F390" s="76">
        <f t="shared" ref="F390:Q390" si="477">F318</f>
        <v>5.8543548387096775</v>
      </c>
      <c r="G390" s="46">
        <f t="shared" si="477"/>
        <v>92.353978821555827</v>
      </c>
      <c r="H390" s="46">
        <f t="shared" si="401"/>
        <v>-36.823828821555821</v>
      </c>
      <c r="I390" s="45">
        <f t="shared" si="402"/>
        <v>0</v>
      </c>
      <c r="J390" s="45">
        <f t="shared" si="403"/>
        <v>0.17930557122010893</v>
      </c>
      <c r="K390" s="45">
        <f t="shared" ca="1" si="419"/>
        <v>0.57953451589882432</v>
      </c>
      <c r="L390" s="358">
        <f t="shared" si="404"/>
        <v>0.57570255434605899</v>
      </c>
      <c r="M390" s="76">
        <f t="shared" ca="1" si="477"/>
        <v>0.25347808785320641</v>
      </c>
      <c r="N390" s="45">
        <f t="shared" ca="1" si="477"/>
        <v>0.25</v>
      </c>
      <c r="O390" s="45">
        <f t="shared" ca="1" si="477"/>
        <v>0</v>
      </c>
      <c r="P390" s="46" t="str">
        <f t="shared" ca="1" si="477"/>
        <v/>
      </c>
      <c r="Q390" s="243" t="str">
        <f t="shared" ca="1" si="477"/>
        <v/>
      </c>
      <c r="R390" s="45">
        <f t="shared" ca="1" si="420"/>
        <v>0.72995965916664618</v>
      </c>
      <c r="S390" s="45">
        <f t="shared" ca="1" si="444"/>
        <v>5.0695617570641283E-2</v>
      </c>
      <c r="T390" s="77">
        <f t="shared" ca="1" si="405"/>
        <v>0</v>
      </c>
      <c r="U390" s="45">
        <f t="shared" ca="1" si="421"/>
        <v>18.787004753261701</v>
      </c>
      <c r="V390" s="45">
        <f t="shared" ca="1" si="406"/>
        <v>0.20278247028256513</v>
      </c>
      <c r="W390" s="77">
        <f t="shared" ca="1" si="407"/>
        <v>0</v>
      </c>
      <c r="X390" s="45">
        <f t="shared" ca="1" si="422"/>
        <v>0.99352057721792897</v>
      </c>
      <c r="Y390" s="45">
        <f t="shared" ca="1" si="408"/>
        <v>0</v>
      </c>
      <c r="Z390" s="77">
        <f t="shared" ca="1" si="409"/>
        <v>0</v>
      </c>
      <c r="AA390" s="45">
        <f t="shared" ca="1" si="423"/>
        <v>39.072407107867804</v>
      </c>
      <c r="AB390" s="45">
        <f t="shared" ca="1" si="410"/>
        <v>0</v>
      </c>
      <c r="AC390" s="45" cm="1">
        <f t="array" aca="1" ref="AC390" ca="1">pHUM*(T390+W390+Z390+AD390)</f>
        <v>0</v>
      </c>
      <c r="AD390" s="77">
        <f t="shared" ca="1" si="411"/>
        <v>0</v>
      </c>
      <c r="AE390" s="45">
        <f t="shared" ca="1" si="424"/>
        <v>6.3847072090583081</v>
      </c>
      <c r="AF390" s="45">
        <f t="shared" ca="1" si="412"/>
        <v>0</v>
      </c>
      <c r="AG390" s="76">
        <f t="shared" ca="1" si="413"/>
        <v>65.967599306572382</v>
      </c>
      <c r="AH390" s="45">
        <f t="shared" ca="1" si="414"/>
        <v>0</v>
      </c>
      <c r="AI390" s="77">
        <f t="shared" ca="1" si="415"/>
        <v>2.0102064584304039E-2</v>
      </c>
      <c r="AJ390" s="384">
        <f t="shared" ca="1" si="417"/>
        <v>2.3673284996321708E-2</v>
      </c>
      <c r="AU390" s="1"/>
    </row>
    <row r="391" spans="3:47" x14ac:dyDescent="0.25">
      <c r="C391" s="10">
        <f t="shared" si="442"/>
        <v>25</v>
      </c>
      <c r="D391" s="91">
        <f t="shared" si="425"/>
        <v>1</v>
      </c>
      <c r="E391" s="278"/>
      <c r="F391" s="76">
        <f t="shared" ref="F391:Q391" si="478">F319</f>
        <v>2.2624333333333326</v>
      </c>
      <c r="G391" s="46">
        <f t="shared" si="478"/>
        <v>87.461548542671366</v>
      </c>
      <c r="H391" s="46">
        <f t="shared" si="401"/>
        <v>-31.93139854267136</v>
      </c>
      <c r="I391" s="45">
        <f t="shared" si="402"/>
        <v>0</v>
      </c>
      <c r="J391" s="45">
        <f t="shared" si="403"/>
        <v>0.19789456043296222</v>
      </c>
      <c r="K391" s="45">
        <f t="shared" ca="1" si="419"/>
        <v>0.63961608944510806</v>
      </c>
      <c r="L391" s="358">
        <f t="shared" si="404"/>
        <v>0.44266298791276926</v>
      </c>
      <c r="M391" s="76">
        <f t="shared" ca="1" si="478"/>
        <v>0.25347808785320641</v>
      </c>
      <c r="N391" s="45">
        <f t="shared" ca="1" si="478"/>
        <v>0.25</v>
      </c>
      <c r="O391" s="45">
        <f t="shared" ca="1" si="478"/>
        <v>0</v>
      </c>
      <c r="P391" s="46" t="str">
        <f t="shared" ca="1" si="478"/>
        <v/>
      </c>
      <c r="Q391" s="243" t="str">
        <f t="shared" ca="1" si="478"/>
        <v/>
      </c>
      <c r="R391" s="45">
        <f t="shared" ca="1" si="420"/>
        <v>0.78065527673728741</v>
      </c>
      <c r="S391" s="45">
        <f t="shared" ca="1" si="444"/>
        <v>5.0695617570641283E-2</v>
      </c>
      <c r="T391" s="77">
        <f t="shared" ca="1" si="405"/>
        <v>0</v>
      </c>
      <c r="U391" s="45">
        <f t="shared" ca="1" si="421"/>
        <v>18.989787223544266</v>
      </c>
      <c r="V391" s="45">
        <f t="shared" ca="1" si="406"/>
        <v>0.20278247028256513</v>
      </c>
      <c r="W391" s="77">
        <f t="shared" ca="1" si="407"/>
        <v>0</v>
      </c>
      <c r="X391" s="45">
        <f t="shared" ca="1" si="422"/>
        <v>0.99352057721792897</v>
      </c>
      <c r="Y391" s="45">
        <f t="shared" ca="1" si="408"/>
        <v>0</v>
      </c>
      <c r="Z391" s="77">
        <f t="shared" ca="1" si="409"/>
        <v>0</v>
      </c>
      <c r="AA391" s="45">
        <f t="shared" ca="1" si="423"/>
        <v>39.072407107867804</v>
      </c>
      <c r="AB391" s="45">
        <f t="shared" ca="1" si="410"/>
        <v>0</v>
      </c>
      <c r="AC391" s="45" cm="1">
        <f t="array" aca="1" ref="AC391" ca="1">pHUM*(T391+W391+Z391+AD391)</f>
        <v>0</v>
      </c>
      <c r="AD391" s="77">
        <f t="shared" ca="1" si="411"/>
        <v>0</v>
      </c>
      <c r="AE391" s="45">
        <f t="shared" ca="1" si="424"/>
        <v>6.3847072090583081</v>
      </c>
      <c r="AF391" s="45">
        <f t="shared" ca="1" si="412"/>
        <v>0</v>
      </c>
      <c r="AG391" s="76">
        <f t="shared" ca="1" si="413"/>
        <v>66.221077394425592</v>
      </c>
      <c r="AH391" s="45">
        <f t="shared" ca="1" si="414"/>
        <v>0</v>
      </c>
      <c r="AI391" s="77">
        <f t="shared" ca="1" si="415"/>
        <v>2.0807663481915515E-2</v>
      </c>
      <c r="AJ391" s="384">
        <f t="shared" ca="1" si="417"/>
        <v>2.0794931070469147E-2</v>
      </c>
      <c r="AU391" s="1"/>
    </row>
    <row r="392" spans="3:47" x14ac:dyDescent="0.25">
      <c r="C392" s="10">
        <f t="shared" si="442"/>
        <v>25</v>
      </c>
      <c r="D392" s="91">
        <f t="shared" si="425"/>
        <v>2</v>
      </c>
      <c r="E392" s="278"/>
      <c r="F392" s="76">
        <f t="shared" ref="F392:Q392" si="479">F320</f>
        <v>1.5363448275862068</v>
      </c>
      <c r="G392" s="46">
        <f t="shared" si="479"/>
        <v>89.651029216467379</v>
      </c>
      <c r="H392" s="46">
        <f t="shared" si="401"/>
        <v>-34.120879216467372</v>
      </c>
      <c r="I392" s="45">
        <f t="shared" si="402"/>
        <v>0</v>
      </c>
      <c r="J392" s="45">
        <f t="shared" si="403"/>
        <v>0.18962389606700991</v>
      </c>
      <c r="K392" s="45">
        <f t="shared" ca="1" si="419"/>
        <v>0.61288442998317227</v>
      </c>
      <c r="L392" s="358">
        <f t="shared" si="404"/>
        <v>0.41613501220093307</v>
      </c>
      <c r="M392" s="76">
        <f t="shared" ca="1" si="479"/>
        <v>0.25347808785320641</v>
      </c>
      <c r="N392" s="45">
        <f t="shared" ca="1" si="479"/>
        <v>0.25</v>
      </c>
      <c r="O392" s="45">
        <f t="shared" ca="1" si="479"/>
        <v>0</v>
      </c>
      <c r="P392" s="46" t="str">
        <f t="shared" ca="1" si="479"/>
        <v/>
      </c>
      <c r="Q392" s="243" t="str">
        <f t="shared" ca="1" si="479"/>
        <v/>
      </c>
      <c r="R392" s="45">
        <f t="shared" ca="1" si="420"/>
        <v>0.83135089430792863</v>
      </c>
      <c r="S392" s="45">
        <f t="shared" ca="1" si="444"/>
        <v>5.0695617570641283E-2</v>
      </c>
      <c r="T392" s="77">
        <f t="shared" ca="1" si="405"/>
        <v>0</v>
      </c>
      <c r="U392" s="45">
        <f t="shared" ca="1" si="421"/>
        <v>19.19256969382683</v>
      </c>
      <c r="V392" s="45">
        <f t="shared" ca="1" si="406"/>
        <v>0.20278247028256513</v>
      </c>
      <c r="W392" s="77">
        <f t="shared" ca="1" si="407"/>
        <v>0</v>
      </c>
      <c r="X392" s="45">
        <f t="shared" ca="1" si="422"/>
        <v>0.99352057721792897</v>
      </c>
      <c r="Y392" s="45">
        <f t="shared" ca="1" si="408"/>
        <v>0</v>
      </c>
      <c r="Z392" s="77">
        <f t="shared" ca="1" si="409"/>
        <v>0</v>
      </c>
      <c r="AA392" s="45">
        <f t="shared" ca="1" si="423"/>
        <v>39.072407107867804</v>
      </c>
      <c r="AB392" s="45">
        <f t="shared" ca="1" si="410"/>
        <v>0</v>
      </c>
      <c r="AC392" s="45" cm="1">
        <f t="array" aca="1" ref="AC392" ca="1">pHUM*(T392+W392+Z392+AD392)</f>
        <v>0</v>
      </c>
      <c r="AD392" s="77">
        <f t="shared" ca="1" si="411"/>
        <v>0</v>
      </c>
      <c r="AE392" s="45">
        <f t="shared" ca="1" si="424"/>
        <v>6.3847072090583081</v>
      </c>
      <c r="AF392" s="45">
        <f t="shared" ca="1" si="412"/>
        <v>0</v>
      </c>
      <c r="AG392" s="76">
        <f t="shared" ca="1" si="413"/>
        <v>66.474555482278802</v>
      </c>
      <c r="AH392" s="45">
        <f t="shared" ca="1" si="414"/>
        <v>0</v>
      </c>
      <c r="AI392" s="77">
        <f t="shared" ca="1" si="415"/>
        <v>2.1507309498483108E-2</v>
      </c>
      <c r="AJ392" s="384">
        <f t="shared" ca="1" si="417"/>
        <v>1.9361593449517267E-2</v>
      </c>
      <c r="AU392" s="1"/>
    </row>
    <row r="393" spans="3:47" x14ac:dyDescent="0.25">
      <c r="C393" s="10">
        <f t="shared" si="442"/>
        <v>25</v>
      </c>
      <c r="D393" s="91">
        <f t="shared" si="425"/>
        <v>3</v>
      </c>
      <c r="E393" s="278"/>
      <c r="F393" s="76">
        <f t="shared" ref="F393:Q393" ca="1" si="480">F321</f>
        <v>-0.57999999999999996</v>
      </c>
      <c r="G393" s="46">
        <f t="shared" ca="1" si="480"/>
        <v>55.530150000000006</v>
      </c>
      <c r="H393" s="46">
        <f t="shared" ca="1" si="401"/>
        <v>0</v>
      </c>
      <c r="I393" s="45">
        <f t="shared" ca="1" si="402"/>
        <v>8.1834107856600266E-2</v>
      </c>
      <c r="J393" s="45">
        <f t="shared" ca="1" si="403"/>
        <v>0.29595601705647312</v>
      </c>
      <c r="K393" s="45">
        <f t="shared" ca="1" si="419"/>
        <v>0.95656105889548582</v>
      </c>
      <c r="L393" s="358">
        <f t="shared" ca="1" si="404"/>
        <v>0.34200470507454295</v>
      </c>
      <c r="M393" s="76">
        <f t="shared" ca="1" si="480"/>
        <v>0.25347808785320641</v>
      </c>
      <c r="N393" s="45">
        <f t="shared" ca="1" si="480"/>
        <v>0.25</v>
      </c>
      <c r="O393" s="45">
        <f t="shared" ca="1" si="480"/>
        <v>0</v>
      </c>
      <c r="P393" s="46" t="str">
        <f t="shared" ca="1" si="480"/>
        <v/>
      </c>
      <c r="Q393" s="243" t="str">
        <f t="shared" ca="1" si="480"/>
        <v/>
      </c>
      <c r="R393" s="45">
        <f t="shared" ca="1" si="420"/>
        <v>0.88204651187856986</v>
      </c>
      <c r="S393" s="45">
        <f t="shared" ca="1" si="444"/>
        <v>5.0695617570641283E-2</v>
      </c>
      <c r="T393" s="77">
        <f t="shared" ca="1" si="405"/>
        <v>5.8146070292331417E-2</v>
      </c>
      <c r="U393" s="45">
        <f t="shared" ca="1" si="421"/>
        <v>19.395352164109394</v>
      </c>
      <c r="V393" s="45">
        <f t="shared" ca="1" si="406"/>
        <v>0.20278247028256513</v>
      </c>
      <c r="W393" s="77">
        <f t="shared" ca="1" si="407"/>
        <v>3.9639471437138731E-2</v>
      </c>
      <c r="X393" s="45">
        <f t="shared" ca="1" si="422"/>
        <v>0.99352057721792897</v>
      </c>
      <c r="Y393" s="45">
        <f t="shared" ca="1" si="408"/>
        <v>8.8715138370056984E-3</v>
      </c>
      <c r="Z393" s="77">
        <f t="shared" ca="1" si="409"/>
        <v>4.4616646226127736E-3</v>
      </c>
      <c r="AA393" s="45">
        <f t="shared" ca="1" si="423"/>
        <v>39.072407107867804</v>
      </c>
      <c r="AB393" s="45">
        <f t="shared" ca="1" si="410"/>
        <v>0</v>
      </c>
      <c r="AC393" s="45" cm="1">
        <f t="array" aca="1" ref="AC393" ca="1">pHUM*(T393+W393+Z393+AD393)</f>
        <v>1.0437075102359646E-2</v>
      </c>
      <c r="AD393" s="77">
        <f t="shared" ca="1" si="411"/>
        <v>5.3287292277098518E-3</v>
      </c>
      <c r="AE393" s="45">
        <f t="shared" ca="1" si="424"/>
        <v>6.3847072090583081</v>
      </c>
      <c r="AF393" s="45">
        <f t="shared" ca="1" si="412"/>
        <v>0</v>
      </c>
      <c r="AG393" s="76">
        <f t="shared" ca="1" si="413"/>
        <v>66.728033570131998</v>
      </c>
      <c r="AH393" s="45">
        <f t="shared" ca="1" si="414"/>
        <v>8.8267346640427444E-2</v>
      </c>
      <c r="AI393" s="77">
        <f t="shared" ca="1" si="415"/>
        <v>2.220107765099685E-2</v>
      </c>
      <c r="AJ393" s="384">
        <f t="shared" ca="1" si="417"/>
        <v>2.5636482019996132E-2</v>
      </c>
      <c r="AU393" s="1"/>
    </row>
    <row r="394" spans="3:47" x14ac:dyDescent="0.25">
      <c r="C394" s="10">
        <f t="shared" si="442"/>
        <v>25</v>
      </c>
      <c r="D394" s="91">
        <f t="shared" si="425"/>
        <v>4</v>
      </c>
      <c r="E394" s="278"/>
      <c r="F394" s="76">
        <f t="shared" ref="F394:Q394" ca="1" si="481">F322</f>
        <v>7.18</v>
      </c>
      <c r="G394" s="46">
        <f t="shared" ca="1" si="481"/>
        <v>29.828585295978598</v>
      </c>
      <c r="H394" s="46">
        <f t="shared" ca="1" si="401"/>
        <v>25.701564704021408</v>
      </c>
      <c r="I394" s="45">
        <f t="shared" ca="1" si="402"/>
        <v>0.34975431431902781</v>
      </c>
      <c r="J394" s="45">
        <f t="shared" ca="1" si="403"/>
        <v>0.29147915612483932</v>
      </c>
      <c r="K394" s="45">
        <f t="shared" ca="1" si="419"/>
        <v>0.94209137223094908</v>
      </c>
      <c r="L394" s="358">
        <f t="shared" ca="1" si="404"/>
        <v>0.62308014794471589</v>
      </c>
      <c r="M394" s="76">
        <f t="shared" ca="1" si="481"/>
        <v>0.25347808785320641</v>
      </c>
      <c r="N394" s="45">
        <f t="shared" ca="1" si="481"/>
        <v>0.25</v>
      </c>
      <c r="O394" s="45">
        <f t="shared" ca="1" si="481"/>
        <v>0</v>
      </c>
      <c r="P394" s="46" t="str">
        <f t="shared" ca="1" si="481"/>
        <v/>
      </c>
      <c r="Q394" s="243" t="str">
        <f t="shared" ca="1" si="481"/>
        <v/>
      </c>
      <c r="R394" s="45">
        <f t="shared" ca="1" si="420"/>
        <v>0.87459605915687966</v>
      </c>
      <c r="S394" s="45">
        <f t="shared" ca="1" si="444"/>
        <v>5.0695617570641283E-2</v>
      </c>
      <c r="T394" s="77">
        <f t="shared" ca="1" si="405"/>
        <v>0.22112372029543051</v>
      </c>
      <c r="U394" s="45">
        <f t="shared" ca="1" si="421"/>
        <v>19.55849516295482</v>
      </c>
      <c r="V394" s="45">
        <f t="shared" ca="1" si="406"/>
        <v>0.20278247028256513</v>
      </c>
      <c r="W394" s="77">
        <f t="shared" ca="1" si="407"/>
        <v>0.17027120318208236</v>
      </c>
      <c r="X394" s="45">
        <f t="shared" ca="1" si="422"/>
        <v>0.99793042643232188</v>
      </c>
      <c r="Y394" s="45">
        <f t="shared" ca="1" si="408"/>
        <v>3.5723312170420927E-2</v>
      </c>
      <c r="Z394" s="77">
        <f t="shared" ca="1" si="409"/>
        <v>1.9013215914348888E-2</v>
      </c>
      <c r="AA394" s="45">
        <f t="shared" ca="1" si="423"/>
        <v>39.07751545374245</v>
      </c>
      <c r="AB394" s="45">
        <f t="shared" ca="1" si="410"/>
        <v>0</v>
      </c>
      <c r="AC394" s="45" cm="1">
        <f t="array" aca="1" ref="AC394" ca="1">pHUM*(T394+W394+Z394+AD394)</f>
        <v>4.2027426082848152E-2</v>
      </c>
      <c r="AD394" s="77">
        <f t="shared" ca="1" si="411"/>
        <v>2.2772578053662996E-2</v>
      </c>
      <c r="AE394" s="45">
        <f t="shared" ca="1" si="424"/>
        <v>6.3847072090583081</v>
      </c>
      <c r="AF394" s="45">
        <f t="shared" ca="1" si="412"/>
        <v>0</v>
      </c>
      <c r="AG394" s="76">
        <f t="shared" ca="1" si="413"/>
        <v>66.893244311344773</v>
      </c>
      <c r="AH394" s="45">
        <f t="shared" ca="1" si="414"/>
        <v>0.35542997919225572</v>
      </c>
      <c r="AI394" s="77">
        <f t="shared" ca="1" si="415"/>
        <v>2.2109405685787099E-2</v>
      </c>
      <c r="AJ394" s="384">
        <f t="shared" ca="1" si="417"/>
        <v>4.5808422821973505E-2</v>
      </c>
      <c r="AU394" s="1"/>
    </row>
    <row r="395" spans="3:47" x14ac:dyDescent="0.25">
      <c r="C395" s="10">
        <f t="shared" si="442"/>
        <v>25</v>
      </c>
      <c r="D395" s="91">
        <f t="shared" si="425"/>
        <v>5</v>
      </c>
      <c r="E395" s="278"/>
      <c r="F395" s="76">
        <f t="shared" ref="F395:Q395" ca="1" si="482">F323</f>
        <v>14.05</v>
      </c>
      <c r="G395" s="46">
        <f t="shared" ca="1" si="482"/>
        <v>27.012600000000003</v>
      </c>
      <c r="H395" s="46">
        <f t="shared" ca="1" si="401"/>
        <v>28.517550000000004</v>
      </c>
      <c r="I395" s="45">
        <f t="shared" ca="1" si="402"/>
        <v>0.75173784437395219</v>
      </c>
      <c r="J395" s="45">
        <f t="shared" ca="1" si="403"/>
        <v>0.27952512346894071</v>
      </c>
      <c r="K395" s="45">
        <f t="shared" ca="1" si="419"/>
        <v>0.90345467800480783</v>
      </c>
      <c r="L395" s="358">
        <f t="shared" ca="1" si="404"/>
        <v>0.82085140481213359</v>
      </c>
      <c r="M395" s="76">
        <f t="shared" ca="1" si="482"/>
        <v>0.25347808785320641</v>
      </c>
      <c r="N395" s="45">
        <f t="shared" ca="1" si="482"/>
        <v>0.25</v>
      </c>
      <c r="O395" s="45">
        <f t="shared" ca="1" si="482"/>
        <v>0</v>
      </c>
      <c r="P395" s="46" t="str">
        <f t="shared" ca="1" si="482"/>
        <v/>
      </c>
      <c r="Q395" s="243" t="str">
        <f t="shared" ca="1" si="482"/>
        <v/>
      </c>
      <c r="R395" s="45">
        <f t="shared" ca="1" si="420"/>
        <v>0.70416795643209051</v>
      </c>
      <c r="S395" s="45">
        <f t="shared" ca="1" si="444"/>
        <v>5.0695617570641283E-2</v>
      </c>
      <c r="T395" s="77">
        <f t="shared" ca="1" si="405"/>
        <v>0.32779946324687731</v>
      </c>
      <c r="U395" s="45">
        <f t="shared" ca="1" si="421"/>
        <v>19.591006430055302</v>
      </c>
      <c r="V395" s="45">
        <f t="shared" ca="1" si="406"/>
        <v>0.20278247028256513</v>
      </c>
      <c r="W395" s="77">
        <f t="shared" ca="1" si="407"/>
        <v>0.36474438620237726</v>
      </c>
      <c r="X395" s="45">
        <f t="shared" ca="1" si="422"/>
        <v>1.0146405226883941</v>
      </c>
      <c r="Y395" s="45">
        <f t="shared" ca="1" si="408"/>
        <v>6.4538443744192431E-2</v>
      </c>
      <c r="Z395" s="77">
        <f t="shared" ca="1" si="409"/>
        <v>4.1095489821778859E-2</v>
      </c>
      <c r="AA395" s="45">
        <f t="shared" ca="1" si="423"/>
        <v>39.096770301771635</v>
      </c>
      <c r="AB395" s="45">
        <f t="shared" ca="1" si="410"/>
        <v>0</v>
      </c>
      <c r="AC395" s="45" cm="1">
        <f t="array" aca="1" ref="AC395" ca="1">pHUM*(T395+W395+Z395+AD395)</f>
        <v>7.5927580875520512E-2</v>
      </c>
      <c r="AD395" s="77">
        <f t="shared" ca="1" si="411"/>
        <v>4.8953529793198697E-2</v>
      </c>
      <c r="AE395" s="45">
        <f t="shared" ca="1" si="424"/>
        <v>6.3847072090583081</v>
      </c>
      <c r="AF395" s="45">
        <f t="shared" ca="1" si="412"/>
        <v>0</v>
      </c>
      <c r="AG395" s="76">
        <f t="shared" ca="1" si="413"/>
        <v>66.791292420005732</v>
      </c>
      <c r="AH395" s="45">
        <f t="shared" ca="1" si="414"/>
        <v>0.64212684444451928</v>
      </c>
      <c r="AI395" s="77">
        <f t="shared" ca="1" si="415"/>
        <v>1.9824797238804606E-2</v>
      </c>
      <c r="AJ395" s="384">
        <f t="shared" ca="1" si="417"/>
        <v>5.1892967637258147E-2</v>
      </c>
      <c r="AU395" s="1"/>
    </row>
    <row r="396" spans="3:47" x14ac:dyDescent="0.25">
      <c r="C396" s="10">
        <f t="shared" si="442"/>
        <v>25</v>
      </c>
      <c r="D396" s="91">
        <f t="shared" si="425"/>
        <v>6</v>
      </c>
      <c r="E396" s="278"/>
      <c r="F396" s="76">
        <f t="shared" ref="F396:Q396" ca="1" si="483">F324</f>
        <v>17.96</v>
      </c>
      <c r="G396" s="46">
        <f t="shared" ca="1" si="483"/>
        <v>27.012600000000003</v>
      </c>
      <c r="H396" s="46">
        <f t="shared" ca="1" si="401"/>
        <v>28.517550000000004</v>
      </c>
      <c r="I396" s="45">
        <f t="shared" ca="1" si="402"/>
        <v>1.0549705763362276</v>
      </c>
      <c r="J396" s="45">
        <f t="shared" ca="1" si="403"/>
        <v>0.27952512346894071</v>
      </c>
      <c r="K396" s="45">
        <f t="shared" ca="1" si="419"/>
        <v>0.90345467800480783</v>
      </c>
      <c r="L396" s="358">
        <f t="shared" ca="1" si="404"/>
        <v>0.89023829243059249</v>
      </c>
      <c r="M396" s="76">
        <f t="shared" ca="1" si="483"/>
        <v>0.25347808785320641</v>
      </c>
      <c r="N396" s="45">
        <f t="shared" ca="1" si="483"/>
        <v>0.25</v>
      </c>
      <c r="O396" s="45">
        <f t="shared" ca="1" si="483"/>
        <v>0</v>
      </c>
      <c r="P396" s="46" t="str">
        <f t="shared" ca="1" si="483"/>
        <v/>
      </c>
      <c r="Q396" s="243" t="str">
        <f t="shared" ca="1" si="483"/>
        <v/>
      </c>
      <c r="R396" s="45">
        <f t="shared" ca="1" si="420"/>
        <v>0.42706411075585454</v>
      </c>
      <c r="S396" s="45">
        <f t="shared" ca="1" si="444"/>
        <v>5.0695617570641283E-2</v>
      </c>
      <c r="T396" s="77">
        <f t="shared" ca="1" si="405"/>
        <v>0.24977319108169391</v>
      </c>
      <c r="U396" s="45">
        <f t="shared" ca="1" si="421"/>
        <v>19.429044514135487</v>
      </c>
      <c r="V396" s="45">
        <f t="shared" ca="1" si="406"/>
        <v>0.20278247028256513</v>
      </c>
      <c r="W396" s="77">
        <f t="shared" ca="1" si="407"/>
        <v>0.50572833567372111</v>
      </c>
      <c r="X396" s="45">
        <f t="shared" ca="1" si="422"/>
        <v>1.0380834766108078</v>
      </c>
      <c r="Y396" s="45">
        <f t="shared" ca="1" si="408"/>
        <v>7.2798206448269759E-2</v>
      </c>
      <c r="Z396" s="77">
        <f t="shared" ca="1" si="409"/>
        <v>5.8518962621897978E-2</v>
      </c>
      <c r="AA396" s="45">
        <f t="shared" ca="1" si="423"/>
        <v>39.123744352853954</v>
      </c>
      <c r="AB396" s="45">
        <f t="shared" ca="1" si="410"/>
        <v>0</v>
      </c>
      <c r="AC396" s="45" cm="1">
        <f t="array" aca="1" ref="AC396" ca="1">pHUM*(T396+W396+Z396+AD396)</f>
        <v>8.5644948762670314E-2</v>
      </c>
      <c r="AD396" s="77">
        <f t="shared" ca="1" si="411"/>
        <v>6.8730223870376098E-2</v>
      </c>
      <c r="AE396" s="45">
        <f t="shared" ca="1" si="424"/>
        <v>6.3847072090583081</v>
      </c>
      <c r="AF396" s="45">
        <f t="shared" ca="1" si="412"/>
        <v>0</v>
      </c>
      <c r="AG396" s="76">
        <f t="shared" ca="1" si="413"/>
        <v>66.402643663414409</v>
      </c>
      <c r="AH396" s="45">
        <f t="shared" ca="1" si="414"/>
        <v>0.72430755803674907</v>
      </c>
      <c r="AI396" s="77">
        <f t="shared" ca="1" si="415"/>
        <v>1.606042727495878E-2</v>
      </c>
      <c r="AJ396" s="384">
        <f t="shared" ca="1" si="417"/>
        <v>4.559331342735784E-2</v>
      </c>
      <c r="AU396" s="1"/>
    </row>
    <row r="397" spans="3:47" x14ac:dyDescent="0.25">
      <c r="C397" s="10">
        <f t="shared" si="442"/>
        <v>25</v>
      </c>
      <c r="D397" s="91">
        <f t="shared" si="425"/>
        <v>7</v>
      </c>
      <c r="E397" s="278"/>
      <c r="F397" s="76">
        <f t="shared" ref="F397:Q397" ca="1" si="484">F325</f>
        <v>21.89</v>
      </c>
      <c r="G397" s="46">
        <f t="shared" ca="1" si="484"/>
        <v>27.012600000000003</v>
      </c>
      <c r="H397" s="46">
        <f t="shared" ca="1" si="401"/>
        <v>28.517550000000004</v>
      </c>
      <c r="I397" s="45">
        <f t="shared" ca="1" si="402"/>
        <v>1.3816368002949853</v>
      </c>
      <c r="J397" s="45">
        <f t="shared" ca="1" si="403"/>
        <v>0.27952512346894071</v>
      </c>
      <c r="K397" s="45">
        <f t="shared" ca="1" si="419"/>
        <v>0.90345467800480783</v>
      </c>
      <c r="L397" s="358">
        <f t="shared" ca="1" si="404"/>
        <v>0.9336160920992449</v>
      </c>
      <c r="M397" s="76">
        <f t="shared" ca="1" si="484"/>
        <v>0.25347808785320641</v>
      </c>
      <c r="N397" s="45">
        <f t="shared" ca="1" si="484"/>
        <v>0.25</v>
      </c>
      <c r="O397" s="45">
        <f t="shared" ca="1" si="484"/>
        <v>0</v>
      </c>
      <c r="P397" s="46" t="str">
        <f t="shared" ca="1" si="484"/>
        <v/>
      </c>
      <c r="Q397" s="243" t="str">
        <f t="shared" ca="1" si="484"/>
        <v/>
      </c>
      <c r="R397" s="45">
        <f t="shared" ca="1" si="420"/>
        <v>0.22798653724480192</v>
      </c>
      <c r="S397" s="45">
        <f t="shared" ca="1" si="444"/>
        <v>5.0695617570641283E-2</v>
      </c>
      <c r="T397" s="77">
        <f t="shared" ca="1" si="405"/>
        <v>0.15589601521205412</v>
      </c>
      <c r="U397" s="45">
        <f t="shared" ca="1" si="421"/>
        <v>19.126098648744332</v>
      </c>
      <c r="V397" s="45">
        <f t="shared" ca="1" si="406"/>
        <v>0.20278247028256513</v>
      </c>
      <c r="W397" s="77">
        <f t="shared" ca="1" si="407"/>
        <v>0.64935384450189404</v>
      </c>
      <c r="X397" s="45">
        <f t="shared" ca="1" si="422"/>
        <v>1.0523627204371795</v>
      </c>
      <c r="Y397" s="45">
        <f t="shared" ca="1" si="408"/>
        <v>8.0181675446878875E-2</v>
      </c>
      <c r="Z397" s="77">
        <f t="shared" ca="1" si="409"/>
        <v>7.700616586445079E-2</v>
      </c>
      <c r="AA397" s="45">
        <f t="shared" ca="1" si="423"/>
        <v>39.14065907774625</v>
      </c>
      <c r="AB397" s="45">
        <f t="shared" ca="1" si="410"/>
        <v>0</v>
      </c>
      <c r="AC397" s="45" cm="1">
        <f t="array" aca="1" ref="AC397" ca="1">pHUM*(T397+W397+Z397+AD397)</f>
        <v>9.4331382878681036E-2</v>
      </c>
      <c r="AD397" s="77">
        <f t="shared" ca="1" si="411"/>
        <v>9.0026598450579962E-2</v>
      </c>
      <c r="AE397" s="45">
        <f t="shared" ca="1" si="424"/>
        <v>6.3847072090583081</v>
      </c>
      <c r="AF397" s="45">
        <f t="shared" ca="1" si="412"/>
        <v>0</v>
      </c>
      <c r="AG397" s="76">
        <f t="shared" ca="1" si="413"/>
        <v>65.931814193230878</v>
      </c>
      <c r="AH397" s="45">
        <f t="shared" ca="1" si="414"/>
        <v>0.79776956570341895</v>
      </c>
      <c r="AI397" s="77">
        <f t="shared" ca="1" si="415"/>
        <v>1.3287893715584621E-2</v>
      </c>
      <c r="AJ397" s="384">
        <f t="shared" ca="1" si="417"/>
        <v>3.9560769925075512E-2</v>
      </c>
      <c r="AU397" s="1"/>
    </row>
    <row r="398" spans="3:47" x14ac:dyDescent="0.25">
      <c r="C398" s="10">
        <f t="shared" si="442"/>
        <v>25</v>
      </c>
      <c r="D398" s="91">
        <f t="shared" si="425"/>
        <v>8</v>
      </c>
      <c r="E398" s="278"/>
      <c r="F398" s="76">
        <f t="shared" ref="F398:Q398" ca="1" si="485">F326</f>
        <v>20.350000000000001</v>
      </c>
      <c r="G398" s="46">
        <f t="shared" ca="1" si="485"/>
        <v>27.012600000000003</v>
      </c>
      <c r="H398" s="46">
        <f t="shared" ca="1" si="401"/>
        <v>28.517550000000004</v>
      </c>
      <c r="I398" s="45">
        <f t="shared" ca="1" si="402"/>
        <v>1.2518642054104028</v>
      </c>
      <c r="J398" s="45">
        <f t="shared" ca="1" si="403"/>
        <v>0.27952512346894071</v>
      </c>
      <c r="K398" s="45">
        <f t="shared" ca="1" si="419"/>
        <v>0.90345467800480783</v>
      </c>
      <c r="L398" s="358">
        <f t="shared" ca="1" si="404"/>
        <v>0.91927514332007565</v>
      </c>
      <c r="M398" s="76">
        <f t="shared" ca="1" si="485"/>
        <v>0.25347808785320641</v>
      </c>
      <c r="N398" s="45">
        <f t="shared" ca="1" si="485"/>
        <v>0.25</v>
      </c>
      <c r="O398" s="45">
        <f t="shared" ca="1" si="485"/>
        <v>0</v>
      </c>
      <c r="P398" s="46" t="str">
        <f t="shared" ca="1" si="485"/>
        <v/>
      </c>
      <c r="Q398" s="243" t="str">
        <f t="shared" ca="1" si="485"/>
        <v/>
      </c>
      <c r="R398" s="45">
        <f t="shared" ca="1" si="420"/>
        <v>0.12278613960338911</v>
      </c>
      <c r="S398" s="45">
        <f t="shared" ca="1" si="444"/>
        <v>5.0695617570641283E-2</v>
      </c>
      <c r="T398" s="77">
        <f t="shared" ca="1" si="405"/>
        <v>7.9526332198068456E-2</v>
      </c>
      <c r="U398" s="45">
        <f t="shared" ca="1" si="421"/>
        <v>18.679527274525</v>
      </c>
      <c r="V398" s="45">
        <f t="shared" ca="1" si="406"/>
        <v>0.20278247028256513</v>
      </c>
      <c r="W398" s="77">
        <f t="shared" ca="1" si="407"/>
        <v>0.57555239360768728</v>
      </c>
      <c r="X398" s="45">
        <f t="shared" ca="1" si="422"/>
        <v>1.0555382300196077</v>
      </c>
      <c r="Y398" s="45">
        <f t="shared" ca="1" si="408"/>
        <v>6.6542839284894323E-2</v>
      </c>
      <c r="Z398" s="77">
        <f t="shared" ca="1" si="409"/>
        <v>7.0230946826461596E-2</v>
      </c>
      <c r="AA398" s="45">
        <f t="shared" ca="1" si="423"/>
        <v>39.14496386217435</v>
      </c>
      <c r="AB398" s="45">
        <f t="shared" ca="1" si="410"/>
        <v>0</v>
      </c>
      <c r="AC398" s="45" cm="1">
        <f t="array" aca="1" ref="AC398" ca="1">pHUM*(T398+W398+Z398+AD398)</f>
        <v>7.8285693276346269E-2</v>
      </c>
      <c r="AD398" s="77">
        <f t="shared" ca="1" si="411"/>
        <v>8.1588487448248953E-2</v>
      </c>
      <c r="AE398" s="45">
        <f t="shared" ca="1" si="424"/>
        <v>6.3847072090583081</v>
      </c>
      <c r="AF398" s="45">
        <f t="shared" ca="1" si="412"/>
        <v>0</v>
      </c>
      <c r="AG398" s="76">
        <f t="shared" ca="1" si="413"/>
        <v>65.387522715380655</v>
      </c>
      <c r="AH398" s="45">
        <f t="shared" ca="1" si="414"/>
        <v>0.66206962751922582</v>
      </c>
      <c r="AI398" s="77">
        <f t="shared" ca="1" si="415"/>
        <v>1.1738527526364733E-2</v>
      </c>
      <c r="AJ398" s="384">
        <f t="shared" ca="1" si="417"/>
        <v>3.4411334125877824E-2</v>
      </c>
      <c r="AU398" s="1"/>
    </row>
    <row r="399" spans="3:47" x14ac:dyDescent="0.25">
      <c r="C399" s="10">
        <f t="shared" si="442"/>
        <v>25</v>
      </c>
      <c r="D399" s="91">
        <f t="shared" si="425"/>
        <v>9</v>
      </c>
      <c r="E399" s="278"/>
      <c r="F399" s="76">
        <f t="shared" ref="F399:Q399" ca="1" si="486">F327</f>
        <v>17.38</v>
      </c>
      <c r="G399" s="46">
        <f t="shared" ca="1" si="486"/>
        <v>27.012600000000003</v>
      </c>
      <c r="H399" s="46">
        <f t="shared" ca="1" si="401"/>
        <v>28.517550000000004</v>
      </c>
      <c r="I399" s="45">
        <f t="shared" ca="1" si="402"/>
        <v>1.0082864185928893</v>
      </c>
      <c r="J399" s="45">
        <f t="shared" ca="1" si="403"/>
        <v>0.27952512346894071</v>
      </c>
      <c r="K399" s="45">
        <f t="shared" ca="1" si="419"/>
        <v>0.90345467800480783</v>
      </c>
      <c r="L399" s="358">
        <f t="shared" ca="1" si="404"/>
        <v>0.88177917719725518</v>
      </c>
      <c r="M399" s="76">
        <f t="shared" ca="1" si="486"/>
        <v>0.25347808785320641</v>
      </c>
      <c r="N399" s="45">
        <f t="shared" ca="1" si="486"/>
        <v>0.25</v>
      </c>
      <c r="O399" s="45">
        <f t="shared" ca="1" si="486"/>
        <v>0</v>
      </c>
      <c r="P399" s="46" t="str">
        <f t="shared" ca="1" si="486"/>
        <v/>
      </c>
      <c r="Q399" s="243" t="str">
        <f t="shared" ca="1" si="486"/>
        <v/>
      </c>
      <c r="R399" s="45">
        <f t="shared" ca="1" si="420"/>
        <v>9.3955424975961932E-2</v>
      </c>
      <c r="S399" s="45">
        <f t="shared" ca="1" si="444"/>
        <v>5.0695617570641283E-2</v>
      </c>
      <c r="T399" s="77">
        <f t="shared" ca="1" si="405"/>
        <v>5.340355944267039E-2</v>
      </c>
      <c r="U399" s="45">
        <f t="shared" ca="1" si="421"/>
        <v>18.306757351199877</v>
      </c>
      <c r="V399" s="45">
        <f t="shared" ca="1" si="406"/>
        <v>0.20278247028256513</v>
      </c>
      <c r="W399" s="77">
        <f t="shared" ca="1" si="407"/>
        <v>0.45569386715575344</v>
      </c>
      <c r="X399" s="45">
        <f t="shared" ca="1" si="422"/>
        <v>1.0518501224780403</v>
      </c>
      <c r="Y399" s="45">
        <f t="shared" ca="1" si="408"/>
        <v>5.2083319875056454E-2</v>
      </c>
      <c r="Z399" s="77">
        <f t="shared" ca="1" si="409"/>
        <v>5.6743230016515669E-2</v>
      </c>
      <c r="AA399" s="45">
        <f t="shared" ca="1" si="423"/>
        <v>39.141661068002449</v>
      </c>
      <c r="AB399" s="45">
        <f t="shared" ca="1" si="410"/>
        <v>0</v>
      </c>
      <c r="AC399" s="45" cm="1">
        <f t="array" aca="1" ref="AC399" ca="1">pHUM*(T399+W399+Z399+AD399)</f>
        <v>6.1274493970654653E-2</v>
      </c>
      <c r="AD399" s="77">
        <f t="shared" ca="1" si="411"/>
        <v>6.5721438265577581E-2</v>
      </c>
      <c r="AE399" s="45">
        <f t="shared" ca="1" si="424"/>
        <v>6.3847072090583081</v>
      </c>
      <c r="AF399" s="45">
        <f t="shared" ca="1" si="412"/>
        <v>0</v>
      </c>
      <c r="AG399" s="76">
        <f t="shared" ca="1" si="413"/>
        <v>64.978931175714635</v>
      </c>
      <c r="AH399" s="45">
        <f t="shared" ca="1" si="414"/>
        <v>0.51820428103480609</v>
      </c>
      <c r="AI399" s="77">
        <f t="shared" ca="1" si="415"/>
        <v>1.1247746538145168E-2</v>
      </c>
      <c r="AJ399" s="384">
        <f t="shared" ca="1" si="417"/>
        <v>3.1627791802307792E-2</v>
      </c>
      <c r="AU399" s="1"/>
    </row>
    <row r="400" spans="3:47" x14ac:dyDescent="0.25">
      <c r="C400" s="10">
        <f t="shared" si="442"/>
        <v>25</v>
      </c>
      <c r="D400" s="91">
        <f t="shared" si="425"/>
        <v>10</v>
      </c>
      <c r="E400" s="278"/>
      <c r="F400" s="76">
        <f t="shared" ref="F400:Q400" ca="1" si="487">F328</f>
        <v>9.61</v>
      </c>
      <c r="G400" s="46">
        <f t="shared" ca="1" si="487"/>
        <v>27.012600000000003</v>
      </c>
      <c r="H400" s="46">
        <f t="shared" ca="1" si="401"/>
        <v>28.517550000000004</v>
      </c>
      <c r="I400" s="45">
        <f t="shared" ca="1" si="402"/>
        <v>0.45243046736638293</v>
      </c>
      <c r="J400" s="45">
        <f t="shared" ca="1" si="403"/>
        <v>0.27952512346894071</v>
      </c>
      <c r="K400" s="45">
        <f t="shared" ca="1" si="419"/>
        <v>0.90345467800480783</v>
      </c>
      <c r="L400" s="358">
        <f t="shared" ca="1" si="404"/>
        <v>0.70354868513849667</v>
      </c>
      <c r="M400" s="76">
        <f t="shared" ca="1" si="487"/>
        <v>0.25347808785320641</v>
      </c>
      <c r="N400" s="45">
        <f t="shared" ca="1" si="487"/>
        <v>0.25</v>
      </c>
      <c r="O400" s="45">
        <f t="shared" ca="1" si="487"/>
        <v>0</v>
      </c>
      <c r="P400" s="46" t="str">
        <f t="shared" ca="1" si="487"/>
        <v/>
      </c>
      <c r="Q400" s="243" t="str">
        <f t="shared" ca="1" si="487"/>
        <v/>
      </c>
      <c r="R400" s="45">
        <f t="shared" ca="1" si="420"/>
        <v>9.1247483103932825E-2</v>
      </c>
      <c r="S400" s="45">
        <f t="shared" ca="1" si="444"/>
        <v>5.0695617570641283E-2</v>
      </c>
      <c r="T400" s="77">
        <f t="shared" ca="1" si="405"/>
        <v>2.8660956799418685E-2</v>
      </c>
      <c r="U400" s="45">
        <f t="shared" ca="1" si="421"/>
        <v>18.05384595432669</v>
      </c>
      <c r="V400" s="45">
        <f t="shared" ca="1" si="406"/>
        <v>0.20278247028256513</v>
      </c>
      <c r="W400" s="77">
        <f t="shared" ca="1" si="407"/>
        <v>0.20305224652906845</v>
      </c>
      <c r="X400" s="45">
        <f t="shared" ca="1" si="422"/>
        <v>1.0471902123365813</v>
      </c>
      <c r="Y400" s="45">
        <f t="shared" ca="1" si="408"/>
        <v>2.3664031152583948E-2</v>
      </c>
      <c r="Z400" s="77">
        <f t="shared" ca="1" si="409"/>
        <v>2.5736405482408319E-2</v>
      </c>
      <c r="AA400" s="45">
        <f t="shared" ca="1" si="423"/>
        <v>39.13721412370753</v>
      </c>
      <c r="AB400" s="45">
        <f t="shared" ca="1" si="410"/>
        <v>0</v>
      </c>
      <c r="AC400" s="45" cm="1">
        <f t="array" aca="1" ref="AC400" ca="1">pHUM*(T400+W400+Z400+AD400)</f>
        <v>2.7840036650098762E-2</v>
      </c>
      <c r="AD400" s="77">
        <f t="shared" ca="1" si="411"/>
        <v>2.9500323027095637E-2</v>
      </c>
      <c r="AE400" s="45">
        <f t="shared" ca="1" si="424"/>
        <v>6.3847072090583081</v>
      </c>
      <c r="AF400" s="45">
        <f t="shared" ca="1" si="412"/>
        <v>0</v>
      </c>
      <c r="AG400" s="76">
        <f t="shared" ca="1" si="413"/>
        <v>64.714204982533033</v>
      </c>
      <c r="AH400" s="45">
        <f t="shared" ca="1" si="414"/>
        <v>0.23544586403530843</v>
      </c>
      <c r="AI400" s="77">
        <f t="shared" ca="1" si="415"/>
        <v>1.1147187869185079E-2</v>
      </c>
      <c r="AJ400" s="384">
        <f t="shared" ca="1" si="417"/>
        <v>2.5009539729259345E-2</v>
      </c>
      <c r="AU400" s="1"/>
    </row>
    <row r="401" spans="3:47" x14ac:dyDescent="0.25">
      <c r="C401" s="10">
        <f t="shared" si="442"/>
        <v>25</v>
      </c>
      <c r="D401" s="91">
        <f t="shared" si="425"/>
        <v>11</v>
      </c>
      <c r="E401" s="278"/>
      <c r="F401" s="76">
        <f t="shared" ref="F401:Q401" ca="1" si="488">F329</f>
        <v>5.71</v>
      </c>
      <c r="G401" s="46">
        <f t="shared" ca="1" si="488"/>
        <v>27.012600000000003</v>
      </c>
      <c r="H401" s="46">
        <f t="shared" ca="1" si="401"/>
        <v>28.517550000000004</v>
      </c>
      <c r="I401" s="45">
        <f t="shared" ca="1" si="402"/>
        <v>0.24617612464957264</v>
      </c>
      <c r="J401" s="45">
        <f t="shared" ca="1" si="403"/>
        <v>0.27952512346894071</v>
      </c>
      <c r="K401" s="45">
        <f t="shared" ca="1" si="419"/>
        <v>0.90345467800480783</v>
      </c>
      <c r="L401" s="358">
        <f t="shared" ca="1" si="404"/>
        <v>0.57043958344737544</v>
      </c>
      <c r="M401" s="76">
        <f t="shared" ca="1" si="488"/>
        <v>0.25347808785320641</v>
      </c>
      <c r="N401" s="45">
        <f t="shared" ca="1" si="488"/>
        <v>0.25</v>
      </c>
      <c r="O401" s="45">
        <f t="shared" ca="1" si="488"/>
        <v>0</v>
      </c>
      <c r="P401" s="46" t="str">
        <f t="shared" ca="1" si="488"/>
        <v/>
      </c>
      <c r="Q401" s="243" t="str">
        <f t="shared" ca="1" si="488"/>
        <v/>
      </c>
      <c r="R401" s="45">
        <f t="shared" ca="1" si="420"/>
        <v>0.11328214387515542</v>
      </c>
      <c r="S401" s="45">
        <f t="shared" ca="1" si="444"/>
        <v>5.0695617570641283E-2</v>
      </c>
      <c r="T401" s="77">
        <f t="shared" ca="1" si="405"/>
        <v>2.1010693094592452E-2</v>
      </c>
      <c r="U401" s="45">
        <f t="shared" ca="1" si="421"/>
        <v>18.053576178080185</v>
      </c>
      <c r="V401" s="45">
        <f t="shared" ca="1" si="406"/>
        <v>0.20278247028256513</v>
      </c>
      <c r="W401" s="77">
        <f t="shared" ca="1" si="407"/>
        <v>0.11076778107505203</v>
      </c>
      <c r="X401" s="45">
        <f t="shared" ca="1" si="422"/>
        <v>1.0451178380067569</v>
      </c>
      <c r="Y401" s="45">
        <f t="shared" ca="1" si="408"/>
        <v>1.335044611254294E-2</v>
      </c>
      <c r="Z401" s="77">
        <f t="shared" ca="1" si="409"/>
        <v>1.4055202017306642E-2</v>
      </c>
      <c r="AA401" s="45">
        <f t="shared" ca="1" si="423"/>
        <v>39.135553837330534</v>
      </c>
      <c r="AB401" s="45">
        <f t="shared" ca="1" si="410"/>
        <v>0</v>
      </c>
      <c r="AC401" s="45" cm="1">
        <f t="array" aca="1" ref="AC401" ca="1">pHUM*(T401+W401+Z401+AD401)</f>
        <v>1.5706407191226991E-2</v>
      </c>
      <c r="AD401" s="77">
        <f t="shared" ca="1" si="411"/>
        <v>1.6053771361589714E-2</v>
      </c>
      <c r="AE401" s="45">
        <f t="shared" ca="1" si="424"/>
        <v>6.3847072090583081</v>
      </c>
      <c r="AF401" s="45">
        <f t="shared" ca="1" si="412"/>
        <v>0</v>
      </c>
      <c r="AG401" s="76">
        <f t="shared" ca="1" si="413"/>
        <v>64.732237206350945</v>
      </c>
      <c r="AH401" s="45">
        <f t="shared" ca="1" si="414"/>
        <v>0.13283059424477092</v>
      </c>
      <c r="AI401" s="77">
        <f t="shared" ca="1" si="415"/>
        <v>1.1456330631275047E-2</v>
      </c>
      <c r="AJ401" s="384">
        <f t="shared" ca="1" si="417"/>
        <v>2.0840259580711118E-2</v>
      </c>
      <c r="AU401" s="1"/>
    </row>
    <row r="402" spans="3:47" x14ac:dyDescent="0.25">
      <c r="C402" s="10">
        <f t="shared" si="442"/>
        <v>25</v>
      </c>
      <c r="D402" s="91">
        <f t="shared" si="425"/>
        <v>12</v>
      </c>
      <c r="E402" s="278"/>
      <c r="F402" s="76">
        <f t="shared" ref="F402:Q402" ca="1" si="489">F330</f>
        <v>-0.46</v>
      </c>
      <c r="G402" s="46">
        <f t="shared" ca="1" si="489"/>
        <v>27.012600000000003</v>
      </c>
      <c r="H402" s="46">
        <f t="shared" ref="H402:H465" ca="1" si="490">FC-G402</f>
        <v>28.517550000000004</v>
      </c>
      <c r="I402" s="45">
        <f t="shared" ref="I402:I465" ca="1" si="491">PRODUCT(47.91/(1+EXP(106.06/(F402+18.27))), IF(IF(H402&lt;=0,1-((1-RM_PWP)*(G402-FC)/(WSAT-FC)),IF(H402&lt;=Wat1bar,1,1-((1-RM_PWP)*(H402-Wat1bar)/(FC-Wat1bar))))&lt;=RM_PWP,RM_PWP,IF(H402&lt;=0,1-((1-RM_PWP)*(G402-FC)/(WSAT-FC)),IF(H402&lt;=Wat1bar,1,1-((1-RM_PWP)*(H402-Wat1bar)/(FC-Wat1bar))))),0.56+(ATAN(3.14*0.45*(SoilpH-5)))/3.14,EXP(-0.09*SoilSal))</f>
        <v>5.3686278337302371E-2</v>
      </c>
      <c r="J402" s="45">
        <f t="shared" ref="J402:J465" ca="1" si="492">POWER(((G402/150)-$J$9),$M$9)*POWER(($L$9-(G402/150)),$N$9)</f>
        <v>0.27952512346894071</v>
      </c>
      <c r="K402" s="45">
        <f t="shared" ca="1" si="419"/>
        <v>0.90345467800480783</v>
      </c>
      <c r="L402" s="358">
        <f t="shared" ref="L402:L465" ca="1" si="493">1/(1+EXP(-(F402-3.8)/6.7))+1/(1+EXP((F402-62.2)/7.1))-1</f>
        <v>0.34604490353891793</v>
      </c>
      <c r="M402" s="76">
        <f t="shared" ca="1" si="489"/>
        <v>0.25347808785320641</v>
      </c>
      <c r="N402" s="45">
        <f t="shared" ca="1" si="489"/>
        <v>0.25</v>
      </c>
      <c r="O402" s="45">
        <f t="shared" ca="1" si="489"/>
        <v>0</v>
      </c>
      <c r="P402" s="46" t="str">
        <f t="shared" ca="1" si="489"/>
        <v/>
      </c>
      <c r="Q402" s="243" t="str">
        <f t="shared" ca="1" si="489"/>
        <v/>
      </c>
      <c r="R402" s="45">
        <f t="shared" ca="1" si="420"/>
        <v>0.14296706835120426</v>
      </c>
      <c r="S402" s="45">
        <f t="shared" ca="1" si="444"/>
        <v>5.0695617570641283E-2</v>
      </c>
      <c r="T402" s="77">
        <f t="shared" ref="T402:T465" ca="1" si="494">R402*(1-EXP(-kDPM*I402))</f>
        <v>6.255174458432983E-3</v>
      </c>
      <c r="U402" s="45">
        <f t="shared" ca="1" si="421"/>
        <v>18.145590867287698</v>
      </c>
      <c r="V402" s="45">
        <f t="shared" ref="V402:V465" ca="1" si="495">M402*1/(1+N402)</f>
        <v>0.20278247028256513</v>
      </c>
      <c r="W402" s="77">
        <f t="shared" ref="W402:W465" ca="1" si="496">U402*(1-EXP(-kRPM*I402))</f>
        <v>2.4337894756506776E-2</v>
      </c>
      <c r="X402" s="45">
        <f t="shared" ca="1" si="422"/>
        <v>1.0444130821019932</v>
      </c>
      <c r="Y402" s="45">
        <f t="shared" ref="Y402:Y465" ca="1" si="497">pBIO*(T402+W402+Z402+AD402)</f>
        <v>3.0656416063699122E-3</v>
      </c>
      <c r="Z402" s="77">
        <f t="shared" ref="Z402:Z465" ca="1" si="498">X402*(1-EXP(-kBIO*I402))</f>
        <v>3.0793373416029986E-3</v>
      </c>
      <c r="AA402" s="45">
        <f t="shared" ca="1" si="423"/>
        <v>39.135206473160167</v>
      </c>
      <c r="AB402" s="45">
        <f t="shared" ref="AB402:AB465" ca="1" si="499">IF(O402&gt;0,O402*(1-Q402)/(1+P402),0)</f>
        <v>0</v>
      </c>
      <c r="AC402" s="45" cm="1">
        <f t="array" aca="1" ref="AC402" ca="1">pHUM*(T402+W402+Z402+AD402)</f>
        <v>3.6066371839646024E-3</v>
      </c>
      <c r="AD402" s="77">
        <f t="shared" ref="AD402:AD465" ca="1" si="500">AA402*(1-EXP(-kHUM*I402))</f>
        <v>3.5015493225467767E-3</v>
      </c>
      <c r="AE402" s="45">
        <f t="shared" ca="1" si="424"/>
        <v>6.3847072090583081</v>
      </c>
      <c r="AF402" s="45">
        <f t="shared" ref="AF402:AF465" ca="1" si="501">IF(O402&gt;0,O402*Q402,0)</f>
        <v>0</v>
      </c>
      <c r="AG402" s="76">
        <f t="shared" ref="AG402:AG465" ca="1" si="502">R402+U402+X402+AA402+AE402</f>
        <v>64.852884699959375</v>
      </c>
      <c r="AH402" s="45">
        <f t="shared" ref="AH402:AH465" ca="1" si="503">p_CO2*(T402+W402+Z402+AD402)</f>
        <v>3.0501677088755019E-2</v>
      </c>
      <c r="AI402" s="77">
        <f t="shared" ref="AI402:AI465" ca="1" si="504">((kRPM*U402)+(kDPM*R402)+(kBIO*X402)+(kHUM*AA402))/(U402+R402+AA402+X402)</f>
        <v>1.1894454193547696E-2</v>
      </c>
      <c r="AJ402" s="384">
        <f t="shared" ca="1" si="417"/>
        <v>1.3125869057518669E-2</v>
      </c>
      <c r="AU402" s="1"/>
    </row>
    <row r="403" spans="3:47" x14ac:dyDescent="0.25">
      <c r="C403" s="10">
        <f t="shared" si="442"/>
        <v>26</v>
      </c>
      <c r="D403" s="91">
        <f t="shared" si="425"/>
        <v>1</v>
      </c>
      <c r="E403" s="278"/>
      <c r="F403" s="76">
        <f t="shared" ref="F403:Q403" ca="1" si="505">F331</f>
        <v>-3.44</v>
      </c>
      <c r="G403" s="46">
        <f t="shared" ca="1" si="505"/>
        <v>27.012600000000003</v>
      </c>
      <c r="H403" s="46">
        <f t="shared" ca="1" si="490"/>
        <v>28.517550000000004</v>
      </c>
      <c r="I403" s="45">
        <f t="shared" ca="1" si="491"/>
        <v>1.6253779081695344E-2</v>
      </c>
      <c r="J403" s="45">
        <f t="shared" ca="1" si="492"/>
        <v>0.27952512346894071</v>
      </c>
      <c r="K403" s="45">
        <f t="shared" ca="1" si="419"/>
        <v>0.90345467800480783</v>
      </c>
      <c r="L403" s="358">
        <f t="shared" ca="1" si="493"/>
        <v>0.25329647647379749</v>
      </c>
      <c r="M403" s="76">
        <f t="shared" ca="1" si="505"/>
        <v>0.25347808785320641</v>
      </c>
      <c r="N403" s="45">
        <f t="shared" ca="1" si="505"/>
        <v>0.25</v>
      </c>
      <c r="O403" s="45">
        <f t="shared" ca="1" si="505"/>
        <v>0</v>
      </c>
      <c r="P403" s="46" t="str">
        <f t="shared" ca="1" si="505"/>
        <v/>
      </c>
      <c r="Q403" s="243" t="str">
        <f t="shared" ca="1" si="505"/>
        <v/>
      </c>
      <c r="R403" s="45">
        <f t="shared" ca="1" si="420"/>
        <v>0.18740751146341256</v>
      </c>
      <c r="S403" s="45">
        <f t="shared" ca="1" si="444"/>
        <v>5.0695617570641283E-2</v>
      </c>
      <c r="T403" s="77">
        <f t="shared" ca="1" si="494"/>
        <v>2.5212865139021302E-3</v>
      </c>
      <c r="U403" s="45">
        <f t="shared" ca="1" si="421"/>
        <v>18.324035442813756</v>
      </c>
      <c r="V403" s="45">
        <f t="shared" ca="1" si="495"/>
        <v>0.20278247028256513</v>
      </c>
      <c r="W403" s="77">
        <f t="shared" ca="1" si="496"/>
        <v>7.4443580100035734E-3</v>
      </c>
      <c r="X403" s="45">
        <f t="shared" ca="1" si="422"/>
        <v>1.0443993863667602</v>
      </c>
      <c r="Y403" s="45">
        <f t="shared" ca="1" si="497"/>
        <v>9.8623022912344119E-4</v>
      </c>
      <c r="Z403" s="77">
        <f t="shared" ca="1" si="498"/>
        <v>9.3323183233731785E-4</v>
      </c>
      <c r="AA403" s="45">
        <f t="shared" ca="1" si="423"/>
        <v>39.135311561021581</v>
      </c>
      <c r="AB403" s="45">
        <f t="shared" ca="1" si="499"/>
        <v>0</v>
      </c>
      <c r="AC403" s="45" cm="1">
        <f t="array" aca="1" ref="AC403" ca="1">pHUM*(T403+W403+Z403+AD403)</f>
        <v>1.1602708577922837E-3</v>
      </c>
      <c r="AD403" s="77">
        <f t="shared" ca="1" si="500"/>
        <v>1.0601468211177106E-3</v>
      </c>
      <c r="AE403" s="45">
        <f t="shared" ca="1" si="424"/>
        <v>6.3847072090583081</v>
      </c>
      <c r="AF403" s="45">
        <f t="shared" ca="1" si="501"/>
        <v>0</v>
      </c>
      <c r="AG403" s="76">
        <f t="shared" ca="1" si="502"/>
        <v>65.075861110723821</v>
      </c>
      <c r="AH403" s="45">
        <f t="shared" ca="1" si="503"/>
        <v>9.812522090445008E-3</v>
      </c>
      <c r="AI403" s="77">
        <f t="shared" ca="1" si="504"/>
        <v>1.2556258461762546E-2</v>
      </c>
      <c r="AJ403" s="384">
        <f t="shared" ref="AJ403:AJ466" ca="1" si="506">(530)*(1-EXP((-$AJ$9*L403*K403*AI403)))</f>
        <v>1.0142422771742821E-2</v>
      </c>
      <c r="AU403" s="1"/>
    </row>
    <row r="404" spans="3:47" x14ac:dyDescent="0.25">
      <c r="C404" s="10">
        <f t="shared" si="442"/>
        <v>26</v>
      </c>
      <c r="D404" s="91">
        <f t="shared" si="425"/>
        <v>2</v>
      </c>
      <c r="E404" s="278"/>
      <c r="F404" s="76">
        <f t="shared" ref="F404:Q404" ca="1" si="507">F332</f>
        <v>-1.65</v>
      </c>
      <c r="G404" s="46">
        <f t="shared" ca="1" si="507"/>
        <v>27.012600000000003</v>
      </c>
      <c r="H404" s="46">
        <f t="shared" ca="1" si="490"/>
        <v>28.517550000000004</v>
      </c>
      <c r="I404" s="45">
        <f t="shared" ca="1" si="491"/>
        <v>3.508132091145684E-2</v>
      </c>
      <c r="J404" s="45">
        <f t="shared" ca="1" si="492"/>
        <v>0.27952512346894071</v>
      </c>
      <c r="K404" s="45">
        <f t="shared" ref="K404:K467" ca="1" si="508">J404/$I$15</f>
        <v>0.90345467800480783</v>
      </c>
      <c r="L404" s="358">
        <f t="shared" ca="1" si="493"/>
        <v>0.30703519550320224</v>
      </c>
      <c r="M404" s="76">
        <f t="shared" ca="1" si="507"/>
        <v>0.25347808785320641</v>
      </c>
      <c r="N404" s="45">
        <f t="shared" ca="1" si="507"/>
        <v>0.25</v>
      </c>
      <c r="O404" s="45">
        <f t="shared" ca="1" si="507"/>
        <v>0</v>
      </c>
      <c r="P404" s="46" t="str">
        <f t="shared" ca="1" si="507"/>
        <v/>
      </c>
      <c r="Q404" s="243" t="str">
        <f t="shared" ca="1" si="507"/>
        <v/>
      </c>
      <c r="R404" s="45">
        <f t="shared" ref="R404:R467" ca="1" si="509">R403+S404-T403</f>
        <v>0.23558184252015171</v>
      </c>
      <c r="S404" s="45">
        <f t="shared" ca="1" si="444"/>
        <v>5.0695617570641283E-2</v>
      </c>
      <c r="T404" s="77">
        <f t="shared" ca="1" si="494"/>
        <v>6.7874054706907241E-3</v>
      </c>
      <c r="U404" s="45">
        <f t="shared" ref="U404:U467" ca="1" si="510">U403+V404-W403</f>
        <v>18.519373555086315</v>
      </c>
      <c r="V404" s="45">
        <f t="shared" ca="1" si="495"/>
        <v>0.20278247028256513</v>
      </c>
      <c r="W404" s="77">
        <f t="shared" ca="1" si="496"/>
        <v>1.6234981820893082E-2</v>
      </c>
      <c r="X404" s="45">
        <f t="shared" ref="X404:X467" ca="1" si="511">X403+Y403-Z403</f>
        <v>1.0444523847635463</v>
      </c>
      <c r="Y404" s="45">
        <f t="shared" ca="1" si="497"/>
        <v>2.2533261978780958E-3</v>
      </c>
      <c r="Z404" s="77">
        <f t="shared" ca="1" si="498"/>
        <v>2.0132993831129208E-3</v>
      </c>
      <c r="AA404" s="45">
        <f t="shared" ref="AA404:AA467" ca="1" si="512">AA403+AC403+AB404-AD403</f>
        <v>39.135411685058259</v>
      </c>
      <c r="AB404" s="45">
        <f t="shared" ca="1" si="499"/>
        <v>0</v>
      </c>
      <c r="AC404" s="45" cm="1">
        <f t="array" aca="1" ref="AC404" ca="1">pHUM*(T404+W404+Z404+AD404)</f>
        <v>2.6509719975036424E-3</v>
      </c>
      <c r="AD404" s="77">
        <f t="shared" ca="1" si="500"/>
        <v>2.2881363341855109E-3</v>
      </c>
      <c r="AE404" s="45">
        <f t="shared" ref="AE404:AE467" ca="1" si="513">AE403+AF404</f>
        <v>6.3847072090583081</v>
      </c>
      <c r="AF404" s="45">
        <f t="shared" ca="1" si="501"/>
        <v>0</v>
      </c>
      <c r="AG404" s="76">
        <f t="shared" ca="1" si="502"/>
        <v>65.319526676486575</v>
      </c>
      <c r="AH404" s="45">
        <f t="shared" ca="1" si="503"/>
        <v>2.2419524813500499E-2</v>
      </c>
      <c r="AI404" s="77">
        <f t="shared" ca="1" si="504"/>
        <v>1.3268439868781122E-2</v>
      </c>
      <c r="AJ404" s="384">
        <f t="shared" ca="1" si="506"/>
        <v>1.2991496154663995E-2</v>
      </c>
      <c r="AU404" s="1"/>
    </row>
    <row r="405" spans="3:47" x14ac:dyDescent="0.25">
      <c r="C405" s="10">
        <f t="shared" si="442"/>
        <v>26</v>
      </c>
      <c r="D405" s="91">
        <f t="shared" ref="D405:D468" si="514">IF(D404+1&lt;13,D404+1,1)</f>
        <v>3</v>
      </c>
      <c r="E405" s="278"/>
      <c r="F405" s="76">
        <f t="shared" ref="F405:Q405" ca="1" si="515">F333</f>
        <v>4.68</v>
      </c>
      <c r="G405" s="46">
        <f t="shared" ca="1" si="515"/>
        <v>27.012600000000003</v>
      </c>
      <c r="H405" s="46">
        <f t="shared" ca="1" si="490"/>
        <v>28.517550000000004</v>
      </c>
      <c r="I405" s="45">
        <f t="shared" ca="1" si="491"/>
        <v>0.20228669449817699</v>
      </c>
      <c r="J405" s="45">
        <f t="shared" ca="1" si="492"/>
        <v>0.27952512346894071</v>
      </c>
      <c r="K405" s="45">
        <f t="shared" ca="1" si="508"/>
        <v>0.90345467800480783</v>
      </c>
      <c r="L405" s="358">
        <f t="shared" ca="1" si="493"/>
        <v>0.53248567772813127</v>
      </c>
      <c r="M405" s="76">
        <f t="shared" ca="1" si="515"/>
        <v>0.25347808785320641</v>
      </c>
      <c r="N405" s="45">
        <f t="shared" ca="1" si="515"/>
        <v>0.25</v>
      </c>
      <c r="O405" s="45">
        <f t="shared" ca="1" si="515"/>
        <v>0</v>
      </c>
      <c r="P405" s="46" t="str">
        <f t="shared" ca="1" si="515"/>
        <v/>
      </c>
      <c r="Q405" s="243" t="str">
        <f t="shared" ca="1" si="515"/>
        <v/>
      </c>
      <c r="R405" s="45">
        <f t="shared" ca="1" si="509"/>
        <v>0.27949005462010229</v>
      </c>
      <c r="S405" s="45">
        <f t="shared" ca="1" si="444"/>
        <v>5.0695617570641283E-2</v>
      </c>
      <c r="T405" s="77">
        <f t="shared" ca="1" si="494"/>
        <v>4.3357229787122406E-2</v>
      </c>
      <c r="U405" s="45">
        <f t="shared" ca="1" si="510"/>
        <v>18.705921043547985</v>
      </c>
      <c r="V405" s="45">
        <f t="shared" ca="1" si="495"/>
        <v>0.20278247028256513</v>
      </c>
      <c r="W405" s="77">
        <f t="shared" ca="1" si="496"/>
        <v>9.4360174683639081E-2</v>
      </c>
      <c r="X405" s="45">
        <f t="shared" ca="1" si="511"/>
        <v>1.0446924115783114</v>
      </c>
      <c r="Y405" s="45">
        <f t="shared" ca="1" si="497"/>
        <v>1.3398337523999023E-2</v>
      </c>
      <c r="Z405" s="77">
        <f t="shared" ca="1" si="498"/>
        <v>1.1558587298118634E-2</v>
      </c>
      <c r="AA405" s="45">
        <f t="shared" ca="1" si="512"/>
        <v>39.135774520721576</v>
      </c>
      <c r="AB405" s="45">
        <f t="shared" ca="1" si="499"/>
        <v>0</v>
      </c>
      <c r="AC405" s="45" cm="1">
        <f t="array" aca="1" ref="AC405" ca="1">pHUM*(T405+W405+Z405+AD405)</f>
        <v>1.5762750028234147E-2</v>
      </c>
      <c r="AD405" s="77">
        <f t="shared" ca="1" si="500"/>
        <v>1.3192186812523978E-2</v>
      </c>
      <c r="AE405" s="45">
        <f t="shared" ca="1" si="513"/>
        <v>6.3847072090583081</v>
      </c>
      <c r="AF405" s="45">
        <f t="shared" ca="1" si="501"/>
        <v>0</v>
      </c>
      <c r="AG405" s="76">
        <f t="shared" ca="1" si="502"/>
        <v>65.550585239526285</v>
      </c>
      <c r="AH405" s="45">
        <f t="shared" ca="1" si="503"/>
        <v>0.13330709102917093</v>
      </c>
      <c r="AI405" s="77">
        <f t="shared" ca="1" si="504"/>
        <v>1.3914114111845457E-2</v>
      </c>
      <c r="AJ405" s="384">
        <f t="shared" ca="1" si="506"/>
        <v>2.3627092472855438E-2</v>
      </c>
      <c r="AU405" s="1"/>
    </row>
    <row r="406" spans="3:47" x14ac:dyDescent="0.25">
      <c r="C406" s="10">
        <f t="shared" si="442"/>
        <v>26</v>
      </c>
      <c r="D406" s="91">
        <f t="shared" si="514"/>
        <v>4</v>
      </c>
      <c r="E406" s="278"/>
      <c r="F406" s="76">
        <f t="shared" ref="F406:Q406" ca="1" si="516">F334</f>
        <v>7.69</v>
      </c>
      <c r="G406" s="46">
        <f t="shared" ca="1" si="516"/>
        <v>27.012600000000003</v>
      </c>
      <c r="H406" s="46">
        <f t="shared" ca="1" si="490"/>
        <v>28.517550000000004</v>
      </c>
      <c r="I406" s="45">
        <f t="shared" ca="1" si="491"/>
        <v>0.3433111911106958</v>
      </c>
      <c r="J406" s="45">
        <f t="shared" ca="1" si="492"/>
        <v>0.27952512346894071</v>
      </c>
      <c r="K406" s="45">
        <f t="shared" ca="1" si="508"/>
        <v>0.90345467800480783</v>
      </c>
      <c r="L406" s="358">
        <f t="shared" ca="1" si="493"/>
        <v>0.64074183470648283</v>
      </c>
      <c r="M406" s="76">
        <f t="shared" ca="1" si="516"/>
        <v>0.25347808785320641</v>
      </c>
      <c r="N406" s="45">
        <f t="shared" ca="1" si="516"/>
        <v>0.25</v>
      </c>
      <c r="O406" s="45">
        <f t="shared" ca="1" si="516"/>
        <v>0</v>
      </c>
      <c r="P406" s="46" t="str">
        <f t="shared" ca="1" si="516"/>
        <v/>
      </c>
      <c r="Q406" s="243" t="str">
        <f t="shared" ca="1" si="516"/>
        <v/>
      </c>
      <c r="R406" s="45">
        <f t="shared" ca="1" si="509"/>
        <v>0.28682844240362115</v>
      </c>
      <c r="S406" s="45">
        <f t="shared" ca="1" si="444"/>
        <v>5.0695617570641283E-2</v>
      </c>
      <c r="T406" s="77">
        <f t="shared" ca="1" si="494"/>
        <v>7.1364922050609986E-2</v>
      </c>
      <c r="U406" s="45">
        <f t="shared" ca="1" si="510"/>
        <v>18.814343339146909</v>
      </c>
      <c r="V406" s="45">
        <f t="shared" ca="1" si="495"/>
        <v>0.20278247028256513</v>
      </c>
      <c r="W406" s="77">
        <f t="shared" ca="1" si="496"/>
        <v>0.16078837291893902</v>
      </c>
      <c r="X406" s="45">
        <f t="shared" ca="1" si="511"/>
        <v>1.0465321618041918</v>
      </c>
      <c r="Y406" s="45">
        <f t="shared" ca="1" si="497"/>
        <v>2.2605700836799556E-2</v>
      </c>
      <c r="Z406" s="77">
        <f t="shared" ca="1" si="498"/>
        <v>1.9575347574792026E-2</v>
      </c>
      <c r="AA406" s="45">
        <f t="shared" ca="1" si="512"/>
        <v>39.138345083937288</v>
      </c>
      <c r="AB406" s="45">
        <f t="shared" ca="1" si="499"/>
        <v>0</v>
      </c>
      <c r="AC406" s="45" cm="1">
        <f t="array" aca="1" ref="AC406" ca="1">pHUM*(T406+W406+Z406+AD406)</f>
        <v>2.6594942160940657E-2</v>
      </c>
      <c r="AD406" s="77">
        <f t="shared" ca="1" si="500"/>
        <v>2.2387980800339963E-2</v>
      </c>
      <c r="AE406" s="45">
        <f t="shared" ca="1" si="513"/>
        <v>6.3847072090583081</v>
      </c>
      <c r="AF406" s="45">
        <f t="shared" ca="1" si="501"/>
        <v>0</v>
      </c>
      <c r="AG406" s="76">
        <f t="shared" ca="1" si="502"/>
        <v>65.670756236350314</v>
      </c>
      <c r="AH406" s="45">
        <f t="shared" ca="1" si="503"/>
        <v>0.22491598034694082</v>
      </c>
      <c r="AI406" s="77">
        <f t="shared" ca="1" si="504"/>
        <v>1.4036559075436624E-2</v>
      </c>
      <c r="AJ406" s="384">
        <f t="shared" ca="1" si="506"/>
        <v>2.8680614819615036E-2</v>
      </c>
      <c r="AU406" s="1"/>
    </row>
    <row r="407" spans="3:47" x14ac:dyDescent="0.25">
      <c r="C407" s="10">
        <f t="shared" si="442"/>
        <v>26</v>
      </c>
      <c r="D407" s="91">
        <f t="shared" si="514"/>
        <v>5</v>
      </c>
      <c r="E407" s="278"/>
      <c r="F407" s="76">
        <f t="shared" ref="F407:Q407" ca="1" si="517">F335</f>
        <v>15.52</v>
      </c>
      <c r="G407" s="46">
        <f t="shared" ca="1" si="517"/>
        <v>27.012600000000003</v>
      </c>
      <c r="H407" s="46">
        <f t="shared" ca="1" si="490"/>
        <v>28.517550000000004</v>
      </c>
      <c r="I407" s="45">
        <f t="shared" ca="1" si="491"/>
        <v>0.86230369296737164</v>
      </c>
      <c r="J407" s="45">
        <f t="shared" ca="1" si="492"/>
        <v>0.27952512346894071</v>
      </c>
      <c r="K407" s="45">
        <f t="shared" ca="1" si="508"/>
        <v>0.90345467800480783</v>
      </c>
      <c r="L407" s="358">
        <f t="shared" ca="1" si="493"/>
        <v>0.85046529796407655</v>
      </c>
      <c r="M407" s="76">
        <f t="shared" ca="1" si="517"/>
        <v>0.25347808785320641</v>
      </c>
      <c r="N407" s="45">
        <f t="shared" ca="1" si="517"/>
        <v>0.25</v>
      </c>
      <c r="O407" s="45">
        <f t="shared" ca="1" si="517"/>
        <v>0</v>
      </c>
      <c r="P407" s="46" t="str">
        <f t="shared" ca="1" si="517"/>
        <v/>
      </c>
      <c r="Q407" s="243" t="str">
        <f t="shared" ca="1" si="517"/>
        <v/>
      </c>
      <c r="R407" s="45">
        <f t="shared" ca="1" si="509"/>
        <v>0.26615913792365242</v>
      </c>
      <c r="S407" s="45">
        <f t="shared" ca="1" si="444"/>
        <v>5.0695617570641283E-2</v>
      </c>
      <c r="T407" s="77">
        <f t="shared" ca="1" si="494"/>
        <v>0.13642231208113587</v>
      </c>
      <c r="U407" s="45">
        <f t="shared" ca="1" si="510"/>
        <v>18.856337436510533</v>
      </c>
      <c r="V407" s="45">
        <f t="shared" ca="1" si="495"/>
        <v>0.20278247028256513</v>
      </c>
      <c r="W407" s="77">
        <f t="shared" ca="1" si="496"/>
        <v>0.40214700061651149</v>
      </c>
      <c r="X407" s="45">
        <f t="shared" ca="1" si="511"/>
        <v>1.0495625150661994</v>
      </c>
      <c r="Y407" s="45">
        <f t="shared" ca="1" si="497"/>
        <v>5.305946821308475E-2</v>
      </c>
      <c r="Z407" s="77">
        <f t="shared" ca="1" si="498"/>
        <v>4.861534486892588E-2</v>
      </c>
      <c r="AA407" s="45">
        <f t="shared" ca="1" si="512"/>
        <v>39.14255204529789</v>
      </c>
      <c r="AB407" s="45">
        <f t="shared" ca="1" si="499"/>
        <v>0</v>
      </c>
      <c r="AC407" s="45" cm="1">
        <f t="array" aca="1" ref="AC407" ca="1">pHUM*(T407+W407+Z407+AD407)</f>
        <v>6.2422903780099709E-2</v>
      </c>
      <c r="AD407" s="77">
        <f t="shared" ca="1" si="500"/>
        <v>5.621420752671466E-2</v>
      </c>
      <c r="AE407" s="45">
        <f t="shared" ca="1" si="513"/>
        <v>6.3847072090583081</v>
      </c>
      <c r="AF407" s="45">
        <f t="shared" ca="1" si="501"/>
        <v>0</v>
      </c>
      <c r="AG407" s="76">
        <f t="shared" ca="1" si="502"/>
        <v>65.699318343856575</v>
      </c>
      <c r="AH407" s="45">
        <f t="shared" ca="1" si="503"/>
        <v>0.52791649310010358</v>
      </c>
      <c r="AI407" s="77">
        <f t="shared" ca="1" si="504"/>
        <v>1.3760036978608557E-2</v>
      </c>
      <c r="AJ407" s="384">
        <f t="shared" ca="1" si="506"/>
        <v>3.7317915609990093E-2</v>
      </c>
      <c r="AU407" s="1"/>
    </row>
    <row r="408" spans="3:47" x14ac:dyDescent="0.25">
      <c r="C408" s="10">
        <f t="shared" si="442"/>
        <v>26</v>
      </c>
      <c r="D408" s="91">
        <f t="shared" si="514"/>
        <v>6</v>
      </c>
      <c r="E408" s="278"/>
      <c r="F408" s="76">
        <f t="shared" ref="F408:Q408" ca="1" si="518">F336</f>
        <v>17.8</v>
      </c>
      <c r="G408" s="46">
        <f t="shared" ca="1" si="518"/>
        <v>27.012600000000003</v>
      </c>
      <c r="H408" s="46">
        <f t="shared" ca="1" si="490"/>
        <v>28.517550000000004</v>
      </c>
      <c r="I408" s="45">
        <f t="shared" ca="1" si="491"/>
        <v>1.0420430221807615</v>
      </c>
      <c r="J408" s="45">
        <f t="shared" ca="1" si="492"/>
        <v>0.27952512346894071</v>
      </c>
      <c r="K408" s="45">
        <f t="shared" ca="1" si="508"/>
        <v>0.90345467800480783</v>
      </c>
      <c r="L408" s="358">
        <f t="shared" ca="1" si="493"/>
        <v>0.88796358149435028</v>
      </c>
      <c r="M408" s="76">
        <f t="shared" ca="1" si="518"/>
        <v>0.25347808785320641</v>
      </c>
      <c r="N408" s="45">
        <f t="shared" ca="1" si="518"/>
        <v>0.25</v>
      </c>
      <c r="O408" s="45">
        <f t="shared" ca="1" si="518"/>
        <v>0</v>
      </c>
      <c r="P408" s="46" t="str">
        <f t="shared" ca="1" si="518"/>
        <v/>
      </c>
      <c r="Q408" s="243" t="str">
        <f t="shared" ca="1" si="518"/>
        <v/>
      </c>
      <c r="R408" s="45">
        <f t="shared" ca="1" si="509"/>
        <v>0.18043244341315784</v>
      </c>
      <c r="S408" s="45">
        <f t="shared" ca="1" si="444"/>
        <v>5.0695617570641283E-2</v>
      </c>
      <c r="T408" s="77">
        <f t="shared" ca="1" si="494"/>
        <v>0.10471661384205616</v>
      </c>
      <c r="U408" s="45">
        <f t="shared" ca="1" si="510"/>
        <v>18.656972906176584</v>
      </c>
      <c r="V408" s="45">
        <f t="shared" ca="1" si="495"/>
        <v>0.20278247028256513</v>
      </c>
      <c r="W408" s="77">
        <f t="shared" ca="1" si="496"/>
        <v>0.47975797285131094</v>
      </c>
      <c r="X408" s="45">
        <f t="shared" ca="1" si="511"/>
        <v>1.0540066384103581</v>
      </c>
      <c r="Y408" s="45">
        <f t="shared" ca="1" si="497"/>
        <v>5.8643919786311158E-2</v>
      </c>
      <c r="Z408" s="77">
        <f t="shared" ca="1" si="498"/>
        <v>5.8709164566575413E-2</v>
      </c>
      <c r="AA408" s="45">
        <f t="shared" ca="1" si="512"/>
        <v>39.148760741551278</v>
      </c>
      <c r="AB408" s="45">
        <f t="shared" ca="1" si="499"/>
        <v>0</v>
      </c>
      <c r="AC408" s="45" cm="1">
        <f t="array" aca="1" ref="AC408" ca="1">pHUM*(T408+W408+Z408+AD408)</f>
        <v>6.8992846807424887E-2</v>
      </c>
      <c r="AD408" s="77">
        <f t="shared" ca="1" si="500"/>
        <v>6.7932147670790435E-2</v>
      </c>
      <c r="AE408" s="45">
        <f t="shared" ca="1" si="513"/>
        <v>6.3847072090583081</v>
      </c>
      <c r="AF408" s="45">
        <f t="shared" ca="1" si="501"/>
        <v>0</v>
      </c>
      <c r="AG408" s="76">
        <f t="shared" ca="1" si="502"/>
        <v>65.424879938609678</v>
      </c>
      <c r="AH408" s="45">
        <f t="shared" ca="1" si="503"/>
        <v>0.583479132336997</v>
      </c>
      <c r="AI408" s="77">
        <f t="shared" ca="1" si="504"/>
        <v>1.2533889344073814E-2</v>
      </c>
      <c r="AJ408" s="384">
        <f t="shared" ca="1" si="506"/>
        <v>3.5491384272702264E-2</v>
      </c>
      <c r="AU408" s="1"/>
    </row>
    <row r="409" spans="3:47" x14ac:dyDescent="0.25">
      <c r="C409" s="10">
        <f t="shared" si="442"/>
        <v>26</v>
      </c>
      <c r="D409" s="91">
        <f t="shared" si="514"/>
        <v>7</v>
      </c>
      <c r="E409" s="278"/>
      <c r="F409" s="76">
        <f t="shared" ref="F409:Q409" ca="1" si="519">F337</f>
        <v>22.99</v>
      </c>
      <c r="G409" s="46">
        <f t="shared" ca="1" si="519"/>
        <v>27.012600000000003</v>
      </c>
      <c r="H409" s="46">
        <f t="shared" ca="1" si="490"/>
        <v>28.517550000000004</v>
      </c>
      <c r="I409" s="45">
        <f t="shared" ca="1" si="491"/>
        <v>1.4752596357037575</v>
      </c>
      <c r="J409" s="45">
        <f t="shared" ca="1" si="492"/>
        <v>0.27952512346894071</v>
      </c>
      <c r="K409" s="45">
        <f t="shared" ca="1" si="508"/>
        <v>0.90345467800480783</v>
      </c>
      <c r="L409" s="358">
        <f t="shared" ca="1" si="493"/>
        <v>0.94206720469222516</v>
      </c>
      <c r="M409" s="76">
        <f t="shared" ca="1" si="519"/>
        <v>0.25347808785320641</v>
      </c>
      <c r="N409" s="45">
        <f t="shared" ca="1" si="519"/>
        <v>0.25</v>
      </c>
      <c r="O409" s="45">
        <f t="shared" ca="1" si="519"/>
        <v>0</v>
      </c>
      <c r="P409" s="46" t="str">
        <f t="shared" ca="1" si="519"/>
        <v/>
      </c>
      <c r="Q409" s="243" t="str">
        <f t="shared" ca="1" si="519"/>
        <v/>
      </c>
      <c r="R409" s="45">
        <f t="shared" ca="1" si="509"/>
        <v>0.12641144714174296</v>
      </c>
      <c r="S409" s="45">
        <f t="shared" ca="1" si="444"/>
        <v>5.0695617570641283E-2</v>
      </c>
      <c r="T409" s="77">
        <f t="shared" ca="1" si="494"/>
        <v>8.9439515862024505E-2</v>
      </c>
      <c r="U409" s="45">
        <f t="shared" ca="1" si="510"/>
        <v>18.379997403607838</v>
      </c>
      <c r="V409" s="45">
        <f t="shared" ca="1" si="495"/>
        <v>0.20278247028256513</v>
      </c>
      <c r="W409" s="77">
        <f t="shared" ca="1" si="496"/>
        <v>0.66553333703836504</v>
      </c>
      <c r="X409" s="45">
        <f t="shared" ca="1" si="511"/>
        <v>1.0539413936300939</v>
      </c>
      <c r="Y409" s="45">
        <f t="shared" ca="1" si="497"/>
        <v>7.6963043884526419E-2</v>
      </c>
      <c r="Z409" s="77">
        <f t="shared" ca="1" si="498"/>
        <v>8.2138651349151506E-2</v>
      </c>
      <c r="AA409" s="45">
        <f t="shared" ca="1" si="512"/>
        <v>39.149821440687916</v>
      </c>
      <c r="AB409" s="45">
        <f t="shared" ca="1" si="499"/>
        <v>0</v>
      </c>
      <c r="AC409" s="45" cm="1">
        <f t="array" aca="1" ref="AC409" ca="1">pHUM*(T409+W409+Z409+AD409)</f>
        <v>9.0544757511207552E-2</v>
      </c>
      <c r="AD409" s="77">
        <f t="shared" ca="1" si="500"/>
        <v>9.6142008404734525E-2</v>
      </c>
      <c r="AE409" s="45">
        <f t="shared" ca="1" si="513"/>
        <v>6.3847072090583081</v>
      </c>
      <c r="AF409" s="45">
        <f t="shared" ca="1" si="501"/>
        <v>0</v>
      </c>
      <c r="AG409" s="76">
        <f t="shared" ca="1" si="502"/>
        <v>65.094878894125898</v>
      </c>
      <c r="AH409" s="45">
        <f t="shared" ca="1" si="503"/>
        <v>0.76574571125854174</v>
      </c>
      <c r="AI409" s="77">
        <f t="shared" ca="1" si="504"/>
        <v>1.1719592483053808E-2</v>
      </c>
      <c r="AJ409" s="384">
        <f t="shared" ca="1" si="506"/>
        <v>3.5207601523428167E-2</v>
      </c>
      <c r="AU409" s="1"/>
    </row>
    <row r="410" spans="3:47" x14ac:dyDescent="0.25">
      <c r="C410" s="10">
        <f t="shared" si="442"/>
        <v>26</v>
      </c>
      <c r="D410" s="91">
        <f t="shared" si="514"/>
        <v>8</v>
      </c>
      <c r="E410" s="278"/>
      <c r="F410" s="76">
        <f t="shared" ref="F410:Q410" ca="1" si="520">F338</f>
        <v>21.76</v>
      </c>
      <c r="G410" s="46">
        <f t="shared" ca="1" si="520"/>
        <v>27.012600000000003</v>
      </c>
      <c r="H410" s="46">
        <f t="shared" ca="1" si="490"/>
        <v>28.517550000000004</v>
      </c>
      <c r="I410" s="45">
        <f t="shared" ca="1" si="491"/>
        <v>1.3706166748122235</v>
      </c>
      <c r="J410" s="45">
        <f t="shared" ca="1" si="492"/>
        <v>0.27952512346894071</v>
      </c>
      <c r="K410" s="45">
        <f t="shared" ca="1" si="508"/>
        <v>0.90345467800480783</v>
      </c>
      <c r="L410" s="358">
        <f t="shared" ca="1" si="493"/>
        <v>0.93252308258228611</v>
      </c>
      <c r="M410" s="76">
        <f t="shared" ca="1" si="520"/>
        <v>0.25347808785320641</v>
      </c>
      <c r="N410" s="45">
        <f t="shared" ca="1" si="520"/>
        <v>0.25</v>
      </c>
      <c r="O410" s="45">
        <f t="shared" ca="1" si="520"/>
        <v>0</v>
      </c>
      <c r="P410" s="46" t="str">
        <f t="shared" ca="1" si="520"/>
        <v/>
      </c>
      <c r="Q410" s="243" t="str">
        <f t="shared" ca="1" si="520"/>
        <v/>
      </c>
      <c r="R410" s="45">
        <f t="shared" ca="1" si="509"/>
        <v>8.7667548850359739E-2</v>
      </c>
      <c r="S410" s="45">
        <f t="shared" ca="1" si="444"/>
        <v>5.0695617570641283E-2</v>
      </c>
      <c r="T410" s="77">
        <f t="shared" ca="1" si="494"/>
        <v>5.9690870583984493E-2</v>
      </c>
      <c r="U410" s="45">
        <f t="shared" ca="1" si="510"/>
        <v>17.917246536852037</v>
      </c>
      <c r="V410" s="45">
        <f t="shared" ca="1" si="495"/>
        <v>0.20278247028256513</v>
      </c>
      <c r="W410" s="77">
        <f t="shared" ca="1" si="496"/>
        <v>0.60354255178647132</v>
      </c>
      <c r="X410" s="45">
        <f t="shared" ca="1" si="511"/>
        <v>1.0487657861654687</v>
      </c>
      <c r="Y410" s="45">
        <f t="shared" ca="1" si="497"/>
        <v>6.8341156339415621E-2</v>
      </c>
      <c r="Z410" s="77">
        <f t="shared" ca="1" si="498"/>
        <v>7.6153633504525517E-2</v>
      </c>
      <c r="AA410" s="45">
        <f t="shared" ca="1" si="512"/>
        <v>39.144224189794393</v>
      </c>
      <c r="AB410" s="45">
        <f t="shared" ca="1" si="499"/>
        <v>0</v>
      </c>
      <c r="AC410" s="45" cm="1">
        <f t="array" aca="1" ref="AC410" ca="1">pHUM*(T410+W410+Z410+AD410)</f>
        <v>8.0401360399312505E-2</v>
      </c>
      <c r="AD410" s="77">
        <f t="shared" ca="1" si="500"/>
        <v>8.9317488455517458E-2</v>
      </c>
      <c r="AE410" s="45">
        <f t="shared" ca="1" si="513"/>
        <v>6.3847072090583081</v>
      </c>
      <c r="AF410" s="45">
        <f t="shared" ca="1" si="501"/>
        <v>0</v>
      </c>
      <c r="AG410" s="76">
        <f t="shared" ca="1" si="502"/>
        <v>64.582611270720562</v>
      </c>
      <c r="AH410" s="45">
        <f t="shared" ca="1" si="503"/>
        <v>0.67996202759177071</v>
      </c>
      <c r="AI410" s="77">
        <f t="shared" ca="1" si="504"/>
        <v>1.1064143226471729E-2</v>
      </c>
      <c r="AJ410" s="384">
        <f t="shared" ca="1" si="506"/>
        <v>3.2901853847857598E-2</v>
      </c>
      <c r="AU410" s="1"/>
    </row>
    <row r="411" spans="3:47" x14ac:dyDescent="0.25">
      <c r="C411" s="10">
        <f t="shared" si="442"/>
        <v>26</v>
      </c>
      <c r="D411" s="91">
        <f t="shared" si="514"/>
        <v>9</v>
      </c>
      <c r="E411" s="278"/>
      <c r="F411" s="76">
        <f t="shared" ref="F411:Q411" ca="1" si="521">F339</f>
        <v>16.16</v>
      </c>
      <c r="G411" s="46">
        <f t="shared" ca="1" si="521"/>
        <v>27.012600000000003</v>
      </c>
      <c r="H411" s="46">
        <f t="shared" ca="1" si="490"/>
        <v>28.517550000000004</v>
      </c>
      <c r="I411" s="45">
        <f t="shared" ca="1" si="491"/>
        <v>0.91183635166446475</v>
      </c>
      <c r="J411" s="45">
        <f t="shared" ca="1" si="492"/>
        <v>0.27952512346894071</v>
      </c>
      <c r="K411" s="45">
        <f t="shared" ca="1" si="508"/>
        <v>0.90345467800480783</v>
      </c>
      <c r="L411" s="358">
        <f t="shared" ca="1" si="493"/>
        <v>0.86198800670670384</v>
      </c>
      <c r="M411" s="76">
        <f t="shared" ca="1" si="521"/>
        <v>0.25347808785320641</v>
      </c>
      <c r="N411" s="45">
        <f t="shared" ca="1" si="521"/>
        <v>0.25</v>
      </c>
      <c r="O411" s="45">
        <f t="shared" ca="1" si="521"/>
        <v>0</v>
      </c>
      <c r="P411" s="46" t="str">
        <f t="shared" ca="1" si="521"/>
        <v/>
      </c>
      <c r="Q411" s="243" t="str">
        <f t="shared" ca="1" si="521"/>
        <v/>
      </c>
      <c r="R411" s="45">
        <f t="shared" ca="1" si="509"/>
        <v>7.8672295837016529E-2</v>
      </c>
      <c r="S411" s="45">
        <f t="shared" ca="1" si="444"/>
        <v>5.0695617570641283E-2</v>
      </c>
      <c r="T411" s="77">
        <f t="shared" ca="1" si="494"/>
        <v>4.1874886484751211E-2</v>
      </c>
      <c r="U411" s="45">
        <f t="shared" ca="1" si="510"/>
        <v>17.516486455348129</v>
      </c>
      <c r="V411" s="45">
        <f t="shared" ca="1" si="495"/>
        <v>0.20278247028256513</v>
      </c>
      <c r="W411" s="77">
        <f t="shared" ca="1" si="496"/>
        <v>0.39478736331900011</v>
      </c>
      <c r="X411" s="45">
        <f t="shared" ca="1" si="511"/>
        <v>1.0409533090003589</v>
      </c>
      <c r="Y411" s="45">
        <f t="shared" ca="1" si="497"/>
        <v>4.5110480088473591E-2</v>
      </c>
      <c r="Z411" s="77">
        <f t="shared" ca="1" si="498"/>
        <v>5.0917398005874283E-2</v>
      </c>
      <c r="AA411" s="45">
        <f t="shared" ca="1" si="512"/>
        <v>39.135308061738186</v>
      </c>
      <c r="AB411" s="45">
        <f t="shared" ca="1" si="499"/>
        <v>0</v>
      </c>
      <c r="AC411" s="45" cm="1">
        <f t="array" aca="1" ref="AC411" ca="1">pHUM*(T411+W411+Z411+AD411)</f>
        <v>5.3071153045263053E-2</v>
      </c>
      <c r="AD411" s="77">
        <f t="shared" ca="1" si="500"/>
        <v>5.9429824207279956E-2</v>
      </c>
      <c r="AE411" s="45">
        <f t="shared" ca="1" si="513"/>
        <v>6.3847072090583081</v>
      </c>
      <c r="AF411" s="45">
        <f t="shared" ca="1" si="501"/>
        <v>0</v>
      </c>
      <c r="AG411" s="76">
        <f t="shared" ca="1" si="502"/>
        <v>64.156127330982002</v>
      </c>
      <c r="AH411" s="45">
        <f t="shared" ca="1" si="503"/>
        <v>0.44882783888316902</v>
      </c>
      <c r="AI411" s="77">
        <f t="shared" ca="1" si="504"/>
        <v>1.0834948353783989E-2</v>
      </c>
      <c r="AJ411" s="384">
        <f t="shared" ca="1" si="506"/>
        <v>2.9783267059972918E-2</v>
      </c>
      <c r="AU411" s="1"/>
    </row>
    <row r="412" spans="3:47" x14ac:dyDescent="0.25">
      <c r="C412" s="10">
        <f t="shared" si="442"/>
        <v>26</v>
      </c>
      <c r="D412" s="91">
        <f t="shared" si="514"/>
        <v>10</v>
      </c>
      <c r="E412" s="278"/>
      <c r="F412" s="76">
        <f t="shared" ref="F412:Q412" ca="1" si="522">F340</f>
        <v>11.21</v>
      </c>
      <c r="G412" s="46">
        <f t="shared" ca="1" si="522"/>
        <v>27.012600000000003</v>
      </c>
      <c r="H412" s="46">
        <f t="shared" ca="1" si="490"/>
        <v>28.517550000000004</v>
      </c>
      <c r="I412" s="45">
        <f t="shared" ca="1" si="491"/>
        <v>0.55341948356365211</v>
      </c>
      <c r="J412" s="45">
        <f t="shared" ca="1" si="492"/>
        <v>0.27952512346894071</v>
      </c>
      <c r="K412" s="45">
        <f t="shared" ca="1" si="508"/>
        <v>0.90345467800480783</v>
      </c>
      <c r="L412" s="358">
        <f t="shared" ca="1" si="493"/>
        <v>0.75061725573145499</v>
      </c>
      <c r="M412" s="76">
        <f t="shared" ca="1" si="522"/>
        <v>0.25347808785320641</v>
      </c>
      <c r="N412" s="45">
        <f t="shared" ca="1" si="522"/>
        <v>0.25</v>
      </c>
      <c r="O412" s="45">
        <f t="shared" ca="1" si="522"/>
        <v>0</v>
      </c>
      <c r="P412" s="46" t="str">
        <f t="shared" ca="1" si="522"/>
        <v/>
      </c>
      <c r="Q412" s="243" t="str">
        <f t="shared" ca="1" si="522"/>
        <v/>
      </c>
      <c r="R412" s="45">
        <f t="shared" ca="1" si="509"/>
        <v>8.7493026922906586E-2</v>
      </c>
      <c r="S412" s="45">
        <f t="shared" ca="1" si="444"/>
        <v>5.0695617570641283E-2</v>
      </c>
      <c r="T412" s="77">
        <f t="shared" ca="1" si="494"/>
        <v>3.2325406484756646E-2</v>
      </c>
      <c r="U412" s="45">
        <f t="shared" ca="1" si="510"/>
        <v>17.324481562311693</v>
      </c>
      <c r="V412" s="45">
        <f t="shared" ca="1" si="495"/>
        <v>0.20278247028256513</v>
      </c>
      <c r="W412" s="77">
        <f t="shared" ca="1" si="496"/>
        <v>0.23804212940600353</v>
      </c>
      <c r="X412" s="45">
        <f t="shared" ca="1" si="511"/>
        <v>1.0351463910829581</v>
      </c>
      <c r="Y412" s="45">
        <f t="shared" ca="1" si="497"/>
        <v>2.7830727338314119E-2</v>
      </c>
      <c r="Z412" s="77">
        <f t="shared" ca="1" si="498"/>
        <v>3.103316913145978E-2</v>
      </c>
      <c r="AA412" s="45">
        <f t="shared" ca="1" si="512"/>
        <v>39.128949390576174</v>
      </c>
      <c r="AB412" s="45">
        <f t="shared" ca="1" si="499"/>
        <v>0</v>
      </c>
      <c r="AC412" s="45" cm="1">
        <f t="array" aca="1" ref="AC412" ca="1">pHUM*(T412+W412+Z412+AD412)</f>
        <v>3.2742032162722493E-2</v>
      </c>
      <c r="AD412" s="77">
        <f t="shared" ca="1" si="500"/>
        <v>3.6074565409839707E-2</v>
      </c>
      <c r="AE412" s="45">
        <f t="shared" ca="1" si="513"/>
        <v>6.3847072090583081</v>
      </c>
      <c r="AF412" s="45">
        <f t="shared" ca="1" si="501"/>
        <v>0</v>
      </c>
      <c r="AG412" s="76">
        <f t="shared" ca="1" si="502"/>
        <v>63.960777579952037</v>
      </c>
      <c r="AH412" s="45">
        <f t="shared" ca="1" si="503"/>
        <v>0.27690251093102308</v>
      </c>
      <c r="AI412" s="77">
        <f t="shared" ca="1" si="504"/>
        <v>1.0910276751102514E-2</v>
      </c>
      <c r="AJ412" s="384">
        <f t="shared" ca="1" si="506"/>
        <v>2.6115604371357293E-2</v>
      </c>
      <c r="AU412" s="1"/>
    </row>
    <row r="413" spans="3:47" x14ac:dyDescent="0.25">
      <c r="C413" s="10">
        <f t="shared" si="442"/>
        <v>26</v>
      </c>
      <c r="D413" s="91">
        <f t="shared" si="514"/>
        <v>11</v>
      </c>
      <c r="E413" s="278"/>
      <c r="F413" s="76">
        <f t="shared" ref="F413:Q413" ca="1" si="523">F341</f>
        <v>1.8</v>
      </c>
      <c r="G413" s="46">
        <f t="shared" ca="1" si="523"/>
        <v>27.012600000000003</v>
      </c>
      <c r="H413" s="46">
        <f t="shared" ca="1" si="490"/>
        <v>28.517550000000004</v>
      </c>
      <c r="I413" s="45">
        <f t="shared" ca="1" si="491"/>
        <v>0.10471759589279002</v>
      </c>
      <c r="J413" s="45">
        <f t="shared" ca="1" si="492"/>
        <v>0.27952512346894071</v>
      </c>
      <c r="K413" s="45">
        <f t="shared" ca="1" si="508"/>
        <v>0.90345467800480783</v>
      </c>
      <c r="L413" s="358">
        <f t="shared" ca="1" si="493"/>
        <v>0.42572038710161686</v>
      </c>
      <c r="M413" s="76">
        <f t="shared" ca="1" si="523"/>
        <v>0.25347808785320641</v>
      </c>
      <c r="N413" s="45">
        <f t="shared" ca="1" si="523"/>
        <v>0.25</v>
      </c>
      <c r="O413" s="45">
        <f t="shared" ca="1" si="523"/>
        <v>0</v>
      </c>
      <c r="P413" s="46" t="str">
        <f t="shared" ca="1" si="523"/>
        <v/>
      </c>
      <c r="Q413" s="243" t="str">
        <f t="shared" ca="1" si="523"/>
        <v/>
      </c>
      <c r="R413" s="45">
        <f t="shared" ca="1" si="509"/>
        <v>0.10586323800879122</v>
      </c>
      <c r="S413" s="45">
        <f t="shared" ca="1" si="444"/>
        <v>5.0695617570641283E-2</v>
      </c>
      <c r="T413" s="77">
        <f t="shared" ca="1" si="494"/>
        <v>8.8465126159825002E-3</v>
      </c>
      <c r="U413" s="45">
        <f t="shared" ca="1" si="510"/>
        <v>17.289221903188253</v>
      </c>
      <c r="V413" s="45">
        <f t="shared" ca="1" si="495"/>
        <v>0.20278247028256513</v>
      </c>
      <c r="W413" s="77">
        <f t="shared" ca="1" si="496"/>
        <v>4.5202948695595373E-2</v>
      </c>
      <c r="X413" s="45">
        <f t="shared" ca="1" si="511"/>
        <v>1.0319439492898124</v>
      </c>
      <c r="Y413" s="45">
        <f t="shared" ca="1" si="497"/>
        <v>5.5091393522678604E-3</v>
      </c>
      <c r="Z413" s="77">
        <f t="shared" ca="1" si="498"/>
        <v>5.9263651837913375E-3</v>
      </c>
      <c r="AA413" s="45">
        <f t="shared" ca="1" si="512"/>
        <v>39.125616857329057</v>
      </c>
      <c r="AB413" s="45">
        <f t="shared" ca="1" si="499"/>
        <v>0</v>
      </c>
      <c r="AC413" s="45" cm="1">
        <f t="array" aca="1" ref="AC413" ca="1">pHUM*(T413+W413+Z413+AD413)</f>
        <v>6.4813404144327775E-3</v>
      </c>
      <c r="AD413" s="77">
        <f t="shared" ca="1" si="500"/>
        <v>6.8279717005539486E-3</v>
      </c>
      <c r="AE413" s="45">
        <f t="shared" ca="1" si="513"/>
        <v>6.3847072090583081</v>
      </c>
      <c r="AF413" s="45">
        <f t="shared" ca="1" si="501"/>
        <v>0</v>
      </c>
      <c r="AG413" s="76">
        <f t="shared" ca="1" si="502"/>
        <v>63.937353156874217</v>
      </c>
      <c r="AH413" s="45">
        <f t="shared" ca="1" si="503"/>
        <v>5.4813318429222532E-2</v>
      </c>
      <c r="AI413" s="77">
        <f t="shared" ca="1" si="504"/>
        <v>1.1162235560973946E-2</v>
      </c>
      <c r="AJ413" s="384">
        <f t="shared" ca="1" si="506"/>
        <v>1.5153951489197404E-2</v>
      </c>
      <c r="AU413" s="1"/>
    </row>
    <row r="414" spans="3:47" x14ac:dyDescent="0.25">
      <c r="C414" s="10">
        <f t="shared" si="442"/>
        <v>26</v>
      </c>
      <c r="D414" s="91">
        <f t="shared" si="514"/>
        <v>12</v>
      </c>
      <c r="E414" s="278"/>
      <c r="F414" s="76">
        <f t="shared" ref="F414:Q414" ca="1" si="524">F342</f>
        <v>-0.63</v>
      </c>
      <c r="G414" s="46">
        <f t="shared" ca="1" si="524"/>
        <v>27.012600000000003</v>
      </c>
      <c r="H414" s="46">
        <f t="shared" ca="1" si="490"/>
        <v>28.517550000000004</v>
      </c>
      <c r="I414" s="45">
        <f t="shared" ca="1" si="491"/>
        <v>5.069926650983797E-2</v>
      </c>
      <c r="J414" s="45">
        <f t="shared" ca="1" si="492"/>
        <v>0.27952512346894071</v>
      </c>
      <c r="K414" s="45">
        <f t="shared" ca="1" si="508"/>
        <v>0.90345467800480783</v>
      </c>
      <c r="L414" s="358">
        <f t="shared" ca="1" si="493"/>
        <v>0.3403279781726225</v>
      </c>
      <c r="M414" s="76">
        <f t="shared" ca="1" si="524"/>
        <v>0.25347808785320641</v>
      </c>
      <c r="N414" s="45">
        <f t="shared" ca="1" si="524"/>
        <v>0.25</v>
      </c>
      <c r="O414" s="45">
        <f t="shared" ca="1" si="524"/>
        <v>0</v>
      </c>
      <c r="P414" s="46" t="str">
        <f t="shared" ca="1" si="524"/>
        <v/>
      </c>
      <c r="Q414" s="243" t="str">
        <f t="shared" ca="1" si="524"/>
        <v/>
      </c>
      <c r="R414" s="45">
        <f t="shared" ca="1" si="509"/>
        <v>0.14771234296345001</v>
      </c>
      <c r="S414" s="45">
        <f t="shared" ca="1" si="444"/>
        <v>5.0695617570641283E-2</v>
      </c>
      <c r="T414" s="77">
        <f t="shared" ca="1" si="494"/>
        <v>6.1107593251454049E-3</v>
      </c>
      <c r="U414" s="45">
        <f t="shared" ca="1" si="510"/>
        <v>17.44680142477522</v>
      </c>
      <c r="V414" s="45">
        <f t="shared" ca="1" si="495"/>
        <v>0.20278247028256513</v>
      </c>
      <c r="W414" s="77">
        <f t="shared" ca="1" si="496"/>
        <v>2.209949257009124E-2</v>
      </c>
      <c r="X414" s="45">
        <f t="shared" ca="1" si="511"/>
        <v>1.031526723458289</v>
      </c>
      <c r="Y414" s="45">
        <f t="shared" ca="1" si="497"/>
        <v>2.8359332802000733E-3</v>
      </c>
      <c r="Z414" s="77">
        <f t="shared" ca="1" si="498"/>
        <v>2.8723640577318905E-3</v>
      </c>
      <c r="AA414" s="45">
        <f t="shared" ca="1" si="512"/>
        <v>39.125270226042936</v>
      </c>
      <c r="AB414" s="45">
        <f t="shared" ca="1" si="499"/>
        <v>0</v>
      </c>
      <c r="AC414" s="45" cm="1">
        <f t="array" aca="1" ref="AC414" ca="1">pHUM*(T414+W414+Z414+AD414)</f>
        <v>3.3363920943530277E-3</v>
      </c>
      <c r="AD414" s="77">
        <f t="shared" ca="1" si="500"/>
        <v>3.3058978299692252E-3</v>
      </c>
      <c r="AE414" s="45">
        <f t="shared" ca="1" si="513"/>
        <v>6.3847072090583081</v>
      </c>
      <c r="AF414" s="45">
        <f t="shared" ca="1" si="501"/>
        <v>0</v>
      </c>
      <c r="AG414" s="76">
        <f t="shared" ca="1" si="502"/>
        <v>64.136017926298209</v>
      </c>
      <c r="AH414" s="45">
        <f t="shared" ca="1" si="503"/>
        <v>2.8216188408384659E-2</v>
      </c>
      <c r="AI414" s="77">
        <f t="shared" ca="1" si="504"/>
        <v>1.1795514245402448E-2</v>
      </c>
      <c r="AJ414" s="384">
        <f t="shared" ca="1" si="506"/>
        <v>1.280164435509934E-2</v>
      </c>
      <c r="AU414" s="1"/>
    </row>
    <row r="415" spans="3:47" x14ac:dyDescent="0.25">
      <c r="C415" s="10">
        <f t="shared" si="442"/>
        <v>27</v>
      </c>
      <c r="D415" s="91">
        <f t="shared" si="514"/>
        <v>1</v>
      </c>
      <c r="E415" s="278"/>
      <c r="F415" s="76">
        <f t="shared" ref="F415:Q415" ca="1" si="525">F343</f>
        <v>-5.04</v>
      </c>
      <c r="G415" s="46">
        <f t="shared" ca="1" si="525"/>
        <v>27.012600000000003</v>
      </c>
      <c r="H415" s="46">
        <f t="shared" ca="1" si="490"/>
        <v>28.517550000000004</v>
      </c>
      <c r="I415" s="45">
        <f t="shared" ca="1" si="491"/>
        <v>6.847402527399577E-3</v>
      </c>
      <c r="J415" s="45">
        <f t="shared" ca="1" si="492"/>
        <v>0.27952512346894071</v>
      </c>
      <c r="K415" s="45">
        <f t="shared" ca="1" si="508"/>
        <v>0.90345467800480783</v>
      </c>
      <c r="L415" s="358">
        <f t="shared" ca="1" si="493"/>
        <v>0.21084054547214914</v>
      </c>
      <c r="M415" s="76">
        <f t="shared" ca="1" si="525"/>
        <v>0.25347808785320641</v>
      </c>
      <c r="N415" s="45">
        <f t="shared" ca="1" si="525"/>
        <v>0.25</v>
      </c>
      <c r="O415" s="45">
        <f t="shared" ca="1" si="525"/>
        <v>0</v>
      </c>
      <c r="P415" s="46" t="str">
        <f t="shared" ca="1" si="525"/>
        <v/>
      </c>
      <c r="Q415" s="243" t="str">
        <f t="shared" ca="1" si="525"/>
        <v/>
      </c>
      <c r="R415" s="45">
        <f t="shared" ca="1" si="509"/>
        <v>0.19229720120894589</v>
      </c>
      <c r="S415" s="45">
        <f t="shared" ca="1" si="444"/>
        <v>5.0695617570641283E-2</v>
      </c>
      <c r="T415" s="77">
        <f t="shared" ca="1" si="494"/>
        <v>1.0941555975497383E-3</v>
      </c>
      <c r="U415" s="45">
        <f t="shared" ca="1" si="510"/>
        <v>17.627484402487692</v>
      </c>
      <c r="V415" s="45">
        <f t="shared" ca="1" si="495"/>
        <v>0.20278247028256513</v>
      </c>
      <c r="W415" s="77">
        <f t="shared" ca="1" si="496"/>
        <v>3.0173037651960773E-3</v>
      </c>
      <c r="X415" s="45">
        <f t="shared" ca="1" si="511"/>
        <v>1.0314902926807572</v>
      </c>
      <c r="Y415" s="45">
        <f t="shared" ca="1" si="497"/>
        <v>4.0791384756684742E-4</v>
      </c>
      <c r="Z415" s="77">
        <f t="shared" ca="1" si="498"/>
        <v>3.883934675730294E-4</v>
      </c>
      <c r="AA415" s="45">
        <f t="shared" ca="1" si="512"/>
        <v>39.125300720307322</v>
      </c>
      <c r="AB415" s="45">
        <f t="shared" ca="1" si="499"/>
        <v>0</v>
      </c>
      <c r="AC415" s="45" cm="1">
        <f t="array" aca="1" ref="AC415" ca="1">pHUM*(T415+W415+Z415+AD415)</f>
        <v>4.7989864419629107E-4</v>
      </c>
      <c r="AD415" s="77">
        <f t="shared" ca="1" si="500"/>
        <v>4.4650859053731461E-4</v>
      </c>
      <c r="AE415" s="45">
        <f t="shared" ca="1" si="513"/>
        <v>6.3847072090583081</v>
      </c>
      <c r="AF415" s="45">
        <f t="shared" ca="1" si="501"/>
        <v>0</v>
      </c>
      <c r="AG415" s="76">
        <f t="shared" ca="1" si="502"/>
        <v>64.361279825743026</v>
      </c>
      <c r="AH415" s="45">
        <f t="shared" ca="1" si="503"/>
        <v>4.0585489290930216E-3</v>
      </c>
      <c r="AI415" s="77">
        <f t="shared" ca="1" si="504"/>
        <v>1.2468408285307455E-2</v>
      </c>
      <c r="AJ415" s="384">
        <f t="shared" ca="1" si="506"/>
        <v>8.3833612550554548E-3</v>
      </c>
      <c r="AU415" s="1"/>
    </row>
    <row r="416" spans="3:47" x14ac:dyDescent="0.25">
      <c r="C416" s="10">
        <f t="shared" si="442"/>
        <v>27</v>
      </c>
      <c r="D416" s="91">
        <f t="shared" si="514"/>
        <v>2</v>
      </c>
      <c r="E416" s="278"/>
      <c r="F416" s="76">
        <f t="shared" ref="F416:Q416" ca="1" si="526">F344</f>
        <v>-4.4400000000000004</v>
      </c>
      <c r="G416" s="46">
        <f t="shared" ca="1" si="526"/>
        <v>27.012600000000003</v>
      </c>
      <c r="H416" s="46">
        <f t="shared" ca="1" si="490"/>
        <v>28.517550000000004</v>
      </c>
      <c r="I416" s="45">
        <f t="shared" ca="1" si="491"/>
        <v>9.6941753008840392E-3</v>
      </c>
      <c r="J416" s="45">
        <f t="shared" ca="1" si="492"/>
        <v>0.27952512346894071</v>
      </c>
      <c r="K416" s="45">
        <f t="shared" ca="1" si="508"/>
        <v>0.90345467800480783</v>
      </c>
      <c r="L416" s="358">
        <f t="shared" ca="1" si="493"/>
        <v>0.22612365929309886</v>
      </c>
      <c r="M416" s="76">
        <f t="shared" ca="1" si="526"/>
        <v>0.25347808785320641</v>
      </c>
      <c r="N416" s="45">
        <f t="shared" ca="1" si="526"/>
        <v>0.25</v>
      </c>
      <c r="O416" s="45">
        <f t="shared" ca="1" si="526"/>
        <v>0</v>
      </c>
      <c r="P416" s="46" t="str">
        <f t="shared" ca="1" si="526"/>
        <v/>
      </c>
      <c r="Q416" s="243" t="str">
        <f t="shared" ca="1" si="526"/>
        <v/>
      </c>
      <c r="R416" s="45">
        <f t="shared" ca="1" si="509"/>
        <v>0.24189866318203743</v>
      </c>
      <c r="S416" s="45">
        <f t="shared" ca="1" si="444"/>
        <v>5.0695617570641283E-2</v>
      </c>
      <c r="T416" s="77">
        <f t="shared" ca="1" si="494"/>
        <v>1.9463012095627269E-3</v>
      </c>
      <c r="U416" s="45">
        <f t="shared" ca="1" si="510"/>
        <v>17.827249569005058</v>
      </c>
      <c r="V416" s="45">
        <f t="shared" ca="1" si="495"/>
        <v>0.20278247028256513</v>
      </c>
      <c r="W416" s="77">
        <f t="shared" ca="1" si="496"/>
        <v>4.3199885561400891E-3</v>
      </c>
      <c r="X416" s="45">
        <f t="shared" ca="1" si="511"/>
        <v>1.031509813060751</v>
      </c>
      <c r="Y416" s="45">
        <f t="shared" ca="1" si="497"/>
        <v>6.1423943295688024E-4</v>
      </c>
      <c r="Z416" s="77">
        <f t="shared" ca="1" si="498"/>
        <v>5.4983343935803737E-4</v>
      </c>
      <c r="AA416" s="45">
        <f t="shared" ca="1" si="512"/>
        <v>39.125334110360981</v>
      </c>
      <c r="AB416" s="45">
        <f t="shared" ca="1" si="499"/>
        <v>0</v>
      </c>
      <c r="AC416" s="45" cm="1">
        <f t="array" aca="1" ref="AC416" ca="1">pHUM*(T416+W416+Z416+AD416)</f>
        <v>7.2263462700809453E-4</v>
      </c>
      <c r="AD416" s="77">
        <f t="shared" ca="1" si="500"/>
        <v>6.3214130586281415E-4</v>
      </c>
      <c r="AE416" s="45">
        <f t="shared" ca="1" si="513"/>
        <v>6.3847072090583081</v>
      </c>
      <c r="AF416" s="45">
        <f t="shared" ca="1" si="501"/>
        <v>0</v>
      </c>
      <c r="AG416" s="76">
        <f t="shared" ca="1" si="502"/>
        <v>64.610699364667141</v>
      </c>
      <c r="AH416" s="45">
        <f t="shared" ca="1" si="503"/>
        <v>6.1113904509586935E-3</v>
      </c>
      <c r="AI416" s="77">
        <f t="shared" ca="1" si="504"/>
        <v>1.3210687529206332E-2</v>
      </c>
      <c r="AJ416" s="384">
        <f t="shared" ca="1" si="506"/>
        <v>9.526294249920797E-3</v>
      </c>
      <c r="AU416" s="1"/>
    </row>
    <row r="417" spans="3:47" x14ac:dyDescent="0.25">
      <c r="C417" s="10">
        <f t="shared" si="442"/>
        <v>27</v>
      </c>
      <c r="D417" s="91">
        <f t="shared" si="514"/>
        <v>3</v>
      </c>
      <c r="E417" s="278"/>
      <c r="F417" s="76">
        <f t="shared" ref="F417:Q417" ca="1" si="527">F345</f>
        <v>-0.82</v>
      </c>
      <c r="G417" s="46">
        <f t="shared" ca="1" si="527"/>
        <v>27.012600000000003</v>
      </c>
      <c r="H417" s="46">
        <f t="shared" ca="1" si="490"/>
        <v>28.517550000000004</v>
      </c>
      <c r="I417" s="45">
        <f t="shared" ca="1" si="491"/>
        <v>4.749388171975074E-2</v>
      </c>
      <c r="J417" s="45">
        <f t="shared" ca="1" si="492"/>
        <v>0.27952512346894071</v>
      </c>
      <c r="K417" s="45">
        <f t="shared" ca="1" si="508"/>
        <v>0.90345467800480783</v>
      </c>
      <c r="L417" s="358">
        <f t="shared" ca="1" si="493"/>
        <v>0.33399301288143546</v>
      </c>
      <c r="M417" s="76">
        <f t="shared" ca="1" si="527"/>
        <v>0.25347808785320641</v>
      </c>
      <c r="N417" s="45">
        <f t="shared" ca="1" si="527"/>
        <v>0.25</v>
      </c>
      <c r="O417" s="45">
        <f t="shared" ca="1" si="527"/>
        <v>0</v>
      </c>
      <c r="P417" s="46" t="str">
        <f t="shared" ca="1" si="527"/>
        <v/>
      </c>
      <c r="Q417" s="243" t="str">
        <f t="shared" ca="1" si="527"/>
        <v/>
      </c>
      <c r="R417" s="45">
        <f t="shared" ca="1" si="509"/>
        <v>0.29064797954311594</v>
      </c>
      <c r="S417" s="45">
        <f t="shared" ca="1" si="444"/>
        <v>5.0695617570641283E-2</v>
      </c>
      <c r="T417" s="77">
        <f t="shared" ca="1" si="494"/>
        <v>1.1278666868164679E-2</v>
      </c>
      <c r="U417" s="45">
        <f t="shared" ca="1" si="510"/>
        <v>18.025712050731482</v>
      </c>
      <c r="V417" s="45">
        <f t="shared" ca="1" si="495"/>
        <v>0.20278247028256513</v>
      </c>
      <c r="W417" s="77">
        <f t="shared" ca="1" si="496"/>
        <v>2.1390074667376125E-2</v>
      </c>
      <c r="X417" s="45">
        <f t="shared" ca="1" si="511"/>
        <v>1.0315742190543498</v>
      </c>
      <c r="Y417" s="45">
        <f t="shared" ca="1" si="497"/>
        <v>3.1714323217988927E-3</v>
      </c>
      <c r="Z417" s="77">
        <f t="shared" ca="1" si="498"/>
        <v>2.6911241586094403E-3</v>
      </c>
      <c r="AA417" s="45">
        <f t="shared" ca="1" si="512"/>
        <v>39.125424603682127</v>
      </c>
      <c r="AB417" s="45">
        <f t="shared" ca="1" si="499"/>
        <v>0</v>
      </c>
      <c r="AC417" s="45" cm="1">
        <f t="array" aca="1" ref="AC417" ca="1">pHUM*(T417+W417+Z417+AD417)</f>
        <v>3.7310968491751678E-3</v>
      </c>
      <c r="AD417" s="77">
        <f t="shared" ca="1" si="500"/>
        <v>3.0969079088385173E-3</v>
      </c>
      <c r="AE417" s="45">
        <f t="shared" ca="1" si="513"/>
        <v>6.3847072090583081</v>
      </c>
      <c r="AF417" s="45">
        <f t="shared" ca="1" si="501"/>
        <v>0</v>
      </c>
      <c r="AG417" s="76">
        <f t="shared" ca="1" si="502"/>
        <v>64.858066062069383</v>
      </c>
      <c r="AH417" s="45">
        <f t="shared" ca="1" si="503"/>
        <v>3.1554244432014704E-2</v>
      </c>
      <c r="AI417" s="77">
        <f t="shared" ca="1" si="504"/>
        <v>1.3934466737063774E-2</v>
      </c>
      <c r="AJ417" s="384">
        <f t="shared" ca="1" si="506"/>
        <v>1.4841511181645783E-2</v>
      </c>
      <c r="AU417" s="1"/>
    </row>
    <row r="418" spans="3:47" x14ac:dyDescent="0.25">
      <c r="C418" s="10">
        <f t="shared" si="442"/>
        <v>27</v>
      </c>
      <c r="D418" s="91">
        <f t="shared" si="514"/>
        <v>4</v>
      </c>
      <c r="E418" s="278"/>
      <c r="F418" s="76">
        <f t="shared" ref="F418:Q418" ca="1" si="528">F346</f>
        <v>6.18</v>
      </c>
      <c r="G418" s="46">
        <f t="shared" ca="1" si="528"/>
        <v>27.012600000000003</v>
      </c>
      <c r="H418" s="46">
        <f t="shared" ca="1" si="490"/>
        <v>28.517550000000004</v>
      </c>
      <c r="I418" s="45">
        <f t="shared" ca="1" si="491"/>
        <v>0.26773980091806004</v>
      </c>
      <c r="J418" s="45">
        <f t="shared" ca="1" si="492"/>
        <v>0.27952512346894071</v>
      </c>
      <c r="K418" s="45">
        <f t="shared" ca="1" si="508"/>
        <v>0.90345467800480783</v>
      </c>
      <c r="L418" s="358">
        <f t="shared" ca="1" si="493"/>
        <v>0.58750950384279488</v>
      </c>
      <c r="M418" s="76">
        <f t="shared" ca="1" si="528"/>
        <v>0.25347808785320641</v>
      </c>
      <c r="N418" s="45">
        <f t="shared" ca="1" si="528"/>
        <v>0.25</v>
      </c>
      <c r="O418" s="45">
        <f t="shared" ca="1" si="528"/>
        <v>0</v>
      </c>
      <c r="P418" s="46" t="str">
        <f t="shared" ca="1" si="528"/>
        <v/>
      </c>
      <c r="Q418" s="243" t="str">
        <f t="shared" ca="1" si="528"/>
        <v/>
      </c>
      <c r="R418" s="45">
        <f t="shared" ca="1" si="509"/>
        <v>0.33006493024559252</v>
      </c>
      <c r="S418" s="45">
        <f t="shared" ca="1" si="444"/>
        <v>5.0695617570641283E-2</v>
      </c>
      <c r="T418" s="77">
        <f t="shared" ca="1" si="494"/>
        <v>6.6005843202412762E-2</v>
      </c>
      <c r="U418" s="45">
        <f t="shared" ca="1" si="510"/>
        <v>18.207104446346669</v>
      </c>
      <c r="V418" s="45">
        <f t="shared" ca="1" si="495"/>
        <v>0.20278247028256513</v>
      </c>
      <c r="W418" s="77">
        <f t="shared" ca="1" si="496"/>
        <v>0.12146220617007064</v>
      </c>
      <c r="X418" s="45">
        <f t="shared" ca="1" si="511"/>
        <v>1.0320545272175392</v>
      </c>
      <c r="Y418" s="45">
        <f t="shared" ca="1" si="497"/>
        <v>1.8143653332035346E-2</v>
      </c>
      <c r="Z418" s="77">
        <f t="shared" ca="1" si="498"/>
        <v>1.5086362889520075E-2</v>
      </c>
      <c r="AA418" s="45">
        <f t="shared" ca="1" si="512"/>
        <v>39.126058792622459</v>
      </c>
      <c r="AB418" s="45">
        <f t="shared" ca="1" si="499"/>
        <v>0</v>
      </c>
      <c r="AC418" s="45" cm="1">
        <f t="array" aca="1" ref="AC418" ca="1">pHUM*(T418+W418+Z418+AD418)</f>
        <v>2.1345474508276882E-2</v>
      </c>
      <c r="AD418" s="77">
        <f t="shared" ca="1" si="500"/>
        <v>1.7455443765894332E-2</v>
      </c>
      <c r="AE418" s="45">
        <f t="shared" ca="1" si="513"/>
        <v>6.3847072090583081</v>
      </c>
      <c r="AF418" s="45">
        <f t="shared" ca="1" si="501"/>
        <v>0</v>
      </c>
      <c r="AG418" s="76">
        <f t="shared" ca="1" si="502"/>
        <v>65.079989905490564</v>
      </c>
      <c r="AH418" s="45">
        <f t="shared" ca="1" si="503"/>
        <v>0.18052072818758561</v>
      </c>
      <c r="AI418" s="77">
        <f t="shared" ca="1" si="504"/>
        <v>1.4519136420023235E-2</v>
      </c>
      <c r="AJ418" s="384">
        <f t="shared" ca="1" si="506"/>
        <v>2.7202010675748678E-2</v>
      </c>
      <c r="AU418" s="1"/>
    </row>
    <row r="419" spans="3:47" x14ac:dyDescent="0.25">
      <c r="C419" s="10">
        <f t="shared" si="442"/>
        <v>27</v>
      </c>
      <c r="D419" s="91">
        <f t="shared" si="514"/>
        <v>5</v>
      </c>
      <c r="E419" s="278"/>
      <c r="F419" s="76">
        <f t="shared" ref="F419:Q419" ca="1" si="529">F347</f>
        <v>13.58</v>
      </c>
      <c r="G419" s="46">
        <f t="shared" ca="1" si="529"/>
        <v>27.012600000000003</v>
      </c>
      <c r="H419" s="46">
        <f t="shared" ca="1" si="490"/>
        <v>28.517550000000004</v>
      </c>
      <c r="I419" s="45">
        <f t="shared" ca="1" si="491"/>
        <v>0.71743035359667851</v>
      </c>
      <c r="J419" s="45">
        <f t="shared" ca="1" si="492"/>
        <v>0.27952512346894071</v>
      </c>
      <c r="K419" s="45">
        <f t="shared" ca="1" si="508"/>
        <v>0.90345467800480783</v>
      </c>
      <c r="L419" s="358">
        <f t="shared" ca="1" si="493"/>
        <v>0.81042644426030708</v>
      </c>
      <c r="M419" s="76">
        <f t="shared" ca="1" si="529"/>
        <v>0.25347808785320641</v>
      </c>
      <c r="N419" s="45">
        <f t="shared" ca="1" si="529"/>
        <v>0.25</v>
      </c>
      <c r="O419" s="45">
        <f t="shared" ca="1" si="529"/>
        <v>0</v>
      </c>
      <c r="P419" s="46" t="str">
        <f t="shared" ca="1" si="529"/>
        <v/>
      </c>
      <c r="Q419" s="243" t="str">
        <f t="shared" ca="1" si="529"/>
        <v/>
      </c>
      <c r="R419" s="45">
        <f t="shared" ca="1" si="509"/>
        <v>0.31475470461382105</v>
      </c>
      <c r="S419" s="45">
        <f t="shared" ca="1" si="444"/>
        <v>5.0695617570641283E-2</v>
      </c>
      <c r="T419" s="77">
        <f t="shared" ca="1" si="494"/>
        <v>0.14164336103755834</v>
      </c>
      <c r="U419" s="45">
        <f t="shared" ca="1" si="510"/>
        <v>18.288424710459161</v>
      </c>
      <c r="V419" s="45">
        <f t="shared" ca="1" si="495"/>
        <v>0.20278247028256513</v>
      </c>
      <c r="W419" s="77">
        <f t="shared" ca="1" si="496"/>
        <v>0.32509266840407935</v>
      </c>
      <c r="X419" s="45">
        <f t="shared" ca="1" si="511"/>
        <v>1.0351118176600544</v>
      </c>
      <c r="Y419" s="45">
        <f t="shared" ca="1" si="497"/>
        <v>4.5649467054955269E-2</v>
      </c>
      <c r="Z419" s="77">
        <f t="shared" ca="1" si="498"/>
        <v>4.0048802668862064E-2</v>
      </c>
      <c r="AA419" s="45">
        <f t="shared" ca="1" si="512"/>
        <v>39.129948823364842</v>
      </c>
      <c r="AB419" s="45">
        <f t="shared" ca="1" si="499"/>
        <v>0</v>
      </c>
      <c r="AC419" s="45" cm="1">
        <f t="array" aca="1" ref="AC419" ca="1">pHUM*(T419+W419+Z419+AD419)</f>
        <v>5.3705255358770909E-2</v>
      </c>
      <c r="AD419" s="77">
        <f t="shared" ca="1" si="500"/>
        <v>4.6760393358395193E-2</v>
      </c>
      <c r="AE419" s="45">
        <f t="shared" ca="1" si="513"/>
        <v>6.3847072090583081</v>
      </c>
      <c r="AF419" s="45">
        <f t="shared" ca="1" si="501"/>
        <v>0</v>
      </c>
      <c r="AG419" s="76">
        <f t="shared" ca="1" si="502"/>
        <v>65.152947265156186</v>
      </c>
      <c r="AH419" s="45">
        <f t="shared" ca="1" si="503"/>
        <v>0.45419050305516884</v>
      </c>
      <c r="AI419" s="77">
        <f t="shared" ca="1" si="504"/>
        <v>1.4321578040789221E-2</v>
      </c>
      <c r="AJ419" s="384">
        <f t="shared" ca="1" si="506"/>
        <v>3.7012275183406773E-2</v>
      </c>
      <c r="AU419" s="1"/>
    </row>
    <row r="420" spans="3:47" x14ac:dyDescent="0.25">
      <c r="C420" s="10">
        <f t="shared" si="442"/>
        <v>27</v>
      </c>
      <c r="D420" s="91">
        <f t="shared" si="514"/>
        <v>6</v>
      </c>
      <c r="E420" s="278"/>
      <c r="F420" s="76">
        <f t="shared" ref="F420:Q420" ca="1" si="530">F348</f>
        <v>18.37</v>
      </c>
      <c r="G420" s="46">
        <f t="shared" ca="1" si="530"/>
        <v>27.012600000000003</v>
      </c>
      <c r="H420" s="46">
        <f t="shared" ca="1" si="490"/>
        <v>28.517550000000004</v>
      </c>
      <c r="I420" s="45">
        <f t="shared" ca="1" si="491"/>
        <v>1.0882596087882719</v>
      </c>
      <c r="J420" s="45">
        <f t="shared" ca="1" si="492"/>
        <v>0.27952512346894071</v>
      </c>
      <c r="K420" s="45">
        <f t="shared" ca="1" si="508"/>
        <v>0.90345467800480783</v>
      </c>
      <c r="L420" s="358">
        <f t="shared" ca="1" si="493"/>
        <v>0.89586760620832129</v>
      </c>
      <c r="M420" s="76">
        <f t="shared" ca="1" si="530"/>
        <v>0.25347808785320641</v>
      </c>
      <c r="N420" s="45">
        <f t="shared" ca="1" si="530"/>
        <v>0.25</v>
      </c>
      <c r="O420" s="45">
        <f t="shared" ca="1" si="530"/>
        <v>0</v>
      </c>
      <c r="P420" s="46" t="str">
        <f t="shared" ca="1" si="530"/>
        <v/>
      </c>
      <c r="Q420" s="243" t="str">
        <f t="shared" ca="1" si="530"/>
        <v/>
      </c>
      <c r="R420" s="45">
        <f t="shared" ca="1" si="509"/>
        <v>0.22380696114690399</v>
      </c>
      <c r="S420" s="45">
        <f t="shared" ca="1" si="444"/>
        <v>5.0695617570641283E-2</v>
      </c>
      <c r="T420" s="77">
        <f t="shared" ca="1" si="494"/>
        <v>0.1334379969187959</v>
      </c>
      <c r="U420" s="45">
        <f t="shared" ca="1" si="510"/>
        <v>18.166114512337646</v>
      </c>
      <c r="V420" s="45">
        <f t="shared" ca="1" si="495"/>
        <v>0.20278247028256513</v>
      </c>
      <c r="W420" s="77">
        <f t="shared" ca="1" si="496"/>
        <v>0.48757355965743787</v>
      </c>
      <c r="X420" s="45">
        <f t="shared" ca="1" si="511"/>
        <v>1.0407124820461475</v>
      </c>
      <c r="Y420" s="45">
        <f t="shared" ca="1" si="497"/>
        <v>6.2048179117162067E-2</v>
      </c>
      <c r="Z420" s="77">
        <f t="shared" ca="1" si="498"/>
        <v>6.0463543841856905E-2</v>
      </c>
      <c r="AA420" s="45">
        <f t="shared" ca="1" si="512"/>
        <v>39.136893685365216</v>
      </c>
      <c r="AB420" s="45">
        <f t="shared" ca="1" si="499"/>
        <v>0</v>
      </c>
      <c r="AC420" s="45" cm="1">
        <f t="array" aca="1" ref="AC420" ca="1">pHUM*(T420+W420+Z420+AD420)</f>
        <v>7.299785778489655E-2</v>
      </c>
      <c r="AD420" s="77">
        <f t="shared" ca="1" si="500"/>
        <v>7.0920831345926069E-2</v>
      </c>
      <c r="AE420" s="45">
        <f t="shared" ca="1" si="513"/>
        <v>6.3847072090583081</v>
      </c>
      <c r="AF420" s="45">
        <f t="shared" ca="1" si="501"/>
        <v>0</v>
      </c>
      <c r="AG420" s="76">
        <f t="shared" ca="1" si="502"/>
        <v>64.952234849954223</v>
      </c>
      <c r="AH420" s="45">
        <f t="shared" ca="1" si="503"/>
        <v>0.61734989486195824</v>
      </c>
      <c r="AI420" s="77">
        <f t="shared" ca="1" si="504"/>
        <v>1.3029848401627601E-2</v>
      </c>
      <c r="AJ420" s="384">
        <f t="shared" ca="1" si="506"/>
        <v>3.7224117821673675E-2</v>
      </c>
      <c r="AU420" s="1"/>
    </row>
    <row r="421" spans="3:47" x14ac:dyDescent="0.25">
      <c r="C421" s="10">
        <f t="shared" ref="C421:C484" si="531">IF(D421=1,C420+1,C420)</f>
        <v>27</v>
      </c>
      <c r="D421" s="91">
        <f t="shared" si="514"/>
        <v>7</v>
      </c>
      <c r="E421" s="278"/>
      <c r="F421" s="76">
        <f t="shared" ref="F421:Q421" ca="1" si="532">F349</f>
        <v>22.71</v>
      </c>
      <c r="G421" s="46">
        <f t="shared" ca="1" si="532"/>
        <v>27.012600000000003</v>
      </c>
      <c r="H421" s="46">
        <f t="shared" ca="1" si="490"/>
        <v>28.517550000000004</v>
      </c>
      <c r="I421" s="45">
        <f t="shared" ca="1" si="491"/>
        <v>1.4513708414333564</v>
      </c>
      <c r="J421" s="45">
        <f t="shared" ca="1" si="492"/>
        <v>0.27952512346894071</v>
      </c>
      <c r="K421" s="45">
        <f t="shared" ca="1" si="508"/>
        <v>0.90345467800480783</v>
      </c>
      <c r="L421" s="358">
        <f t="shared" ca="1" si="493"/>
        <v>0.94004721434733285</v>
      </c>
      <c r="M421" s="76">
        <f t="shared" ca="1" si="532"/>
        <v>0.25347808785320641</v>
      </c>
      <c r="N421" s="45">
        <f t="shared" ca="1" si="532"/>
        <v>0.25</v>
      </c>
      <c r="O421" s="45">
        <f t="shared" ca="1" si="532"/>
        <v>0</v>
      </c>
      <c r="P421" s="46" t="str">
        <f t="shared" ca="1" si="532"/>
        <v/>
      </c>
      <c r="Q421" s="243" t="str">
        <f t="shared" ca="1" si="532"/>
        <v/>
      </c>
      <c r="R421" s="45">
        <f t="shared" ca="1" si="509"/>
        <v>0.14106458179874934</v>
      </c>
      <c r="S421" s="45">
        <f t="shared" ref="S421:S484" ca="1" si="533">M421*N421/(1+N421) +   IF(O421&gt;0,O421*P421*(1-Q421)/(1+P421),0)</f>
        <v>5.0695617570641283E-2</v>
      </c>
      <c r="T421" s="77">
        <f t="shared" ca="1" si="494"/>
        <v>9.8977446831495092E-2</v>
      </c>
      <c r="U421" s="45">
        <f t="shared" ca="1" si="510"/>
        <v>17.881323422962772</v>
      </c>
      <c r="V421" s="45">
        <f t="shared" ca="1" si="495"/>
        <v>0.20278247028256513</v>
      </c>
      <c r="W421" s="77">
        <f t="shared" ca="1" si="496"/>
        <v>0.63718105539800263</v>
      </c>
      <c r="X421" s="45">
        <f t="shared" ca="1" si="511"/>
        <v>1.0422971173214528</v>
      </c>
      <c r="Y421" s="45">
        <f t="shared" ca="1" si="497"/>
        <v>7.5102037183483877E-2</v>
      </c>
      <c r="Z421" s="77">
        <f t="shared" ca="1" si="498"/>
        <v>7.9967598883600305E-2</v>
      </c>
      <c r="AA421" s="45">
        <f t="shared" ca="1" si="512"/>
        <v>39.138970711804191</v>
      </c>
      <c r="AB421" s="45">
        <f t="shared" ca="1" si="499"/>
        <v>0</v>
      </c>
      <c r="AC421" s="45" cm="1">
        <f t="array" aca="1" ref="AC421" ca="1">pHUM*(T421+W421+Z421+AD421)</f>
        <v>8.8355337862922198E-2</v>
      </c>
      <c r="AD421" s="77">
        <f t="shared" ca="1" si="500"/>
        <v>9.4560852928618738E-2</v>
      </c>
      <c r="AE421" s="45">
        <f t="shared" ca="1" si="513"/>
        <v>6.3847072090583081</v>
      </c>
      <c r="AF421" s="45">
        <f t="shared" ca="1" si="501"/>
        <v>0</v>
      </c>
      <c r="AG421" s="76">
        <f t="shared" ca="1" si="502"/>
        <v>64.588363042945474</v>
      </c>
      <c r="AH421" s="45">
        <f t="shared" ca="1" si="503"/>
        <v>0.74722957899531073</v>
      </c>
      <c r="AI421" s="77">
        <f t="shared" ca="1" si="504"/>
        <v>1.1805871181124557E-2</v>
      </c>
      <c r="AJ421" s="384">
        <f t="shared" ca="1" si="506"/>
        <v>3.5390742664700436E-2</v>
      </c>
      <c r="AU421" s="1"/>
    </row>
    <row r="422" spans="3:47" x14ac:dyDescent="0.25">
      <c r="C422" s="10">
        <f t="shared" si="531"/>
        <v>27</v>
      </c>
      <c r="D422" s="91">
        <f t="shared" si="514"/>
        <v>8</v>
      </c>
      <c r="E422" s="278"/>
      <c r="F422" s="76">
        <f t="shared" ref="F422:Q422" ca="1" si="534">F350</f>
        <v>19.329999999999998</v>
      </c>
      <c r="G422" s="46">
        <f t="shared" ca="1" si="534"/>
        <v>27.012600000000003</v>
      </c>
      <c r="H422" s="46">
        <f t="shared" ca="1" si="490"/>
        <v>28.517550000000004</v>
      </c>
      <c r="I422" s="45">
        <f t="shared" ca="1" si="491"/>
        <v>1.1670427279291871</v>
      </c>
      <c r="J422" s="45">
        <f t="shared" ca="1" si="492"/>
        <v>0.27952512346894071</v>
      </c>
      <c r="K422" s="45">
        <f t="shared" ca="1" si="508"/>
        <v>0.90345467800480783</v>
      </c>
      <c r="L422" s="358">
        <f t="shared" ca="1" si="493"/>
        <v>0.9079689727892073</v>
      </c>
      <c r="M422" s="76">
        <f t="shared" ca="1" si="534"/>
        <v>0.25347808785320641</v>
      </c>
      <c r="N422" s="45">
        <f t="shared" ca="1" si="534"/>
        <v>0.25</v>
      </c>
      <c r="O422" s="45">
        <f t="shared" ca="1" si="534"/>
        <v>0</v>
      </c>
      <c r="P422" s="46" t="str">
        <f t="shared" ca="1" si="534"/>
        <v/>
      </c>
      <c r="Q422" s="243" t="str">
        <f t="shared" ca="1" si="534"/>
        <v/>
      </c>
      <c r="R422" s="45">
        <f t="shared" ca="1" si="509"/>
        <v>9.278275253789553E-2</v>
      </c>
      <c r="S422" s="45">
        <f t="shared" ca="1" si="533"/>
        <v>5.0695617570641283E-2</v>
      </c>
      <c r="T422" s="77">
        <f t="shared" ca="1" si="494"/>
        <v>5.7699455138857644E-2</v>
      </c>
      <c r="U422" s="45">
        <f t="shared" ca="1" si="510"/>
        <v>17.446924837847334</v>
      </c>
      <c r="V422" s="45">
        <f t="shared" ca="1" si="495"/>
        <v>0.20278247028256513</v>
      </c>
      <c r="W422" s="77">
        <f t="shared" ca="1" si="496"/>
        <v>0.50167857769548807</v>
      </c>
      <c r="X422" s="45">
        <f t="shared" ca="1" si="511"/>
        <v>1.0374315556213363</v>
      </c>
      <c r="Y422" s="45">
        <f t="shared" ca="1" si="497"/>
        <v>5.7720452290362115E-2</v>
      </c>
      <c r="Z422" s="77">
        <f t="shared" ca="1" si="498"/>
        <v>6.4497866015526636E-2</v>
      </c>
      <c r="AA422" s="45">
        <f t="shared" ca="1" si="512"/>
        <v>39.132765196738497</v>
      </c>
      <c r="AB422" s="45">
        <f t="shared" ca="1" si="499"/>
        <v>0</v>
      </c>
      <c r="AC422" s="45" cm="1">
        <f t="array" aca="1" ref="AC422" ca="1">pHUM*(T422+W422+Z422+AD422)</f>
        <v>6.7906414459249553E-2</v>
      </c>
      <c r="AD422" s="77">
        <f t="shared" ca="1" si="500"/>
        <v>7.6042037514442967E-2</v>
      </c>
      <c r="AE422" s="45">
        <f t="shared" ca="1" si="513"/>
        <v>6.3847072090583081</v>
      </c>
      <c r="AF422" s="45">
        <f t="shared" ca="1" si="501"/>
        <v>0</v>
      </c>
      <c r="AG422" s="76">
        <f t="shared" ca="1" si="502"/>
        <v>64.094611551803368</v>
      </c>
      <c r="AH422" s="45">
        <f t="shared" ca="1" si="503"/>
        <v>0.57429106961470366</v>
      </c>
      <c r="AI422" s="77">
        <f t="shared" ca="1" si="504"/>
        <v>1.1016689414447556E-2</v>
      </c>
      <c r="AJ422" s="384">
        <f t="shared" ca="1" si="506"/>
        <v>3.1898151341702707E-2</v>
      </c>
      <c r="AU422" s="1"/>
    </row>
    <row r="423" spans="3:47" x14ac:dyDescent="0.25">
      <c r="C423" s="10">
        <f t="shared" si="531"/>
        <v>27</v>
      </c>
      <c r="D423" s="91">
        <f t="shared" si="514"/>
        <v>9</v>
      </c>
      <c r="E423" s="278"/>
      <c r="F423" s="76">
        <f t="shared" ref="F423:Q423" ca="1" si="535">F351</f>
        <v>15.36</v>
      </c>
      <c r="G423" s="46">
        <f t="shared" ca="1" si="535"/>
        <v>27.012600000000003</v>
      </c>
      <c r="H423" s="46">
        <f t="shared" ca="1" si="490"/>
        <v>28.517550000000004</v>
      </c>
      <c r="I423" s="45">
        <f t="shared" ca="1" si="491"/>
        <v>0.85004563012661705</v>
      </c>
      <c r="J423" s="45">
        <f t="shared" ca="1" si="492"/>
        <v>0.27952512346894071</v>
      </c>
      <c r="K423" s="45">
        <f t="shared" ca="1" si="508"/>
        <v>0.90345467800480783</v>
      </c>
      <c r="L423" s="358">
        <f t="shared" ca="1" si="493"/>
        <v>0.84745728919304408</v>
      </c>
      <c r="M423" s="76">
        <f t="shared" ca="1" si="535"/>
        <v>0.25347808785320641</v>
      </c>
      <c r="N423" s="45">
        <f t="shared" ca="1" si="535"/>
        <v>0.25</v>
      </c>
      <c r="O423" s="45">
        <f t="shared" ca="1" si="535"/>
        <v>0</v>
      </c>
      <c r="P423" s="46" t="str">
        <f t="shared" ca="1" si="535"/>
        <v/>
      </c>
      <c r="Q423" s="243" t="str">
        <f t="shared" ca="1" si="535"/>
        <v/>
      </c>
      <c r="R423" s="45">
        <f t="shared" ca="1" si="509"/>
        <v>8.5778914969679168E-2</v>
      </c>
      <c r="S423" s="45">
        <f t="shared" ca="1" si="533"/>
        <v>5.0695617570641283E-2</v>
      </c>
      <c r="T423" s="77">
        <f t="shared" ca="1" si="494"/>
        <v>4.3537468977546526E-2</v>
      </c>
      <c r="U423" s="45">
        <f t="shared" ca="1" si="510"/>
        <v>17.148028730434408</v>
      </c>
      <c r="V423" s="45">
        <f t="shared" ca="1" si="495"/>
        <v>0.20278247028256513</v>
      </c>
      <c r="W423" s="77">
        <f t="shared" ca="1" si="496"/>
        <v>0.36057033700664648</v>
      </c>
      <c r="X423" s="45">
        <f t="shared" ca="1" si="511"/>
        <v>1.0306541418961717</v>
      </c>
      <c r="Y423" s="45">
        <f t="shared" ca="1" si="497"/>
        <v>4.1775928244463925E-2</v>
      </c>
      <c r="Z423" s="77">
        <f t="shared" ca="1" si="498"/>
        <v>4.7076618020229194E-2</v>
      </c>
      <c r="AA423" s="45">
        <f t="shared" ca="1" si="512"/>
        <v>39.124629573683308</v>
      </c>
      <c r="AB423" s="45">
        <f t="shared" ca="1" si="499"/>
        <v>0</v>
      </c>
      <c r="AC423" s="45" cm="1">
        <f t="array" aca="1" ref="AC423" ca="1">pHUM*(T423+W423+Z423+AD423)</f>
        <v>4.9148150875839909E-2</v>
      </c>
      <c r="AD423" s="77">
        <f t="shared" ca="1" si="500"/>
        <v>5.5390287840848915E-2</v>
      </c>
      <c r="AE423" s="45">
        <f t="shared" ca="1" si="513"/>
        <v>6.3847072090583081</v>
      </c>
      <c r="AF423" s="45">
        <f t="shared" ca="1" si="501"/>
        <v>0</v>
      </c>
      <c r="AG423" s="76">
        <f t="shared" ca="1" si="502"/>
        <v>63.773798570041876</v>
      </c>
      <c r="AH423" s="45">
        <f t="shared" ca="1" si="503"/>
        <v>0.41565063272496722</v>
      </c>
      <c r="AI423" s="77">
        <f t="shared" ca="1" si="504"/>
        <v>1.0839635659149182E-2</v>
      </c>
      <c r="AJ423" s="384">
        <f t="shared" ca="1" si="506"/>
        <v>2.9293884973741191E-2</v>
      </c>
      <c r="AU423" s="1"/>
    </row>
    <row r="424" spans="3:47" x14ac:dyDescent="0.25">
      <c r="C424" s="10">
        <f t="shared" si="531"/>
        <v>27</v>
      </c>
      <c r="D424" s="91">
        <f t="shared" si="514"/>
        <v>10</v>
      </c>
      <c r="E424" s="278"/>
      <c r="F424" s="76">
        <f t="shared" ref="F424:Q424" ca="1" si="536">F352</f>
        <v>10.24</v>
      </c>
      <c r="G424" s="46">
        <f t="shared" ca="1" si="536"/>
        <v>27.012600000000003</v>
      </c>
      <c r="H424" s="46">
        <f t="shared" ca="1" si="490"/>
        <v>28.517550000000004</v>
      </c>
      <c r="I424" s="45">
        <f t="shared" ca="1" si="491"/>
        <v>0.49116850915432075</v>
      </c>
      <c r="J424" s="45">
        <f t="shared" ca="1" si="492"/>
        <v>0.27952512346894071</v>
      </c>
      <c r="K424" s="45">
        <f t="shared" ca="1" si="508"/>
        <v>0.90345467800480783</v>
      </c>
      <c r="L424" s="358">
        <f t="shared" ca="1" si="493"/>
        <v>0.72269796343841763</v>
      </c>
      <c r="M424" s="76">
        <f t="shared" ca="1" si="536"/>
        <v>0.25347808785320641</v>
      </c>
      <c r="N424" s="45">
        <f t="shared" ca="1" si="536"/>
        <v>0.25</v>
      </c>
      <c r="O424" s="45">
        <f t="shared" ca="1" si="536"/>
        <v>0</v>
      </c>
      <c r="P424" s="46" t="str">
        <f t="shared" ca="1" si="536"/>
        <v/>
      </c>
      <c r="Q424" s="243" t="str">
        <f t="shared" ca="1" si="536"/>
        <v/>
      </c>
      <c r="R424" s="45">
        <f t="shared" ca="1" si="509"/>
        <v>9.2937063562773911E-2</v>
      </c>
      <c r="S424" s="45">
        <f t="shared" ca="1" si="533"/>
        <v>5.0695617570641283E-2</v>
      </c>
      <c r="T424" s="77">
        <f t="shared" ca="1" si="494"/>
        <v>3.1216606232968552E-2</v>
      </c>
      <c r="U424" s="45">
        <f t="shared" ca="1" si="510"/>
        <v>16.990240863710326</v>
      </c>
      <c r="V424" s="45">
        <f t="shared" ca="1" si="495"/>
        <v>0.20278247028256513</v>
      </c>
      <c r="W424" s="77">
        <f t="shared" ca="1" si="496"/>
        <v>0.20735112226594798</v>
      </c>
      <c r="X424" s="45">
        <f t="shared" ca="1" si="511"/>
        <v>1.0253534521204064</v>
      </c>
      <c r="Y424" s="45">
        <f t="shared" ca="1" si="497"/>
        <v>2.4567539883143773E-2</v>
      </c>
      <c r="Z424" s="77">
        <f t="shared" ca="1" si="498"/>
        <v>2.7328382889978919E-2</v>
      </c>
      <c r="AA424" s="45">
        <f t="shared" ca="1" si="512"/>
        <v>39.118387436718294</v>
      </c>
      <c r="AB424" s="45">
        <f t="shared" ca="1" si="499"/>
        <v>0</v>
      </c>
      <c r="AC424" s="45" cm="1">
        <f t="array" aca="1" ref="AC424" ca="1">pHUM*(T424+W424+Z424+AD424)</f>
        <v>2.8902988097816204E-2</v>
      </c>
      <c r="AD424" s="77">
        <f t="shared" ca="1" si="500"/>
        <v>3.2009763119111169E-2</v>
      </c>
      <c r="AE424" s="45">
        <f t="shared" ca="1" si="513"/>
        <v>6.3847072090583081</v>
      </c>
      <c r="AF424" s="45">
        <f t="shared" ca="1" si="501"/>
        <v>0</v>
      </c>
      <c r="AG424" s="76">
        <f t="shared" ca="1" si="502"/>
        <v>63.611626025170111</v>
      </c>
      <c r="AH424" s="45">
        <f t="shared" ca="1" si="503"/>
        <v>0.24443534652704671</v>
      </c>
      <c r="AI424" s="77">
        <f t="shared" ca="1" si="504"/>
        <v>1.0900382891962804E-2</v>
      </c>
      <c r="AJ424" s="384">
        <f t="shared" ca="1" si="506"/>
        <v>2.5121453367037416E-2</v>
      </c>
      <c r="AU424" s="1"/>
    </row>
    <row r="425" spans="3:47" x14ac:dyDescent="0.25">
      <c r="C425" s="10">
        <f t="shared" si="531"/>
        <v>27</v>
      </c>
      <c r="D425" s="91">
        <f t="shared" si="514"/>
        <v>11</v>
      </c>
      <c r="E425" s="278"/>
      <c r="F425" s="76">
        <f t="shared" ref="F425:Q425" ca="1" si="537">F353</f>
        <v>1.6</v>
      </c>
      <c r="G425" s="46">
        <f t="shared" ca="1" si="537"/>
        <v>27.012600000000003</v>
      </c>
      <c r="H425" s="46">
        <f t="shared" ca="1" si="490"/>
        <v>28.517550000000004</v>
      </c>
      <c r="I425" s="45">
        <f t="shared" ca="1" si="491"/>
        <v>9.9319080037688343E-2</v>
      </c>
      <c r="J425" s="45">
        <f t="shared" ca="1" si="492"/>
        <v>0.27952512346894071</v>
      </c>
      <c r="K425" s="45">
        <f t="shared" ca="1" si="508"/>
        <v>0.90345467800480783</v>
      </c>
      <c r="L425" s="358">
        <f t="shared" ca="1" si="493"/>
        <v>0.41844375967031366</v>
      </c>
      <c r="M425" s="76">
        <f t="shared" ca="1" si="537"/>
        <v>0.25347808785320641</v>
      </c>
      <c r="N425" s="45">
        <f t="shared" ca="1" si="537"/>
        <v>0.25</v>
      </c>
      <c r="O425" s="45">
        <f t="shared" ca="1" si="537"/>
        <v>0</v>
      </c>
      <c r="P425" s="46" t="str">
        <f t="shared" ca="1" si="537"/>
        <v/>
      </c>
      <c r="Q425" s="243" t="str">
        <f t="shared" ca="1" si="537"/>
        <v/>
      </c>
      <c r="R425" s="45">
        <f t="shared" ca="1" si="509"/>
        <v>0.11241607490044665</v>
      </c>
      <c r="S425" s="45">
        <f t="shared" ca="1" si="533"/>
        <v>5.0695617570641283E-2</v>
      </c>
      <c r="T425" s="77">
        <f t="shared" ca="1" si="494"/>
        <v>8.9295880519691829E-3</v>
      </c>
      <c r="U425" s="45">
        <f t="shared" ca="1" si="510"/>
        <v>16.985672211726943</v>
      </c>
      <c r="V425" s="45">
        <f t="shared" ca="1" si="495"/>
        <v>0.20278247028256513</v>
      </c>
      <c r="W425" s="77">
        <f t="shared" ca="1" si="496"/>
        <v>4.2122716937417641E-2</v>
      </c>
      <c r="X425" s="45">
        <f t="shared" ca="1" si="511"/>
        <v>1.0225926091135713</v>
      </c>
      <c r="Y425" s="45">
        <f t="shared" ca="1" si="497"/>
        <v>5.2034759773758824E-3</v>
      </c>
      <c r="Z425" s="77">
        <f t="shared" ca="1" si="498"/>
        <v>5.5707335894649218E-3</v>
      </c>
      <c r="AA425" s="45">
        <f t="shared" ca="1" si="512"/>
        <v>39.115280661697</v>
      </c>
      <c r="AB425" s="45">
        <f t="shared" ca="1" si="499"/>
        <v>0</v>
      </c>
      <c r="AC425" s="45" cm="1">
        <f t="array" aca="1" ref="AC425" ca="1">pHUM*(T425+W425+Z425+AD425)</f>
        <v>6.1217364439716268E-3</v>
      </c>
      <c r="AD425" s="77">
        <f t="shared" ca="1" si="500"/>
        <v>6.4742869529223835E-3</v>
      </c>
      <c r="AE425" s="45">
        <f t="shared" ca="1" si="513"/>
        <v>6.3847072090583081</v>
      </c>
      <c r="AF425" s="45">
        <f t="shared" ca="1" si="501"/>
        <v>0</v>
      </c>
      <c r="AG425" s="76">
        <f t="shared" ca="1" si="502"/>
        <v>63.620668766496266</v>
      </c>
      <c r="AH425" s="45">
        <f t="shared" ca="1" si="503"/>
        <v>5.1772113110426628E-2</v>
      </c>
      <c r="AI425" s="77">
        <f t="shared" ca="1" si="504"/>
        <v>1.1177528571885807E-2</v>
      </c>
      <c r="AJ425" s="384">
        <f t="shared" ca="1" si="506"/>
        <v>1.4915342925782005E-2</v>
      </c>
      <c r="AU425" s="1"/>
    </row>
    <row r="426" spans="3:47" x14ac:dyDescent="0.25">
      <c r="C426" s="10">
        <f t="shared" si="531"/>
        <v>27</v>
      </c>
      <c r="D426" s="91">
        <f t="shared" si="514"/>
        <v>12</v>
      </c>
      <c r="E426" s="278"/>
      <c r="F426" s="76">
        <f t="shared" ref="F426:Q426" ca="1" si="538">F354</f>
        <v>-3.59</v>
      </c>
      <c r="G426" s="46">
        <f t="shared" ca="1" si="538"/>
        <v>27.012600000000003</v>
      </c>
      <c r="H426" s="46">
        <f t="shared" ca="1" si="490"/>
        <v>28.517550000000004</v>
      </c>
      <c r="I426" s="45">
        <f t="shared" ca="1" si="491"/>
        <v>1.5109209527995384E-2</v>
      </c>
      <c r="J426" s="45">
        <f t="shared" ca="1" si="492"/>
        <v>0.27952512346894071</v>
      </c>
      <c r="K426" s="45">
        <f t="shared" ca="1" si="508"/>
        <v>0.90345467800480783</v>
      </c>
      <c r="L426" s="358">
        <f t="shared" ca="1" si="493"/>
        <v>0.24908644075501707</v>
      </c>
      <c r="M426" s="76">
        <f t="shared" ca="1" si="538"/>
        <v>0.25347808785320641</v>
      </c>
      <c r="N426" s="45">
        <f t="shared" ca="1" si="538"/>
        <v>0.25</v>
      </c>
      <c r="O426" s="45">
        <f t="shared" ca="1" si="538"/>
        <v>0</v>
      </c>
      <c r="P426" s="46" t="str">
        <f t="shared" ca="1" si="538"/>
        <v/>
      </c>
      <c r="Q426" s="243" t="str">
        <f t="shared" ca="1" si="538"/>
        <v/>
      </c>
      <c r="R426" s="45">
        <f t="shared" ca="1" si="509"/>
        <v>0.15418210441911873</v>
      </c>
      <c r="S426" s="45">
        <f t="shared" ca="1" si="533"/>
        <v>5.0695617570641283E-2</v>
      </c>
      <c r="T426" s="77">
        <f t="shared" ca="1" si="494"/>
        <v>1.9291377207575763E-3</v>
      </c>
      <c r="U426" s="45">
        <f t="shared" ca="1" si="510"/>
        <v>17.14633196507209</v>
      </c>
      <c r="V426" s="45">
        <f t="shared" ca="1" si="495"/>
        <v>0.20278247028256513</v>
      </c>
      <c r="W426" s="77">
        <f t="shared" ca="1" si="496"/>
        <v>6.4754649909610192E-3</v>
      </c>
      <c r="X426" s="45">
        <f t="shared" ca="1" si="511"/>
        <v>1.0222253515014821</v>
      </c>
      <c r="Y426" s="45">
        <f t="shared" ca="1" si="497"/>
        <v>8.4436005661285693E-4</v>
      </c>
      <c r="Z426" s="77">
        <f t="shared" ca="1" si="498"/>
        <v>8.4912307386445635E-4</v>
      </c>
      <c r="AA426" s="45">
        <f t="shared" ca="1" si="512"/>
        <v>39.11492811118805</v>
      </c>
      <c r="AB426" s="45">
        <f t="shared" ca="1" si="499"/>
        <v>0</v>
      </c>
      <c r="AC426" s="45" cm="1">
        <f t="array" aca="1" ref="AC426" ca="1">pHUM*(T426+W426+Z426+AD426)</f>
        <v>9.9336477248571412E-4</v>
      </c>
      <c r="AD426" s="77">
        <f t="shared" ca="1" si="500"/>
        <v>9.8498033889419341E-4</v>
      </c>
      <c r="AE426" s="45">
        <f t="shared" ca="1" si="513"/>
        <v>6.3847072090583081</v>
      </c>
      <c r="AF426" s="45">
        <f t="shared" ca="1" si="501"/>
        <v>0</v>
      </c>
      <c r="AG426" s="76">
        <f t="shared" ca="1" si="502"/>
        <v>63.822374741239045</v>
      </c>
      <c r="AH426" s="45">
        <f t="shared" ca="1" si="503"/>
        <v>8.4009812953786765E-3</v>
      </c>
      <c r="AI426" s="77">
        <f t="shared" ca="1" si="504"/>
        <v>1.1813803667203566E-2</v>
      </c>
      <c r="AJ426" s="384">
        <f t="shared" ca="1" si="506"/>
        <v>9.3840964101665758E-3</v>
      </c>
      <c r="AU426" s="1"/>
    </row>
    <row r="427" spans="3:47" x14ac:dyDescent="0.25">
      <c r="C427" s="10">
        <f t="shared" si="531"/>
        <v>28</v>
      </c>
      <c r="D427" s="91">
        <f t="shared" si="514"/>
        <v>1</v>
      </c>
      <c r="E427" s="278"/>
      <c r="F427" s="76">
        <f t="shared" ref="F427:Q427" ca="1" si="539">F355</f>
        <v>-7.32</v>
      </c>
      <c r="G427" s="46">
        <f t="shared" ca="1" si="539"/>
        <v>27.012600000000003</v>
      </c>
      <c r="H427" s="46">
        <f t="shared" ca="1" si="490"/>
        <v>28.517550000000004</v>
      </c>
      <c r="I427" s="45">
        <f t="shared" ca="1" si="491"/>
        <v>1.2903599790233234E-3</v>
      </c>
      <c r="J427" s="45">
        <f t="shared" ca="1" si="492"/>
        <v>0.27952512346894071</v>
      </c>
      <c r="K427" s="45">
        <f t="shared" ca="1" si="508"/>
        <v>0.90345467800480783</v>
      </c>
      <c r="L427" s="358">
        <f t="shared" ca="1" si="493"/>
        <v>0.15974615302556239</v>
      </c>
      <c r="M427" s="76">
        <f t="shared" ca="1" si="539"/>
        <v>0.25347808785320641</v>
      </c>
      <c r="N427" s="45">
        <f t="shared" ca="1" si="539"/>
        <v>0.25</v>
      </c>
      <c r="O427" s="45">
        <f t="shared" ca="1" si="539"/>
        <v>0</v>
      </c>
      <c r="P427" s="46" t="str">
        <f t="shared" ca="1" si="539"/>
        <v/>
      </c>
      <c r="Q427" s="243" t="str">
        <f t="shared" ca="1" si="539"/>
        <v/>
      </c>
      <c r="R427" s="45">
        <f t="shared" ca="1" si="509"/>
        <v>0.20294858426900242</v>
      </c>
      <c r="S427" s="45">
        <f t="shared" ca="1" si="533"/>
        <v>5.0695617570641283E-2</v>
      </c>
      <c r="T427" s="77">
        <f t="shared" ca="1" si="494"/>
        <v>2.1811331947600471E-4</v>
      </c>
      <c r="U427" s="45">
        <f t="shared" ca="1" si="510"/>
        <v>17.342638970363694</v>
      </c>
      <c r="V427" s="45">
        <f t="shared" ca="1" si="495"/>
        <v>0.20278247028256513</v>
      </c>
      <c r="W427" s="77">
        <f t="shared" ca="1" si="496"/>
        <v>5.594471577990474E-4</v>
      </c>
      <c r="X427" s="45">
        <f t="shared" ca="1" si="511"/>
        <v>1.0222205884842304</v>
      </c>
      <c r="Y427" s="45">
        <f t="shared" ca="1" si="497"/>
        <v>7.704317508075217E-5</v>
      </c>
      <c r="Z427" s="77">
        <f t="shared" ca="1" si="498"/>
        <v>7.2544215286611131E-5</v>
      </c>
      <c r="AA427" s="45">
        <f t="shared" ca="1" si="512"/>
        <v>39.114936495621642</v>
      </c>
      <c r="AB427" s="45">
        <f t="shared" ca="1" si="499"/>
        <v>0</v>
      </c>
      <c r="AC427" s="45" cm="1">
        <f t="array" aca="1" ref="AC427" ca="1">pHUM*(T427+W427+Z427+AD427)</f>
        <v>9.0639029506767266E-5</v>
      </c>
      <c r="AD427" s="77">
        <f t="shared" ca="1" si="500"/>
        <v>8.4120490605840432E-5</v>
      </c>
      <c r="AE427" s="45">
        <f t="shared" ca="1" si="513"/>
        <v>6.3847072090583081</v>
      </c>
      <c r="AF427" s="45">
        <f t="shared" ca="1" si="501"/>
        <v>0</v>
      </c>
      <c r="AG427" s="76">
        <f t="shared" ca="1" si="502"/>
        <v>64.067451847796875</v>
      </c>
      <c r="AH427" s="45">
        <f t="shared" ca="1" si="503"/>
        <v>7.6654297857998424E-4</v>
      </c>
      <c r="AI427" s="77">
        <f t="shared" ca="1" si="504"/>
        <v>1.2553207934381756E-2</v>
      </c>
      <c r="AJ427" s="384">
        <f t="shared" ca="1" si="506"/>
        <v>6.3949769085858144E-3</v>
      </c>
      <c r="AU427" s="1"/>
    </row>
    <row r="428" spans="3:47" x14ac:dyDescent="0.25">
      <c r="C428" s="10">
        <f t="shared" si="531"/>
        <v>28</v>
      </c>
      <c r="D428" s="91">
        <f t="shared" si="514"/>
        <v>2</v>
      </c>
      <c r="E428" s="278"/>
      <c r="F428" s="76">
        <f t="shared" ref="F428:Q428" ca="1" si="540">F356</f>
        <v>-7.56</v>
      </c>
      <c r="G428" s="46">
        <f t="shared" ca="1" si="540"/>
        <v>27.012600000000003</v>
      </c>
      <c r="H428" s="46">
        <f t="shared" ca="1" si="490"/>
        <v>28.517550000000004</v>
      </c>
      <c r="I428" s="45">
        <f t="shared" ca="1" si="491"/>
        <v>1.0386103497602255E-3</v>
      </c>
      <c r="J428" s="45">
        <f t="shared" ca="1" si="492"/>
        <v>0.27952512346894071</v>
      </c>
      <c r="K428" s="45">
        <f t="shared" ca="1" si="508"/>
        <v>0.90345467800480783</v>
      </c>
      <c r="L428" s="358">
        <f t="shared" ca="1" si="493"/>
        <v>0.15499691161362872</v>
      </c>
      <c r="M428" s="76">
        <f t="shared" ca="1" si="540"/>
        <v>0.25347808785320641</v>
      </c>
      <c r="N428" s="45">
        <f t="shared" ca="1" si="540"/>
        <v>0.25</v>
      </c>
      <c r="O428" s="45">
        <f t="shared" ca="1" si="540"/>
        <v>0</v>
      </c>
      <c r="P428" s="46" t="str">
        <f t="shared" ca="1" si="540"/>
        <v/>
      </c>
      <c r="Q428" s="243" t="str">
        <f t="shared" ca="1" si="540"/>
        <v/>
      </c>
      <c r="R428" s="45">
        <f t="shared" ca="1" si="509"/>
        <v>0.25342608852016768</v>
      </c>
      <c r="S428" s="45">
        <f t="shared" ca="1" si="533"/>
        <v>5.0695617570641283E-2</v>
      </c>
      <c r="T428" s="77">
        <f t="shared" ca="1" si="494"/>
        <v>2.1924757134496564E-4</v>
      </c>
      <c r="U428" s="45">
        <f t="shared" ca="1" si="510"/>
        <v>17.54486199348846</v>
      </c>
      <c r="V428" s="45">
        <f t="shared" ca="1" si="495"/>
        <v>0.20278247028256513</v>
      </c>
      <c r="W428" s="77">
        <f t="shared" ca="1" si="496"/>
        <v>4.5555096701458558E-4</v>
      </c>
      <c r="X428" s="45">
        <f t="shared" ca="1" si="511"/>
        <v>1.0222250874440244</v>
      </c>
      <c r="Y428" s="45">
        <f t="shared" ca="1" si="497"/>
        <v>6.6048070707560048E-5</v>
      </c>
      <c r="Z428" s="77">
        <f t="shared" ca="1" si="498"/>
        <v>5.8391477777514116E-5</v>
      </c>
      <c r="AA428" s="45">
        <f t="shared" ca="1" si="512"/>
        <v>39.114943014160545</v>
      </c>
      <c r="AB428" s="45">
        <f t="shared" ca="1" si="499"/>
        <v>0</v>
      </c>
      <c r="AC428" s="45" cm="1">
        <f t="array" aca="1" ref="AC428" ca="1">pHUM*(T428+W428+Z428+AD428)</f>
        <v>7.7703612597129461E-5</v>
      </c>
      <c r="AD428" s="77">
        <f t="shared" ca="1" si="500"/>
        <v>6.7708582472820718E-5</v>
      </c>
      <c r="AE428" s="45">
        <f t="shared" ca="1" si="513"/>
        <v>6.3847072090583081</v>
      </c>
      <c r="AF428" s="45">
        <f t="shared" ca="1" si="501"/>
        <v>0</v>
      </c>
      <c r="AG428" s="76">
        <f t="shared" ca="1" si="502"/>
        <v>64.320163392671503</v>
      </c>
      <c r="AH428" s="45">
        <f t="shared" ca="1" si="503"/>
        <v>6.5714691530519671E-4</v>
      </c>
      <c r="AI428" s="77">
        <f t="shared" ca="1" si="504"/>
        <v>1.3311777609773574E-2</v>
      </c>
      <c r="AJ428" s="384">
        <f t="shared" ca="1" si="506"/>
        <v>6.5798027154162497E-3</v>
      </c>
      <c r="AU428" s="1"/>
    </row>
    <row r="429" spans="3:47" x14ac:dyDescent="0.25">
      <c r="C429" s="10">
        <f t="shared" si="531"/>
        <v>28</v>
      </c>
      <c r="D429" s="91">
        <f t="shared" si="514"/>
        <v>3</v>
      </c>
      <c r="E429" s="278"/>
      <c r="F429" s="76">
        <f t="shared" ref="F429:Q429" ca="1" si="541">F357</f>
        <v>-3.72</v>
      </c>
      <c r="G429" s="46">
        <f t="shared" ca="1" si="541"/>
        <v>27.012600000000003</v>
      </c>
      <c r="H429" s="46">
        <f t="shared" ca="1" si="490"/>
        <v>28.517550000000004</v>
      </c>
      <c r="I429" s="45">
        <f t="shared" ca="1" si="491"/>
        <v>1.416534540335657E-2</v>
      </c>
      <c r="J429" s="45">
        <f t="shared" ca="1" si="492"/>
        <v>0.27952512346894071</v>
      </c>
      <c r="K429" s="45">
        <f t="shared" ca="1" si="508"/>
        <v>0.90345467800480783</v>
      </c>
      <c r="L429" s="358">
        <f t="shared" ca="1" si="493"/>
        <v>0.24547574864616473</v>
      </c>
      <c r="M429" s="76">
        <f t="shared" ca="1" si="541"/>
        <v>0.25347808785320641</v>
      </c>
      <c r="N429" s="45">
        <f t="shared" ca="1" si="541"/>
        <v>0.25</v>
      </c>
      <c r="O429" s="45">
        <f t="shared" ca="1" si="541"/>
        <v>0</v>
      </c>
      <c r="P429" s="46" t="str">
        <f t="shared" ca="1" si="541"/>
        <v/>
      </c>
      <c r="Q429" s="243" t="str">
        <f t="shared" ca="1" si="541"/>
        <v/>
      </c>
      <c r="R429" s="45">
        <f t="shared" ca="1" si="509"/>
        <v>0.30390245851946401</v>
      </c>
      <c r="S429" s="45">
        <f t="shared" ca="1" si="533"/>
        <v>5.0695617570641283E-2</v>
      </c>
      <c r="T429" s="77">
        <f t="shared" ca="1" si="494"/>
        <v>3.5663121478739478E-3</v>
      </c>
      <c r="U429" s="45">
        <f t="shared" ca="1" si="510"/>
        <v>17.74718891280401</v>
      </c>
      <c r="V429" s="45">
        <f t="shared" ca="1" si="495"/>
        <v>0.20278247028256513</v>
      </c>
      <c r="W429" s="77">
        <f t="shared" ca="1" si="496"/>
        <v>6.283763810481533E-3</v>
      </c>
      <c r="X429" s="45">
        <f t="shared" ca="1" si="511"/>
        <v>1.0222327440369545</v>
      </c>
      <c r="Y429" s="45">
        <f t="shared" ca="1" si="497"/>
        <v>9.5411810074196989E-4</v>
      </c>
      <c r="Z429" s="77">
        <f t="shared" ca="1" si="498"/>
        <v>7.9610523393144222E-4</v>
      </c>
      <c r="AA429" s="45">
        <f t="shared" ca="1" si="512"/>
        <v>39.114953009190671</v>
      </c>
      <c r="AB429" s="45">
        <f t="shared" ca="1" si="499"/>
        <v>0</v>
      </c>
      <c r="AC429" s="45" cm="1">
        <f t="array" aca="1" ref="AC429" ca="1">pHUM*(T429+W429+Z429+AD429)</f>
        <v>1.122491883225847E-3</v>
      </c>
      <c r="AD429" s="77">
        <f t="shared" ca="1" si="500"/>
        <v>9.2345046547931756E-4</v>
      </c>
      <c r="AE429" s="45">
        <f t="shared" ca="1" si="513"/>
        <v>6.3847072090583081</v>
      </c>
      <c r="AF429" s="45">
        <f t="shared" ca="1" si="501"/>
        <v>0</v>
      </c>
      <c r="AG429" s="76">
        <f t="shared" ca="1" si="502"/>
        <v>64.572984333609412</v>
      </c>
      <c r="AH429" s="45">
        <f t="shared" ca="1" si="503"/>
        <v>9.4930216737984258E-3</v>
      </c>
      <c r="AI429" s="77">
        <f t="shared" ca="1" si="504"/>
        <v>1.4063763378065768E-2</v>
      </c>
      <c r="AJ429" s="384">
        <f t="shared" ca="1" si="506"/>
        <v>1.1009360758141851E-2</v>
      </c>
      <c r="AU429" s="1"/>
    </row>
    <row r="430" spans="3:47" x14ac:dyDescent="0.25">
      <c r="C430" s="10">
        <f t="shared" si="531"/>
        <v>28</v>
      </c>
      <c r="D430" s="91">
        <f t="shared" si="514"/>
        <v>4</v>
      </c>
      <c r="E430" s="278"/>
      <c r="F430" s="76">
        <f t="shared" ref="F430:Q430" ca="1" si="542">F358</f>
        <v>5.88</v>
      </c>
      <c r="G430" s="46">
        <f t="shared" ca="1" si="542"/>
        <v>27.012600000000003</v>
      </c>
      <c r="H430" s="46">
        <f t="shared" ca="1" si="490"/>
        <v>28.517550000000004</v>
      </c>
      <c r="I430" s="45">
        <f t="shared" ca="1" si="491"/>
        <v>0.2538659245156123</v>
      </c>
      <c r="J430" s="45">
        <f t="shared" ca="1" si="492"/>
        <v>0.27952512346894071</v>
      </c>
      <c r="K430" s="45">
        <f t="shared" ca="1" si="508"/>
        <v>0.90345467800480783</v>
      </c>
      <c r="L430" s="358">
        <f t="shared" ca="1" si="493"/>
        <v>0.57663575359475594</v>
      </c>
      <c r="M430" s="76">
        <f t="shared" ca="1" si="542"/>
        <v>0.25347808785320641</v>
      </c>
      <c r="N430" s="45">
        <f t="shared" ca="1" si="542"/>
        <v>0.25</v>
      </c>
      <c r="O430" s="45">
        <f t="shared" ca="1" si="542"/>
        <v>0</v>
      </c>
      <c r="P430" s="46" t="str">
        <f t="shared" ca="1" si="542"/>
        <v/>
      </c>
      <c r="Q430" s="243" t="str">
        <f t="shared" ca="1" si="542"/>
        <v/>
      </c>
      <c r="R430" s="45">
        <f t="shared" ca="1" si="509"/>
        <v>0.35103176394223135</v>
      </c>
      <c r="S430" s="45">
        <f t="shared" ca="1" si="533"/>
        <v>5.0695617570641283E-2</v>
      </c>
      <c r="T430" s="77">
        <f t="shared" ca="1" si="494"/>
        <v>6.6933045521027232E-2</v>
      </c>
      <c r="U430" s="45">
        <f t="shared" ca="1" si="510"/>
        <v>17.943687619276091</v>
      </c>
      <c r="V430" s="45">
        <f t="shared" ca="1" si="495"/>
        <v>0.20278247028256513</v>
      </c>
      <c r="W430" s="77">
        <f t="shared" ca="1" si="496"/>
        <v>0.11352164913351562</v>
      </c>
      <c r="X430" s="45">
        <f t="shared" ca="1" si="511"/>
        <v>1.0223907569037651</v>
      </c>
      <c r="Y430" s="45">
        <f t="shared" ca="1" si="497"/>
        <v>1.7415251826478493E-2</v>
      </c>
      <c r="Z430" s="77">
        <f t="shared" ca="1" si="498"/>
        <v>1.4176061779153254E-2</v>
      </c>
      <c r="AA430" s="45">
        <f t="shared" ca="1" si="512"/>
        <v>39.115152050608415</v>
      </c>
      <c r="AB430" s="45">
        <f t="shared" ca="1" si="499"/>
        <v>0</v>
      </c>
      <c r="AC430" s="45" cm="1">
        <f t="array" aca="1" ref="AC430" ca="1">pHUM*(T430+W430+Z430+AD430)</f>
        <v>2.0488531560562934E-2</v>
      </c>
      <c r="AD430" s="77">
        <f t="shared" ca="1" si="500"/>
        <v>1.6546506321207875E-2</v>
      </c>
      <c r="AE430" s="45">
        <f t="shared" ca="1" si="513"/>
        <v>6.3847072090583081</v>
      </c>
      <c r="AF430" s="45">
        <f t="shared" ca="1" si="501"/>
        <v>0</v>
      </c>
      <c r="AG430" s="76">
        <f t="shared" ca="1" si="502"/>
        <v>64.816969399788803</v>
      </c>
      <c r="AH430" s="45">
        <f t="shared" ca="1" si="503"/>
        <v>0.17327347936786258</v>
      </c>
      <c r="AI430" s="77">
        <f t="shared" ca="1" si="504"/>
        <v>1.4761401318544996E-2</v>
      </c>
      <c r="AJ430" s="384">
        <f t="shared" ca="1" si="506"/>
        <v>2.7144041000136676E-2</v>
      </c>
      <c r="AU430" s="1"/>
    </row>
    <row r="431" spans="3:47" x14ac:dyDescent="0.25">
      <c r="C431" s="10">
        <f t="shared" si="531"/>
        <v>28</v>
      </c>
      <c r="D431" s="91">
        <f t="shared" si="514"/>
        <v>5</v>
      </c>
      <c r="E431" s="278"/>
      <c r="F431" s="76">
        <f t="shared" ref="F431:Q431" ca="1" si="543">F359</f>
        <v>13.3</v>
      </c>
      <c r="G431" s="46">
        <f t="shared" ca="1" si="543"/>
        <v>27.012600000000003</v>
      </c>
      <c r="H431" s="46">
        <f t="shared" ca="1" si="490"/>
        <v>28.517550000000004</v>
      </c>
      <c r="I431" s="45">
        <f t="shared" ca="1" si="491"/>
        <v>0.69725265541392489</v>
      </c>
      <c r="J431" s="45">
        <f t="shared" ca="1" si="492"/>
        <v>0.27952512346894071</v>
      </c>
      <c r="K431" s="45">
        <f t="shared" ca="1" si="508"/>
        <v>0.90345467800480783</v>
      </c>
      <c r="L431" s="358">
        <f t="shared" ca="1" si="493"/>
        <v>0.80399103068855049</v>
      </c>
      <c r="M431" s="76">
        <f t="shared" ca="1" si="543"/>
        <v>0.25347808785320641</v>
      </c>
      <c r="N431" s="45">
        <f t="shared" ca="1" si="543"/>
        <v>0.25</v>
      </c>
      <c r="O431" s="45">
        <f t="shared" ca="1" si="543"/>
        <v>0</v>
      </c>
      <c r="P431" s="46" t="str">
        <f t="shared" ca="1" si="543"/>
        <v/>
      </c>
      <c r="Q431" s="243" t="str">
        <f t="shared" ca="1" si="543"/>
        <v/>
      </c>
      <c r="R431" s="45">
        <f t="shared" ca="1" si="509"/>
        <v>0.33479433599184538</v>
      </c>
      <c r="S431" s="45">
        <f t="shared" ca="1" si="533"/>
        <v>5.0695617570641283E-2</v>
      </c>
      <c r="T431" s="77">
        <f t="shared" ca="1" si="494"/>
        <v>0.14753910809057297</v>
      </c>
      <c r="U431" s="45">
        <f t="shared" ca="1" si="510"/>
        <v>18.032948440425137</v>
      </c>
      <c r="V431" s="45">
        <f t="shared" ca="1" si="495"/>
        <v>0.20278247028256513</v>
      </c>
      <c r="W431" s="77">
        <f t="shared" ca="1" si="496"/>
        <v>0.3116142163161158</v>
      </c>
      <c r="X431" s="45">
        <f t="shared" ca="1" si="511"/>
        <v>1.0256299469510903</v>
      </c>
      <c r="Y431" s="45">
        <f t="shared" ca="1" si="497"/>
        <v>4.4794170277682462E-2</v>
      </c>
      <c r="Z431" s="77">
        <f t="shared" ca="1" si="498"/>
        <v>3.8587159865693818E-2</v>
      </c>
      <c r="AA431" s="45">
        <f t="shared" ca="1" si="512"/>
        <v>39.119094075847769</v>
      </c>
      <c r="AB431" s="45">
        <f t="shared" ca="1" si="499"/>
        <v>0</v>
      </c>
      <c r="AC431" s="45" cm="1">
        <f t="array" aca="1" ref="AC431" ca="1">pHUM*(T431+W431+Z431+AD431)</f>
        <v>5.269902385609701E-2</v>
      </c>
      <c r="AD431" s="77">
        <f t="shared" ca="1" si="500"/>
        <v>4.5433416448113086E-2</v>
      </c>
      <c r="AE431" s="45">
        <f t="shared" ca="1" si="513"/>
        <v>6.3847072090583081</v>
      </c>
      <c r="AF431" s="45">
        <f t="shared" ca="1" si="501"/>
        <v>0</v>
      </c>
      <c r="AG431" s="76">
        <f t="shared" ca="1" si="502"/>
        <v>64.897174008274149</v>
      </c>
      <c r="AH431" s="45">
        <f t="shared" ca="1" si="503"/>
        <v>0.44568070658671621</v>
      </c>
      <c r="AI431" s="77">
        <f t="shared" ca="1" si="504"/>
        <v>1.4551208909619348E-2</v>
      </c>
      <c r="AJ431" s="384">
        <f t="shared" ca="1" si="506"/>
        <v>3.7307097640593145E-2</v>
      </c>
      <c r="AU431" s="1"/>
    </row>
    <row r="432" spans="3:47" x14ac:dyDescent="0.25">
      <c r="C432" s="10">
        <f t="shared" si="531"/>
        <v>28</v>
      </c>
      <c r="D432" s="91">
        <f t="shared" si="514"/>
        <v>6</v>
      </c>
      <c r="E432" s="278"/>
      <c r="F432" s="76">
        <f t="shared" ref="F432:Q432" ca="1" si="544">F360</f>
        <v>18.579999999999998</v>
      </c>
      <c r="G432" s="46">
        <f t="shared" ca="1" si="544"/>
        <v>27.012600000000003</v>
      </c>
      <c r="H432" s="46">
        <f t="shared" ca="1" si="490"/>
        <v>28.517550000000004</v>
      </c>
      <c r="I432" s="45">
        <f t="shared" ca="1" si="491"/>
        <v>1.1053966357180092</v>
      </c>
      <c r="J432" s="45">
        <f t="shared" ca="1" si="492"/>
        <v>0.27952512346894071</v>
      </c>
      <c r="K432" s="45">
        <f t="shared" ca="1" si="508"/>
        <v>0.90345467800480783</v>
      </c>
      <c r="L432" s="358">
        <f t="shared" ca="1" si="493"/>
        <v>0.89864190578209513</v>
      </c>
      <c r="M432" s="76">
        <f t="shared" ca="1" si="544"/>
        <v>0.25347808785320641</v>
      </c>
      <c r="N432" s="45">
        <f t="shared" ca="1" si="544"/>
        <v>0.25</v>
      </c>
      <c r="O432" s="45">
        <f t="shared" ca="1" si="544"/>
        <v>0</v>
      </c>
      <c r="P432" s="46" t="str">
        <f t="shared" ca="1" si="544"/>
        <v/>
      </c>
      <c r="Q432" s="243" t="str">
        <f t="shared" ca="1" si="544"/>
        <v/>
      </c>
      <c r="R432" s="45">
        <f t="shared" ca="1" si="509"/>
        <v>0.2379508454719137</v>
      </c>
      <c r="S432" s="45">
        <f t="shared" ca="1" si="533"/>
        <v>5.0695617570641283E-2</v>
      </c>
      <c r="T432" s="77">
        <f t="shared" ca="1" si="494"/>
        <v>0.14323320525148991</v>
      </c>
      <c r="U432" s="45">
        <f t="shared" ca="1" si="510"/>
        <v>17.924116694391586</v>
      </c>
      <c r="V432" s="45">
        <f t="shared" ca="1" si="495"/>
        <v>0.20278247028256513</v>
      </c>
      <c r="W432" s="77">
        <f t="shared" ca="1" si="496"/>
        <v>0.48854984904516979</v>
      </c>
      <c r="X432" s="45">
        <f t="shared" ca="1" si="511"/>
        <v>1.031836957363079</v>
      </c>
      <c r="Y432" s="45">
        <f t="shared" ca="1" si="497"/>
        <v>6.3059876746640792E-2</v>
      </c>
      <c r="Z432" s="77">
        <f t="shared" ca="1" si="498"/>
        <v>6.0863500981466583E-2</v>
      </c>
      <c r="AA432" s="45">
        <f t="shared" ca="1" si="512"/>
        <v>39.126359683255757</v>
      </c>
      <c r="AB432" s="45">
        <f t="shared" ca="1" si="499"/>
        <v>0</v>
      </c>
      <c r="AC432" s="45" cm="1">
        <f t="array" aca="1" ref="AC432" ca="1">pHUM*(T432+W432+Z432+AD432)</f>
        <v>7.418809029016564E-2</v>
      </c>
      <c r="AD432" s="77">
        <f t="shared" ca="1" si="500"/>
        <v>7.2017217241664627E-2</v>
      </c>
      <c r="AE432" s="45">
        <f t="shared" ca="1" si="513"/>
        <v>6.3847072090583081</v>
      </c>
      <c r="AF432" s="45">
        <f t="shared" ca="1" si="501"/>
        <v>0</v>
      </c>
      <c r="AG432" s="76">
        <f t="shared" ca="1" si="502"/>
        <v>64.704971389540646</v>
      </c>
      <c r="AH432" s="45">
        <f t="shared" ca="1" si="503"/>
        <v>0.62741580548298448</v>
      </c>
      <c r="AI432" s="77">
        <f t="shared" ca="1" si="504"/>
        <v>1.3174784639788854E-2</v>
      </c>
      <c r="AJ432" s="384">
        <f t="shared" ca="1" si="506"/>
        <v>3.7754714667747047E-2</v>
      </c>
      <c r="AU432" s="1"/>
    </row>
    <row r="433" spans="3:47" x14ac:dyDescent="0.25">
      <c r="C433" s="10">
        <f t="shared" si="531"/>
        <v>28</v>
      </c>
      <c r="D433" s="91">
        <f t="shared" si="514"/>
        <v>7</v>
      </c>
      <c r="E433" s="278"/>
      <c r="F433" s="76">
        <f t="shared" ref="F433:Q433" ca="1" si="545">F361</f>
        <v>20.88</v>
      </c>
      <c r="G433" s="46">
        <f t="shared" ca="1" si="545"/>
        <v>27.012600000000003</v>
      </c>
      <c r="H433" s="46">
        <f t="shared" ca="1" si="490"/>
        <v>28.517550000000004</v>
      </c>
      <c r="I433" s="45">
        <f t="shared" ca="1" si="491"/>
        <v>1.2963209464812457</v>
      </c>
      <c r="J433" s="45">
        <f t="shared" ca="1" si="492"/>
        <v>0.27952512346894071</v>
      </c>
      <c r="K433" s="45">
        <f t="shared" ca="1" si="508"/>
        <v>0.90345467800480783</v>
      </c>
      <c r="L433" s="358">
        <f t="shared" ca="1" si="493"/>
        <v>0.92456370800230281</v>
      </c>
      <c r="M433" s="76">
        <f t="shared" ca="1" si="545"/>
        <v>0.25347808785320641</v>
      </c>
      <c r="N433" s="45">
        <f t="shared" ca="1" si="545"/>
        <v>0.25</v>
      </c>
      <c r="O433" s="45">
        <f t="shared" ca="1" si="545"/>
        <v>0</v>
      </c>
      <c r="P433" s="46" t="str">
        <f t="shared" ca="1" si="545"/>
        <v/>
      </c>
      <c r="Q433" s="243" t="str">
        <f t="shared" ca="1" si="545"/>
        <v/>
      </c>
      <c r="R433" s="45">
        <f t="shared" ca="1" si="509"/>
        <v>0.14541325779106506</v>
      </c>
      <c r="S433" s="45">
        <f t="shared" ca="1" si="533"/>
        <v>5.0695617570641283E-2</v>
      </c>
      <c r="T433" s="77">
        <f t="shared" ca="1" si="494"/>
        <v>9.6044771709889135E-2</v>
      </c>
      <c r="U433" s="45">
        <f t="shared" ca="1" si="510"/>
        <v>17.638349315628979</v>
      </c>
      <c r="V433" s="45">
        <f t="shared" ca="1" si="495"/>
        <v>0.20278247028256513</v>
      </c>
      <c r="W433" s="77">
        <f t="shared" ca="1" si="496"/>
        <v>0.56246069465633053</v>
      </c>
      <c r="X433" s="45">
        <f t="shared" ca="1" si="511"/>
        <v>1.0340333331282532</v>
      </c>
      <c r="Y433" s="45">
        <f t="shared" ca="1" si="497"/>
        <v>6.7137589376935161E-2</v>
      </c>
      <c r="Z433" s="77">
        <f t="shared" ca="1" si="498"/>
        <v>7.115733280930174E-2</v>
      </c>
      <c r="AA433" s="45">
        <f t="shared" ca="1" si="512"/>
        <v>39.128530556304256</v>
      </c>
      <c r="AB433" s="45">
        <f t="shared" ca="1" si="499"/>
        <v>0</v>
      </c>
      <c r="AC433" s="45" cm="1">
        <f t="array" aca="1" ref="AC433" ca="1">pHUM*(T433+W433+Z433+AD433)</f>
        <v>7.8985399266982531E-2</v>
      </c>
      <c r="AD433" s="77">
        <f t="shared" ca="1" si="500"/>
        <v>8.4447297758447615E-2</v>
      </c>
      <c r="AE433" s="45">
        <f t="shared" ca="1" si="513"/>
        <v>6.3847072090583081</v>
      </c>
      <c r="AF433" s="45">
        <f t="shared" ca="1" si="501"/>
        <v>0</v>
      </c>
      <c r="AG433" s="76">
        <f t="shared" ca="1" si="502"/>
        <v>64.331033671910859</v>
      </c>
      <c r="AH433" s="45">
        <f t="shared" ca="1" si="503"/>
        <v>0.66798710829005137</v>
      </c>
      <c r="AI433" s="77">
        <f t="shared" ca="1" si="504"/>
        <v>1.1807866700076981E-2</v>
      </c>
      <c r="AJ433" s="384">
        <f t="shared" ca="1" si="506"/>
        <v>3.4813724605896601E-2</v>
      </c>
      <c r="AU433" s="1"/>
    </row>
    <row r="434" spans="3:47" x14ac:dyDescent="0.25">
      <c r="C434" s="10">
        <f t="shared" si="531"/>
        <v>28</v>
      </c>
      <c r="D434" s="91">
        <f t="shared" si="514"/>
        <v>8</v>
      </c>
      <c r="E434" s="278"/>
      <c r="F434" s="76">
        <f t="shared" ref="F434:Q434" ca="1" si="546">F362</f>
        <v>19.38</v>
      </c>
      <c r="G434" s="46">
        <f t="shared" ca="1" si="546"/>
        <v>27.012600000000003</v>
      </c>
      <c r="H434" s="46">
        <f t="shared" ca="1" si="490"/>
        <v>28.517550000000004</v>
      </c>
      <c r="I434" s="45">
        <f t="shared" ca="1" si="491"/>
        <v>1.1711755949831784</v>
      </c>
      <c r="J434" s="45">
        <f t="shared" ca="1" si="492"/>
        <v>0.27952512346894071</v>
      </c>
      <c r="K434" s="45">
        <f t="shared" ca="1" si="508"/>
        <v>0.90345467800480783</v>
      </c>
      <c r="L434" s="358">
        <f t="shared" ca="1" si="493"/>
        <v>0.9085593811553081</v>
      </c>
      <c r="M434" s="76">
        <f t="shared" ca="1" si="546"/>
        <v>0.25347808785320641</v>
      </c>
      <c r="N434" s="45">
        <f t="shared" ca="1" si="546"/>
        <v>0.25</v>
      </c>
      <c r="O434" s="45">
        <f t="shared" ca="1" si="546"/>
        <v>0</v>
      </c>
      <c r="P434" s="46" t="str">
        <f t="shared" ca="1" si="546"/>
        <v/>
      </c>
      <c r="Q434" s="243" t="str">
        <f t="shared" ca="1" si="546"/>
        <v/>
      </c>
      <c r="R434" s="45">
        <f t="shared" ca="1" si="509"/>
        <v>0.10006410365181721</v>
      </c>
      <c r="S434" s="45">
        <f t="shared" ca="1" si="533"/>
        <v>5.0695617570641283E-2</v>
      </c>
      <c r="T434" s="77">
        <f t="shared" ca="1" si="494"/>
        <v>6.2357646589744672E-2</v>
      </c>
      <c r="U434" s="45">
        <f t="shared" ca="1" si="510"/>
        <v>17.278671091255212</v>
      </c>
      <c r="V434" s="45">
        <f t="shared" ca="1" si="495"/>
        <v>0.20278247028256513</v>
      </c>
      <c r="W434" s="77">
        <f t="shared" ca="1" si="496"/>
        <v>0.49857435320709736</v>
      </c>
      <c r="X434" s="45">
        <f t="shared" ca="1" si="511"/>
        <v>1.0300135896958866</v>
      </c>
      <c r="Y434" s="45">
        <f t="shared" ca="1" si="497"/>
        <v>5.7849303821404366E-2</v>
      </c>
      <c r="Z434" s="77">
        <f t="shared" ca="1" si="498"/>
        <v>6.4256234761490408E-2</v>
      </c>
      <c r="AA434" s="45">
        <f t="shared" ca="1" si="512"/>
        <v>39.123068657812794</v>
      </c>
      <c r="AB434" s="45">
        <f t="shared" ca="1" si="499"/>
        <v>0</v>
      </c>
      <c r="AC434" s="45" cm="1">
        <f t="array" aca="1" ref="AC434" ca="1">pHUM*(T434+W434+Z434+AD434)</f>
        <v>6.8058004495769847E-2</v>
      </c>
      <c r="AD434" s="77">
        <f t="shared" ca="1" si="500"/>
        <v>7.6292154872892204E-2</v>
      </c>
      <c r="AE434" s="45">
        <f t="shared" ca="1" si="513"/>
        <v>6.3847072090583081</v>
      </c>
      <c r="AF434" s="45">
        <f t="shared" ca="1" si="501"/>
        <v>0</v>
      </c>
      <c r="AG434" s="76">
        <f t="shared" ca="1" si="502"/>
        <v>63.91652465147402</v>
      </c>
      <c r="AH434" s="45">
        <f t="shared" ca="1" si="503"/>
        <v>0.57557308111405059</v>
      </c>
      <c r="AI434" s="77">
        <f t="shared" ca="1" si="504"/>
        <v>1.1075773728603546E-2</v>
      </c>
      <c r="AJ434" s="384">
        <f t="shared" ca="1" si="506"/>
        <v>3.2090073623050053E-2</v>
      </c>
      <c r="AU434" s="1"/>
    </row>
    <row r="435" spans="3:47" x14ac:dyDescent="0.25">
      <c r="C435" s="10">
        <f t="shared" si="531"/>
        <v>28</v>
      </c>
      <c r="D435" s="91">
        <f t="shared" si="514"/>
        <v>9</v>
      </c>
      <c r="E435" s="278"/>
      <c r="F435" s="76">
        <f t="shared" ref="F435:Q435" ca="1" si="547">F363</f>
        <v>16.57</v>
      </c>
      <c r="G435" s="46">
        <f t="shared" ca="1" si="547"/>
        <v>27.012600000000003</v>
      </c>
      <c r="H435" s="46">
        <f t="shared" ca="1" si="490"/>
        <v>28.517550000000004</v>
      </c>
      <c r="I435" s="45">
        <f t="shared" ca="1" si="491"/>
        <v>0.9439672665218134</v>
      </c>
      <c r="J435" s="45">
        <f t="shared" ca="1" si="492"/>
        <v>0.27952512346894071</v>
      </c>
      <c r="K435" s="45">
        <f t="shared" ca="1" si="508"/>
        <v>0.90345467800480783</v>
      </c>
      <c r="L435" s="358">
        <f t="shared" ca="1" si="493"/>
        <v>0.86895066774150642</v>
      </c>
      <c r="M435" s="76">
        <f t="shared" ca="1" si="547"/>
        <v>0.25347808785320641</v>
      </c>
      <c r="N435" s="45">
        <f t="shared" ca="1" si="547"/>
        <v>0.25</v>
      </c>
      <c r="O435" s="45">
        <f t="shared" ca="1" si="547"/>
        <v>0</v>
      </c>
      <c r="P435" s="46" t="str">
        <f t="shared" ca="1" si="547"/>
        <v/>
      </c>
      <c r="Q435" s="243" t="str">
        <f t="shared" ca="1" si="547"/>
        <v/>
      </c>
      <c r="R435" s="45">
        <f t="shared" ca="1" si="509"/>
        <v>8.8402074632713837E-2</v>
      </c>
      <c r="S435" s="45">
        <f t="shared" ca="1" si="533"/>
        <v>5.0695617570641283E-2</v>
      </c>
      <c r="T435" s="77">
        <f t="shared" ca="1" si="494"/>
        <v>4.8146195874830794E-2</v>
      </c>
      <c r="U435" s="45">
        <f t="shared" ca="1" si="510"/>
        <v>16.982879208330679</v>
      </c>
      <c r="V435" s="45">
        <f t="shared" ca="1" si="495"/>
        <v>0.20278247028256513</v>
      </c>
      <c r="W435" s="77">
        <f t="shared" ca="1" si="496"/>
        <v>0.39608996961477144</v>
      </c>
      <c r="X435" s="45">
        <f t="shared" ca="1" si="511"/>
        <v>1.0236066587558006</v>
      </c>
      <c r="Y435" s="45">
        <f t="shared" ca="1" si="497"/>
        <v>4.5976773235161243E-2</v>
      </c>
      <c r="Z435" s="77">
        <f t="shared" ca="1" si="498"/>
        <v>5.1787817444693796E-2</v>
      </c>
      <c r="AA435" s="45">
        <f t="shared" ca="1" si="512"/>
        <v>39.114834507435667</v>
      </c>
      <c r="AB435" s="45">
        <f t="shared" ca="1" si="499"/>
        <v>0</v>
      </c>
      <c r="AC435" s="45" cm="1">
        <f t="array" aca="1" ref="AC435" ca="1">pHUM*(T435+W435+Z435+AD435)</f>
        <v>5.4090321453130877E-2</v>
      </c>
      <c r="AD435" s="77">
        <f t="shared" ca="1" si="500"/>
        <v>6.1490155755455779E-2</v>
      </c>
      <c r="AE435" s="45">
        <f t="shared" ca="1" si="513"/>
        <v>6.3847072090583081</v>
      </c>
      <c r="AF435" s="45">
        <f t="shared" ca="1" si="501"/>
        <v>0</v>
      </c>
      <c r="AG435" s="76">
        <f t="shared" ca="1" si="502"/>
        <v>63.594429658213166</v>
      </c>
      <c r="AH435" s="45">
        <f t="shared" ca="1" si="503"/>
        <v>0.45744704400145969</v>
      </c>
      <c r="AI435" s="77">
        <f t="shared" ca="1" si="504"/>
        <v>1.0832601632766333E-2</v>
      </c>
      <c r="AJ435" s="384">
        <f t="shared" ca="1" si="506"/>
        <v>3.0017330337257508E-2</v>
      </c>
      <c r="AU435" s="1"/>
    </row>
    <row r="436" spans="3:47" x14ac:dyDescent="0.25">
      <c r="C436" s="10">
        <f t="shared" si="531"/>
        <v>28</v>
      </c>
      <c r="D436" s="91">
        <f t="shared" si="514"/>
        <v>10</v>
      </c>
      <c r="E436" s="278"/>
      <c r="F436" s="76">
        <f t="shared" ref="F436:Q436" ca="1" si="548">F364</f>
        <v>10.87</v>
      </c>
      <c r="G436" s="46">
        <f t="shared" ca="1" si="548"/>
        <v>27.012600000000003</v>
      </c>
      <c r="H436" s="46">
        <f t="shared" ca="1" si="490"/>
        <v>28.517550000000004</v>
      </c>
      <c r="I436" s="45">
        <f t="shared" ca="1" si="491"/>
        <v>0.53125146958099567</v>
      </c>
      <c r="J436" s="45">
        <f t="shared" ca="1" si="492"/>
        <v>0.27952512346894071</v>
      </c>
      <c r="K436" s="45">
        <f t="shared" ca="1" si="508"/>
        <v>0.90345467800480783</v>
      </c>
      <c r="L436" s="358">
        <f t="shared" ca="1" si="493"/>
        <v>0.74105246316705919</v>
      </c>
      <c r="M436" s="76">
        <f t="shared" ca="1" si="548"/>
        <v>0.25347808785320641</v>
      </c>
      <c r="N436" s="45">
        <f t="shared" ca="1" si="548"/>
        <v>0.25</v>
      </c>
      <c r="O436" s="45">
        <f t="shared" ca="1" si="548"/>
        <v>0</v>
      </c>
      <c r="P436" s="46" t="str">
        <f t="shared" ca="1" si="548"/>
        <v/>
      </c>
      <c r="Q436" s="243" t="str">
        <f t="shared" ca="1" si="548"/>
        <v/>
      </c>
      <c r="R436" s="45">
        <f t="shared" ca="1" si="509"/>
        <v>9.0951496328524312E-2</v>
      </c>
      <c r="S436" s="45">
        <f t="shared" ca="1" si="533"/>
        <v>5.0695617570641283E-2</v>
      </c>
      <c r="T436" s="77">
        <f t="shared" ca="1" si="494"/>
        <v>3.2533920585815154E-2</v>
      </c>
      <c r="U436" s="45">
        <f t="shared" ca="1" si="510"/>
        <v>16.789571708998473</v>
      </c>
      <c r="V436" s="45">
        <f t="shared" ca="1" si="495"/>
        <v>0.20278247028256513</v>
      </c>
      <c r="W436" s="77">
        <f t="shared" ca="1" si="496"/>
        <v>0.22151287202347386</v>
      </c>
      <c r="X436" s="45">
        <f t="shared" ca="1" si="511"/>
        <v>1.0177956145462681</v>
      </c>
      <c r="Y436" s="45">
        <f t="shared" ca="1" si="497"/>
        <v>2.6221886189017069E-2</v>
      </c>
      <c r="Z436" s="77">
        <f t="shared" ca="1" si="498"/>
        <v>2.9308532229307297E-2</v>
      </c>
      <c r="AA436" s="45">
        <f t="shared" ca="1" si="512"/>
        <v>39.107434673133341</v>
      </c>
      <c r="AB436" s="45">
        <f t="shared" ca="1" si="499"/>
        <v>0</v>
      </c>
      <c r="AC436" s="45" cm="1">
        <f t="array" aca="1" ref="AC436" ca="1">pHUM*(T436+W436+Z436+AD436)</f>
        <v>3.0849277869431847E-2</v>
      </c>
      <c r="AD436" s="77">
        <f t="shared" ca="1" si="500"/>
        <v>3.461114529007403E-2</v>
      </c>
      <c r="AE436" s="45">
        <f t="shared" ca="1" si="513"/>
        <v>6.3847072090583081</v>
      </c>
      <c r="AF436" s="45">
        <f t="shared" ca="1" si="501"/>
        <v>0</v>
      </c>
      <c r="AG436" s="76">
        <f t="shared" ca="1" si="502"/>
        <v>63.390460702064914</v>
      </c>
      <c r="AH436" s="45">
        <f t="shared" ca="1" si="503"/>
        <v>0.26089530607022149</v>
      </c>
      <c r="AI436" s="77">
        <f t="shared" ca="1" si="504"/>
        <v>1.0818031253570231E-2</v>
      </c>
      <c r="AJ436" s="384">
        <f t="shared" ca="1" si="506"/>
        <v>2.5564846078716119E-2</v>
      </c>
      <c r="AU436" s="1"/>
    </row>
    <row r="437" spans="3:47" x14ac:dyDescent="0.25">
      <c r="C437" s="10">
        <f t="shared" si="531"/>
        <v>28</v>
      </c>
      <c r="D437" s="91">
        <f t="shared" si="514"/>
        <v>11</v>
      </c>
      <c r="E437" s="278"/>
      <c r="F437" s="76">
        <f t="shared" ref="F437:Q437" ca="1" si="549">F365</f>
        <v>1.4</v>
      </c>
      <c r="G437" s="46">
        <f t="shared" ca="1" si="549"/>
        <v>28.536243189942063</v>
      </c>
      <c r="H437" s="46">
        <f t="shared" ca="1" si="490"/>
        <v>26.993906810057943</v>
      </c>
      <c r="I437" s="45">
        <f t="shared" ca="1" si="491"/>
        <v>9.940372096718314E-2</v>
      </c>
      <c r="J437" s="45">
        <f t="shared" ca="1" si="492"/>
        <v>0.28648639837560558</v>
      </c>
      <c r="K437" s="45">
        <f t="shared" ca="1" si="508"/>
        <v>0.92595425264501963</v>
      </c>
      <c r="L437" s="358">
        <f t="shared" ca="1" si="493"/>
        <v>0.41120226021724715</v>
      </c>
      <c r="M437" s="76">
        <f t="shared" ca="1" si="549"/>
        <v>0.25347808785320641</v>
      </c>
      <c r="N437" s="45">
        <f t="shared" ca="1" si="549"/>
        <v>0.25</v>
      </c>
      <c r="O437" s="45">
        <f t="shared" ca="1" si="549"/>
        <v>0</v>
      </c>
      <c r="P437" s="46" t="str">
        <f t="shared" ca="1" si="549"/>
        <v/>
      </c>
      <c r="Q437" s="243" t="str">
        <f t="shared" ca="1" si="549"/>
        <v/>
      </c>
      <c r="R437" s="45">
        <f t="shared" ca="1" si="509"/>
        <v>0.10911319331335044</v>
      </c>
      <c r="S437" s="45">
        <f t="shared" ca="1" si="533"/>
        <v>5.0695617570641283E-2</v>
      </c>
      <c r="T437" s="77">
        <f t="shared" ca="1" si="494"/>
        <v>8.6743136422450483E-3</v>
      </c>
      <c r="U437" s="45">
        <f t="shared" ca="1" si="510"/>
        <v>16.770841307257562</v>
      </c>
      <c r="V437" s="45">
        <f t="shared" ca="1" si="495"/>
        <v>0.20278247028256513</v>
      </c>
      <c r="W437" s="77">
        <f t="shared" ca="1" si="496"/>
        <v>4.1625357876946725E-2</v>
      </c>
      <c r="X437" s="45">
        <f t="shared" ca="1" si="511"/>
        <v>1.0147089685059778</v>
      </c>
      <c r="Y437" s="45">
        <f t="shared" ca="1" si="497"/>
        <v>5.1385502724725042E-3</v>
      </c>
      <c r="Z437" s="77">
        <f t="shared" ca="1" si="498"/>
        <v>5.532484201928531E-3</v>
      </c>
      <c r="AA437" s="45">
        <f t="shared" ca="1" si="512"/>
        <v>39.103672805712698</v>
      </c>
      <c r="AB437" s="45">
        <f t="shared" ca="1" si="499"/>
        <v>0</v>
      </c>
      <c r="AC437" s="45" cm="1">
        <f t="array" aca="1" ref="AC437" ca="1">pHUM*(T437+W437+Z437+AD437)</f>
        <v>6.0453532617323578E-3</v>
      </c>
      <c r="AD437" s="77">
        <f t="shared" ca="1" si="500"/>
        <v>6.4778810145721122E-3</v>
      </c>
      <c r="AE437" s="45">
        <f t="shared" ca="1" si="513"/>
        <v>6.3847072090583081</v>
      </c>
      <c r="AF437" s="45">
        <f t="shared" ca="1" si="501"/>
        <v>0</v>
      </c>
      <c r="AG437" s="76">
        <f t="shared" ca="1" si="502"/>
        <v>63.383043483847899</v>
      </c>
      <c r="AH437" s="45">
        <f t="shared" ca="1" si="503"/>
        <v>5.1126133201487567E-2</v>
      </c>
      <c r="AI437" s="77">
        <f t="shared" ca="1" si="504"/>
        <v>1.1073664887520923E-2</v>
      </c>
      <c r="AJ437" s="384">
        <f t="shared" ca="1" si="506"/>
        <v>1.4882654562240472E-2</v>
      </c>
      <c r="AU437" s="1"/>
    </row>
    <row r="438" spans="3:47" x14ac:dyDescent="0.25">
      <c r="C438" s="10">
        <f t="shared" si="531"/>
        <v>28</v>
      </c>
      <c r="D438" s="91">
        <f t="shared" si="514"/>
        <v>12</v>
      </c>
      <c r="E438" s="278"/>
      <c r="F438" s="76">
        <f t="shared" ref="F438:Q438" ca="1" si="550">F366</f>
        <v>-1.78</v>
      </c>
      <c r="G438" s="46">
        <f t="shared" ca="1" si="550"/>
        <v>32.216243189942062</v>
      </c>
      <c r="H438" s="46">
        <f t="shared" ca="1" si="490"/>
        <v>23.313906810057944</v>
      </c>
      <c r="I438" s="45">
        <f t="shared" ca="1" si="491"/>
        <v>3.9789790397057247E-2</v>
      </c>
      <c r="J438" s="45">
        <f t="shared" ca="1" si="492"/>
        <v>0.29882189650486002</v>
      </c>
      <c r="K438" s="45">
        <f t="shared" ca="1" si="508"/>
        <v>0.96582388351071458</v>
      </c>
      <c r="L438" s="358">
        <f t="shared" ca="1" si="493"/>
        <v>0.30292377267304249</v>
      </c>
      <c r="M438" s="76">
        <f t="shared" ca="1" si="550"/>
        <v>0.25347808785320641</v>
      </c>
      <c r="N438" s="45">
        <f t="shared" ca="1" si="550"/>
        <v>0.25</v>
      </c>
      <c r="O438" s="45">
        <f t="shared" ca="1" si="550"/>
        <v>0</v>
      </c>
      <c r="P438" s="46" t="str">
        <f t="shared" ca="1" si="550"/>
        <v/>
      </c>
      <c r="Q438" s="243" t="str">
        <f t="shared" ca="1" si="550"/>
        <v/>
      </c>
      <c r="R438" s="45">
        <f t="shared" ca="1" si="509"/>
        <v>0.15113449724174668</v>
      </c>
      <c r="S438" s="45">
        <f t="shared" ca="1" si="533"/>
        <v>5.0695617570641283E-2</v>
      </c>
      <c r="T438" s="77">
        <f t="shared" ca="1" si="494"/>
        <v>4.9291689443774654E-3</v>
      </c>
      <c r="U438" s="45">
        <f t="shared" ca="1" si="510"/>
        <v>16.931998419663181</v>
      </c>
      <c r="V438" s="45">
        <f t="shared" ca="1" si="495"/>
        <v>0.20278247028256513</v>
      </c>
      <c r="W438" s="77">
        <f t="shared" ca="1" si="496"/>
        <v>1.6834642228791365E-2</v>
      </c>
      <c r="X438" s="45">
        <f t="shared" ca="1" si="511"/>
        <v>1.0143150345765219</v>
      </c>
      <c r="Y438" s="45">
        <f t="shared" ca="1" si="497"/>
        <v>2.1915105694043147E-3</v>
      </c>
      <c r="Z438" s="77">
        <f t="shared" ca="1" si="498"/>
        <v>2.2173389043978605E-3</v>
      </c>
      <c r="AA438" s="45">
        <f t="shared" ca="1" si="512"/>
        <v>39.103240277959856</v>
      </c>
      <c r="AB438" s="45">
        <f t="shared" ca="1" si="499"/>
        <v>0</v>
      </c>
      <c r="AC438" s="45" cm="1">
        <f t="array" aca="1" ref="AC438" ca="1">pHUM*(T438+W438+Z438+AD438)</f>
        <v>2.5782477287109584E-3</v>
      </c>
      <c r="AD438" s="77">
        <f t="shared" ca="1" si="500"/>
        <v>2.5930969075729782E-3</v>
      </c>
      <c r="AE438" s="45">
        <f t="shared" ca="1" si="513"/>
        <v>6.3847072090583081</v>
      </c>
      <c r="AF438" s="45">
        <f t="shared" ca="1" si="501"/>
        <v>0</v>
      </c>
      <c r="AG438" s="76">
        <f t="shared" ca="1" si="502"/>
        <v>63.58539543849961</v>
      </c>
      <c r="AH438" s="45">
        <f t="shared" ca="1" si="503"/>
        <v>2.18044886870244E-2</v>
      </c>
      <c r="AI438" s="77">
        <f t="shared" ca="1" si="504"/>
        <v>1.1716725613563296E-2</v>
      </c>
      <c r="AJ438" s="384">
        <f t="shared" ca="1" si="506"/>
        <v>1.2099925560196123E-2</v>
      </c>
      <c r="AU438" s="1"/>
    </row>
    <row r="439" spans="3:47" x14ac:dyDescent="0.25">
      <c r="C439" s="10">
        <f t="shared" si="531"/>
        <v>29</v>
      </c>
      <c r="D439" s="91">
        <f t="shared" si="514"/>
        <v>1</v>
      </c>
      <c r="E439" s="278"/>
      <c r="F439" s="76">
        <f t="shared" ref="F439:Q439" ca="1" si="551">F367</f>
        <v>-8.2799999999999994</v>
      </c>
      <c r="G439" s="46">
        <f t="shared" ca="1" si="551"/>
        <v>27.676243189942063</v>
      </c>
      <c r="H439" s="46">
        <f t="shared" ca="1" si="490"/>
        <v>27.853906810057943</v>
      </c>
      <c r="I439" s="45">
        <f t="shared" ca="1" si="491"/>
        <v>5.2124139735228647E-4</v>
      </c>
      <c r="J439" s="45">
        <f t="shared" ca="1" si="492"/>
        <v>0.28271042830183513</v>
      </c>
      <c r="K439" s="45">
        <f t="shared" ca="1" si="508"/>
        <v>0.91374991914963299</v>
      </c>
      <c r="L439" s="358">
        <f t="shared" ca="1" si="493"/>
        <v>0.14143923467074027</v>
      </c>
      <c r="M439" s="76">
        <f t="shared" ca="1" si="551"/>
        <v>0.25347808785320641</v>
      </c>
      <c r="N439" s="45">
        <f t="shared" ca="1" si="551"/>
        <v>0.25</v>
      </c>
      <c r="O439" s="45">
        <f t="shared" ca="1" si="551"/>
        <v>0</v>
      </c>
      <c r="P439" s="46" t="str">
        <f t="shared" ca="1" si="551"/>
        <v/>
      </c>
      <c r="Q439" s="243" t="str">
        <f t="shared" ca="1" si="551"/>
        <v/>
      </c>
      <c r="R439" s="45">
        <f t="shared" ca="1" si="509"/>
        <v>0.19690094586801049</v>
      </c>
      <c r="S439" s="45">
        <f t="shared" ca="1" si="533"/>
        <v>5.0695617570641283E-2</v>
      </c>
      <c r="T439" s="77">
        <f t="shared" ca="1" si="494"/>
        <v>8.5508864309104358E-5</v>
      </c>
      <c r="U439" s="45">
        <f t="shared" ca="1" si="510"/>
        <v>17.117946247716954</v>
      </c>
      <c r="V439" s="45">
        <f t="shared" ca="1" si="495"/>
        <v>0.20278247028256513</v>
      </c>
      <c r="W439" s="77">
        <f t="shared" ca="1" si="496"/>
        <v>2.2306310217443879E-4</v>
      </c>
      <c r="X439" s="45">
        <f t="shared" ca="1" si="511"/>
        <v>1.0142892062415285</v>
      </c>
      <c r="Y439" s="45">
        <f t="shared" ca="1" si="497"/>
        <v>3.0646541934004899E-5</v>
      </c>
      <c r="Z439" s="77">
        <f t="shared" ca="1" si="498"/>
        <v>2.9077506971941708E-5</v>
      </c>
      <c r="AA439" s="45">
        <f t="shared" ca="1" si="512"/>
        <v>39.103225428780995</v>
      </c>
      <c r="AB439" s="45">
        <f t="shared" ca="1" si="499"/>
        <v>0</v>
      </c>
      <c r="AC439" s="45" cm="1">
        <f t="array" aca="1" ref="AC439" ca="1">pHUM*(T439+W439+Z439+AD439)</f>
        <v>3.6054755216476349E-5</v>
      </c>
      <c r="AD439" s="77">
        <f t="shared" ca="1" si="500"/>
        <v>3.397035168460314E-5</v>
      </c>
      <c r="AE439" s="45">
        <f t="shared" ca="1" si="513"/>
        <v>6.3847072090583081</v>
      </c>
      <c r="AF439" s="45">
        <f t="shared" ca="1" si="501"/>
        <v>0</v>
      </c>
      <c r="AG439" s="76">
        <f t="shared" ca="1" si="502"/>
        <v>63.817069037665789</v>
      </c>
      <c r="AH439" s="45">
        <f t="shared" ca="1" si="503"/>
        <v>3.0491852798960678E-4</v>
      </c>
      <c r="AI439" s="77">
        <f t="shared" ca="1" si="504"/>
        <v>1.241444202837988E-2</v>
      </c>
      <c r="AJ439" s="384">
        <f t="shared" ca="1" si="506"/>
        <v>5.6633347459300598E-3</v>
      </c>
      <c r="AU439" s="1"/>
    </row>
    <row r="440" spans="3:47" x14ac:dyDescent="0.25">
      <c r="C440" s="10">
        <f t="shared" si="531"/>
        <v>29</v>
      </c>
      <c r="D440" s="91">
        <f t="shared" si="514"/>
        <v>2</v>
      </c>
      <c r="E440" s="278"/>
      <c r="F440" s="76">
        <f t="shared" ref="F440:Q440" ca="1" si="552">F368</f>
        <v>-13.02</v>
      </c>
      <c r="G440" s="46">
        <f t="shared" ca="1" si="552"/>
        <v>27.012600000000003</v>
      </c>
      <c r="H440" s="46">
        <f t="shared" ca="1" si="490"/>
        <v>28.517550000000004</v>
      </c>
      <c r="I440" s="45">
        <f t="shared" ca="1" si="491"/>
        <v>3.4968020066039631E-8</v>
      </c>
      <c r="J440" s="45">
        <f t="shared" ca="1" si="492"/>
        <v>0.27952512346894071</v>
      </c>
      <c r="K440" s="45">
        <f t="shared" ca="1" si="508"/>
        <v>0.90345467800480783</v>
      </c>
      <c r="L440" s="358">
        <f t="shared" ca="1" si="493"/>
        <v>7.5103934893711255E-2</v>
      </c>
      <c r="M440" s="76">
        <f t="shared" ca="1" si="552"/>
        <v>0.25347808785320641</v>
      </c>
      <c r="N440" s="45">
        <f t="shared" ca="1" si="552"/>
        <v>0.25</v>
      </c>
      <c r="O440" s="45">
        <f t="shared" ca="1" si="552"/>
        <v>0</v>
      </c>
      <c r="P440" s="46" t="str">
        <f t="shared" ca="1" si="552"/>
        <v/>
      </c>
      <c r="Q440" s="243" t="str">
        <f t="shared" ca="1" si="552"/>
        <v/>
      </c>
      <c r="R440" s="45">
        <f t="shared" ca="1" si="509"/>
        <v>0.24751105457434266</v>
      </c>
      <c r="S440" s="45">
        <f t="shared" ca="1" si="533"/>
        <v>5.0695617570641283E-2</v>
      </c>
      <c r="T440" s="77">
        <f t="shared" ca="1" si="494"/>
        <v>7.2124761619648606E-9</v>
      </c>
      <c r="U440" s="45">
        <f t="shared" ca="1" si="510"/>
        <v>17.320505654897342</v>
      </c>
      <c r="V440" s="45">
        <f t="shared" ca="1" si="495"/>
        <v>0.20278247028256513</v>
      </c>
      <c r="W440" s="77">
        <f t="shared" ca="1" si="496"/>
        <v>1.5141594526670393E-8</v>
      </c>
      <c r="X440" s="45">
        <f t="shared" ca="1" si="511"/>
        <v>1.0142907752764905</v>
      </c>
      <c r="Y440" s="45">
        <f t="shared" ca="1" si="497"/>
        <v>2.1922929700986784E-9</v>
      </c>
      <c r="Z440" s="77">
        <f t="shared" ca="1" si="498"/>
        <v>1.9507257285907909E-9</v>
      </c>
      <c r="AA440" s="45">
        <f t="shared" ca="1" si="512"/>
        <v>39.103227513184521</v>
      </c>
      <c r="AB440" s="45">
        <f t="shared" ca="1" si="499"/>
        <v>0</v>
      </c>
      <c r="AC440" s="45" cm="1">
        <f t="array" aca="1" ref="AC440" ca="1">pHUM*(T440+W440+Z440+AD440)</f>
        <v>2.5791682001160925E-9</v>
      </c>
      <c r="AD440" s="77">
        <f t="shared" ca="1" si="500"/>
        <v>2.2789379550992675E-9</v>
      </c>
      <c r="AE440" s="45">
        <f t="shared" ca="1" si="513"/>
        <v>6.3847072090583081</v>
      </c>
      <c r="AF440" s="45">
        <f t="shared" ca="1" si="501"/>
        <v>0</v>
      </c>
      <c r="AG440" s="76">
        <f t="shared" ca="1" si="502"/>
        <v>64.070242206990997</v>
      </c>
      <c r="AH440" s="45">
        <f t="shared" ca="1" si="503"/>
        <v>2.1812273202110543E-8</v>
      </c>
      <c r="AI440" s="77">
        <f t="shared" ca="1" si="504"/>
        <v>1.3178865239621654E-2</v>
      </c>
      <c r="AJ440" s="384">
        <f t="shared" ca="1" si="506"/>
        <v>3.1564279841767018E-3</v>
      </c>
      <c r="AU440" s="1"/>
    </row>
    <row r="441" spans="3:47" x14ac:dyDescent="0.25">
      <c r="C441" s="10">
        <f t="shared" si="531"/>
        <v>29</v>
      </c>
      <c r="D441" s="91">
        <f t="shared" si="514"/>
        <v>3</v>
      </c>
      <c r="E441" s="278"/>
      <c r="F441" s="76">
        <f t="shared" ref="F441:Q441" ca="1" si="553">F369</f>
        <v>-3.52</v>
      </c>
      <c r="G441" s="46">
        <f t="shared" ca="1" si="553"/>
        <v>29.742600000000003</v>
      </c>
      <c r="H441" s="46">
        <f t="shared" ca="1" si="490"/>
        <v>25.787550000000003</v>
      </c>
      <c r="I441" s="45">
        <f t="shared" ca="1" si="491"/>
        <v>1.7216068766348798E-2</v>
      </c>
      <c r="J441" s="45">
        <f t="shared" ca="1" si="492"/>
        <v>0.2911707845539237</v>
      </c>
      <c r="K441" s="45">
        <f t="shared" ca="1" si="508"/>
        <v>0.94109468279262609</v>
      </c>
      <c r="L441" s="358">
        <f t="shared" ca="1" si="493"/>
        <v>0.2510452916114092</v>
      </c>
      <c r="M441" s="76">
        <f t="shared" ca="1" si="553"/>
        <v>0.25347808785320641</v>
      </c>
      <c r="N441" s="45">
        <f t="shared" ca="1" si="553"/>
        <v>0.25</v>
      </c>
      <c r="O441" s="45">
        <f t="shared" ca="1" si="553"/>
        <v>0</v>
      </c>
      <c r="P441" s="46" t="str">
        <f t="shared" ca="1" si="553"/>
        <v/>
      </c>
      <c r="Q441" s="243" t="str">
        <f t="shared" ca="1" si="553"/>
        <v/>
      </c>
      <c r="R441" s="45">
        <f t="shared" ca="1" si="509"/>
        <v>0.2982066649325078</v>
      </c>
      <c r="S441" s="45">
        <f t="shared" ca="1" si="533"/>
        <v>5.0695617570641283E-2</v>
      </c>
      <c r="T441" s="77">
        <f t="shared" ca="1" si="494"/>
        <v>4.2477452355207971E-3</v>
      </c>
      <c r="U441" s="45">
        <f t="shared" ca="1" si="510"/>
        <v>17.523288110038312</v>
      </c>
      <c r="V441" s="45">
        <f t="shared" ca="1" si="495"/>
        <v>0.20278247028256513</v>
      </c>
      <c r="W441" s="77">
        <f t="shared" ca="1" si="496"/>
        <v>7.5404305043454646E-3</v>
      </c>
      <c r="X441" s="45">
        <f t="shared" ca="1" si="511"/>
        <v>1.0142907755180577</v>
      </c>
      <c r="Y441" s="45">
        <f t="shared" ca="1" si="497"/>
        <v>1.1438341008850039E-3</v>
      </c>
      <c r="Z441" s="77">
        <f t="shared" ca="1" si="498"/>
        <v>9.5996092828016296E-4</v>
      </c>
      <c r="AA441" s="45">
        <f t="shared" ca="1" si="512"/>
        <v>39.103227513484754</v>
      </c>
      <c r="AB441" s="45">
        <f t="shared" ca="1" si="499"/>
        <v>0</v>
      </c>
      <c r="AC441" s="45" cm="1">
        <f t="array" aca="1" ref="AC441" ca="1">pHUM*(T441+W441+Z441+AD441)</f>
        <v>1.3456871775117695E-3</v>
      </c>
      <c r="AD441" s="77">
        <f t="shared" ca="1" si="500"/>
        <v>1.1219903261329124E-3</v>
      </c>
      <c r="AE441" s="45">
        <f t="shared" ca="1" si="513"/>
        <v>6.3847072090583081</v>
      </c>
      <c r="AF441" s="45">
        <f t="shared" ca="1" si="501"/>
        <v>0</v>
      </c>
      <c r="AG441" s="76">
        <f t="shared" ca="1" si="502"/>
        <v>64.323720273031938</v>
      </c>
      <c r="AH441" s="45">
        <f t="shared" ca="1" si="503"/>
        <v>1.1380605715882564E-2</v>
      </c>
      <c r="AI441" s="77">
        <f t="shared" ca="1" si="504"/>
        <v>1.3937859011837615E-2</v>
      </c>
      <c r="AJ441" s="384">
        <f t="shared" ca="1" si="506"/>
        <v>1.1623229254791312E-2</v>
      </c>
      <c r="AU441" s="1"/>
    </row>
    <row r="442" spans="3:47" x14ac:dyDescent="0.25">
      <c r="C442" s="10">
        <f t="shared" si="531"/>
        <v>29</v>
      </c>
      <c r="D442" s="91">
        <f t="shared" si="514"/>
        <v>4</v>
      </c>
      <c r="E442" s="278"/>
      <c r="F442" s="76">
        <f t="shared" ref="F442:Q442" ca="1" si="554">F370</f>
        <v>6.08</v>
      </c>
      <c r="G442" s="46">
        <f t="shared" ca="1" si="554"/>
        <v>27.012600000000003</v>
      </c>
      <c r="H442" s="46">
        <f t="shared" ca="1" si="490"/>
        <v>28.517550000000004</v>
      </c>
      <c r="I442" s="45">
        <f t="shared" ca="1" si="491"/>
        <v>0.26307228538649535</v>
      </c>
      <c r="J442" s="45">
        <f t="shared" ca="1" si="492"/>
        <v>0.27952512346894071</v>
      </c>
      <c r="K442" s="45">
        <f t="shared" ca="1" si="508"/>
        <v>0.90345467800480783</v>
      </c>
      <c r="L442" s="358">
        <f t="shared" ca="1" si="493"/>
        <v>0.58389398806465831</v>
      </c>
      <c r="M442" s="76">
        <f t="shared" ca="1" si="554"/>
        <v>0.25347808785320641</v>
      </c>
      <c r="N442" s="45">
        <f t="shared" ca="1" si="554"/>
        <v>0.25</v>
      </c>
      <c r="O442" s="45">
        <f t="shared" ca="1" si="554"/>
        <v>0</v>
      </c>
      <c r="P442" s="46" t="str">
        <f t="shared" ca="1" si="554"/>
        <v/>
      </c>
      <c r="Q442" s="243" t="str">
        <f t="shared" ca="1" si="554"/>
        <v/>
      </c>
      <c r="R442" s="45">
        <f t="shared" ca="1" si="509"/>
        <v>0.34465453726762829</v>
      </c>
      <c r="S442" s="45">
        <f t="shared" ca="1" si="533"/>
        <v>5.0695617570641283E-2</v>
      </c>
      <c r="T442" s="77">
        <f t="shared" ca="1" si="494"/>
        <v>6.7848877793297319E-2</v>
      </c>
      <c r="U442" s="45">
        <f t="shared" ca="1" si="510"/>
        <v>17.71853014981653</v>
      </c>
      <c r="V442" s="45">
        <f t="shared" ca="1" si="495"/>
        <v>0.20278247028256513</v>
      </c>
      <c r="W442" s="77">
        <f t="shared" ca="1" si="496"/>
        <v>0.1161489920826015</v>
      </c>
      <c r="X442" s="45">
        <f t="shared" ca="1" si="511"/>
        <v>1.0144746486906624</v>
      </c>
      <c r="Y442" s="45">
        <f t="shared" ca="1" si="497"/>
        <v>1.7789211619599166E-2</v>
      </c>
      <c r="Z442" s="77">
        <f t="shared" ca="1" si="498"/>
        <v>1.4572728574553407E-2</v>
      </c>
      <c r="AA442" s="45">
        <f t="shared" ca="1" si="512"/>
        <v>39.103451210336132</v>
      </c>
      <c r="AB442" s="45">
        <f t="shared" ca="1" si="499"/>
        <v>0</v>
      </c>
      <c r="AC442" s="45" cm="1">
        <f t="array" aca="1" ref="AC442" ca="1">pHUM*(T442+W442+Z442+AD442)</f>
        <v>2.0928484258351962E-2</v>
      </c>
      <c r="AD442" s="77">
        <f t="shared" ca="1" si="500"/>
        <v>1.7141299018808488E-2</v>
      </c>
      <c r="AE442" s="45">
        <f t="shared" ca="1" si="513"/>
        <v>6.3847072090583081</v>
      </c>
      <c r="AF442" s="45">
        <f t="shared" ca="1" si="501"/>
        <v>0</v>
      </c>
      <c r="AG442" s="76">
        <f t="shared" ca="1" si="502"/>
        <v>64.565817755169263</v>
      </c>
      <c r="AH442" s="45">
        <f t="shared" ca="1" si="503"/>
        <v>0.17699420159130963</v>
      </c>
      <c r="AI442" s="77">
        <f t="shared" ca="1" si="504"/>
        <v>1.4629213579937022E-2</v>
      </c>
      <c r="AJ442" s="384">
        <f t="shared" ca="1" si="506"/>
        <v>2.7239572863958506E-2</v>
      </c>
      <c r="AU442" s="1"/>
    </row>
    <row r="443" spans="3:47" x14ac:dyDescent="0.25">
      <c r="C443" s="10">
        <f t="shared" si="531"/>
        <v>29</v>
      </c>
      <c r="D443" s="91">
        <f t="shared" si="514"/>
        <v>5</v>
      </c>
      <c r="E443" s="278"/>
      <c r="F443" s="76">
        <f t="shared" ref="F443:Q443" ca="1" si="555">F371</f>
        <v>16.079999999999998</v>
      </c>
      <c r="G443" s="46">
        <f t="shared" ca="1" si="555"/>
        <v>27.012600000000003</v>
      </c>
      <c r="H443" s="46">
        <f t="shared" ca="1" si="490"/>
        <v>28.517550000000004</v>
      </c>
      <c r="I443" s="45">
        <f t="shared" ca="1" si="491"/>
        <v>0.90560233354751607</v>
      </c>
      <c r="J443" s="45">
        <f t="shared" ca="1" si="492"/>
        <v>0.27952512346894071</v>
      </c>
      <c r="K443" s="45">
        <f t="shared" ca="1" si="508"/>
        <v>0.90345467800480783</v>
      </c>
      <c r="L443" s="358">
        <f t="shared" ca="1" si="493"/>
        <v>0.86059167822175908</v>
      </c>
      <c r="M443" s="76">
        <f t="shared" ca="1" si="555"/>
        <v>0.25347808785320641</v>
      </c>
      <c r="N443" s="45">
        <f t="shared" ca="1" si="555"/>
        <v>0.25</v>
      </c>
      <c r="O443" s="45">
        <f t="shared" ca="1" si="555"/>
        <v>0</v>
      </c>
      <c r="P443" s="46" t="str">
        <f t="shared" ca="1" si="555"/>
        <v/>
      </c>
      <c r="Q443" s="243" t="str">
        <f t="shared" ca="1" si="555"/>
        <v/>
      </c>
      <c r="R443" s="45">
        <f t="shared" ca="1" si="509"/>
        <v>0.32750127704497223</v>
      </c>
      <c r="S443" s="45">
        <f t="shared" ca="1" si="533"/>
        <v>5.0695617570641283E-2</v>
      </c>
      <c r="T443" s="77">
        <f t="shared" ca="1" si="494"/>
        <v>0.17352118168479536</v>
      </c>
      <c r="U443" s="45">
        <f t="shared" ca="1" si="510"/>
        <v>17.805163628016494</v>
      </c>
      <c r="V443" s="45">
        <f t="shared" ca="1" si="495"/>
        <v>0.20278247028256513</v>
      </c>
      <c r="W443" s="77">
        <f t="shared" ca="1" si="496"/>
        <v>0.39858097007755466</v>
      </c>
      <c r="X443" s="45">
        <f t="shared" ca="1" si="511"/>
        <v>1.0176911317357082</v>
      </c>
      <c r="Y443" s="45">
        <f t="shared" ca="1" si="497"/>
        <v>5.6121682489285278E-2</v>
      </c>
      <c r="Z443" s="77">
        <f t="shared" ca="1" si="498"/>
        <v>4.9447621512303128E-2</v>
      </c>
      <c r="AA443" s="45">
        <f t="shared" ca="1" si="512"/>
        <v>39.107238395575671</v>
      </c>
      <c r="AB443" s="45">
        <f t="shared" ca="1" si="499"/>
        <v>0</v>
      </c>
      <c r="AC443" s="45" cm="1">
        <f t="array" aca="1" ref="AC443" ca="1">pHUM*(T443+W443+Z443+AD443)</f>
        <v>6.6025508810923852E-2</v>
      </c>
      <c r="AD443" s="77">
        <f t="shared" ca="1" si="500"/>
        <v>5.8981487908010326E-2</v>
      </c>
      <c r="AE443" s="45">
        <f t="shared" ca="1" si="513"/>
        <v>6.3847072090583081</v>
      </c>
      <c r="AF443" s="45">
        <f t="shared" ca="1" si="501"/>
        <v>0</v>
      </c>
      <c r="AG443" s="76">
        <f t="shared" ca="1" si="502"/>
        <v>64.64230164143116</v>
      </c>
      <c r="AH443" s="45">
        <f t="shared" ca="1" si="503"/>
        <v>0.55838406988245426</v>
      </c>
      <c r="AI443" s="77">
        <f t="shared" ca="1" si="504"/>
        <v>1.4404964239471749E-2</v>
      </c>
      <c r="AJ443" s="384">
        <f t="shared" ca="1" si="506"/>
        <v>3.9532073956211056E-2</v>
      </c>
      <c r="AU443" s="1"/>
    </row>
    <row r="444" spans="3:47" x14ac:dyDescent="0.25">
      <c r="C444" s="10">
        <f t="shared" si="531"/>
        <v>29</v>
      </c>
      <c r="D444" s="91">
        <f t="shared" si="514"/>
        <v>6</v>
      </c>
      <c r="E444" s="278"/>
      <c r="F444" s="76">
        <f t="shared" ref="F444:Q444" ca="1" si="556">F372</f>
        <v>17.399999999999999</v>
      </c>
      <c r="G444" s="46">
        <f t="shared" ca="1" si="556"/>
        <v>27.012600000000003</v>
      </c>
      <c r="H444" s="46">
        <f t="shared" ca="1" si="490"/>
        <v>28.517550000000004</v>
      </c>
      <c r="I444" s="45">
        <f t="shared" ca="1" si="491"/>
        <v>1.0098878501236044</v>
      </c>
      <c r="J444" s="45">
        <f t="shared" ca="1" si="492"/>
        <v>0.27952512346894071</v>
      </c>
      <c r="K444" s="45">
        <f t="shared" ca="1" si="508"/>
        <v>0.90345467800480783</v>
      </c>
      <c r="L444" s="358">
        <f t="shared" ca="1" si="493"/>
        <v>0.88208077264421947</v>
      </c>
      <c r="M444" s="76">
        <f t="shared" ca="1" si="556"/>
        <v>0.25347808785320641</v>
      </c>
      <c r="N444" s="45">
        <f t="shared" ca="1" si="556"/>
        <v>0.25</v>
      </c>
      <c r="O444" s="45">
        <f t="shared" ca="1" si="556"/>
        <v>0</v>
      </c>
      <c r="P444" s="46" t="str">
        <f t="shared" ca="1" si="556"/>
        <v/>
      </c>
      <c r="Q444" s="243" t="str">
        <f t="shared" ca="1" si="556"/>
        <v/>
      </c>
      <c r="R444" s="45">
        <f t="shared" ca="1" si="509"/>
        <v>0.20467571293081815</v>
      </c>
      <c r="S444" s="45">
        <f t="shared" ca="1" si="533"/>
        <v>5.0695617570641283E-2</v>
      </c>
      <c r="T444" s="77">
        <f t="shared" ca="1" si="494"/>
        <v>0.11645395421434461</v>
      </c>
      <c r="U444" s="45">
        <f t="shared" ca="1" si="510"/>
        <v>17.609365128221505</v>
      </c>
      <c r="V444" s="45">
        <f t="shared" ca="1" si="495"/>
        <v>0.20278247028256513</v>
      </c>
      <c r="W444" s="77">
        <f t="shared" ca="1" si="496"/>
        <v>0.43902174333863736</v>
      </c>
      <c r="X444" s="45">
        <f t="shared" ca="1" si="511"/>
        <v>1.0243651927126902</v>
      </c>
      <c r="Y444" s="45">
        <f t="shared" ca="1" si="497"/>
        <v>5.5797585815616106E-2</v>
      </c>
      <c r="Z444" s="77">
        <f t="shared" ca="1" si="498"/>
        <v>5.5345878526780176E-2</v>
      </c>
      <c r="AA444" s="45">
        <f t="shared" ca="1" si="512"/>
        <v>39.114282416478581</v>
      </c>
      <c r="AB444" s="45">
        <f t="shared" ca="1" si="499"/>
        <v>0</v>
      </c>
      <c r="AC444" s="45" cm="1">
        <f t="array" aca="1" ref="AC444" ca="1">pHUM*(T444+W444+Z444+AD444)</f>
        <v>6.5644218606607185E-2</v>
      </c>
      <c r="AD444" s="77">
        <f t="shared" ca="1" si="500"/>
        <v>6.5779690343401698E-2</v>
      </c>
      <c r="AE444" s="45">
        <f t="shared" ca="1" si="513"/>
        <v>6.3847072090583081</v>
      </c>
      <c r="AF444" s="45">
        <f t="shared" ca="1" si="501"/>
        <v>0</v>
      </c>
      <c r="AG444" s="76">
        <f t="shared" ca="1" si="502"/>
        <v>64.337395659401906</v>
      </c>
      <c r="AH444" s="45">
        <f t="shared" ca="1" si="503"/>
        <v>0.55515946200094068</v>
      </c>
      <c r="AI444" s="77">
        <f t="shared" ca="1" si="504"/>
        <v>1.2636648931919217E-2</v>
      </c>
      <c r="AJ444" s="384">
        <f t="shared" ca="1" si="506"/>
        <v>3.5545299816563958E-2</v>
      </c>
      <c r="AU444" s="1"/>
    </row>
    <row r="445" spans="3:47" x14ac:dyDescent="0.25">
      <c r="C445" s="10">
        <f t="shared" si="531"/>
        <v>29</v>
      </c>
      <c r="D445" s="91">
        <f t="shared" si="514"/>
        <v>7</v>
      </c>
      <c r="E445" s="278"/>
      <c r="F445" s="76">
        <f t="shared" ref="F445:Q445" ca="1" si="557">F373</f>
        <v>21.29</v>
      </c>
      <c r="G445" s="46">
        <f t="shared" ca="1" si="557"/>
        <v>27.012600000000003</v>
      </c>
      <c r="H445" s="46">
        <f t="shared" ca="1" si="490"/>
        <v>28.517550000000004</v>
      </c>
      <c r="I445" s="45">
        <f t="shared" ca="1" si="491"/>
        <v>1.3308669995183955</v>
      </c>
      <c r="J445" s="45">
        <f t="shared" ca="1" si="492"/>
        <v>0.27952512346894071</v>
      </c>
      <c r="K445" s="45">
        <f t="shared" ca="1" si="508"/>
        <v>0.90345467800480783</v>
      </c>
      <c r="L445" s="358">
        <f t="shared" ca="1" si="493"/>
        <v>0.92839591561968593</v>
      </c>
      <c r="M445" s="76">
        <f t="shared" ca="1" si="557"/>
        <v>0.25347808785320641</v>
      </c>
      <c r="N445" s="45">
        <f t="shared" ca="1" si="557"/>
        <v>0.25</v>
      </c>
      <c r="O445" s="45">
        <f t="shared" ca="1" si="557"/>
        <v>0</v>
      </c>
      <c r="P445" s="46" t="str">
        <f t="shared" ca="1" si="557"/>
        <v/>
      </c>
      <c r="Q445" s="243" t="str">
        <f t="shared" ca="1" si="557"/>
        <v/>
      </c>
      <c r="R445" s="45">
        <f t="shared" ca="1" si="509"/>
        <v>0.13891737628711481</v>
      </c>
      <c r="S445" s="45">
        <f t="shared" ca="1" si="533"/>
        <v>5.0695617570641283E-2</v>
      </c>
      <c r="T445" s="77">
        <f t="shared" ca="1" si="494"/>
        <v>9.3092664317525969E-2</v>
      </c>
      <c r="U445" s="45">
        <f t="shared" ca="1" si="510"/>
        <v>17.37312585516543</v>
      </c>
      <c r="V445" s="45">
        <f t="shared" ca="1" si="495"/>
        <v>0.20278247028256513</v>
      </c>
      <c r="W445" s="77">
        <f t="shared" ca="1" si="496"/>
        <v>0.56852270026682594</v>
      </c>
      <c r="X445" s="45">
        <f t="shared" ca="1" si="511"/>
        <v>1.0248169000015261</v>
      </c>
      <c r="Y445" s="45">
        <f t="shared" ca="1" si="497"/>
        <v>6.7673894415354124E-2</v>
      </c>
      <c r="Z445" s="77">
        <f t="shared" ca="1" si="498"/>
        <v>7.2334569192405093E-2</v>
      </c>
      <c r="AA445" s="45">
        <f t="shared" ca="1" si="512"/>
        <v>39.114146944741783</v>
      </c>
      <c r="AB445" s="45">
        <f t="shared" ca="1" si="499"/>
        <v>0</v>
      </c>
      <c r="AC445" s="45" cm="1">
        <f t="array" aca="1" ref="AC445" ca="1">pHUM*(T445+W445+Z445+AD445)</f>
        <v>7.9616346371004856E-2</v>
      </c>
      <c r="AD445" s="77">
        <f t="shared" ca="1" si="500"/>
        <v>8.6663395561970336E-2</v>
      </c>
      <c r="AE445" s="45">
        <f t="shared" ca="1" si="513"/>
        <v>6.3847072090583081</v>
      </c>
      <c r="AF445" s="45">
        <f t="shared" ca="1" si="501"/>
        <v>0</v>
      </c>
      <c r="AG445" s="76">
        <f t="shared" ca="1" si="502"/>
        <v>64.035714285254159</v>
      </c>
      <c r="AH445" s="45">
        <f t="shared" ca="1" si="503"/>
        <v>0.67332308855236844</v>
      </c>
      <c r="AI445" s="77">
        <f t="shared" ca="1" si="504"/>
        <v>1.165023535735786E-2</v>
      </c>
      <c r="AJ445" s="384">
        <f t="shared" ca="1" si="506"/>
        <v>3.4491355157886261E-2</v>
      </c>
      <c r="AU445" s="1"/>
    </row>
    <row r="446" spans="3:47" x14ac:dyDescent="0.25">
      <c r="C446" s="10">
        <f t="shared" si="531"/>
        <v>29</v>
      </c>
      <c r="D446" s="91">
        <f t="shared" si="514"/>
        <v>8</v>
      </c>
      <c r="E446" s="278"/>
      <c r="F446" s="76">
        <f t="shared" ref="F446:Q446" ca="1" si="558">F374</f>
        <v>21.81</v>
      </c>
      <c r="G446" s="46">
        <f t="shared" ca="1" si="558"/>
        <v>27.012600000000003</v>
      </c>
      <c r="H446" s="46">
        <f t="shared" ca="1" si="490"/>
        <v>28.517550000000004</v>
      </c>
      <c r="I446" s="45">
        <f t="shared" ca="1" si="491"/>
        <v>1.3748539373542934</v>
      </c>
      <c r="J446" s="45">
        <f t="shared" ca="1" si="492"/>
        <v>0.27952512346894071</v>
      </c>
      <c r="K446" s="45">
        <f t="shared" ca="1" si="508"/>
        <v>0.90345467800480783</v>
      </c>
      <c r="L446" s="358">
        <f t="shared" ca="1" si="493"/>
        <v>0.93294591915671865</v>
      </c>
      <c r="M446" s="76">
        <f t="shared" ca="1" si="558"/>
        <v>0.25347808785320641</v>
      </c>
      <c r="N446" s="45">
        <f t="shared" ca="1" si="558"/>
        <v>0.25</v>
      </c>
      <c r="O446" s="45">
        <f t="shared" ca="1" si="558"/>
        <v>0</v>
      </c>
      <c r="P446" s="46" t="str">
        <f t="shared" ca="1" si="558"/>
        <v/>
      </c>
      <c r="Q446" s="243" t="str">
        <f t="shared" ca="1" si="558"/>
        <v/>
      </c>
      <c r="R446" s="45">
        <f t="shared" ca="1" si="509"/>
        <v>9.6520329540230126E-2</v>
      </c>
      <c r="S446" s="45">
        <f t="shared" ca="1" si="533"/>
        <v>5.0695617570641283E-2</v>
      </c>
      <c r="T446" s="77">
        <f t="shared" ca="1" si="494"/>
        <v>6.5827101645662786E-2</v>
      </c>
      <c r="U446" s="45">
        <f t="shared" ca="1" si="510"/>
        <v>17.007385625181168</v>
      </c>
      <c r="V446" s="45">
        <f t="shared" ca="1" si="495"/>
        <v>0.20278247028256513</v>
      </c>
      <c r="W446" s="77">
        <f t="shared" ca="1" si="496"/>
        <v>0.57463472098738477</v>
      </c>
      <c r="X446" s="45">
        <f t="shared" ca="1" si="511"/>
        <v>1.0201562252244751</v>
      </c>
      <c r="Y446" s="45">
        <f t="shared" ca="1" si="497"/>
        <v>6.6325839842808029E-2</v>
      </c>
      <c r="Z446" s="77">
        <f t="shared" ca="1" si="498"/>
        <v>7.4296675998730383E-2</v>
      </c>
      <c r="AA446" s="45">
        <f t="shared" ca="1" si="512"/>
        <v>39.107099895550817</v>
      </c>
      <c r="AB446" s="45">
        <f t="shared" ca="1" si="499"/>
        <v>0</v>
      </c>
      <c r="AC446" s="45" cm="1">
        <f t="array" aca="1" ref="AC446" ca="1">pHUM*(T446+W446+Z446+AD446)</f>
        <v>7.8030399815068277E-2</v>
      </c>
      <c r="AD446" s="77">
        <f t="shared" ca="1" si="500"/>
        <v>8.9508327221901593E-2</v>
      </c>
      <c r="AE446" s="45">
        <f t="shared" ca="1" si="513"/>
        <v>6.3847072090583081</v>
      </c>
      <c r="AF446" s="45">
        <f t="shared" ca="1" si="501"/>
        <v>0</v>
      </c>
      <c r="AG446" s="76">
        <f t="shared" ca="1" si="502"/>
        <v>63.615869284554996</v>
      </c>
      <c r="AH446" s="45">
        <f t="shared" ca="1" si="503"/>
        <v>0.65991058619580323</v>
      </c>
      <c r="AI446" s="77">
        <f t="shared" ca="1" si="504"/>
        <v>1.0953915979654593E-2</v>
      </c>
      <c r="AJ446" s="384">
        <f t="shared" ca="1" si="506"/>
        <v>3.2588846762888757E-2</v>
      </c>
      <c r="AU446" s="1"/>
    </row>
    <row r="447" spans="3:47" x14ac:dyDescent="0.25">
      <c r="C447" s="10">
        <f t="shared" si="531"/>
        <v>29</v>
      </c>
      <c r="D447" s="91">
        <f t="shared" si="514"/>
        <v>9</v>
      </c>
      <c r="E447" s="278"/>
      <c r="F447" s="76">
        <f t="shared" ref="F447:Q447" ca="1" si="559">F375</f>
        <v>19.09</v>
      </c>
      <c r="G447" s="46">
        <f t="shared" ca="1" si="559"/>
        <v>27.012600000000003</v>
      </c>
      <c r="H447" s="46">
        <f t="shared" ca="1" si="490"/>
        <v>28.517550000000004</v>
      </c>
      <c r="I447" s="45">
        <f t="shared" ca="1" si="491"/>
        <v>1.1472439462064867</v>
      </c>
      <c r="J447" s="45">
        <f t="shared" ca="1" si="492"/>
        <v>0.27952512346894071</v>
      </c>
      <c r="K447" s="45">
        <f t="shared" ca="1" si="508"/>
        <v>0.90345467800480783</v>
      </c>
      <c r="L447" s="358">
        <f t="shared" ca="1" si="493"/>
        <v>0.90508116523032656</v>
      </c>
      <c r="M447" s="76">
        <f t="shared" ca="1" si="559"/>
        <v>0.25347808785320641</v>
      </c>
      <c r="N447" s="45">
        <f t="shared" ca="1" si="559"/>
        <v>0.25</v>
      </c>
      <c r="O447" s="45">
        <f t="shared" ca="1" si="559"/>
        <v>0</v>
      </c>
      <c r="P447" s="46" t="str">
        <f t="shared" ca="1" si="559"/>
        <v/>
      </c>
      <c r="Q447" s="243" t="str">
        <f t="shared" ca="1" si="559"/>
        <v/>
      </c>
      <c r="R447" s="45">
        <f t="shared" ca="1" si="509"/>
        <v>8.1388845465208623E-2</v>
      </c>
      <c r="S447" s="45">
        <f t="shared" ca="1" si="533"/>
        <v>5.0695617570641283E-2</v>
      </c>
      <c r="T447" s="77">
        <f t="shared" ca="1" si="494"/>
        <v>5.0101878867953413E-2</v>
      </c>
      <c r="U447" s="45">
        <f t="shared" ca="1" si="510"/>
        <v>16.635533374476349</v>
      </c>
      <c r="V447" s="45">
        <f t="shared" ca="1" si="495"/>
        <v>0.20278247028256513</v>
      </c>
      <c r="W447" s="77">
        <f t="shared" ca="1" si="496"/>
        <v>0.47034808189365229</v>
      </c>
      <c r="X447" s="45">
        <f t="shared" ca="1" si="511"/>
        <v>1.0121853890685526</v>
      </c>
      <c r="Y447" s="45">
        <f t="shared" ca="1" si="497"/>
        <v>5.4183286880610824E-2</v>
      </c>
      <c r="Z447" s="77">
        <f t="shared" ca="1" si="498"/>
        <v>6.1894053303203085E-2</v>
      </c>
      <c r="AA447" s="45">
        <f t="shared" ca="1" si="512"/>
        <v>39.095621968143988</v>
      </c>
      <c r="AB447" s="45">
        <f t="shared" ca="1" si="499"/>
        <v>0</v>
      </c>
      <c r="AC447" s="45" cm="1">
        <f t="array" aca="1" ref="AC447" ca="1">pHUM*(T447+W447+Z447+AD447)</f>
        <v>6.3745043388953912E-2</v>
      </c>
      <c r="AD447" s="77">
        <f t="shared" ca="1" si="500"/>
        <v>7.468227097081892E-2</v>
      </c>
      <c r="AE447" s="45">
        <f t="shared" ca="1" si="513"/>
        <v>6.3847072090583081</v>
      </c>
      <c r="AF447" s="45">
        <f t="shared" ca="1" si="501"/>
        <v>0</v>
      </c>
      <c r="AG447" s="76">
        <f t="shared" ca="1" si="502"/>
        <v>63.209436786212407</v>
      </c>
      <c r="AH447" s="45">
        <f t="shared" ca="1" si="503"/>
        <v>0.53909795476606293</v>
      </c>
      <c r="AI447" s="77">
        <f t="shared" ca="1" si="504"/>
        <v>1.0638712108157757E-2</v>
      </c>
      <c r="AJ447" s="384">
        <f t="shared" ca="1" si="506"/>
        <v>3.0705803964037326E-2</v>
      </c>
      <c r="AU447" s="1"/>
    </row>
    <row r="448" spans="3:47" x14ac:dyDescent="0.25">
      <c r="C448" s="10">
        <f t="shared" si="531"/>
        <v>29</v>
      </c>
      <c r="D448" s="91">
        <f t="shared" si="514"/>
        <v>10</v>
      </c>
      <c r="E448" s="278"/>
      <c r="F448" s="76">
        <f t="shared" ref="F448:Q448" ca="1" si="560">F376</f>
        <v>9.02</v>
      </c>
      <c r="G448" s="46">
        <f t="shared" ca="1" si="560"/>
        <v>27.012600000000003</v>
      </c>
      <c r="H448" s="46">
        <f t="shared" ca="1" si="490"/>
        <v>28.517550000000004</v>
      </c>
      <c r="I448" s="45">
        <f t="shared" ca="1" si="491"/>
        <v>0.41742778729268759</v>
      </c>
      <c r="J448" s="45">
        <f t="shared" ca="1" si="492"/>
        <v>0.27952512346894071</v>
      </c>
      <c r="K448" s="45">
        <f t="shared" ca="1" si="508"/>
        <v>0.90345467800480783</v>
      </c>
      <c r="L448" s="358">
        <f t="shared" ca="1" si="493"/>
        <v>0.68492882381082199</v>
      </c>
      <c r="M448" s="76">
        <f t="shared" ca="1" si="560"/>
        <v>0.25347808785320641</v>
      </c>
      <c r="N448" s="45">
        <f t="shared" ca="1" si="560"/>
        <v>0.25</v>
      </c>
      <c r="O448" s="45">
        <f t="shared" ca="1" si="560"/>
        <v>0</v>
      </c>
      <c r="P448" s="46" t="str">
        <f t="shared" ca="1" si="560"/>
        <v/>
      </c>
      <c r="Q448" s="243" t="str">
        <f t="shared" ca="1" si="560"/>
        <v/>
      </c>
      <c r="R448" s="45">
        <f t="shared" ca="1" si="509"/>
        <v>8.1982584167896499E-2</v>
      </c>
      <c r="S448" s="45">
        <f t="shared" ca="1" si="533"/>
        <v>5.0695617570641283E-2</v>
      </c>
      <c r="T448" s="77">
        <f t="shared" ca="1" si="494"/>
        <v>2.4086465507844296E-2</v>
      </c>
      <c r="U448" s="45">
        <f t="shared" ca="1" si="510"/>
        <v>16.367967762865263</v>
      </c>
      <c r="V448" s="45">
        <f t="shared" ca="1" si="495"/>
        <v>0.20278247028256513</v>
      </c>
      <c r="W448" s="77">
        <f t="shared" ca="1" si="496"/>
        <v>0.1699229400815572</v>
      </c>
      <c r="X448" s="45">
        <f t="shared" ca="1" si="511"/>
        <v>1.0044746226459604</v>
      </c>
      <c r="Y448" s="45">
        <f t="shared" ca="1" si="497"/>
        <v>2.0121252843155593E-2</v>
      </c>
      <c r="Z448" s="77">
        <f t="shared" ca="1" si="498"/>
        <v>2.279854710130098E-2</v>
      </c>
      <c r="AA448" s="45">
        <f t="shared" ca="1" si="512"/>
        <v>39.084684740562125</v>
      </c>
      <c r="AB448" s="45">
        <f t="shared" ca="1" si="499"/>
        <v>0</v>
      </c>
      <c r="AC448" s="45" cm="1">
        <f t="array" aca="1" ref="AC448" ca="1">pHUM*(T448+W448+Z448+AD448)</f>
        <v>2.3672062168418346E-2</v>
      </c>
      <c r="AD448" s="77">
        <f t="shared" ca="1" si="500"/>
        <v>2.7182265823188573E-2</v>
      </c>
      <c r="AE448" s="45">
        <f t="shared" ca="1" si="513"/>
        <v>6.3847072090583081</v>
      </c>
      <c r="AF448" s="45">
        <f t="shared" ca="1" si="501"/>
        <v>0</v>
      </c>
      <c r="AG448" s="76">
        <f t="shared" ca="1" si="502"/>
        <v>62.923816919299554</v>
      </c>
      <c r="AH448" s="45">
        <f t="shared" ca="1" si="503"/>
        <v>0.20019690350231714</v>
      </c>
      <c r="AI448" s="77">
        <f t="shared" ca="1" si="504"/>
        <v>1.057507383394545E-2</v>
      </c>
      <c r="AJ448" s="384">
        <f t="shared" ca="1" si="506"/>
        <v>2.3098078726474514E-2</v>
      </c>
      <c r="AU448" s="1"/>
    </row>
    <row r="449" spans="3:47" x14ac:dyDescent="0.25">
      <c r="C449" s="10">
        <f t="shared" si="531"/>
        <v>29</v>
      </c>
      <c r="D449" s="91">
        <f t="shared" si="514"/>
        <v>11</v>
      </c>
      <c r="E449" s="278"/>
      <c r="F449" s="76">
        <f t="shared" ref="F449:Q449" ca="1" si="561">F377</f>
        <v>5.62</v>
      </c>
      <c r="G449" s="46">
        <f t="shared" ca="1" si="561"/>
        <v>27.012600000000003</v>
      </c>
      <c r="H449" s="46">
        <f t="shared" ca="1" si="490"/>
        <v>28.517550000000004</v>
      </c>
      <c r="I449" s="45">
        <f t="shared" ca="1" si="491"/>
        <v>0.24215575259059691</v>
      </c>
      <c r="J449" s="45">
        <f t="shared" ca="1" si="492"/>
        <v>0.27952512346894071</v>
      </c>
      <c r="K449" s="45">
        <f t="shared" ca="1" si="508"/>
        <v>0.90345467800480783</v>
      </c>
      <c r="L449" s="358">
        <f t="shared" ca="1" si="493"/>
        <v>0.5671500175141555</v>
      </c>
      <c r="M449" s="76">
        <f t="shared" ca="1" si="561"/>
        <v>0.25347808785320641</v>
      </c>
      <c r="N449" s="45">
        <f t="shared" ca="1" si="561"/>
        <v>0.25</v>
      </c>
      <c r="O449" s="45">
        <f t="shared" ca="1" si="561"/>
        <v>0</v>
      </c>
      <c r="P449" s="46" t="str">
        <f t="shared" ca="1" si="561"/>
        <v/>
      </c>
      <c r="Q449" s="243" t="str">
        <f t="shared" ca="1" si="561"/>
        <v/>
      </c>
      <c r="R449" s="45">
        <f t="shared" ca="1" si="509"/>
        <v>0.10859173623069349</v>
      </c>
      <c r="S449" s="45">
        <f t="shared" ca="1" si="533"/>
        <v>5.0695617570641283E-2</v>
      </c>
      <c r="T449" s="77">
        <f t="shared" ca="1" si="494"/>
        <v>1.9843917491017132E-2</v>
      </c>
      <c r="U449" s="45">
        <f t="shared" ca="1" si="510"/>
        <v>16.400827293066268</v>
      </c>
      <c r="V449" s="45">
        <f t="shared" ca="1" si="495"/>
        <v>0.20278247028256513</v>
      </c>
      <c r="W449" s="77">
        <f t="shared" ca="1" si="496"/>
        <v>9.8988930344492479E-2</v>
      </c>
      <c r="X449" s="45">
        <f t="shared" ca="1" si="511"/>
        <v>1.001797328387815</v>
      </c>
      <c r="Y449" s="45">
        <f t="shared" ca="1" si="497"/>
        <v>1.2193357516055502E-2</v>
      </c>
      <c r="Z449" s="77">
        <f t="shared" ca="1" si="498"/>
        <v>1.3254045864080686E-2</v>
      </c>
      <c r="AA449" s="45">
        <f t="shared" ca="1" si="512"/>
        <v>39.081174536907355</v>
      </c>
      <c r="AB449" s="45">
        <f t="shared" ca="1" si="499"/>
        <v>0</v>
      </c>
      <c r="AC449" s="45" cm="1">
        <f t="array" aca="1" ref="AC449" ca="1">pHUM*(T449+W449+Z449+AD449)</f>
        <v>1.4345126489477063E-2</v>
      </c>
      <c r="AD449" s="77">
        <f t="shared" ca="1" si="500"/>
        <v>1.576970290256258E-2</v>
      </c>
      <c r="AE449" s="45">
        <f t="shared" ca="1" si="513"/>
        <v>6.3847072090583081</v>
      </c>
      <c r="AF449" s="45">
        <f t="shared" ca="1" si="501"/>
        <v>0</v>
      </c>
      <c r="AG449" s="76">
        <f t="shared" ca="1" si="502"/>
        <v>62.977098103650434</v>
      </c>
      <c r="AH449" s="45">
        <f t="shared" ca="1" si="503"/>
        <v>0.12131811259662031</v>
      </c>
      <c r="AI449" s="77">
        <f t="shared" ca="1" si="504"/>
        <v>1.0968752689113325E-2</v>
      </c>
      <c r="AJ449" s="384">
        <f t="shared" ca="1" si="506"/>
        <v>1.9838258093903827E-2</v>
      </c>
      <c r="AU449" s="1"/>
    </row>
    <row r="450" spans="3:47" x14ac:dyDescent="0.25">
      <c r="C450" s="10">
        <f t="shared" si="531"/>
        <v>29</v>
      </c>
      <c r="D450" s="91">
        <f t="shared" si="514"/>
        <v>12</v>
      </c>
      <c r="E450" s="278"/>
      <c r="F450" s="76">
        <f t="shared" ref="F450:Q450" ca="1" si="562">F378</f>
        <v>3.68</v>
      </c>
      <c r="G450" s="46">
        <f t="shared" ca="1" si="562"/>
        <v>27.012600000000003</v>
      </c>
      <c r="H450" s="46">
        <f t="shared" ca="1" si="490"/>
        <v>28.517550000000004</v>
      </c>
      <c r="I450" s="45">
        <f t="shared" ca="1" si="491"/>
        <v>0.16418562454767627</v>
      </c>
      <c r="J450" s="45">
        <f t="shared" ca="1" si="492"/>
        <v>0.27952512346894071</v>
      </c>
      <c r="K450" s="45">
        <f t="shared" ca="1" si="508"/>
        <v>0.90345467800480783</v>
      </c>
      <c r="L450" s="358">
        <f t="shared" ca="1" si="493"/>
        <v>0.49525928680467546</v>
      </c>
      <c r="M450" s="76">
        <f t="shared" ca="1" si="562"/>
        <v>0.25347808785320641</v>
      </c>
      <c r="N450" s="45">
        <f t="shared" ca="1" si="562"/>
        <v>0.25</v>
      </c>
      <c r="O450" s="45">
        <f t="shared" ca="1" si="562"/>
        <v>0</v>
      </c>
      <c r="P450" s="46" t="str">
        <f t="shared" ca="1" si="562"/>
        <v/>
      </c>
      <c r="Q450" s="243" t="str">
        <f t="shared" ca="1" si="562"/>
        <v/>
      </c>
      <c r="R450" s="45">
        <f t="shared" ca="1" si="509"/>
        <v>0.13944343631031764</v>
      </c>
      <c r="S450" s="45">
        <f t="shared" ca="1" si="533"/>
        <v>5.0695617570641283E-2</v>
      </c>
      <c r="T450" s="77">
        <f t="shared" ca="1" si="494"/>
        <v>1.7831187991366577E-2</v>
      </c>
      <c r="U450" s="45">
        <f t="shared" ca="1" si="510"/>
        <v>16.504620833004338</v>
      </c>
      <c r="V450" s="45">
        <f t="shared" ca="1" si="495"/>
        <v>0.20278247028256513</v>
      </c>
      <c r="W450" s="77">
        <f t="shared" ca="1" si="496"/>
        <v>6.7606691478746303E-2</v>
      </c>
      <c r="X450" s="45">
        <f t="shared" ca="1" si="511"/>
        <v>1.0007366400397899</v>
      </c>
      <c r="Y450" s="45">
        <f t="shared" ca="1" si="497"/>
        <v>8.6695140063963484E-3</v>
      </c>
      <c r="Z450" s="77">
        <f t="shared" ca="1" si="498"/>
        <v>8.9961815301331707E-3</v>
      </c>
      <c r="AA450" s="45">
        <f t="shared" ca="1" si="512"/>
        <v>39.079749960494269</v>
      </c>
      <c r="AB450" s="45">
        <f t="shared" ca="1" si="499"/>
        <v>0</v>
      </c>
      <c r="AC450" s="45" cm="1">
        <f t="array" aca="1" ref="AC450" ca="1">pHUM*(T450+W450+Z450+AD450)</f>
        <v>1.0199428242819233E-2</v>
      </c>
      <c r="AD450" s="77">
        <f t="shared" ca="1" si="500"/>
        <v>1.0692425571856855E-2</v>
      </c>
      <c r="AE450" s="45">
        <f t="shared" ca="1" si="513"/>
        <v>6.3847072090583081</v>
      </c>
      <c r="AF450" s="45">
        <f t="shared" ca="1" si="501"/>
        <v>0</v>
      </c>
      <c r="AG450" s="76">
        <f t="shared" ca="1" si="502"/>
        <v>63.109258078907018</v>
      </c>
      <c r="AH450" s="45">
        <f t="shared" ca="1" si="503"/>
        <v>8.6257544322887333E-2</v>
      </c>
      <c r="AI450" s="77">
        <f t="shared" ca="1" si="504"/>
        <v>1.1441109824018301E-2</v>
      </c>
      <c r="AJ450" s="384">
        <f t="shared" ca="1" si="506"/>
        <v>1.8069654496427612E-2</v>
      </c>
      <c r="AU450" s="1"/>
    </row>
    <row r="451" spans="3:47" x14ac:dyDescent="0.25">
      <c r="C451" s="10">
        <f t="shared" si="531"/>
        <v>30</v>
      </c>
      <c r="D451" s="91">
        <f t="shared" si="514"/>
        <v>1</v>
      </c>
      <c r="E451" s="278"/>
      <c r="F451" s="76">
        <f t="shared" ref="F451:Q451" si="563">F379</f>
        <v>0.85587096774193583</v>
      </c>
      <c r="G451" s="46">
        <f t="shared" si="563"/>
        <v>78.439554282868485</v>
      </c>
      <c r="H451" s="46">
        <f t="shared" si="490"/>
        <v>-22.909404282868479</v>
      </c>
      <c r="I451" s="45">
        <f t="shared" si="491"/>
        <v>0</v>
      </c>
      <c r="J451" s="45">
        <f t="shared" si="492"/>
        <v>0.23072180944359474</v>
      </c>
      <c r="K451" s="45">
        <f t="shared" ca="1" si="508"/>
        <v>0.74571722023659515</v>
      </c>
      <c r="L451" s="358">
        <f t="shared" si="493"/>
        <v>0.39170179323548027</v>
      </c>
      <c r="M451" s="76">
        <f t="shared" ca="1" si="563"/>
        <v>0.25347808785320641</v>
      </c>
      <c r="N451" s="45">
        <f t="shared" ca="1" si="563"/>
        <v>0.25</v>
      </c>
      <c r="O451" s="45">
        <f t="shared" ca="1" si="563"/>
        <v>0</v>
      </c>
      <c r="P451" s="46" t="str">
        <f t="shared" ca="1" si="563"/>
        <v/>
      </c>
      <c r="Q451" s="243" t="str">
        <f t="shared" ca="1" si="563"/>
        <v/>
      </c>
      <c r="R451" s="45">
        <f t="shared" ca="1" si="509"/>
        <v>0.17230786588959235</v>
      </c>
      <c r="S451" s="45">
        <f t="shared" ca="1" si="533"/>
        <v>5.0695617570641283E-2</v>
      </c>
      <c r="T451" s="77">
        <f t="shared" ca="1" si="494"/>
        <v>0</v>
      </c>
      <c r="U451" s="45">
        <f t="shared" ca="1" si="510"/>
        <v>16.639796611808155</v>
      </c>
      <c r="V451" s="45">
        <f t="shared" ca="1" si="495"/>
        <v>0.20278247028256513</v>
      </c>
      <c r="W451" s="77">
        <f t="shared" ca="1" si="496"/>
        <v>0</v>
      </c>
      <c r="X451" s="45">
        <f t="shared" ca="1" si="511"/>
        <v>1.0004099725160531</v>
      </c>
      <c r="Y451" s="45">
        <f t="shared" ca="1" si="497"/>
        <v>0</v>
      </c>
      <c r="Z451" s="77">
        <f t="shared" ca="1" si="498"/>
        <v>0</v>
      </c>
      <c r="AA451" s="45">
        <f t="shared" ca="1" si="512"/>
        <v>39.079256963165236</v>
      </c>
      <c r="AB451" s="45">
        <f t="shared" ca="1" si="499"/>
        <v>0</v>
      </c>
      <c r="AC451" s="45" cm="1">
        <f t="array" aca="1" ref="AC451" ca="1">pHUM*(T451+W451+Z451+AD451)</f>
        <v>0</v>
      </c>
      <c r="AD451" s="77">
        <f t="shared" ca="1" si="500"/>
        <v>0</v>
      </c>
      <c r="AE451" s="45">
        <f t="shared" ca="1" si="513"/>
        <v>6.3847072090583081</v>
      </c>
      <c r="AF451" s="45">
        <f t="shared" ca="1" si="501"/>
        <v>0</v>
      </c>
      <c r="AG451" s="76">
        <f t="shared" ca="1" si="502"/>
        <v>63.276478622437338</v>
      </c>
      <c r="AH451" s="45">
        <f t="shared" ca="1" si="503"/>
        <v>0</v>
      </c>
      <c r="AI451" s="77">
        <f t="shared" ca="1" si="504"/>
        <v>1.1947939571515442E-2</v>
      </c>
      <c r="AJ451" s="384">
        <f t="shared" ca="1" si="506"/>
        <v>1.2318782879848778E-2</v>
      </c>
      <c r="AU451" s="1"/>
    </row>
    <row r="452" spans="3:47" x14ac:dyDescent="0.25">
      <c r="C452" s="10">
        <f t="shared" si="531"/>
        <v>30</v>
      </c>
      <c r="D452" s="91">
        <f t="shared" si="514"/>
        <v>2</v>
      </c>
      <c r="E452" s="278"/>
      <c r="F452" s="76">
        <f t="shared" ref="F452:Q452" si="564">F380</f>
        <v>0.91042857142857181</v>
      </c>
      <c r="G452" s="46">
        <f t="shared" si="564"/>
        <v>77.312634079068317</v>
      </c>
      <c r="H452" s="46">
        <f t="shared" si="490"/>
        <v>-21.782484079068311</v>
      </c>
      <c r="I452" s="45">
        <f t="shared" si="491"/>
        <v>0</v>
      </c>
      <c r="J452" s="45">
        <f t="shared" si="492"/>
        <v>0.23463537609132465</v>
      </c>
      <c r="K452" s="45">
        <f t="shared" ca="1" si="508"/>
        <v>0.75836628037006848</v>
      </c>
      <c r="L452" s="358">
        <f t="shared" si="493"/>
        <v>0.39364266736760256</v>
      </c>
      <c r="M452" s="76">
        <f t="shared" ca="1" si="564"/>
        <v>0.25347808785320641</v>
      </c>
      <c r="N452" s="45">
        <f t="shared" ca="1" si="564"/>
        <v>0.25</v>
      </c>
      <c r="O452" s="45">
        <f t="shared" ca="1" si="564"/>
        <v>0</v>
      </c>
      <c r="P452" s="46" t="str">
        <f t="shared" ca="1" si="564"/>
        <v/>
      </c>
      <c r="Q452" s="243" t="str">
        <f t="shared" ca="1" si="564"/>
        <v/>
      </c>
      <c r="R452" s="45">
        <f t="shared" ca="1" si="509"/>
        <v>0.22300348346023363</v>
      </c>
      <c r="S452" s="45">
        <f t="shared" ca="1" si="533"/>
        <v>5.0695617570641283E-2</v>
      </c>
      <c r="T452" s="77">
        <f t="shared" ca="1" si="494"/>
        <v>0</v>
      </c>
      <c r="U452" s="45">
        <f t="shared" ca="1" si="510"/>
        <v>16.842579082090719</v>
      </c>
      <c r="V452" s="45">
        <f t="shared" ca="1" si="495"/>
        <v>0.20278247028256513</v>
      </c>
      <c r="W452" s="77">
        <f t="shared" ca="1" si="496"/>
        <v>0</v>
      </c>
      <c r="X452" s="45">
        <f t="shared" ca="1" si="511"/>
        <v>1.0004099725160531</v>
      </c>
      <c r="Y452" s="45">
        <f t="shared" ca="1" si="497"/>
        <v>0</v>
      </c>
      <c r="Z452" s="77">
        <f t="shared" ca="1" si="498"/>
        <v>0</v>
      </c>
      <c r="AA452" s="45">
        <f t="shared" ca="1" si="512"/>
        <v>39.079256963165236</v>
      </c>
      <c r="AB452" s="45">
        <f t="shared" ca="1" si="499"/>
        <v>0</v>
      </c>
      <c r="AC452" s="45" cm="1">
        <f t="array" aca="1" ref="AC452" ca="1">pHUM*(T452+W452+Z452+AD452)</f>
        <v>0</v>
      </c>
      <c r="AD452" s="77">
        <f t="shared" ca="1" si="500"/>
        <v>0</v>
      </c>
      <c r="AE452" s="45">
        <f t="shared" ca="1" si="513"/>
        <v>6.3847072090583081</v>
      </c>
      <c r="AF452" s="45">
        <f t="shared" ca="1" si="501"/>
        <v>0</v>
      </c>
      <c r="AG452" s="76">
        <f t="shared" ca="1" si="502"/>
        <v>63.529956710290548</v>
      </c>
      <c r="AH452" s="45">
        <f t="shared" ca="1" si="503"/>
        <v>0</v>
      </c>
      <c r="AI452" s="77">
        <f t="shared" ca="1" si="504"/>
        <v>1.2722936080285085E-2</v>
      </c>
      <c r="AJ452" s="384">
        <f t="shared" ca="1" si="506"/>
        <v>1.3406429592642821E-2</v>
      </c>
      <c r="AU452" s="1"/>
    </row>
    <row r="453" spans="3:47" x14ac:dyDescent="0.25">
      <c r="C453" s="10">
        <f t="shared" si="531"/>
        <v>30</v>
      </c>
      <c r="D453" s="91">
        <f t="shared" si="514"/>
        <v>3</v>
      </c>
      <c r="E453" s="278"/>
      <c r="F453" s="76">
        <f t="shared" ref="F453:Q453" si="565">F381</f>
        <v>1.7499333333333336</v>
      </c>
      <c r="G453" s="46">
        <f t="shared" si="565"/>
        <v>89.127050621045186</v>
      </c>
      <c r="H453" s="46">
        <f t="shared" si="490"/>
        <v>-33.596900621045179</v>
      </c>
      <c r="I453" s="45">
        <f t="shared" si="491"/>
        <v>0</v>
      </c>
      <c r="J453" s="45">
        <f t="shared" si="492"/>
        <v>0.19161115755788954</v>
      </c>
      <c r="K453" s="45">
        <f t="shared" ca="1" si="508"/>
        <v>0.61930746869995335</v>
      </c>
      <c r="L453" s="358">
        <f t="shared" si="493"/>
        <v>0.42389567243620196</v>
      </c>
      <c r="M453" s="76">
        <f t="shared" ca="1" si="565"/>
        <v>0.25347808785320641</v>
      </c>
      <c r="N453" s="45">
        <f t="shared" ca="1" si="565"/>
        <v>0.25</v>
      </c>
      <c r="O453" s="45">
        <f t="shared" ca="1" si="565"/>
        <v>0</v>
      </c>
      <c r="P453" s="46" t="str">
        <f t="shared" ca="1" si="565"/>
        <v/>
      </c>
      <c r="Q453" s="243" t="str">
        <f t="shared" ca="1" si="565"/>
        <v/>
      </c>
      <c r="R453" s="45">
        <f t="shared" ca="1" si="509"/>
        <v>0.27369910103087491</v>
      </c>
      <c r="S453" s="45">
        <f t="shared" ca="1" si="533"/>
        <v>5.0695617570641283E-2</v>
      </c>
      <c r="T453" s="77">
        <f t="shared" ca="1" si="494"/>
        <v>0</v>
      </c>
      <c r="U453" s="45">
        <f t="shared" ca="1" si="510"/>
        <v>17.045361552373283</v>
      </c>
      <c r="V453" s="45">
        <f t="shared" ca="1" si="495"/>
        <v>0.20278247028256513</v>
      </c>
      <c r="W453" s="77">
        <f t="shared" ca="1" si="496"/>
        <v>0</v>
      </c>
      <c r="X453" s="45">
        <f t="shared" ca="1" si="511"/>
        <v>1.0004099725160531</v>
      </c>
      <c r="Y453" s="45">
        <f t="shared" ca="1" si="497"/>
        <v>0</v>
      </c>
      <c r="Z453" s="77">
        <f t="shared" ca="1" si="498"/>
        <v>0</v>
      </c>
      <c r="AA453" s="45">
        <f t="shared" ca="1" si="512"/>
        <v>39.079256963165236</v>
      </c>
      <c r="AB453" s="45">
        <f t="shared" ca="1" si="499"/>
        <v>0</v>
      </c>
      <c r="AC453" s="45" cm="1">
        <f t="array" aca="1" ref="AC453" ca="1">pHUM*(T453+W453+Z453+AD453)</f>
        <v>0</v>
      </c>
      <c r="AD453" s="77">
        <f t="shared" ca="1" si="500"/>
        <v>0</v>
      </c>
      <c r="AE453" s="45">
        <f t="shared" ca="1" si="513"/>
        <v>6.3847072090583081</v>
      </c>
      <c r="AF453" s="45">
        <f t="shared" ca="1" si="501"/>
        <v>0</v>
      </c>
      <c r="AG453" s="76">
        <f t="shared" ca="1" si="502"/>
        <v>63.783434798143752</v>
      </c>
      <c r="AH453" s="45">
        <f t="shared" ca="1" si="503"/>
        <v>0</v>
      </c>
      <c r="AI453" s="77">
        <f t="shared" ca="1" si="504"/>
        <v>1.3491087676584117E-2</v>
      </c>
      <c r="AJ453" s="384">
        <f t="shared" ca="1" si="506"/>
        <v>1.2501359429912817E-2</v>
      </c>
      <c r="AU453" s="1"/>
    </row>
    <row r="454" spans="3:47" x14ac:dyDescent="0.25">
      <c r="C454" s="10">
        <f t="shared" si="531"/>
        <v>30</v>
      </c>
      <c r="D454" s="91">
        <f t="shared" si="514"/>
        <v>4</v>
      </c>
      <c r="E454" s="278"/>
      <c r="F454" s="76">
        <f t="shared" ref="F454:Q454" si="566">F382</f>
        <v>5.3144</v>
      </c>
      <c r="G454" s="46">
        <f t="shared" si="566"/>
        <v>88.517400984298064</v>
      </c>
      <c r="H454" s="46">
        <f t="shared" si="490"/>
        <v>-32.987250984298058</v>
      </c>
      <c r="I454" s="45">
        <f t="shared" si="491"/>
        <v>0</v>
      </c>
      <c r="J454" s="45">
        <f t="shared" si="492"/>
        <v>0.19391725365845511</v>
      </c>
      <c r="K454" s="45">
        <f t="shared" ca="1" si="508"/>
        <v>0.62676101449980381</v>
      </c>
      <c r="L454" s="358">
        <f t="shared" si="493"/>
        <v>0.55593677468735669</v>
      </c>
      <c r="M454" s="76">
        <f t="shared" ca="1" si="566"/>
        <v>0.25347808785320641</v>
      </c>
      <c r="N454" s="45">
        <f t="shared" ca="1" si="566"/>
        <v>0.25</v>
      </c>
      <c r="O454" s="45">
        <f t="shared" ca="1" si="566"/>
        <v>0</v>
      </c>
      <c r="P454" s="46" t="str">
        <f t="shared" ca="1" si="566"/>
        <v/>
      </c>
      <c r="Q454" s="243" t="str">
        <f t="shared" ca="1" si="566"/>
        <v/>
      </c>
      <c r="R454" s="45">
        <f t="shared" ca="1" si="509"/>
        <v>0.3243947186015162</v>
      </c>
      <c r="S454" s="45">
        <f t="shared" ca="1" si="533"/>
        <v>5.0695617570641283E-2</v>
      </c>
      <c r="T454" s="77">
        <f t="shared" ca="1" si="494"/>
        <v>0</v>
      </c>
      <c r="U454" s="45">
        <f t="shared" ca="1" si="510"/>
        <v>17.248144022655847</v>
      </c>
      <c r="V454" s="45">
        <f t="shared" ca="1" si="495"/>
        <v>0.20278247028256513</v>
      </c>
      <c r="W454" s="77">
        <f t="shared" ca="1" si="496"/>
        <v>0</v>
      </c>
      <c r="X454" s="45">
        <f t="shared" ca="1" si="511"/>
        <v>1.0004099725160531</v>
      </c>
      <c r="Y454" s="45">
        <f t="shared" ca="1" si="497"/>
        <v>0</v>
      </c>
      <c r="Z454" s="77">
        <f t="shared" ca="1" si="498"/>
        <v>0</v>
      </c>
      <c r="AA454" s="45">
        <f t="shared" ca="1" si="512"/>
        <v>39.079256963165236</v>
      </c>
      <c r="AB454" s="45">
        <f t="shared" ca="1" si="499"/>
        <v>0</v>
      </c>
      <c r="AC454" s="45" cm="1">
        <f t="array" aca="1" ref="AC454" ca="1">pHUM*(T454+W454+Z454+AD454)</f>
        <v>0</v>
      </c>
      <c r="AD454" s="77">
        <f t="shared" ca="1" si="500"/>
        <v>0</v>
      </c>
      <c r="AE454" s="45">
        <f t="shared" ca="1" si="513"/>
        <v>6.3847072090583081</v>
      </c>
      <c r="AF454" s="45">
        <f t="shared" ca="1" si="501"/>
        <v>0</v>
      </c>
      <c r="AG454" s="76">
        <f t="shared" ca="1" si="502"/>
        <v>64.036912885996955</v>
      </c>
      <c r="AH454" s="45">
        <f t="shared" ca="1" si="503"/>
        <v>0</v>
      </c>
      <c r="AI454" s="77">
        <f t="shared" ca="1" si="504"/>
        <v>1.4252484645006383E-2</v>
      </c>
      <c r="AJ454" s="384">
        <f t="shared" ca="1" si="506"/>
        <v>1.7529150774345803E-2</v>
      </c>
      <c r="AU454" s="1"/>
    </row>
    <row r="455" spans="3:47" x14ac:dyDescent="0.25">
      <c r="C455" s="10">
        <f t="shared" si="531"/>
        <v>30</v>
      </c>
      <c r="D455" s="91">
        <f t="shared" si="514"/>
        <v>5</v>
      </c>
      <c r="E455" s="278"/>
      <c r="F455" s="76">
        <f t="shared" ref="F455:Q455" si="567">F383</f>
        <v>12.662516129032257</v>
      </c>
      <c r="G455" s="46">
        <f t="shared" si="567"/>
        <v>89.413014608233681</v>
      </c>
      <c r="H455" s="46">
        <f t="shared" si="490"/>
        <v>-33.882864608233675</v>
      </c>
      <c r="I455" s="45">
        <f t="shared" si="491"/>
        <v>0</v>
      </c>
      <c r="J455" s="45">
        <f t="shared" si="492"/>
        <v>0.19052718077467024</v>
      </c>
      <c r="K455" s="45">
        <f t="shared" ca="1" si="508"/>
        <v>0.6158039414194908</v>
      </c>
      <c r="L455" s="358">
        <f t="shared" si="493"/>
        <v>0.78870900469063665</v>
      </c>
      <c r="M455" s="76">
        <f t="shared" ca="1" si="567"/>
        <v>0.25347808785320641</v>
      </c>
      <c r="N455" s="45">
        <f t="shared" ca="1" si="567"/>
        <v>0.25</v>
      </c>
      <c r="O455" s="45">
        <f t="shared" ca="1" si="567"/>
        <v>0</v>
      </c>
      <c r="P455" s="46" t="str">
        <f t="shared" ca="1" si="567"/>
        <v/>
      </c>
      <c r="Q455" s="243" t="str">
        <f t="shared" ca="1" si="567"/>
        <v/>
      </c>
      <c r="R455" s="45">
        <f t="shared" ca="1" si="509"/>
        <v>0.37509033617215748</v>
      </c>
      <c r="S455" s="45">
        <f t="shared" ca="1" si="533"/>
        <v>5.0695617570641283E-2</v>
      </c>
      <c r="T455" s="77">
        <f t="shared" ca="1" si="494"/>
        <v>0</v>
      </c>
      <c r="U455" s="45">
        <f t="shared" ca="1" si="510"/>
        <v>17.450926492938411</v>
      </c>
      <c r="V455" s="45">
        <f t="shared" ca="1" si="495"/>
        <v>0.20278247028256513</v>
      </c>
      <c r="W455" s="77">
        <f t="shared" ca="1" si="496"/>
        <v>0</v>
      </c>
      <c r="X455" s="45">
        <f t="shared" ca="1" si="511"/>
        <v>1.0004099725160531</v>
      </c>
      <c r="Y455" s="45">
        <f t="shared" ca="1" si="497"/>
        <v>0</v>
      </c>
      <c r="Z455" s="77">
        <f t="shared" ca="1" si="498"/>
        <v>0</v>
      </c>
      <c r="AA455" s="45">
        <f t="shared" ca="1" si="512"/>
        <v>39.079256963165236</v>
      </c>
      <c r="AB455" s="45">
        <f t="shared" ca="1" si="499"/>
        <v>0</v>
      </c>
      <c r="AC455" s="45" cm="1">
        <f t="array" aca="1" ref="AC455" ca="1">pHUM*(T455+W455+Z455+AD455)</f>
        <v>0</v>
      </c>
      <c r="AD455" s="77">
        <f t="shared" ca="1" si="500"/>
        <v>0</v>
      </c>
      <c r="AE455" s="45">
        <f t="shared" ca="1" si="513"/>
        <v>6.3847072090583081</v>
      </c>
      <c r="AF455" s="45">
        <f t="shared" ca="1" si="501"/>
        <v>0</v>
      </c>
      <c r="AG455" s="76">
        <f t="shared" ca="1" si="502"/>
        <v>64.290390973850165</v>
      </c>
      <c r="AH455" s="45">
        <f t="shared" ca="1" si="503"/>
        <v>0</v>
      </c>
      <c r="AI455" s="77">
        <f t="shared" ca="1" si="504"/>
        <v>1.5007215689287701E-2</v>
      </c>
      <c r="AJ455" s="384">
        <f t="shared" ca="1" si="506"/>
        <v>2.5727580487173718E-2</v>
      </c>
      <c r="AU455" s="1"/>
    </row>
    <row r="456" spans="3:47" x14ac:dyDescent="0.25">
      <c r="C456" s="10">
        <f t="shared" si="531"/>
        <v>30</v>
      </c>
      <c r="D456" s="91">
        <f t="shared" si="514"/>
        <v>6</v>
      </c>
      <c r="E456" s="278"/>
      <c r="F456" s="76">
        <f t="shared" ref="F456:Q456" si="568">F384</f>
        <v>17.952400000000004</v>
      </c>
      <c r="G456" s="46">
        <f t="shared" si="568"/>
        <v>83.948488098886401</v>
      </c>
      <c r="H456" s="46">
        <f t="shared" si="490"/>
        <v>-28.418338098886395</v>
      </c>
      <c r="I456" s="45">
        <f t="shared" si="491"/>
        <v>0</v>
      </c>
      <c r="J456" s="45">
        <f t="shared" si="492"/>
        <v>0.21095121603234232</v>
      </c>
      <c r="K456" s="45">
        <f t="shared" ca="1" si="508"/>
        <v>0.68181657730811884</v>
      </c>
      <c r="L456" s="358">
        <f t="shared" si="493"/>
        <v>0.89013124354981255</v>
      </c>
      <c r="M456" s="76">
        <f t="shared" ca="1" si="568"/>
        <v>0.25347808785320641</v>
      </c>
      <c r="N456" s="45">
        <f t="shared" ca="1" si="568"/>
        <v>0.25</v>
      </c>
      <c r="O456" s="45">
        <f t="shared" ca="1" si="568"/>
        <v>0</v>
      </c>
      <c r="P456" s="46" t="str">
        <f t="shared" ca="1" si="568"/>
        <v/>
      </c>
      <c r="Q456" s="243" t="str">
        <f t="shared" ca="1" si="568"/>
        <v/>
      </c>
      <c r="R456" s="45">
        <f t="shared" ca="1" si="509"/>
        <v>0.42578595374279876</v>
      </c>
      <c r="S456" s="45">
        <f t="shared" ca="1" si="533"/>
        <v>5.0695617570641283E-2</v>
      </c>
      <c r="T456" s="77">
        <f t="shared" ca="1" si="494"/>
        <v>0</v>
      </c>
      <c r="U456" s="45">
        <f t="shared" ca="1" si="510"/>
        <v>17.653708963220975</v>
      </c>
      <c r="V456" s="45">
        <f t="shared" ca="1" si="495"/>
        <v>0.20278247028256513</v>
      </c>
      <c r="W456" s="77">
        <f t="shared" ca="1" si="496"/>
        <v>0</v>
      </c>
      <c r="X456" s="45">
        <f t="shared" ca="1" si="511"/>
        <v>1.0004099725160531</v>
      </c>
      <c r="Y456" s="45">
        <f t="shared" ca="1" si="497"/>
        <v>0</v>
      </c>
      <c r="Z456" s="77">
        <f t="shared" ca="1" si="498"/>
        <v>0</v>
      </c>
      <c r="AA456" s="45">
        <f t="shared" ca="1" si="512"/>
        <v>39.079256963165236</v>
      </c>
      <c r="AB456" s="45">
        <f t="shared" ca="1" si="499"/>
        <v>0</v>
      </c>
      <c r="AC456" s="45" cm="1">
        <f t="array" aca="1" ref="AC456" ca="1">pHUM*(T456+W456+Z456+AD456)</f>
        <v>0</v>
      </c>
      <c r="AD456" s="77">
        <f t="shared" ca="1" si="500"/>
        <v>0</v>
      </c>
      <c r="AE456" s="45">
        <f t="shared" ca="1" si="513"/>
        <v>6.3847072090583081</v>
      </c>
      <c r="AF456" s="45">
        <f t="shared" ca="1" si="501"/>
        <v>0</v>
      </c>
      <c r="AG456" s="76">
        <f t="shared" ca="1" si="502"/>
        <v>64.543869061703376</v>
      </c>
      <c r="AH456" s="45">
        <f t="shared" ca="1" si="503"/>
        <v>0</v>
      </c>
      <c r="AI456" s="77">
        <f t="shared" ca="1" si="504"/>
        <v>1.5755367966755543E-2</v>
      </c>
      <c r="AJ456" s="384">
        <f t="shared" ca="1" si="506"/>
        <v>3.3750982675541108E-2</v>
      </c>
      <c r="AU456" s="1"/>
    </row>
    <row r="457" spans="3:47" x14ac:dyDescent="0.25">
      <c r="C457" s="10">
        <f t="shared" si="531"/>
        <v>30</v>
      </c>
      <c r="D457" s="91">
        <f t="shared" si="514"/>
        <v>7</v>
      </c>
      <c r="E457" s="278"/>
      <c r="F457" s="76">
        <f t="shared" ref="F457:Q457" si="569">F385</f>
        <v>21.363032258064525</v>
      </c>
      <c r="G457" s="46">
        <f t="shared" si="569"/>
        <v>73.679575814389409</v>
      </c>
      <c r="H457" s="46">
        <f t="shared" si="490"/>
        <v>-18.149425814389403</v>
      </c>
      <c r="I457" s="45">
        <f t="shared" si="491"/>
        <v>0</v>
      </c>
      <c r="J457" s="45">
        <f t="shared" si="492"/>
        <v>0.2468878570948656</v>
      </c>
      <c r="K457" s="45">
        <f t="shared" ca="1" si="508"/>
        <v>0.79796759113040194</v>
      </c>
      <c r="L457" s="358">
        <f t="shared" si="493"/>
        <v>0.92905557700722019</v>
      </c>
      <c r="M457" s="76">
        <f t="shared" ca="1" si="569"/>
        <v>0.25347808785320641</v>
      </c>
      <c r="N457" s="45">
        <f t="shared" ca="1" si="569"/>
        <v>0.25</v>
      </c>
      <c r="O457" s="45">
        <f t="shared" ca="1" si="569"/>
        <v>0</v>
      </c>
      <c r="P457" s="46" t="str">
        <f t="shared" ca="1" si="569"/>
        <v/>
      </c>
      <c r="Q457" s="243" t="str">
        <f t="shared" ca="1" si="569"/>
        <v/>
      </c>
      <c r="R457" s="45">
        <f t="shared" ca="1" si="509"/>
        <v>0.47648157131344004</v>
      </c>
      <c r="S457" s="45">
        <f t="shared" ca="1" si="533"/>
        <v>5.0695617570641283E-2</v>
      </c>
      <c r="T457" s="77">
        <f t="shared" ca="1" si="494"/>
        <v>0</v>
      </c>
      <c r="U457" s="45">
        <f t="shared" ca="1" si="510"/>
        <v>17.856491433503539</v>
      </c>
      <c r="V457" s="45">
        <f t="shared" ca="1" si="495"/>
        <v>0.20278247028256513</v>
      </c>
      <c r="W457" s="77">
        <f t="shared" ca="1" si="496"/>
        <v>0</v>
      </c>
      <c r="X457" s="45">
        <f t="shared" ca="1" si="511"/>
        <v>1.0004099725160531</v>
      </c>
      <c r="Y457" s="45">
        <f t="shared" ca="1" si="497"/>
        <v>0</v>
      </c>
      <c r="Z457" s="77">
        <f t="shared" ca="1" si="498"/>
        <v>0</v>
      </c>
      <c r="AA457" s="45">
        <f t="shared" ca="1" si="512"/>
        <v>39.079256963165236</v>
      </c>
      <c r="AB457" s="45">
        <f t="shared" ca="1" si="499"/>
        <v>0</v>
      </c>
      <c r="AC457" s="45" cm="1">
        <f t="array" aca="1" ref="AC457" ca="1">pHUM*(T457+W457+Z457+AD457)</f>
        <v>0</v>
      </c>
      <c r="AD457" s="77">
        <f t="shared" ca="1" si="500"/>
        <v>0</v>
      </c>
      <c r="AE457" s="45">
        <f t="shared" ca="1" si="513"/>
        <v>6.3847072090583081</v>
      </c>
      <c r="AF457" s="45">
        <f t="shared" ca="1" si="501"/>
        <v>0</v>
      </c>
      <c r="AG457" s="76">
        <f t="shared" ca="1" si="502"/>
        <v>64.797347149556572</v>
      </c>
      <c r="AH457" s="45">
        <f t="shared" ca="1" si="503"/>
        <v>0</v>
      </c>
      <c r="AI457" s="77">
        <f t="shared" ca="1" si="504"/>
        <v>1.6497027121881756E-2</v>
      </c>
      <c r="AJ457" s="384">
        <f t="shared" ca="1" si="506"/>
        <v>4.3168310109110708E-2</v>
      </c>
      <c r="AU457" s="1"/>
    </row>
    <row r="458" spans="3:47" x14ac:dyDescent="0.25">
      <c r="C458" s="10">
        <f t="shared" si="531"/>
        <v>30</v>
      </c>
      <c r="D458" s="91">
        <f t="shared" si="514"/>
        <v>8</v>
      </c>
      <c r="E458" s="278"/>
      <c r="F458" s="76">
        <f t="shared" ref="F458:Q458" si="570">F386</f>
        <v>21.84690322580645</v>
      </c>
      <c r="G458" s="46">
        <f t="shared" si="570"/>
        <v>71.917724933598876</v>
      </c>
      <c r="H458" s="46">
        <f t="shared" si="490"/>
        <v>-16.38757493359887</v>
      </c>
      <c r="I458" s="45">
        <f t="shared" si="491"/>
        <v>0</v>
      </c>
      <c r="J458" s="45">
        <f t="shared" si="492"/>
        <v>0.25260629061506468</v>
      </c>
      <c r="K458" s="45">
        <f t="shared" ca="1" si="508"/>
        <v>0.81645017133846476</v>
      </c>
      <c r="L458" s="358">
        <f t="shared" si="493"/>
        <v>0.93325603418156189</v>
      </c>
      <c r="M458" s="76">
        <f t="shared" ca="1" si="570"/>
        <v>0.25347808785320641</v>
      </c>
      <c r="N458" s="45">
        <f t="shared" ca="1" si="570"/>
        <v>0.25</v>
      </c>
      <c r="O458" s="45">
        <f t="shared" ca="1" si="570"/>
        <v>0</v>
      </c>
      <c r="P458" s="46" t="str">
        <f t="shared" ca="1" si="570"/>
        <v/>
      </c>
      <c r="Q458" s="243" t="str">
        <f t="shared" ca="1" si="570"/>
        <v/>
      </c>
      <c r="R458" s="45">
        <f t="shared" ca="1" si="509"/>
        <v>0.52717718888408127</v>
      </c>
      <c r="S458" s="45">
        <f t="shared" ca="1" si="533"/>
        <v>5.0695617570641283E-2</v>
      </c>
      <c r="T458" s="77">
        <f t="shared" ca="1" si="494"/>
        <v>0</v>
      </c>
      <c r="U458" s="45">
        <f t="shared" ca="1" si="510"/>
        <v>18.059273903786103</v>
      </c>
      <c r="V458" s="45">
        <f t="shared" ca="1" si="495"/>
        <v>0.20278247028256513</v>
      </c>
      <c r="W458" s="77">
        <f t="shared" ca="1" si="496"/>
        <v>0</v>
      </c>
      <c r="X458" s="45">
        <f t="shared" ca="1" si="511"/>
        <v>1.0004099725160531</v>
      </c>
      <c r="Y458" s="45">
        <f t="shared" ca="1" si="497"/>
        <v>0</v>
      </c>
      <c r="Z458" s="77">
        <f t="shared" ca="1" si="498"/>
        <v>0</v>
      </c>
      <c r="AA458" s="45">
        <f t="shared" ca="1" si="512"/>
        <v>39.079256963165236</v>
      </c>
      <c r="AB458" s="45">
        <f t="shared" ca="1" si="499"/>
        <v>0</v>
      </c>
      <c r="AC458" s="45" cm="1">
        <f t="array" aca="1" ref="AC458" ca="1">pHUM*(T458+W458+Z458+AD458)</f>
        <v>0</v>
      </c>
      <c r="AD458" s="77">
        <f t="shared" ca="1" si="500"/>
        <v>0</v>
      </c>
      <c r="AE458" s="45">
        <f t="shared" ca="1" si="513"/>
        <v>6.3847072090583081</v>
      </c>
      <c r="AF458" s="45">
        <f t="shared" ca="1" si="501"/>
        <v>0</v>
      </c>
      <c r="AG458" s="76">
        <f t="shared" ca="1" si="502"/>
        <v>65.050825237409782</v>
      </c>
      <c r="AH458" s="45">
        <f t="shared" ca="1" si="503"/>
        <v>0</v>
      </c>
      <c r="AI458" s="77">
        <f t="shared" ca="1" si="504"/>
        <v>1.7232277318965466E-2</v>
      </c>
      <c r="AJ458" s="384">
        <f t="shared" ca="1" si="506"/>
        <v>4.6345148298887473E-2</v>
      </c>
      <c r="AU458" s="1"/>
    </row>
    <row r="459" spans="3:47" x14ac:dyDescent="0.25">
      <c r="C459" s="10">
        <f t="shared" si="531"/>
        <v>30</v>
      </c>
      <c r="D459" s="91">
        <f t="shared" si="514"/>
        <v>9</v>
      </c>
      <c r="E459" s="278"/>
      <c r="F459" s="76">
        <f t="shared" ref="F459:Q459" si="571">F387</f>
        <v>19.915099999999999</v>
      </c>
      <c r="G459" s="46">
        <f t="shared" si="571"/>
        <v>90.121120170480822</v>
      </c>
      <c r="H459" s="46">
        <f t="shared" si="490"/>
        <v>-34.590970170480816</v>
      </c>
      <c r="I459" s="45">
        <f t="shared" si="491"/>
        <v>0</v>
      </c>
      <c r="J459" s="45">
        <f t="shared" si="492"/>
        <v>0.18783711693191202</v>
      </c>
      <c r="K459" s="45">
        <f t="shared" ca="1" si="508"/>
        <v>0.60710937138331467</v>
      </c>
      <c r="L459" s="358">
        <f t="shared" si="493"/>
        <v>0.91464137695305081</v>
      </c>
      <c r="M459" s="76">
        <f t="shared" ca="1" si="571"/>
        <v>0.25347808785320641</v>
      </c>
      <c r="N459" s="45">
        <f t="shared" ca="1" si="571"/>
        <v>0.25</v>
      </c>
      <c r="O459" s="45">
        <f t="shared" ca="1" si="571"/>
        <v>0</v>
      </c>
      <c r="P459" s="46" t="str">
        <f t="shared" ca="1" si="571"/>
        <v/>
      </c>
      <c r="Q459" s="243" t="str">
        <f t="shared" ca="1" si="571"/>
        <v/>
      </c>
      <c r="R459" s="45">
        <f t="shared" ca="1" si="509"/>
        <v>0.5778728064547225</v>
      </c>
      <c r="S459" s="45">
        <f t="shared" ca="1" si="533"/>
        <v>5.0695617570641283E-2</v>
      </c>
      <c r="T459" s="77">
        <f t="shared" ca="1" si="494"/>
        <v>0</v>
      </c>
      <c r="U459" s="45">
        <f t="shared" ca="1" si="510"/>
        <v>18.262056374068667</v>
      </c>
      <c r="V459" s="45">
        <f t="shared" ca="1" si="495"/>
        <v>0.20278247028256513</v>
      </c>
      <c r="W459" s="77">
        <f t="shared" ca="1" si="496"/>
        <v>0</v>
      </c>
      <c r="X459" s="45">
        <f t="shared" ca="1" si="511"/>
        <v>1.0004099725160531</v>
      </c>
      <c r="Y459" s="45">
        <f t="shared" ca="1" si="497"/>
        <v>0</v>
      </c>
      <c r="Z459" s="77">
        <f t="shared" ca="1" si="498"/>
        <v>0</v>
      </c>
      <c r="AA459" s="45">
        <f t="shared" ca="1" si="512"/>
        <v>39.079256963165236</v>
      </c>
      <c r="AB459" s="45">
        <f t="shared" ca="1" si="499"/>
        <v>0</v>
      </c>
      <c r="AC459" s="45" cm="1">
        <f t="array" aca="1" ref="AC459" ca="1">pHUM*(T459+W459+Z459+AD459)</f>
        <v>0</v>
      </c>
      <c r="AD459" s="77">
        <f t="shared" ca="1" si="500"/>
        <v>0</v>
      </c>
      <c r="AE459" s="45">
        <f t="shared" ca="1" si="513"/>
        <v>6.3847072090583081</v>
      </c>
      <c r="AF459" s="45">
        <f t="shared" ca="1" si="501"/>
        <v>0</v>
      </c>
      <c r="AG459" s="76">
        <f t="shared" ca="1" si="502"/>
        <v>65.304303325262978</v>
      </c>
      <c r="AH459" s="45">
        <f t="shared" ca="1" si="503"/>
        <v>0</v>
      </c>
      <c r="AI459" s="77">
        <f t="shared" ca="1" si="504"/>
        <v>1.796120127397233E-2</v>
      </c>
      <c r="AJ459" s="384">
        <f t="shared" ca="1" si="506"/>
        <v>3.5203742496973112E-2</v>
      </c>
      <c r="AU459" s="1"/>
    </row>
    <row r="460" spans="3:47" x14ac:dyDescent="0.25">
      <c r="C460" s="10">
        <f t="shared" si="531"/>
        <v>30</v>
      </c>
      <c r="D460" s="91">
        <f t="shared" si="514"/>
        <v>10</v>
      </c>
      <c r="E460" s="278"/>
      <c r="F460" s="76">
        <f t="shared" ref="F460:Q460" si="572">F388</f>
        <v>16.404967741935486</v>
      </c>
      <c r="G460" s="46">
        <f t="shared" si="572"/>
        <v>93.270963763991602</v>
      </c>
      <c r="H460" s="46">
        <f t="shared" si="490"/>
        <v>-37.740813763991596</v>
      </c>
      <c r="I460" s="45">
        <f t="shared" si="491"/>
        <v>0</v>
      </c>
      <c r="J460" s="45">
        <f t="shared" si="492"/>
        <v>0.1757835150476853</v>
      </c>
      <c r="K460" s="45">
        <f t="shared" ca="1" si="508"/>
        <v>0.56815085891056294</v>
      </c>
      <c r="L460" s="358">
        <f t="shared" si="493"/>
        <v>0.86618676922472848</v>
      </c>
      <c r="M460" s="76">
        <f t="shared" ca="1" si="572"/>
        <v>0.25347808785320641</v>
      </c>
      <c r="N460" s="45">
        <f t="shared" ca="1" si="572"/>
        <v>0.25</v>
      </c>
      <c r="O460" s="45">
        <f t="shared" ca="1" si="572"/>
        <v>0</v>
      </c>
      <c r="P460" s="46" t="str">
        <f t="shared" ca="1" si="572"/>
        <v/>
      </c>
      <c r="Q460" s="243" t="str">
        <f t="shared" ca="1" si="572"/>
        <v/>
      </c>
      <c r="R460" s="45">
        <f t="shared" ca="1" si="509"/>
        <v>0.62856842402536373</v>
      </c>
      <c r="S460" s="45">
        <f t="shared" ca="1" si="533"/>
        <v>5.0695617570641283E-2</v>
      </c>
      <c r="T460" s="77">
        <f t="shared" ca="1" si="494"/>
        <v>0</v>
      </c>
      <c r="U460" s="45">
        <f t="shared" ca="1" si="510"/>
        <v>18.464838844351231</v>
      </c>
      <c r="V460" s="45">
        <f t="shared" ca="1" si="495"/>
        <v>0.20278247028256513</v>
      </c>
      <c r="W460" s="77">
        <f t="shared" ca="1" si="496"/>
        <v>0</v>
      </c>
      <c r="X460" s="45">
        <f t="shared" ca="1" si="511"/>
        <v>1.0004099725160531</v>
      </c>
      <c r="Y460" s="45">
        <f t="shared" ca="1" si="497"/>
        <v>0</v>
      </c>
      <c r="Z460" s="77">
        <f t="shared" ca="1" si="498"/>
        <v>0</v>
      </c>
      <c r="AA460" s="45">
        <f t="shared" ca="1" si="512"/>
        <v>39.079256963165236</v>
      </c>
      <c r="AB460" s="45">
        <f t="shared" ca="1" si="499"/>
        <v>0</v>
      </c>
      <c r="AC460" s="45" cm="1">
        <f t="array" aca="1" ref="AC460" ca="1">pHUM*(T460+W460+Z460+AD460)</f>
        <v>0</v>
      </c>
      <c r="AD460" s="77">
        <f t="shared" ca="1" si="500"/>
        <v>0</v>
      </c>
      <c r="AE460" s="45">
        <f t="shared" ca="1" si="513"/>
        <v>6.3847072090583081</v>
      </c>
      <c r="AF460" s="45">
        <f t="shared" ca="1" si="501"/>
        <v>0</v>
      </c>
      <c r="AG460" s="76">
        <f t="shared" ca="1" si="502"/>
        <v>65.557781413116189</v>
      </c>
      <c r="AH460" s="45">
        <f t="shared" ca="1" si="503"/>
        <v>0</v>
      </c>
      <c r="AI460" s="77">
        <f t="shared" ca="1" si="504"/>
        <v>1.8683880285555485E-2</v>
      </c>
      <c r="AJ460" s="384">
        <f t="shared" ca="1" si="506"/>
        <v>3.2454811460506106E-2</v>
      </c>
      <c r="AU460" s="1"/>
    </row>
    <row r="461" spans="3:47" x14ac:dyDescent="0.25">
      <c r="C461" s="10">
        <f t="shared" si="531"/>
        <v>30</v>
      </c>
      <c r="D461" s="91">
        <f t="shared" si="514"/>
        <v>11</v>
      </c>
      <c r="E461" s="278"/>
      <c r="F461" s="76">
        <f t="shared" ref="F461:Q461" si="573">F389</f>
        <v>8.5982333333333347</v>
      </c>
      <c r="G461" s="46">
        <f t="shared" si="573"/>
        <v>93.768190396309464</v>
      </c>
      <c r="H461" s="46">
        <f t="shared" si="490"/>
        <v>-38.238040396309458</v>
      </c>
      <c r="I461" s="45">
        <f t="shared" si="491"/>
        <v>0</v>
      </c>
      <c r="J461" s="45">
        <f t="shared" si="492"/>
        <v>0.17386998013358751</v>
      </c>
      <c r="K461" s="45">
        <f t="shared" ca="1" si="508"/>
        <v>0.56196611226520721</v>
      </c>
      <c r="L461" s="358">
        <f t="shared" si="493"/>
        <v>0.6712335176859634</v>
      </c>
      <c r="M461" s="76">
        <f t="shared" ca="1" si="573"/>
        <v>0.25347808785320641</v>
      </c>
      <c r="N461" s="45">
        <f t="shared" ca="1" si="573"/>
        <v>0.25</v>
      </c>
      <c r="O461" s="45">
        <f t="shared" ca="1" si="573"/>
        <v>0</v>
      </c>
      <c r="P461" s="46" t="str">
        <f t="shared" ca="1" si="573"/>
        <v/>
      </c>
      <c r="Q461" s="243" t="str">
        <f t="shared" ca="1" si="573"/>
        <v/>
      </c>
      <c r="R461" s="45">
        <f t="shared" ca="1" si="509"/>
        <v>0.67926404159600495</v>
      </c>
      <c r="S461" s="45">
        <f t="shared" ca="1" si="533"/>
        <v>5.0695617570641283E-2</v>
      </c>
      <c r="T461" s="77">
        <f t="shared" ca="1" si="494"/>
        <v>0</v>
      </c>
      <c r="U461" s="45">
        <f t="shared" ca="1" si="510"/>
        <v>18.667621314633795</v>
      </c>
      <c r="V461" s="45">
        <f t="shared" ca="1" si="495"/>
        <v>0.20278247028256513</v>
      </c>
      <c r="W461" s="77">
        <f t="shared" ca="1" si="496"/>
        <v>0</v>
      </c>
      <c r="X461" s="45">
        <f t="shared" ca="1" si="511"/>
        <v>1.0004099725160531</v>
      </c>
      <c r="Y461" s="45">
        <f t="shared" ca="1" si="497"/>
        <v>0</v>
      </c>
      <c r="Z461" s="77">
        <f t="shared" ca="1" si="498"/>
        <v>0</v>
      </c>
      <c r="AA461" s="45">
        <f t="shared" ca="1" si="512"/>
        <v>39.079256963165236</v>
      </c>
      <c r="AB461" s="45">
        <f t="shared" ca="1" si="499"/>
        <v>0</v>
      </c>
      <c r="AC461" s="45" cm="1">
        <f t="array" aca="1" ref="AC461" ca="1">pHUM*(T461+W461+Z461+AD461)</f>
        <v>0</v>
      </c>
      <c r="AD461" s="77">
        <f t="shared" ca="1" si="500"/>
        <v>0</v>
      </c>
      <c r="AE461" s="45">
        <f t="shared" ca="1" si="513"/>
        <v>6.3847072090583081</v>
      </c>
      <c r="AF461" s="45">
        <f t="shared" ca="1" si="501"/>
        <v>0</v>
      </c>
      <c r="AG461" s="76">
        <f t="shared" ca="1" si="502"/>
        <v>65.811259500969399</v>
      </c>
      <c r="AH461" s="45">
        <f t="shared" ca="1" si="503"/>
        <v>0</v>
      </c>
      <c r="AI461" s="77">
        <f t="shared" ca="1" si="504"/>
        <v>1.9400394265282579E-2</v>
      </c>
      <c r="AJ461" s="384">
        <f t="shared" ca="1" si="506"/>
        <v>2.5830560707953421E-2</v>
      </c>
      <c r="AU461" s="1"/>
    </row>
    <row r="462" spans="3:47" x14ac:dyDescent="0.25">
      <c r="C462" s="10">
        <f t="shared" si="531"/>
        <v>30</v>
      </c>
      <c r="D462" s="91">
        <f t="shared" si="514"/>
        <v>12</v>
      </c>
      <c r="E462" s="278"/>
      <c r="F462" s="76">
        <f t="shared" ref="F462:Q462" si="574">F390</f>
        <v>5.8543548387096775</v>
      </c>
      <c r="G462" s="46">
        <f t="shared" si="574"/>
        <v>92.353978821555827</v>
      </c>
      <c r="H462" s="46">
        <f t="shared" si="490"/>
        <v>-36.823828821555821</v>
      </c>
      <c r="I462" s="45">
        <f t="shared" si="491"/>
        <v>0</v>
      </c>
      <c r="J462" s="45">
        <f t="shared" si="492"/>
        <v>0.17930557122010893</v>
      </c>
      <c r="K462" s="45">
        <f t="shared" ca="1" si="508"/>
        <v>0.57953451589882432</v>
      </c>
      <c r="L462" s="358">
        <f t="shared" si="493"/>
        <v>0.57570255434605899</v>
      </c>
      <c r="M462" s="76">
        <f t="shared" ca="1" si="574"/>
        <v>0.25347808785320641</v>
      </c>
      <c r="N462" s="45">
        <f t="shared" ca="1" si="574"/>
        <v>0.25</v>
      </c>
      <c r="O462" s="45">
        <f t="shared" ca="1" si="574"/>
        <v>0</v>
      </c>
      <c r="P462" s="46" t="str">
        <f t="shared" ca="1" si="574"/>
        <v/>
      </c>
      <c r="Q462" s="243" t="str">
        <f t="shared" ca="1" si="574"/>
        <v/>
      </c>
      <c r="R462" s="45">
        <f t="shared" ca="1" si="509"/>
        <v>0.72995965916664618</v>
      </c>
      <c r="S462" s="45">
        <f t="shared" ca="1" si="533"/>
        <v>5.0695617570641283E-2</v>
      </c>
      <c r="T462" s="77">
        <f t="shared" ca="1" si="494"/>
        <v>0</v>
      </c>
      <c r="U462" s="45">
        <f t="shared" ca="1" si="510"/>
        <v>18.870403784916359</v>
      </c>
      <c r="V462" s="45">
        <f t="shared" ca="1" si="495"/>
        <v>0.20278247028256513</v>
      </c>
      <c r="W462" s="77">
        <f t="shared" ca="1" si="496"/>
        <v>0</v>
      </c>
      <c r="X462" s="45">
        <f t="shared" ca="1" si="511"/>
        <v>1.0004099725160531</v>
      </c>
      <c r="Y462" s="45">
        <f t="shared" ca="1" si="497"/>
        <v>0</v>
      </c>
      <c r="Z462" s="77">
        <f t="shared" ca="1" si="498"/>
        <v>0</v>
      </c>
      <c r="AA462" s="45">
        <f t="shared" ca="1" si="512"/>
        <v>39.079256963165236</v>
      </c>
      <c r="AB462" s="45">
        <f t="shared" ca="1" si="499"/>
        <v>0</v>
      </c>
      <c r="AC462" s="45" cm="1">
        <f t="array" aca="1" ref="AC462" ca="1">pHUM*(T462+W462+Z462+AD462)</f>
        <v>0</v>
      </c>
      <c r="AD462" s="77">
        <f t="shared" ca="1" si="500"/>
        <v>0</v>
      </c>
      <c r="AE462" s="45">
        <f t="shared" ca="1" si="513"/>
        <v>6.3847072090583081</v>
      </c>
      <c r="AF462" s="45">
        <f t="shared" ca="1" si="501"/>
        <v>0</v>
      </c>
      <c r="AG462" s="76">
        <f t="shared" ca="1" si="502"/>
        <v>66.064737588822595</v>
      </c>
      <c r="AH462" s="45">
        <f t="shared" ca="1" si="503"/>
        <v>0</v>
      </c>
      <c r="AI462" s="77">
        <f t="shared" ca="1" si="504"/>
        <v>2.0110821767092505E-2</v>
      </c>
      <c r="AJ462" s="384">
        <f t="shared" ca="1" si="506"/>
        <v>2.3683597700775438E-2</v>
      </c>
      <c r="AU462" s="1"/>
    </row>
    <row r="463" spans="3:47" x14ac:dyDescent="0.25">
      <c r="C463" s="10">
        <f t="shared" si="531"/>
        <v>31</v>
      </c>
      <c r="D463" s="91">
        <f t="shared" si="514"/>
        <v>1</v>
      </c>
      <c r="E463" s="278"/>
      <c r="F463" s="76">
        <f t="shared" ref="F463:Q463" si="575">F391</f>
        <v>2.2624333333333326</v>
      </c>
      <c r="G463" s="46">
        <f t="shared" si="575"/>
        <v>87.461548542671366</v>
      </c>
      <c r="H463" s="46">
        <f t="shared" si="490"/>
        <v>-31.93139854267136</v>
      </c>
      <c r="I463" s="45">
        <f t="shared" si="491"/>
        <v>0</v>
      </c>
      <c r="J463" s="45">
        <f t="shared" si="492"/>
        <v>0.19789456043296222</v>
      </c>
      <c r="K463" s="45">
        <f t="shared" ca="1" si="508"/>
        <v>0.63961608944510806</v>
      </c>
      <c r="L463" s="358">
        <f t="shared" si="493"/>
        <v>0.44266298791276926</v>
      </c>
      <c r="M463" s="76">
        <f t="shared" ca="1" si="575"/>
        <v>0.25347808785320641</v>
      </c>
      <c r="N463" s="45">
        <f t="shared" ca="1" si="575"/>
        <v>0.25</v>
      </c>
      <c r="O463" s="45">
        <f t="shared" ca="1" si="575"/>
        <v>0</v>
      </c>
      <c r="P463" s="46" t="str">
        <f t="shared" ca="1" si="575"/>
        <v/>
      </c>
      <c r="Q463" s="243" t="str">
        <f t="shared" ca="1" si="575"/>
        <v/>
      </c>
      <c r="R463" s="45">
        <f t="shared" ca="1" si="509"/>
        <v>0.78065527673728741</v>
      </c>
      <c r="S463" s="45">
        <f t="shared" ca="1" si="533"/>
        <v>5.0695617570641283E-2</v>
      </c>
      <c r="T463" s="77">
        <f t="shared" ca="1" si="494"/>
        <v>0</v>
      </c>
      <c r="U463" s="45">
        <f t="shared" ca="1" si="510"/>
        <v>19.073186255198923</v>
      </c>
      <c r="V463" s="45">
        <f t="shared" ca="1" si="495"/>
        <v>0.20278247028256513</v>
      </c>
      <c r="W463" s="77">
        <f t="shared" ca="1" si="496"/>
        <v>0</v>
      </c>
      <c r="X463" s="45">
        <f t="shared" ca="1" si="511"/>
        <v>1.0004099725160531</v>
      </c>
      <c r="Y463" s="45">
        <f t="shared" ca="1" si="497"/>
        <v>0</v>
      </c>
      <c r="Z463" s="77">
        <f t="shared" ca="1" si="498"/>
        <v>0</v>
      </c>
      <c r="AA463" s="45">
        <f t="shared" ca="1" si="512"/>
        <v>39.079256963165236</v>
      </c>
      <c r="AB463" s="45">
        <f t="shared" ca="1" si="499"/>
        <v>0</v>
      </c>
      <c r="AC463" s="45" cm="1">
        <f t="array" aca="1" ref="AC463" ca="1">pHUM*(T463+W463+Z463+AD463)</f>
        <v>0</v>
      </c>
      <c r="AD463" s="77">
        <f t="shared" ca="1" si="500"/>
        <v>0</v>
      </c>
      <c r="AE463" s="45">
        <f t="shared" ca="1" si="513"/>
        <v>6.3847072090583081</v>
      </c>
      <c r="AF463" s="45">
        <f t="shared" ca="1" si="501"/>
        <v>0</v>
      </c>
      <c r="AG463" s="76">
        <f t="shared" ca="1" si="502"/>
        <v>66.318215676675806</v>
      </c>
      <c r="AH463" s="45">
        <f t="shared" ca="1" si="503"/>
        <v>0</v>
      </c>
      <c r="AI463" s="77">
        <f t="shared" ca="1" si="504"/>
        <v>2.081524001600463E-2</v>
      </c>
      <c r="AJ463" s="384">
        <f t="shared" ca="1" si="506"/>
        <v>2.0802502819783353E-2</v>
      </c>
      <c r="AU463" s="1"/>
    </row>
    <row r="464" spans="3:47" x14ac:dyDescent="0.25">
      <c r="C464" s="10">
        <f t="shared" si="531"/>
        <v>31</v>
      </c>
      <c r="D464" s="91">
        <f t="shared" si="514"/>
        <v>2</v>
      </c>
      <c r="E464" s="278"/>
      <c r="F464" s="76">
        <f t="shared" ref="F464:Q464" si="576">F392</f>
        <v>1.5363448275862068</v>
      </c>
      <c r="G464" s="46">
        <f t="shared" si="576"/>
        <v>89.651029216467379</v>
      </c>
      <c r="H464" s="46">
        <f t="shared" si="490"/>
        <v>-34.120879216467372</v>
      </c>
      <c r="I464" s="45">
        <f t="shared" si="491"/>
        <v>0</v>
      </c>
      <c r="J464" s="45">
        <f t="shared" si="492"/>
        <v>0.18962389606700991</v>
      </c>
      <c r="K464" s="45">
        <f t="shared" ca="1" si="508"/>
        <v>0.61288442998317227</v>
      </c>
      <c r="L464" s="358">
        <f t="shared" si="493"/>
        <v>0.41613501220093307</v>
      </c>
      <c r="M464" s="76">
        <f t="shared" ca="1" si="576"/>
        <v>0.25347808785320641</v>
      </c>
      <c r="N464" s="45">
        <f t="shared" ca="1" si="576"/>
        <v>0.25</v>
      </c>
      <c r="O464" s="45">
        <f t="shared" ca="1" si="576"/>
        <v>0</v>
      </c>
      <c r="P464" s="46" t="str">
        <f t="shared" ca="1" si="576"/>
        <v/>
      </c>
      <c r="Q464" s="243" t="str">
        <f t="shared" ca="1" si="576"/>
        <v/>
      </c>
      <c r="R464" s="45">
        <f t="shared" ca="1" si="509"/>
        <v>0.83135089430792863</v>
      </c>
      <c r="S464" s="45">
        <f t="shared" ca="1" si="533"/>
        <v>5.0695617570641283E-2</v>
      </c>
      <c r="T464" s="77">
        <f t="shared" ca="1" si="494"/>
        <v>0</v>
      </c>
      <c r="U464" s="45">
        <f t="shared" ca="1" si="510"/>
        <v>19.275968725481487</v>
      </c>
      <c r="V464" s="45">
        <f t="shared" ca="1" si="495"/>
        <v>0.20278247028256513</v>
      </c>
      <c r="W464" s="77">
        <f t="shared" ca="1" si="496"/>
        <v>0</v>
      </c>
      <c r="X464" s="45">
        <f t="shared" ca="1" si="511"/>
        <v>1.0004099725160531</v>
      </c>
      <c r="Y464" s="45">
        <f t="shared" ca="1" si="497"/>
        <v>0</v>
      </c>
      <c r="Z464" s="77">
        <f t="shared" ca="1" si="498"/>
        <v>0</v>
      </c>
      <c r="AA464" s="45">
        <f t="shared" ca="1" si="512"/>
        <v>39.079256963165236</v>
      </c>
      <c r="AB464" s="45">
        <f t="shared" ca="1" si="499"/>
        <v>0</v>
      </c>
      <c r="AC464" s="45" cm="1">
        <f t="array" aca="1" ref="AC464" ca="1">pHUM*(T464+W464+Z464+AD464)</f>
        <v>0</v>
      </c>
      <c r="AD464" s="77">
        <f t="shared" ca="1" si="500"/>
        <v>0</v>
      </c>
      <c r="AE464" s="45">
        <f t="shared" ca="1" si="513"/>
        <v>6.3847072090583081</v>
      </c>
      <c r="AF464" s="45">
        <f t="shared" ca="1" si="501"/>
        <v>0</v>
      </c>
      <c r="AG464" s="76">
        <f t="shared" ca="1" si="502"/>
        <v>66.571693764529016</v>
      </c>
      <c r="AH464" s="45">
        <f t="shared" ca="1" si="503"/>
        <v>0</v>
      </c>
      <c r="AI464" s="77">
        <f t="shared" ca="1" si="504"/>
        <v>2.151372493610261E-2</v>
      </c>
      <c r="AJ464" s="384">
        <f t="shared" ca="1" si="506"/>
        <v>1.9367368733755885E-2</v>
      </c>
      <c r="AU464" s="1"/>
    </row>
    <row r="465" spans="3:47" x14ac:dyDescent="0.25">
      <c r="C465" s="10">
        <f t="shared" si="531"/>
        <v>31</v>
      </c>
      <c r="D465" s="91">
        <f t="shared" si="514"/>
        <v>3</v>
      </c>
      <c r="E465" s="278"/>
      <c r="F465" s="76">
        <f t="shared" ref="F465:Q465" ca="1" si="577">F393</f>
        <v>-0.57999999999999996</v>
      </c>
      <c r="G465" s="46">
        <f t="shared" ca="1" si="577"/>
        <v>55.530150000000006</v>
      </c>
      <c r="H465" s="46">
        <f t="shared" ca="1" si="490"/>
        <v>0</v>
      </c>
      <c r="I465" s="45">
        <f t="shared" ca="1" si="491"/>
        <v>8.1834107856600266E-2</v>
      </c>
      <c r="J465" s="45">
        <f t="shared" ca="1" si="492"/>
        <v>0.29595601705647312</v>
      </c>
      <c r="K465" s="45">
        <f t="shared" ca="1" si="508"/>
        <v>0.95656105889548582</v>
      </c>
      <c r="L465" s="358">
        <f t="shared" ca="1" si="493"/>
        <v>0.34200470507454295</v>
      </c>
      <c r="M465" s="76">
        <f t="shared" ca="1" si="577"/>
        <v>0.25347808785320641</v>
      </c>
      <c r="N465" s="45">
        <f t="shared" ca="1" si="577"/>
        <v>0.25</v>
      </c>
      <c r="O465" s="45">
        <f t="shared" ca="1" si="577"/>
        <v>0</v>
      </c>
      <c r="P465" s="46" t="str">
        <f t="shared" ca="1" si="577"/>
        <v/>
      </c>
      <c r="Q465" s="243" t="str">
        <f t="shared" ca="1" si="577"/>
        <v/>
      </c>
      <c r="R465" s="45">
        <f t="shared" ca="1" si="509"/>
        <v>0.88204651187856986</v>
      </c>
      <c r="S465" s="45">
        <f t="shared" ca="1" si="533"/>
        <v>5.0695617570641283E-2</v>
      </c>
      <c r="T465" s="77">
        <f t="shared" ca="1" si="494"/>
        <v>5.8146070292331417E-2</v>
      </c>
      <c r="U465" s="45">
        <f t="shared" ca="1" si="510"/>
        <v>19.478751195764051</v>
      </c>
      <c r="V465" s="45">
        <f t="shared" ca="1" si="495"/>
        <v>0.20278247028256513</v>
      </c>
      <c r="W465" s="77">
        <f t="shared" ca="1" si="496"/>
        <v>3.9809919156014249E-2</v>
      </c>
      <c r="X465" s="45">
        <f t="shared" ca="1" si="511"/>
        <v>1.0004099725160531</v>
      </c>
      <c r="Y465" s="45">
        <f t="shared" ca="1" si="497"/>
        <v>8.8881986977542501E-3</v>
      </c>
      <c r="Z465" s="77">
        <f t="shared" ca="1" si="498"/>
        <v>4.4926032583870916E-3</v>
      </c>
      <c r="AA465" s="45">
        <f t="shared" ca="1" si="512"/>
        <v>39.079256963165236</v>
      </c>
      <c r="AB465" s="45">
        <f t="shared" ca="1" si="499"/>
        <v>0</v>
      </c>
      <c r="AC465" s="45" cm="1">
        <f t="array" aca="1" ref="AC465" ca="1">pHUM*(T465+W465+Z465+AD465)</f>
        <v>1.0456704350299119E-2</v>
      </c>
      <c r="AD465" s="77">
        <f t="shared" ca="1" si="500"/>
        <v>5.3296634169966352E-3</v>
      </c>
      <c r="AE465" s="45">
        <f t="shared" ca="1" si="513"/>
        <v>6.3847072090583081</v>
      </c>
      <c r="AF465" s="45">
        <f t="shared" ca="1" si="501"/>
        <v>0</v>
      </c>
      <c r="AG465" s="76">
        <f t="shared" ca="1" si="502"/>
        <v>66.825171852382212</v>
      </c>
      <c r="AH465" s="45">
        <f t="shared" ca="1" si="503"/>
        <v>8.8433353075676013E-2</v>
      </c>
      <c r="AI465" s="77">
        <f t="shared" ca="1" si="504"/>
        <v>2.2206351177813999E-2</v>
      </c>
      <c r="AJ465" s="384">
        <f t="shared" ca="1" si="506"/>
        <v>2.5642571427350047E-2</v>
      </c>
      <c r="AU465" s="1"/>
    </row>
    <row r="466" spans="3:47" x14ac:dyDescent="0.25">
      <c r="C466" s="10">
        <f t="shared" si="531"/>
        <v>31</v>
      </c>
      <c r="D466" s="91">
        <f t="shared" si="514"/>
        <v>4</v>
      </c>
      <c r="E466" s="278"/>
      <c r="F466" s="76">
        <f t="shared" ref="F466:Q466" ca="1" si="578">F394</f>
        <v>7.18</v>
      </c>
      <c r="G466" s="46">
        <f t="shared" ca="1" si="578"/>
        <v>29.828585295978598</v>
      </c>
      <c r="H466" s="46">
        <f t="shared" ref="H466:H529" ca="1" si="579">FC-G466</f>
        <v>25.701564704021408</v>
      </c>
      <c r="I466" s="45">
        <f t="shared" ref="I466:I529" ca="1" si="580">PRODUCT(47.91/(1+EXP(106.06/(F466+18.27))), IF(IF(H466&lt;=0,1-((1-RM_PWP)*(G466-FC)/(WSAT-FC)),IF(H466&lt;=Wat1bar,1,1-((1-RM_PWP)*(H466-Wat1bar)/(FC-Wat1bar))))&lt;=RM_PWP,RM_PWP,IF(H466&lt;=0,1-((1-RM_PWP)*(G466-FC)/(WSAT-FC)),IF(H466&lt;=Wat1bar,1,1-((1-RM_PWP)*(H466-Wat1bar)/(FC-Wat1bar))))),0.56+(ATAN(3.14*0.45*(SoilpH-5)))/3.14,EXP(-0.09*SoilSal))</f>
        <v>0.34975431431902781</v>
      </c>
      <c r="J466" s="45">
        <f t="shared" ref="J466:J529" ca="1" si="581">POWER(((G466/150)-$J$9),$M$9)*POWER(($L$9-(G466/150)),$N$9)</f>
        <v>0.29147915612483932</v>
      </c>
      <c r="K466" s="45">
        <f t="shared" ca="1" si="508"/>
        <v>0.94209137223094908</v>
      </c>
      <c r="L466" s="358">
        <f t="shared" ref="L466:L529" ca="1" si="582">1/(1+EXP(-(F466-3.8)/6.7))+1/(1+EXP((F466-62.2)/7.1))-1</f>
        <v>0.62308014794471589</v>
      </c>
      <c r="M466" s="76">
        <f t="shared" ca="1" si="578"/>
        <v>0.25347808785320641</v>
      </c>
      <c r="N466" s="45">
        <f t="shared" ca="1" si="578"/>
        <v>0.25</v>
      </c>
      <c r="O466" s="45">
        <f t="shared" ca="1" si="578"/>
        <v>0</v>
      </c>
      <c r="P466" s="46" t="str">
        <f t="shared" ca="1" si="578"/>
        <v/>
      </c>
      <c r="Q466" s="243" t="str">
        <f t="shared" ca="1" si="578"/>
        <v/>
      </c>
      <c r="R466" s="45">
        <f t="shared" ca="1" si="509"/>
        <v>0.87459605915687966</v>
      </c>
      <c r="S466" s="45">
        <f t="shared" ca="1" si="533"/>
        <v>5.0695617570641283E-2</v>
      </c>
      <c r="T466" s="77">
        <f t="shared" ref="T466:T529" ca="1" si="583">R466*(1-EXP(-kDPM*I466))</f>
        <v>0.22112372029543051</v>
      </c>
      <c r="U466" s="45">
        <f t="shared" ca="1" si="510"/>
        <v>19.641723746890602</v>
      </c>
      <c r="V466" s="45">
        <f t="shared" ref="V466:V529" ca="1" si="584">M466*1/(1+N466)</f>
        <v>0.20278247028256513</v>
      </c>
      <c r="W466" s="77">
        <f t="shared" ref="W466:W529" ca="1" si="585">U466*(1-EXP(-kRPM*I466))</f>
        <v>0.17099576971993791</v>
      </c>
      <c r="X466" s="45">
        <f t="shared" ca="1" si="511"/>
        <v>1.0048055679554202</v>
      </c>
      <c r="Y466" s="45">
        <f t="shared" ref="Y466:Y529" ca="1" si="586">pBIO*(T466+W466+Z466+AD466)</f>
        <v>3.5794197803372022E-2</v>
      </c>
      <c r="Z466" s="77">
        <f t="shared" ref="Z466:Z529" ca="1" si="587">X466*(1-EXP(-kBIO*I466))</f>
        <v>1.9144205557271896E-2</v>
      </c>
      <c r="AA466" s="45">
        <f t="shared" ca="1" si="512"/>
        <v>39.084384004098538</v>
      </c>
      <c r="AB466" s="45">
        <f t="shared" ref="AB466:AB529" ca="1" si="588">IF(O466&gt;0,O466*(1-Q466)/(1+P466),0)</f>
        <v>0</v>
      </c>
      <c r="AC466" s="45" cm="1">
        <f t="array" aca="1" ref="AC466" ca="1">pHUM*(T466+W466+Z466+AD466)</f>
        <v>4.2110820945143554E-2</v>
      </c>
      <c r="AD466" s="77">
        <f t="shared" ref="AD466:AD529" ca="1" si="589">AA466*(1-EXP(-kHUM*I466))</f>
        <v>2.2776580728789176E-2</v>
      </c>
      <c r="AE466" s="45">
        <f t="shared" ca="1" si="513"/>
        <v>6.3847072090583081</v>
      </c>
      <c r="AF466" s="45">
        <f t="shared" ref="AF466:AF529" ca="1" si="590">IF(O466&gt;0,O466*Q466,0)</f>
        <v>0</v>
      </c>
      <c r="AG466" s="76">
        <f t="shared" ref="AG466:AG529" ca="1" si="591">R466+U466+X466+AA466+AE466</f>
        <v>66.99021658715975</v>
      </c>
      <c r="AH466" s="45">
        <f t="shared" ref="AH466:AH529" ca="1" si="592">p_CO2*(T466+W466+Z466+AD466)</f>
        <v>0.35613525755291398</v>
      </c>
      <c r="AI466" s="77">
        <f t="shared" ref="AI466:AI529" ca="1" si="593">((kRPM*U466)+(kDPM*R466)+(kBIO*X466)+(kHUM*AA466))/(U466+R466+AA466+X466)</f>
        <v>2.2114789611822418E-2</v>
      </c>
      <c r="AJ466" s="384">
        <f t="shared" ca="1" si="506"/>
        <v>4.5819577282733004E-2</v>
      </c>
      <c r="AU466" s="1"/>
    </row>
    <row r="467" spans="3:47" x14ac:dyDescent="0.25">
      <c r="C467" s="10">
        <f t="shared" si="531"/>
        <v>31</v>
      </c>
      <c r="D467" s="91">
        <f t="shared" si="514"/>
        <v>5</v>
      </c>
      <c r="E467" s="278"/>
      <c r="F467" s="76">
        <f t="shared" ref="F467:Q467" ca="1" si="594">F395</f>
        <v>14.05</v>
      </c>
      <c r="G467" s="46">
        <f t="shared" ca="1" si="594"/>
        <v>27.012600000000003</v>
      </c>
      <c r="H467" s="46">
        <f t="shared" ca="1" si="579"/>
        <v>28.517550000000004</v>
      </c>
      <c r="I467" s="45">
        <f t="shared" ca="1" si="580"/>
        <v>0.75173784437395219</v>
      </c>
      <c r="J467" s="45">
        <f t="shared" ca="1" si="581"/>
        <v>0.27952512346894071</v>
      </c>
      <c r="K467" s="45">
        <f t="shared" ca="1" si="508"/>
        <v>0.90345467800480783</v>
      </c>
      <c r="L467" s="358">
        <f t="shared" ca="1" si="582"/>
        <v>0.82085140481213359</v>
      </c>
      <c r="M467" s="76">
        <f t="shared" ca="1" si="594"/>
        <v>0.25347808785320641</v>
      </c>
      <c r="N467" s="45">
        <f t="shared" ca="1" si="594"/>
        <v>0.25</v>
      </c>
      <c r="O467" s="45">
        <f t="shared" ca="1" si="594"/>
        <v>0</v>
      </c>
      <c r="P467" s="46" t="str">
        <f t="shared" ca="1" si="594"/>
        <v/>
      </c>
      <c r="Q467" s="243" t="str">
        <f t="shared" ca="1" si="594"/>
        <v/>
      </c>
      <c r="R467" s="45">
        <f t="shared" ca="1" si="509"/>
        <v>0.70416795643209051</v>
      </c>
      <c r="S467" s="45">
        <f t="shared" ca="1" si="533"/>
        <v>5.0695617570641283E-2</v>
      </c>
      <c r="T467" s="77">
        <f t="shared" ca="1" si="583"/>
        <v>0.32779946324687731</v>
      </c>
      <c r="U467" s="45">
        <f t="shared" ca="1" si="510"/>
        <v>19.673510447453229</v>
      </c>
      <c r="V467" s="45">
        <f t="shared" ca="1" si="584"/>
        <v>0.20278247028256513</v>
      </c>
      <c r="W467" s="77">
        <f t="shared" ca="1" si="585"/>
        <v>0.36628044190694126</v>
      </c>
      <c r="X467" s="45">
        <f t="shared" ca="1" si="511"/>
        <v>1.0214555602015203</v>
      </c>
      <c r="Y467" s="45">
        <f t="shared" ca="1" si="586"/>
        <v>6.4688598959524168E-2</v>
      </c>
      <c r="Z467" s="77">
        <f t="shared" ca="1" si="587"/>
        <v>4.1371515959601195E-2</v>
      </c>
      <c r="AA467" s="45">
        <f t="shared" ca="1" si="512"/>
        <v>39.103718244314891</v>
      </c>
      <c r="AB467" s="45">
        <f t="shared" ca="1" si="588"/>
        <v>0</v>
      </c>
      <c r="AC467" s="45" cm="1">
        <f t="array" aca="1" ref="AC467" ca="1">pHUM*(T467+W467+Z467+AD467)</f>
        <v>7.6104234070028434E-2</v>
      </c>
      <c r="AD467" s="77">
        <f t="shared" ca="1" si="589"/>
        <v>4.8962229394461598E-2</v>
      </c>
      <c r="AE467" s="45">
        <f t="shared" ca="1" si="513"/>
        <v>6.3847072090583081</v>
      </c>
      <c r="AF467" s="45">
        <f t="shared" ca="1" si="590"/>
        <v>0</v>
      </c>
      <c r="AG467" s="76">
        <f t="shared" ca="1" si="591"/>
        <v>66.887559417460039</v>
      </c>
      <c r="AH467" s="45">
        <f t="shared" ca="1" si="592"/>
        <v>0.64362081747832889</v>
      </c>
      <c r="AI467" s="77">
        <f t="shared" ca="1" si="593"/>
        <v>1.9833731258893889E-2</v>
      </c>
      <c r="AJ467" s="384">
        <f t="shared" ref="AJ467:AJ530" ca="1" si="595">(530)*(1-EXP((-$AJ$9*L467*K467*AI467)))</f>
        <v>5.1916351992838949E-2</v>
      </c>
      <c r="AU467" s="1"/>
    </row>
    <row r="468" spans="3:47" x14ac:dyDescent="0.25">
      <c r="C468" s="10">
        <f t="shared" si="531"/>
        <v>31</v>
      </c>
      <c r="D468" s="91">
        <f t="shared" si="514"/>
        <v>6</v>
      </c>
      <c r="E468" s="278"/>
      <c r="F468" s="76">
        <f t="shared" ref="F468:Q468" ca="1" si="596">F396</f>
        <v>17.96</v>
      </c>
      <c r="G468" s="46">
        <f t="shared" ca="1" si="596"/>
        <v>27.012600000000003</v>
      </c>
      <c r="H468" s="46">
        <f t="shared" ca="1" si="579"/>
        <v>28.517550000000004</v>
      </c>
      <c r="I468" s="45">
        <f t="shared" ca="1" si="580"/>
        <v>1.0549705763362276</v>
      </c>
      <c r="J468" s="45">
        <f t="shared" ca="1" si="581"/>
        <v>0.27952512346894071</v>
      </c>
      <c r="K468" s="45">
        <f t="shared" ref="K468:K531" ca="1" si="597">J468/$I$15</f>
        <v>0.90345467800480783</v>
      </c>
      <c r="L468" s="358">
        <f t="shared" ca="1" si="582"/>
        <v>0.89023829243059249</v>
      </c>
      <c r="M468" s="76">
        <f t="shared" ca="1" si="596"/>
        <v>0.25347808785320641</v>
      </c>
      <c r="N468" s="45">
        <f t="shared" ca="1" si="596"/>
        <v>0.25</v>
      </c>
      <c r="O468" s="45">
        <f t="shared" ca="1" si="596"/>
        <v>0</v>
      </c>
      <c r="P468" s="46" t="str">
        <f t="shared" ca="1" si="596"/>
        <v/>
      </c>
      <c r="Q468" s="243" t="str">
        <f t="shared" ca="1" si="596"/>
        <v/>
      </c>
      <c r="R468" s="45">
        <f t="shared" ref="R468:R531" ca="1" si="598">R467+S468-T467</f>
        <v>0.42706411075585454</v>
      </c>
      <c r="S468" s="45">
        <f t="shared" ca="1" si="533"/>
        <v>5.0695617570641283E-2</v>
      </c>
      <c r="T468" s="77">
        <f t="shared" ca="1" si="583"/>
        <v>0.24977319108169391</v>
      </c>
      <c r="U468" s="45">
        <f t="shared" ref="U468:U531" ca="1" si="599">U467+V468-W467</f>
        <v>19.510012475828852</v>
      </c>
      <c r="V468" s="45">
        <f t="shared" ca="1" si="584"/>
        <v>0.20278247028256513</v>
      </c>
      <c r="W468" s="77">
        <f t="shared" ca="1" si="585"/>
        <v>0.50783589132218787</v>
      </c>
      <c r="X468" s="45">
        <f t="shared" ref="X468:X531" ca="1" si="600">X467+Y467-Z467</f>
        <v>1.0447726432014433</v>
      </c>
      <c r="Y468" s="45">
        <f t="shared" ca="1" si="586"/>
        <v>7.3004139143157454E-2</v>
      </c>
      <c r="Z468" s="77">
        <f t="shared" ca="1" si="587"/>
        <v>5.8896045099857311E-2</v>
      </c>
      <c r="AA468" s="45">
        <f t="shared" ref="AA468:AA531" ca="1" si="601">AA467+AC467+AB468-AD467</f>
        <v>39.130860248990459</v>
      </c>
      <c r="AB468" s="45">
        <f t="shared" ca="1" si="588"/>
        <v>0</v>
      </c>
      <c r="AC468" s="45" cm="1">
        <f t="array" aca="1" ref="AC468" ca="1">pHUM*(T468+W468+Z468+AD468)</f>
        <v>8.5887222521361703E-2</v>
      </c>
      <c r="AD468" s="77">
        <f t="shared" ca="1" si="589"/>
        <v>6.8742724645610931E-2</v>
      </c>
      <c r="AE468" s="45">
        <f t="shared" ref="AE468:AE531" ca="1" si="602">AE467+AF468</f>
        <v>6.3847072090583081</v>
      </c>
      <c r="AF468" s="45">
        <f t="shared" ca="1" si="590"/>
        <v>0</v>
      </c>
      <c r="AG468" s="76">
        <f t="shared" ca="1" si="591"/>
        <v>66.497416687834914</v>
      </c>
      <c r="AH468" s="45">
        <f t="shared" ca="1" si="592"/>
        <v>0.72635649048483097</v>
      </c>
      <c r="AI468" s="77">
        <f t="shared" ca="1" si="593"/>
        <v>1.6075097513133473E-2</v>
      </c>
      <c r="AJ468" s="384">
        <f t="shared" ca="1" si="595"/>
        <v>4.5634958394752401E-2</v>
      </c>
      <c r="AU468" s="1"/>
    </row>
    <row r="469" spans="3:47" x14ac:dyDescent="0.25">
      <c r="C469" s="10">
        <f t="shared" si="531"/>
        <v>31</v>
      </c>
      <c r="D469" s="91">
        <f t="shared" ref="D469:D532" si="603">IF(D468+1&lt;13,D468+1,1)</f>
        <v>7</v>
      </c>
      <c r="E469" s="278"/>
      <c r="F469" s="76">
        <f t="shared" ref="F469:Q469" ca="1" si="604">F397</f>
        <v>21.89</v>
      </c>
      <c r="G469" s="46">
        <f t="shared" ca="1" si="604"/>
        <v>27.012600000000003</v>
      </c>
      <c r="H469" s="46">
        <f t="shared" ca="1" si="579"/>
        <v>28.517550000000004</v>
      </c>
      <c r="I469" s="45">
        <f t="shared" ca="1" si="580"/>
        <v>1.3816368002949853</v>
      </c>
      <c r="J469" s="45">
        <f t="shared" ca="1" si="581"/>
        <v>0.27952512346894071</v>
      </c>
      <c r="K469" s="45">
        <f t="shared" ca="1" si="597"/>
        <v>0.90345467800480783</v>
      </c>
      <c r="L469" s="358">
        <f t="shared" ca="1" si="582"/>
        <v>0.9336160920992449</v>
      </c>
      <c r="M469" s="76">
        <f t="shared" ca="1" si="604"/>
        <v>0.25347808785320641</v>
      </c>
      <c r="N469" s="45">
        <f t="shared" ca="1" si="604"/>
        <v>0.25</v>
      </c>
      <c r="O469" s="45">
        <f t="shared" ca="1" si="604"/>
        <v>0</v>
      </c>
      <c r="P469" s="46" t="str">
        <f t="shared" ca="1" si="604"/>
        <v/>
      </c>
      <c r="Q469" s="243" t="str">
        <f t="shared" ca="1" si="604"/>
        <v/>
      </c>
      <c r="R469" s="45">
        <f t="shared" ca="1" si="598"/>
        <v>0.22798653724480192</v>
      </c>
      <c r="S469" s="45">
        <f t="shared" ca="1" si="533"/>
        <v>5.0695617570641283E-2</v>
      </c>
      <c r="T469" s="77">
        <f t="shared" ca="1" si="583"/>
        <v>0.15589601521205412</v>
      </c>
      <c r="U469" s="45">
        <f t="shared" ca="1" si="599"/>
        <v>19.204959054789228</v>
      </c>
      <c r="V469" s="45">
        <f t="shared" ca="1" si="584"/>
        <v>0.20278247028256513</v>
      </c>
      <c r="W469" s="77">
        <f t="shared" ca="1" si="585"/>
        <v>0.6520312492766307</v>
      </c>
      <c r="X469" s="45">
        <f t="shared" ca="1" si="600"/>
        <v>1.0588807372447435</v>
      </c>
      <c r="Y469" s="45">
        <f t="shared" ca="1" si="586"/>
        <v>8.0443200643764437E-2</v>
      </c>
      <c r="Z469" s="77">
        <f t="shared" ca="1" si="587"/>
        <v>7.7483118794883413E-2</v>
      </c>
      <c r="AA469" s="45">
        <f t="shared" ca="1" si="601"/>
        <v>39.148004746866214</v>
      </c>
      <c r="AB469" s="45">
        <f t="shared" ca="1" si="588"/>
        <v>0</v>
      </c>
      <c r="AC469" s="45" cm="1">
        <f t="array" aca="1" ref="AC469" ca="1">pHUM*(T469+W469+Z469+AD469)</f>
        <v>9.463905958089934E-2</v>
      </c>
      <c r="AD469" s="77">
        <f t="shared" ca="1" si="589"/>
        <v>9.0043494068073285E-2</v>
      </c>
      <c r="AE469" s="45">
        <f t="shared" ca="1" si="602"/>
        <v>6.3847072090583081</v>
      </c>
      <c r="AF469" s="45">
        <f t="shared" ca="1" si="590"/>
        <v>0</v>
      </c>
      <c r="AG469" s="76">
        <f t="shared" ca="1" si="591"/>
        <v>66.024538285203292</v>
      </c>
      <c r="AH469" s="45">
        <f t="shared" ca="1" si="592"/>
        <v>0.80037161712697791</v>
      </c>
      <c r="AI469" s="77">
        <f t="shared" ca="1" si="593"/>
        <v>1.3306507718313505E-2</v>
      </c>
      <c r="AJ469" s="384">
        <f t="shared" ca="1" si="595"/>
        <v>3.9616185536642812E-2</v>
      </c>
      <c r="AU469" s="1"/>
    </row>
    <row r="470" spans="3:47" x14ac:dyDescent="0.25">
      <c r="C470" s="10">
        <f t="shared" si="531"/>
        <v>31</v>
      </c>
      <c r="D470" s="91">
        <f t="shared" si="603"/>
        <v>8</v>
      </c>
      <c r="E470" s="278"/>
      <c r="F470" s="76">
        <f t="shared" ref="F470:Q470" ca="1" si="605">F398</f>
        <v>20.350000000000001</v>
      </c>
      <c r="G470" s="46">
        <f t="shared" ca="1" si="605"/>
        <v>27.012600000000003</v>
      </c>
      <c r="H470" s="46">
        <f t="shared" ca="1" si="579"/>
        <v>28.517550000000004</v>
      </c>
      <c r="I470" s="45">
        <f t="shared" ca="1" si="580"/>
        <v>1.2518642054104028</v>
      </c>
      <c r="J470" s="45">
        <f t="shared" ca="1" si="581"/>
        <v>0.27952512346894071</v>
      </c>
      <c r="K470" s="45">
        <f t="shared" ca="1" si="597"/>
        <v>0.90345467800480783</v>
      </c>
      <c r="L470" s="358">
        <f t="shared" ca="1" si="582"/>
        <v>0.91927514332007565</v>
      </c>
      <c r="M470" s="76">
        <f t="shared" ca="1" si="605"/>
        <v>0.25347808785320641</v>
      </c>
      <c r="N470" s="45">
        <f t="shared" ca="1" si="605"/>
        <v>0.25</v>
      </c>
      <c r="O470" s="45">
        <f t="shared" ca="1" si="605"/>
        <v>0</v>
      </c>
      <c r="P470" s="46" t="str">
        <f t="shared" ca="1" si="605"/>
        <v/>
      </c>
      <c r="Q470" s="243" t="str">
        <f t="shared" ca="1" si="605"/>
        <v/>
      </c>
      <c r="R470" s="45">
        <f t="shared" ca="1" si="598"/>
        <v>0.12278613960338911</v>
      </c>
      <c r="S470" s="45">
        <f t="shared" ca="1" si="533"/>
        <v>5.0695617570641283E-2</v>
      </c>
      <c r="T470" s="77">
        <f t="shared" ca="1" si="583"/>
        <v>7.9526332198068456E-2</v>
      </c>
      <c r="U470" s="45">
        <f t="shared" ca="1" si="599"/>
        <v>18.75571027579516</v>
      </c>
      <c r="V470" s="45">
        <f t="shared" ca="1" si="584"/>
        <v>0.20278247028256513</v>
      </c>
      <c r="W470" s="77">
        <f t="shared" ca="1" si="585"/>
        <v>0.57789973934555594</v>
      </c>
      <c r="X470" s="45">
        <f t="shared" ca="1" si="600"/>
        <v>1.0618408190936246</v>
      </c>
      <c r="Y470" s="45">
        <f t="shared" ca="1" si="586"/>
        <v>6.6772313983808909E-2</v>
      </c>
      <c r="Z470" s="77">
        <f t="shared" ca="1" si="587"/>
        <v>7.0650293834023895E-2</v>
      </c>
      <c r="AA470" s="45">
        <f t="shared" ca="1" si="601"/>
        <v>39.152600312379036</v>
      </c>
      <c r="AB470" s="45">
        <f t="shared" ca="1" si="588"/>
        <v>0</v>
      </c>
      <c r="AC470" s="45" cm="1">
        <f t="array" aca="1" ref="AC470" ca="1">pHUM*(T470+W470+Z470+AD470)</f>
        <v>7.8555663510363416E-2</v>
      </c>
      <c r="AD470" s="77">
        <f t="shared" ca="1" si="589"/>
        <v>8.160440383595767E-2</v>
      </c>
      <c r="AE470" s="45">
        <f t="shared" ca="1" si="602"/>
        <v>6.3847072090583081</v>
      </c>
      <c r="AF470" s="45">
        <f t="shared" ca="1" si="590"/>
        <v>0</v>
      </c>
      <c r="AG470" s="76">
        <f t="shared" ca="1" si="591"/>
        <v>65.477644755929518</v>
      </c>
      <c r="AH470" s="45">
        <f t="shared" ca="1" si="592"/>
        <v>0.66435279171943373</v>
      </c>
      <c r="AI470" s="77">
        <f t="shared" ca="1" si="593"/>
        <v>1.1758936814584011E-2</v>
      </c>
      <c r="AJ470" s="384">
        <f t="shared" ca="1" si="595"/>
        <v>3.4471161731612909E-2</v>
      </c>
      <c r="AU470" s="1"/>
    </row>
    <row r="471" spans="3:47" x14ac:dyDescent="0.25">
      <c r="C471" s="10">
        <f t="shared" si="531"/>
        <v>31</v>
      </c>
      <c r="D471" s="91">
        <f t="shared" si="603"/>
        <v>9</v>
      </c>
      <c r="E471" s="278"/>
      <c r="F471" s="76">
        <f t="shared" ref="F471:Q471" ca="1" si="606">F399</f>
        <v>17.38</v>
      </c>
      <c r="G471" s="46">
        <f t="shared" ca="1" si="606"/>
        <v>27.012600000000003</v>
      </c>
      <c r="H471" s="46">
        <f t="shared" ca="1" si="579"/>
        <v>28.517550000000004</v>
      </c>
      <c r="I471" s="45">
        <f t="shared" ca="1" si="580"/>
        <v>1.0082864185928893</v>
      </c>
      <c r="J471" s="45">
        <f t="shared" ca="1" si="581"/>
        <v>0.27952512346894071</v>
      </c>
      <c r="K471" s="45">
        <f t="shared" ca="1" si="597"/>
        <v>0.90345467800480783</v>
      </c>
      <c r="L471" s="358">
        <f t="shared" ca="1" si="582"/>
        <v>0.88177917719725518</v>
      </c>
      <c r="M471" s="76">
        <f t="shared" ca="1" si="606"/>
        <v>0.25347808785320641</v>
      </c>
      <c r="N471" s="45">
        <f t="shared" ca="1" si="606"/>
        <v>0.25</v>
      </c>
      <c r="O471" s="45">
        <f t="shared" ca="1" si="606"/>
        <v>0</v>
      </c>
      <c r="P471" s="46" t="str">
        <f t="shared" ca="1" si="606"/>
        <v/>
      </c>
      <c r="Q471" s="243" t="str">
        <f t="shared" ca="1" si="606"/>
        <v/>
      </c>
      <c r="R471" s="45">
        <f t="shared" ca="1" si="598"/>
        <v>9.3955424975961932E-2</v>
      </c>
      <c r="S471" s="45">
        <f t="shared" ca="1" si="533"/>
        <v>5.0695617570641283E-2</v>
      </c>
      <c r="T471" s="77">
        <f t="shared" ca="1" si="583"/>
        <v>5.340355944267039E-2</v>
      </c>
      <c r="U471" s="45">
        <f t="shared" ca="1" si="599"/>
        <v>18.380593006732166</v>
      </c>
      <c r="V471" s="45">
        <f t="shared" ca="1" si="584"/>
        <v>0.20278247028256513</v>
      </c>
      <c r="W471" s="77">
        <f t="shared" ca="1" si="585"/>
        <v>0.45753179261453403</v>
      </c>
      <c r="X471" s="45">
        <f t="shared" ca="1" si="600"/>
        <v>1.0579628392434097</v>
      </c>
      <c r="Y471" s="45">
        <f t="shared" ca="1" si="586"/>
        <v>5.22631757473727E-2</v>
      </c>
      <c r="Z471" s="77">
        <f t="shared" ca="1" si="587"/>
        <v>5.7072987351739456E-2</v>
      </c>
      <c r="AA471" s="45">
        <f t="shared" ca="1" si="601"/>
        <v>39.14955157205344</v>
      </c>
      <c r="AB471" s="45">
        <f t="shared" ca="1" si="588"/>
        <v>0</v>
      </c>
      <c r="AC471" s="45" cm="1">
        <f t="array" aca="1" ref="AC471" ca="1">pHUM*(T471+W471+Z471+AD471)</f>
        <v>6.1486089114556122E-2</v>
      </c>
      <c r="AD471" s="77">
        <f t="shared" ca="1" si="589"/>
        <v>6.573468694385852E-2</v>
      </c>
      <c r="AE471" s="45">
        <f t="shared" ca="1" si="602"/>
        <v>6.3847072090583081</v>
      </c>
      <c r="AF471" s="45">
        <f t="shared" ca="1" si="590"/>
        <v>0</v>
      </c>
      <c r="AG471" s="76">
        <f t="shared" ca="1" si="591"/>
        <v>65.066770052063291</v>
      </c>
      <c r="AH471" s="45">
        <f t="shared" ca="1" si="592"/>
        <v>0.51999376149087362</v>
      </c>
      <c r="AI471" s="77">
        <f t="shared" ca="1" si="593"/>
        <v>1.1268319302200043E-2</v>
      </c>
      <c r="AJ471" s="384">
        <f t="shared" ca="1" si="595"/>
        <v>3.1685639091640905E-2</v>
      </c>
      <c r="AU471" s="1"/>
    </row>
    <row r="472" spans="3:47" x14ac:dyDescent="0.25">
      <c r="C472" s="10">
        <f t="shared" si="531"/>
        <v>31</v>
      </c>
      <c r="D472" s="91">
        <f t="shared" si="603"/>
        <v>10</v>
      </c>
      <c r="E472" s="278"/>
      <c r="F472" s="76">
        <f t="shared" ref="F472:Q472" ca="1" si="607">F400</f>
        <v>9.61</v>
      </c>
      <c r="G472" s="46">
        <f t="shared" ca="1" si="607"/>
        <v>27.012600000000003</v>
      </c>
      <c r="H472" s="46">
        <f t="shared" ca="1" si="579"/>
        <v>28.517550000000004</v>
      </c>
      <c r="I472" s="45">
        <f t="shared" ca="1" si="580"/>
        <v>0.45243046736638293</v>
      </c>
      <c r="J472" s="45">
        <f t="shared" ca="1" si="581"/>
        <v>0.27952512346894071</v>
      </c>
      <c r="K472" s="45">
        <f t="shared" ca="1" si="597"/>
        <v>0.90345467800480783</v>
      </c>
      <c r="L472" s="358">
        <f t="shared" ca="1" si="582"/>
        <v>0.70354868513849667</v>
      </c>
      <c r="M472" s="76">
        <f t="shared" ca="1" si="607"/>
        <v>0.25347808785320641</v>
      </c>
      <c r="N472" s="45">
        <f t="shared" ca="1" si="607"/>
        <v>0.25</v>
      </c>
      <c r="O472" s="45">
        <f t="shared" ca="1" si="607"/>
        <v>0</v>
      </c>
      <c r="P472" s="46" t="str">
        <f t="shared" ca="1" si="607"/>
        <v/>
      </c>
      <c r="Q472" s="243" t="str">
        <f t="shared" ca="1" si="607"/>
        <v/>
      </c>
      <c r="R472" s="45">
        <f t="shared" ca="1" si="598"/>
        <v>9.1247483103932825E-2</v>
      </c>
      <c r="S472" s="45">
        <f t="shared" ca="1" si="533"/>
        <v>5.0695617570641283E-2</v>
      </c>
      <c r="T472" s="77">
        <f t="shared" ca="1" si="583"/>
        <v>2.8660956799418685E-2</v>
      </c>
      <c r="U472" s="45">
        <f t="shared" ca="1" si="599"/>
        <v>18.125843684400195</v>
      </c>
      <c r="V472" s="45">
        <f t="shared" ca="1" si="584"/>
        <v>0.20278247028256513</v>
      </c>
      <c r="W472" s="77">
        <f t="shared" ca="1" si="585"/>
        <v>0.20386200755579945</v>
      </c>
      <c r="X472" s="45">
        <f t="shared" ca="1" si="600"/>
        <v>1.0531530276390428</v>
      </c>
      <c r="Y472" s="45">
        <f t="shared" ca="1" si="586"/>
        <v>2.3743398165667937E-2</v>
      </c>
      <c r="Z472" s="77">
        <f t="shared" ca="1" si="587"/>
        <v>2.5882951382697479E-2</v>
      </c>
      <c r="AA472" s="45">
        <f t="shared" ca="1" si="601"/>
        <v>39.145302974224144</v>
      </c>
      <c r="AB472" s="45">
        <f t="shared" ca="1" si="588"/>
        <v>0</v>
      </c>
      <c r="AC472" s="45" cm="1">
        <f t="array" aca="1" ref="AC472" ca="1">pHUM*(T472+W472+Z472+AD472)</f>
        <v>2.7933409606668163E-2</v>
      </c>
      <c r="AD472" s="77">
        <f t="shared" ca="1" si="589"/>
        <v>2.9506420132076175E-2</v>
      </c>
      <c r="AE472" s="45">
        <f t="shared" ca="1" si="602"/>
        <v>6.3847072090583081</v>
      </c>
      <c r="AF472" s="45">
        <f t="shared" ca="1" si="590"/>
        <v>0</v>
      </c>
      <c r="AG472" s="76">
        <f t="shared" ca="1" si="591"/>
        <v>64.80025437842562</v>
      </c>
      <c r="AH472" s="45">
        <f t="shared" ca="1" si="592"/>
        <v>0.23623552809765569</v>
      </c>
      <c r="AI472" s="77">
        <f t="shared" ca="1" si="593"/>
        <v>1.1167425131116886E-2</v>
      </c>
      <c r="AJ472" s="384">
        <f t="shared" ca="1" si="595"/>
        <v>2.5054942448686779E-2</v>
      </c>
      <c r="AU472" s="1"/>
    </row>
    <row r="473" spans="3:47" x14ac:dyDescent="0.25">
      <c r="C473" s="10">
        <f t="shared" si="531"/>
        <v>31</v>
      </c>
      <c r="D473" s="91">
        <f t="shared" si="603"/>
        <v>11</v>
      </c>
      <c r="E473" s="278"/>
      <c r="F473" s="76">
        <f t="shared" ref="F473:Q473" ca="1" si="608">F401</f>
        <v>5.71</v>
      </c>
      <c r="G473" s="46">
        <f t="shared" ca="1" si="608"/>
        <v>27.012600000000003</v>
      </c>
      <c r="H473" s="46">
        <f t="shared" ca="1" si="579"/>
        <v>28.517550000000004</v>
      </c>
      <c r="I473" s="45">
        <f t="shared" ca="1" si="580"/>
        <v>0.24617612464957264</v>
      </c>
      <c r="J473" s="45">
        <f t="shared" ca="1" si="581"/>
        <v>0.27952512346894071</v>
      </c>
      <c r="K473" s="45">
        <f t="shared" ca="1" si="597"/>
        <v>0.90345467800480783</v>
      </c>
      <c r="L473" s="358">
        <f t="shared" ca="1" si="582"/>
        <v>0.57043958344737544</v>
      </c>
      <c r="M473" s="76">
        <f t="shared" ca="1" si="608"/>
        <v>0.25347808785320641</v>
      </c>
      <c r="N473" s="45">
        <f t="shared" ca="1" si="608"/>
        <v>0.25</v>
      </c>
      <c r="O473" s="45">
        <f t="shared" ca="1" si="608"/>
        <v>0</v>
      </c>
      <c r="P473" s="46" t="str">
        <f t="shared" ca="1" si="608"/>
        <v/>
      </c>
      <c r="Q473" s="243" t="str">
        <f t="shared" ca="1" si="608"/>
        <v/>
      </c>
      <c r="R473" s="45">
        <f t="shared" ca="1" si="598"/>
        <v>0.11328214387515542</v>
      </c>
      <c r="S473" s="45">
        <f t="shared" ca="1" si="533"/>
        <v>5.0695617570641283E-2</v>
      </c>
      <c r="T473" s="77">
        <f t="shared" ca="1" si="583"/>
        <v>2.1010693094592452E-2</v>
      </c>
      <c r="U473" s="45">
        <f t="shared" ca="1" si="599"/>
        <v>18.12476414712696</v>
      </c>
      <c r="V473" s="45">
        <f t="shared" ca="1" si="584"/>
        <v>0.20278247028256513</v>
      </c>
      <c r="W473" s="77">
        <f t="shared" ca="1" si="585"/>
        <v>0.11120455511321321</v>
      </c>
      <c r="X473" s="45">
        <f t="shared" ca="1" si="600"/>
        <v>1.0510134744220132</v>
      </c>
      <c r="Y473" s="45">
        <f t="shared" ca="1" si="586"/>
        <v>1.3393280951669575E-2</v>
      </c>
      <c r="Z473" s="77">
        <f t="shared" ca="1" si="587"/>
        <v>1.4134489115683083E-2</v>
      </c>
      <c r="AA473" s="45">
        <f t="shared" ca="1" si="601"/>
        <v>39.143729963698739</v>
      </c>
      <c r="AB473" s="45">
        <f t="shared" ca="1" si="588"/>
        <v>0</v>
      </c>
      <c r="AC473" s="45" cm="1">
        <f t="array" aca="1" ref="AC473" ca="1">pHUM*(T473+W473+Z473+AD473)</f>
        <v>1.5756801119611266E-2</v>
      </c>
      <c r="AD473" s="77">
        <f t="shared" ca="1" si="589"/>
        <v>1.6057125285335989E-2</v>
      </c>
      <c r="AE473" s="45">
        <f t="shared" ca="1" si="602"/>
        <v>6.3847072090583081</v>
      </c>
      <c r="AF473" s="45">
        <f t="shared" ca="1" si="590"/>
        <v>0</v>
      </c>
      <c r="AG473" s="76">
        <f t="shared" ca="1" si="591"/>
        <v>64.817496938181179</v>
      </c>
      <c r="AH473" s="45">
        <f t="shared" ca="1" si="592"/>
        <v>0.13325678053754389</v>
      </c>
      <c r="AI473" s="77">
        <f t="shared" ca="1" si="593"/>
        <v>1.1475854299992497E-2</v>
      </c>
      <c r="AJ473" s="384">
        <f t="shared" ca="1" si="595"/>
        <v>2.0875774469756303E-2</v>
      </c>
      <c r="AU473" s="1"/>
    </row>
    <row r="474" spans="3:47" x14ac:dyDescent="0.25">
      <c r="C474" s="10">
        <f t="shared" si="531"/>
        <v>31</v>
      </c>
      <c r="D474" s="91">
        <f t="shared" si="603"/>
        <v>12</v>
      </c>
      <c r="E474" s="278"/>
      <c r="F474" s="76">
        <f t="shared" ref="F474:Q474" ca="1" si="609">F402</f>
        <v>-0.46</v>
      </c>
      <c r="G474" s="46">
        <f t="shared" ca="1" si="609"/>
        <v>27.012600000000003</v>
      </c>
      <c r="H474" s="46">
        <f t="shared" ca="1" si="579"/>
        <v>28.517550000000004</v>
      </c>
      <c r="I474" s="45">
        <f t="shared" ca="1" si="580"/>
        <v>5.3686278337302371E-2</v>
      </c>
      <c r="J474" s="45">
        <f t="shared" ca="1" si="581"/>
        <v>0.27952512346894071</v>
      </c>
      <c r="K474" s="45">
        <f t="shared" ca="1" si="597"/>
        <v>0.90345467800480783</v>
      </c>
      <c r="L474" s="358">
        <f t="shared" ca="1" si="582"/>
        <v>0.34604490353891793</v>
      </c>
      <c r="M474" s="76">
        <f t="shared" ca="1" si="609"/>
        <v>0.25347808785320641</v>
      </c>
      <c r="N474" s="45">
        <f t="shared" ca="1" si="609"/>
        <v>0.25</v>
      </c>
      <c r="O474" s="45">
        <f t="shared" ca="1" si="609"/>
        <v>0</v>
      </c>
      <c r="P474" s="46" t="str">
        <f t="shared" ca="1" si="609"/>
        <v/>
      </c>
      <c r="Q474" s="243" t="str">
        <f t="shared" ca="1" si="609"/>
        <v/>
      </c>
      <c r="R474" s="45">
        <f t="shared" ca="1" si="598"/>
        <v>0.14296706835120426</v>
      </c>
      <c r="S474" s="45">
        <f t="shared" ca="1" si="533"/>
        <v>5.0695617570641283E-2</v>
      </c>
      <c r="T474" s="77">
        <f t="shared" ca="1" si="583"/>
        <v>6.255174458432983E-3</v>
      </c>
      <c r="U474" s="45">
        <f t="shared" ca="1" si="599"/>
        <v>18.216342062296309</v>
      </c>
      <c r="V474" s="45">
        <f t="shared" ca="1" si="584"/>
        <v>0.20278247028256513</v>
      </c>
      <c r="W474" s="77">
        <f t="shared" ca="1" si="585"/>
        <v>2.4432790268623768E-2</v>
      </c>
      <c r="X474" s="45">
        <f t="shared" ca="1" si="600"/>
        <v>1.0502722662579995</v>
      </c>
      <c r="Y474" s="45">
        <f t="shared" ca="1" si="586"/>
        <v>3.0749527121906339E-3</v>
      </c>
      <c r="Z474" s="77">
        <f t="shared" ca="1" si="587"/>
        <v>3.0966125030042774E-3</v>
      </c>
      <c r="AA474" s="45">
        <f t="shared" ca="1" si="601"/>
        <v>39.143429639533018</v>
      </c>
      <c r="AB474" s="45">
        <f t="shared" ca="1" si="588"/>
        <v>0</v>
      </c>
      <c r="AC474" s="45" cm="1">
        <f t="array" aca="1" ref="AC474" ca="1">pHUM*(T474+W474+Z474+AD474)</f>
        <v>3.6175914261066281E-3</v>
      </c>
      <c r="AD474" s="77">
        <f t="shared" ca="1" si="589"/>
        <v>3.5022850749609567E-3</v>
      </c>
      <c r="AE474" s="45">
        <f t="shared" ca="1" si="602"/>
        <v>6.3847072090583081</v>
      </c>
      <c r="AF474" s="45">
        <f t="shared" ca="1" si="590"/>
        <v>0</v>
      </c>
      <c r="AG474" s="76">
        <f t="shared" ca="1" si="591"/>
        <v>64.937718245496839</v>
      </c>
      <c r="AH474" s="45">
        <f t="shared" ca="1" si="592"/>
        <v>3.0594318166724723E-2</v>
      </c>
      <c r="AI474" s="77">
        <f t="shared" ca="1" si="593"/>
        <v>1.1913167006778263E-2</v>
      </c>
      <c r="AJ474" s="384">
        <f t="shared" ca="1" si="595"/>
        <v>1.3146518923911055E-2</v>
      </c>
      <c r="AU474" s="1"/>
    </row>
    <row r="475" spans="3:47" x14ac:dyDescent="0.25">
      <c r="C475" s="10">
        <f t="shared" si="531"/>
        <v>32</v>
      </c>
      <c r="D475" s="91">
        <f t="shared" si="603"/>
        <v>1</v>
      </c>
      <c r="E475" s="278"/>
      <c r="F475" s="76">
        <f t="shared" ref="F475:Q475" ca="1" si="610">F403</f>
        <v>-3.44</v>
      </c>
      <c r="G475" s="46">
        <f t="shared" ca="1" si="610"/>
        <v>27.012600000000003</v>
      </c>
      <c r="H475" s="46">
        <f t="shared" ca="1" si="579"/>
        <v>28.517550000000004</v>
      </c>
      <c r="I475" s="45">
        <f t="shared" ca="1" si="580"/>
        <v>1.6253779081695344E-2</v>
      </c>
      <c r="J475" s="45">
        <f t="shared" ca="1" si="581"/>
        <v>0.27952512346894071</v>
      </c>
      <c r="K475" s="45">
        <f t="shared" ca="1" si="597"/>
        <v>0.90345467800480783</v>
      </c>
      <c r="L475" s="358">
        <f t="shared" ca="1" si="582"/>
        <v>0.25329647647379749</v>
      </c>
      <c r="M475" s="76">
        <f t="shared" ca="1" si="610"/>
        <v>0.25347808785320641</v>
      </c>
      <c r="N475" s="45">
        <f t="shared" ca="1" si="610"/>
        <v>0.25</v>
      </c>
      <c r="O475" s="45">
        <f t="shared" ca="1" si="610"/>
        <v>0</v>
      </c>
      <c r="P475" s="46" t="str">
        <f t="shared" ca="1" si="610"/>
        <v/>
      </c>
      <c r="Q475" s="243" t="str">
        <f t="shared" ca="1" si="610"/>
        <v/>
      </c>
      <c r="R475" s="45">
        <f t="shared" ca="1" si="598"/>
        <v>0.18740751146341256</v>
      </c>
      <c r="S475" s="45">
        <f t="shared" ca="1" si="533"/>
        <v>5.0695617570641283E-2</v>
      </c>
      <c r="T475" s="77">
        <f t="shared" ca="1" si="583"/>
        <v>2.5212865139021302E-3</v>
      </c>
      <c r="U475" s="45">
        <f t="shared" ca="1" si="599"/>
        <v>18.394691742310251</v>
      </c>
      <c r="V475" s="45">
        <f t="shared" ca="1" si="584"/>
        <v>0.20278247028256513</v>
      </c>
      <c r="W475" s="77">
        <f t="shared" ca="1" si="585"/>
        <v>7.4730629746253387E-3</v>
      </c>
      <c r="X475" s="45">
        <f t="shared" ca="1" si="600"/>
        <v>1.0502506064671859</v>
      </c>
      <c r="Y475" s="45">
        <f t="shared" ca="1" si="586"/>
        <v>9.8904702121078102E-4</v>
      </c>
      <c r="Z475" s="77">
        <f t="shared" ca="1" si="587"/>
        <v>9.3846023913936056E-4</v>
      </c>
      <c r="AA475" s="45">
        <f t="shared" ca="1" si="601"/>
        <v>39.143544945884166</v>
      </c>
      <c r="AB475" s="45">
        <f t="shared" ca="1" si="588"/>
        <v>0</v>
      </c>
      <c r="AC475" s="45" cm="1">
        <f t="array" aca="1" ref="AC475" ca="1">pHUM*(T475+W475+Z475+AD475)</f>
        <v>1.163584730836213E-3</v>
      </c>
      <c r="AD475" s="77">
        <f t="shared" ca="1" si="589"/>
        <v>1.060369857461129E-3</v>
      </c>
      <c r="AE475" s="45">
        <f t="shared" ca="1" si="602"/>
        <v>6.3847072090583081</v>
      </c>
      <c r="AF475" s="45">
        <f t="shared" ca="1" si="590"/>
        <v>0</v>
      </c>
      <c r="AG475" s="76">
        <f t="shared" ca="1" si="591"/>
        <v>65.160602015183329</v>
      </c>
      <c r="AH475" s="45">
        <f t="shared" ca="1" si="592"/>
        <v>9.8405478330809634E-3</v>
      </c>
      <c r="AI475" s="77">
        <f t="shared" ca="1" si="593"/>
        <v>1.2573917371180883E-2</v>
      </c>
      <c r="AJ475" s="384">
        <f t="shared" ca="1" si="595"/>
        <v>1.015668676680237E-2</v>
      </c>
      <c r="AU475" s="1"/>
    </row>
    <row r="476" spans="3:47" x14ac:dyDescent="0.25">
      <c r="C476" s="10">
        <f t="shared" si="531"/>
        <v>32</v>
      </c>
      <c r="D476" s="91">
        <f t="shared" si="603"/>
        <v>2</v>
      </c>
      <c r="E476" s="278"/>
      <c r="F476" s="76">
        <f t="shared" ref="F476:Q476" ca="1" si="611">F404</f>
        <v>-1.65</v>
      </c>
      <c r="G476" s="46">
        <f t="shared" ca="1" si="611"/>
        <v>27.012600000000003</v>
      </c>
      <c r="H476" s="46">
        <f t="shared" ca="1" si="579"/>
        <v>28.517550000000004</v>
      </c>
      <c r="I476" s="45">
        <f t="shared" ca="1" si="580"/>
        <v>3.508132091145684E-2</v>
      </c>
      <c r="J476" s="45">
        <f t="shared" ca="1" si="581"/>
        <v>0.27952512346894071</v>
      </c>
      <c r="K476" s="45">
        <f t="shared" ca="1" si="597"/>
        <v>0.90345467800480783</v>
      </c>
      <c r="L476" s="358">
        <f t="shared" ca="1" si="582"/>
        <v>0.30703519550320224</v>
      </c>
      <c r="M476" s="76">
        <f t="shared" ca="1" si="611"/>
        <v>0.25347808785320641</v>
      </c>
      <c r="N476" s="45">
        <f t="shared" ca="1" si="611"/>
        <v>0.25</v>
      </c>
      <c r="O476" s="45">
        <f t="shared" ca="1" si="611"/>
        <v>0</v>
      </c>
      <c r="P476" s="46" t="str">
        <f t="shared" ca="1" si="611"/>
        <v/>
      </c>
      <c r="Q476" s="243" t="str">
        <f t="shared" ca="1" si="611"/>
        <v/>
      </c>
      <c r="R476" s="45">
        <f t="shared" ca="1" si="598"/>
        <v>0.23558184252015171</v>
      </c>
      <c r="S476" s="45">
        <f t="shared" ca="1" si="533"/>
        <v>5.0695617570641283E-2</v>
      </c>
      <c r="T476" s="77">
        <f t="shared" ca="1" si="583"/>
        <v>6.7874054706907241E-3</v>
      </c>
      <c r="U476" s="45">
        <f t="shared" ca="1" si="599"/>
        <v>18.590001149618189</v>
      </c>
      <c r="V476" s="45">
        <f t="shared" ca="1" si="584"/>
        <v>0.20278247028256513</v>
      </c>
      <c r="W476" s="77">
        <f t="shared" ca="1" si="585"/>
        <v>1.6296897398645628E-2</v>
      </c>
      <c r="X476" s="45">
        <f t="shared" ca="1" si="600"/>
        <v>1.0503011932492574</v>
      </c>
      <c r="Y476" s="45">
        <f t="shared" ca="1" si="586"/>
        <v>2.2594016889842293E-3</v>
      </c>
      <c r="Z476" s="77">
        <f t="shared" ca="1" si="587"/>
        <v>2.0245736189593863E-3</v>
      </c>
      <c r="AA476" s="45">
        <f t="shared" ca="1" si="601"/>
        <v>39.143648160757536</v>
      </c>
      <c r="AB476" s="45">
        <f t="shared" ca="1" si="588"/>
        <v>0</v>
      </c>
      <c r="AC476" s="45" cm="1">
        <f t="array" aca="1" ref="AC476" ca="1">pHUM*(T476+W476+Z476+AD476)</f>
        <v>2.6581196340990936E-3</v>
      </c>
      <c r="AD476" s="77">
        <f t="shared" ca="1" si="589"/>
        <v>2.2886178975191182E-3</v>
      </c>
      <c r="AE476" s="45">
        <f t="shared" ca="1" si="602"/>
        <v>6.3847072090583081</v>
      </c>
      <c r="AF476" s="45">
        <f t="shared" ca="1" si="590"/>
        <v>0</v>
      </c>
      <c r="AG476" s="76">
        <f t="shared" ca="1" si="591"/>
        <v>65.404239555203446</v>
      </c>
      <c r="AH476" s="45">
        <f t="shared" ca="1" si="592"/>
        <v>2.2479973062731536E-2</v>
      </c>
      <c r="AI476" s="77">
        <f t="shared" ca="1" si="593"/>
        <v>1.3284995304131122E-2</v>
      </c>
      <c r="AJ476" s="384">
        <f t="shared" ca="1" si="595"/>
        <v>1.3007705840009098E-2</v>
      </c>
      <c r="AU476" s="1"/>
    </row>
    <row r="477" spans="3:47" x14ac:dyDescent="0.25">
      <c r="C477" s="10">
        <f t="shared" si="531"/>
        <v>32</v>
      </c>
      <c r="D477" s="91">
        <f t="shared" si="603"/>
        <v>3</v>
      </c>
      <c r="E477" s="278"/>
      <c r="F477" s="76">
        <f t="shared" ref="F477:Q477" ca="1" si="612">F405</f>
        <v>4.68</v>
      </c>
      <c r="G477" s="46">
        <f t="shared" ca="1" si="612"/>
        <v>27.012600000000003</v>
      </c>
      <c r="H477" s="46">
        <f t="shared" ca="1" si="579"/>
        <v>28.517550000000004</v>
      </c>
      <c r="I477" s="45">
        <f t="shared" ca="1" si="580"/>
        <v>0.20228669449817699</v>
      </c>
      <c r="J477" s="45">
        <f t="shared" ca="1" si="581"/>
        <v>0.27952512346894071</v>
      </c>
      <c r="K477" s="45">
        <f t="shared" ca="1" si="597"/>
        <v>0.90345467800480783</v>
      </c>
      <c r="L477" s="358">
        <f t="shared" ca="1" si="582"/>
        <v>0.53248567772813127</v>
      </c>
      <c r="M477" s="76">
        <f t="shared" ca="1" si="612"/>
        <v>0.25347808785320641</v>
      </c>
      <c r="N477" s="45">
        <f t="shared" ca="1" si="612"/>
        <v>0.25</v>
      </c>
      <c r="O477" s="45">
        <f t="shared" ca="1" si="612"/>
        <v>0</v>
      </c>
      <c r="P477" s="46" t="str">
        <f t="shared" ca="1" si="612"/>
        <v/>
      </c>
      <c r="Q477" s="243" t="str">
        <f t="shared" ca="1" si="612"/>
        <v/>
      </c>
      <c r="R477" s="45">
        <f t="shared" ca="1" si="598"/>
        <v>0.27949005462010229</v>
      </c>
      <c r="S477" s="45">
        <f t="shared" ca="1" si="533"/>
        <v>5.0695617570641283E-2</v>
      </c>
      <c r="T477" s="77">
        <f t="shared" ca="1" si="583"/>
        <v>4.3357229787122406E-2</v>
      </c>
      <c r="U477" s="45">
        <f t="shared" ca="1" si="599"/>
        <v>18.776486722502106</v>
      </c>
      <c r="V477" s="45">
        <f t="shared" ca="1" si="584"/>
        <v>0.20278247028256513</v>
      </c>
      <c r="W477" s="77">
        <f t="shared" ca="1" si="585"/>
        <v>9.4716136294793057E-2</v>
      </c>
      <c r="X477" s="45">
        <f t="shared" ca="1" si="600"/>
        <v>1.0505360213192823</v>
      </c>
      <c r="Y477" s="45">
        <f t="shared" ca="1" si="586"/>
        <v>1.3433253799008723E-2</v>
      </c>
      <c r="Z477" s="77">
        <f t="shared" ca="1" si="587"/>
        <v>1.1623241614143676E-2</v>
      </c>
      <c r="AA477" s="45">
        <f t="shared" ca="1" si="601"/>
        <v>39.144017662494115</v>
      </c>
      <c r="AB477" s="45">
        <f t="shared" ca="1" si="588"/>
        <v>0</v>
      </c>
      <c r="AC477" s="45" cm="1">
        <f t="array" aca="1" ref="AC477" ca="1">pHUM*(T477+W477+Z477+AD477)</f>
        <v>1.5803827998833793E-2</v>
      </c>
      <c r="AD477" s="77">
        <f t="shared" ca="1" si="589"/>
        <v>1.319496547392821E-2</v>
      </c>
      <c r="AE477" s="45">
        <f t="shared" ca="1" si="602"/>
        <v>6.3847072090583081</v>
      </c>
      <c r="AF477" s="45">
        <f t="shared" ca="1" si="590"/>
        <v>0</v>
      </c>
      <c r="AG477" s="76">
        <f t="shared" ca="1" si="591"/>
        <v>65.635237669993913</v>
      </c>
      <c r="AH477" s="45">
        <f t="shared" ca="1" si="592"/>
        <v>0.13365449137214483</v>
      </c>
      <c r="AI477" s="77">
        <f t="shared" ca="1" si="593"/>
        <v>1.392966528910391E-2</v>
      </c>
      <c r="AJ477" s="384">
        <f t="shared" ca="1" si="595"/>
        <v>2.3653498818287932E-2</v>
      </c>
      <c r="AU477" s="1"/>
    </row>
    <row r="478" spans="3:47" x14ac:dyDescent="0.25">
      <c r="C478" s="10">
        <f t="shared" si="531"/>
        <v>32</v>
      </c>
      <c r="D478" s="91">
        <f t="shared" si="603"/>
        <v>4</v>
      </c>
      <c r="E478" s="278"/>
      <c r="F478" s="76">
        <f t="shared" ref="F478:Q478" ca="1" si="613">F406</f>
        <v>7.69</v>
      </c>
      <c r="G478" s="46">
        <f t="shared" ca="1" si="613"/>
        <v>27.012600000000003</v>
      </c>
      <c r="H478" s="46">
        <f t="shared" ca="1" si="579"/>
        <v>28.517550000000004</v>
      </c>
      <c r="I478" s="45">
        <f t="shared" ca="1" si="580"/>
        <v>0.3433111911106958</v>
      </c>
      <c r="J478" s="45">
        <f t="shared" ca="1" si="581"/>
        <v>0.27952512346894071</v>
      </c>
      <c r="K478" s="45">
        <f t="shared" ca="1" si="597"/>
        <v>0.90345467800480783</v>
      </c>
      <c r="L478" s="358">
        <f t="shared" ca="1" si="582"/>
        <v>0.64074183470648283</v>
      </c>
      <c r="M478" s="76">
        <f t="shared" ca="1" si="613"/>
        <v>0.25347808785320641</v>
      </c>
      <c r="N478" s="45">
        <f t="shared" ca="1" si="613"/>
        <v>0.25</v>
      </c>
      <c r="O478" s="45">
        <f t="shared" ca="1" si="613"/>
        <v>0</v>
      </c>
      <c r="P478" s="46" t="str">
        <f t="shared" ca="1" si="613"/>
        <v/>
      </c>
      <c r="Q478" s="243" t="str">
        <f t="shared" ca="1" si="613"/>
        <v/>
      </c>
      <c r="R478" s="45">
        <f t="shared" ca="1" si="598"/>
        <v>0.28682844240362115</v>
      </c>
      <c r="S478" s="45">
        <f t="shared" ca="1" si="533"/>
        <v>5.0695617570641283E-2</v>
      </c>
      <c r="T478" s="77">
        <f t="shared" ca="1" si="583"/>
        <v>7.1364922050609986E-2</v>
      </c>
      <c r="U478" s="45">
        <f t="shared" ca="1" si="599"/>
        <v>18.884553056489878</v>
      </c>
      <c r="V478" s="45">
        <f t="shared" ca="1" si="584"/>
        <v>0.20278247028256513</v>
      </c>
      <c r="W478" s="77">
        <f t="shared" ca="1" si="585"/>
        <v>0.16138838887544524</v>
      </c>
      <c r="X478" s="45">
        <f t="shared" ca="1" si="600"/>
        <v>1.0523460335041472</v>
      </c>
      <c r="Y478" s="45">
        <f t="shared" ca="1" si="586"/>
        <v>2.266454148175549E-2</v>
      </c>
      <c r="Z478" s="77">
        <f t="shared" ca="1" si="587"/>
        <v>1.9684095842103438E-2</v>
      </c>
      <c r="AA478" s="45">
        <f t="shared" ca="1" si="601"/>
        <v>39.146626525019016</v>
      </c>
      <c r="AB478" s="45">
        <f t="shared" ca="1" si="588"/>
        <v>0</v>
      </c>
      <c r="AC478" s="45" cm="1">
        <f t="array" aca="1" ref="AC478" ca="1">pHUM*(T478+W478+Z478+AD478)</f>
        <v>2.6664166449124106E-2</v>
      </c>
      <c r="AD478" s="77">
        <f t="shared" ca="1" si="589"/>
        <v>2.239271796394612E-2</v>
      </c>
      <c r="AE478" s="45">
        <f t="shared" ca="1" si="602"/>
        <v>6.3847072090583081</v>
      </c>
      <c r="AF478" s="45">
        <f t="shared" ca="1" si="590"/>
        <v>0</v>
      </c>
      <c r="AG478" s="76">
        <f t="shared" ca="1" si="591"/>
        <v>65.755061266474968</v>
      </c>
      <c r="AH478" s="45">
        <f t="shared" ca="1" si="592"/>
        <v>0.22550141680122521</v>
      </c>
      <c r="AI478" s="77">
        <f t="shared" ca="1" si="593"/>
        <v>1.4051810049724193E-2</v>
      </c>
      <c r="AJ478" s="384">
        <f t="shared" ca="1" si="595"/>
        <v>2.8711775980133636E-2</v>
      </c>
      <c r="AU478" s="1"/>
    </row>
    <row r="479" spans="3:47" x14ac:dyDescent="0.25">
      <c r="C479" s="10">
        <f t="shared" si="531"/>
        <v>32</v>
      </c>
      <c r="D479" s="91">
        <f t="shared" si="603"/>
        <v>5</v>
      </c>
      <c r="E479" s="278"/>
      <c r="F479" s="76">
        <f t="shared" ref="F479:Q479" ca="1" si="614">F407</f>
        <v>15.52</v>
      </c>
      <c r="G479" s="46">
        <f t="shared" ca="1" si="614"/>
        <v>27.012600000000003</v>
      </c>
      <c r="H479" s="46">
        <f t="shared" ca="1" si="579"/>
        <v>28.517550000000004</v>
      </c>
      <c r="I479" s="45">
        <f t="shared" ca="1" si="580"/>
        <v>0.86230369296737164</v>
      </c>
      <c r="J479" s="45">
        <f t="shared" ca="1" si="581"/>
        <v>0.27952512346894071</v>
      </c>
      <c r="K479" s="45">
        <f t="shared" ca="1" si="597"/>
        <v>0.90345467800480783</v>
      </c>
      <c r="L479" s="358">
        <f t="shared" ca="1" si="582"/>
        <v>0.85046529796407655</v>
      </c>
      <c r="M479" s="76">
        <f t="shared" ca="1" si="614"/>
        <v>0.25347808785320641</v>
      </c>
      <c r="N479" s="45">
        <f t="shared" ca="1" si="614"/>
        <v>0.25</v>
      </c>
      <c r="O479" s="45">
        <f t="shared" ca="1" si="614"/>
        <v>0</v>
      </c>
      <c r="P479" s="46" t="str">
        <f t="shared" ca="1" si="614"/>
        <v/>
      </c>
      <c r="Q479" s="243" t="str">
        <f t="shared" ca="1" si="614"/>
        <v/>
      </c>
      <c r="R479" s="45">
        <f t="shared" ca="1" si="598"/>
        <v>0.26615913792365242</v>
      </c>
      <c r="S479" s="45">
        <f t="shared" ca="1" si="533"/>
        <v>5.0695617570641283E-2</v>
      </c>
      <c r="T479" s="77">
        <f t="shared" ca="1" si="583"/>
        <v>0.13642231208113587</v>
      </c>
      <c r="U479" s="45">
        <f t="shared" ca="1" si="599"/>
        <v>18.925947137896998</v>
      </c>
      <c r="V479" s="45">
        <f t="shared" ca="1" si="584"/>
        <v>0.20278247028256513</v>
      </c>
      <c r="W479" s="77">
        <f t="shared" ca="1" si="585"/>
        <v>0.4036315589365263</v>
      </c>
      <c r="X479" s="45">
        <f t="shared" ca="1" si="600"/>
        <v>1.0553264791437993</v>
      </c>
      <c r="Y479" s="45">
        <f t="shared" ca="1" si="586"/>
        <v>5.3204901958052449E-2</v>
      </c>
      <c r="Z479" s="77">
        <f t="shared" ca="1" si="587"/>
        <v>4.8882329538654623E-2</v>
      </c>
      <c r="AA479" s="45">
        <f t="shared" ca="1" si="601"/>
        <v>39.150897973504193</v>
      </c>
      <c r="AB479" s="45">
        <f t="shared" ca="1" si="588"/>
        <v>0</v>
      </c>
      <c r="AC479" s="45" cm="1">
        <f t="array" aca="1" ref="AC479" ca="1">pHUM*(T479+W479+Z479+AD479)</f>
        <v>6.259400230359112E-2</v>
      </c>
      <c r="AD479" s="77">
        <f t="shared" ca="1" si="589"/>
        <v>5.6226193452917156E-2</v>
      </c>
      <c r="AE479" s="45">
        <f t="shared" ca="1" si="602"/>
        <v>6.3847072090583081</v>
      </c>
      <c r="AF479" s="45">
        <f t="shared" ca="1" si="590"/>
        <v>0</v>
      </c>
      <c r="AG479" s="76">
        <f t="shared" ca="1" si="591"/>
        <v>65.783037937526956</v>
      </c>
      <c r="AH479" s="45">
        <f t="shared" ca="1" si="592"/>
        <v>0.5293634897475904</v>
      </c>
      <c r="AI479" s="77">
        <f t="shared" ca="1" si="593"/>
        <v>1.3775511920804106E-2</v>
      </c>
      <c r="AJ479" s="384">
        <f t="shared" ca="1" si="595"/>
        <v>3.735988295600734E-2</v>
      </c>
      <c r="AU479" s="1"/>
    </row>
    <row r="480" spans="3:47" x14ac:dyDescent="0.25">
      <c r="C480" s="10">
        <f t="shared" si="531"/>
        <v>32</v>
      </c>
      <c r="D480" s="91">
        <f t="shared" si="603"/>
        <v>6</v>
      </c>
      <c r="E480" s="278"/>
      <c r="F480" s="76">
        <f t="shared" ref="F480:Q480" ca="1" si="615">F408</f>
        <v>17.8</v>
      </c>
      <c r="G480" s="46">
        <f t="shared" ca="1" si="615"/>
        <v>27.012600000000003</v>
      </c>
      <c r="H480" s="46">
        <f t="shared" ca="1" si="579"/>
        <v>28.517550000000004</v>
      </c>
      <c r="I480" s="45">
        <f t="shared" ca="1" si="580"/>
        <v>1.0420430221807615</v>
      </c>
      <c r="J480" s="45">
        <f t="shared" ca="1" si="581"/>
        <v>0.27952512346894071</v>
      </c>
      <c r="K480" s="45">
        <f t="shared" ca="1" si="597"/>
        <v>0.90345467800480783</v>
      </c>
      <c r="L480" s="358">
        <f t="shared" ca="1" si="582"/>
        <v>0.88796358149435028</v>
      </c>
      <c r="M480" s="76">
        <f t="shared" ca="1" si="615"/>
        <v>0.25347808785320641</v>
      </c>
      <c r="N480" s="45">
        <f t="shared" ca="1" si="615"/>
        <v>0.25</v>
      </c>
      <c r="O480" s="45">
        <f t="shared" ca="1" si="615"/>
        <v>0</v>
      </c>
      <c r="P480" s="46" t="str">
        <f t="shared" ca="1" si="615"/>
        <v/>
      </c>
      <c r="Q480" s="243" t="str">
        <f t="shared" ca="1" si="615"/>
        <v/>
      </c>
      <c r="R480" s="45">
        <f t="shared" ca="1" si="598"/>
        <v>0.18043244341315784</v>
      </c>
      <c r="S480" s="45">
        <f t="shared" ca="1" si="533"/>
        <v>5.0695617570641283E-2</v>
      </c>
      <c r="T480" s="77">
        <f t="shared" ca="1" si="583"/>
        <v>0.10471661384205616</v>
      </c>
      <c r="U480" s="45">
        <f t="shared" ca="1" si="599"/>
        <v>18.725098049243034</v>
      </c>
      <c r="V480" s="45">
        <f t="shared" ca="1" si="584"/>
        <v>0.20278247028256513</v>
      </c>
      <c r="W480" s="77">
        <f t="shared" ca="1" si="585"/>
        <v>0.48150978868457217</v>
      </c>
      <c r="X480" s="45">
        <f t="shared" ca="1" si="600"/>
        <v>1.0596490515631971</v>
      </c>
      <c r="Y480" s="45">
        <f t="shared" ca="1" si="586"/>
        <v>5.8815523165816591E-2</v>
      </c>
      <c r="Z480" s="77">
        <f t="shared" ca="1" si="587"/>
        <v>5.9023452304688938E-2</v>
      </c>
      <c r="AA480" s="45">
        <f t="shared" ca="1" si="601"/>
        <v>39.15726578235487</v>
      </c>
      <c r="AB480" s="45">
        <f t="shared" ca="1" si="588"/>
        <v>0</v>
      </c>
      <c r="AC480" s="45" cm="1">
        <f t="array" aca="1" ref="AC480" ca="1">pHUM*(T480+W480+Z480+AD480)</f>
        <v>6.9194733136254807E-2</v>
      </c>
      <c r="AD480" s="77">
        <f t="shared" ca="1" si="589"/>
        <v>6.7946905882209432E-2</v>
      </c>
      <c r="AE480" s="45">
        <f t="shared" ca="1" si="602"/>
        <v>6.3847072090583081</v>
      </c>
      <c r="AF480" s="45">
        <f t="shared" ca="1" si="590"/>
        <v>0</v>
      </c>
      <c r="AG480" s="76">
        <f t="shared" ca="1" si="591"/>
        <v>65.507152535632571</v>
      </c>
      <c r="AH480" s="45">
        <f t="shared" ca="1" si="592"/>
        <v>0.58518650441145548</v>
      </c>
      <c r="AI480" s="77">
        <f t="shared" ca="1" si="593"/>
        <v>1.2550743192649171E-2</v>
      </c>
      <c r="AJ480" s="384">
        <f t="shared" ca="1" si="595"/>
        <v>3.5539106599293824E-2</v>
      </c>
      <c r="AU480" s="1"/>
    </row>
    <row r="481" spans="3:47" x14ac:dyDescent="0.25">
      <c r="C481" s="10">
        <f t="shared" si="531"/>
        <v>32</v>
      </c>
      <c r="D481" s="91">
        <f t="shared" si="603"/>
        <v>7</v>
      </c>
      <c r="E481" s="278"/>
      <c r="F481" s="76">
        <f t="shared" ref="F481:Q481" ca="1" si="616">F409</f>
        <v>22.99</v>
      </c>
      <c r="G481" s="46">
        <f t="shared" ca="1" si="616"/>
        <v>27.012600000000003</v>
      </c>
      <c r="H481" s="46">
        <f t="shared" ca="1" si="579"/>
        <v>28.517550000000004</v>
      </c>
      <c r="I481" s="45">
        <f t="shared" ca="1" si="580"/>
        <v>1.4752596357037575</v>
      </c>
      <c r="J481" s="45">
        <f t="shared" ca="1" si="581"/>
        <v>0.27952512346894071</v>
      </c>
      <c r="K481" s="45">
        <f t="shared" ca="1" si="597"/>
        <v>0.90345467800480783</v>
      </c>
      <c r="L481" s="358">
        <f t="shared" ca="1" si="582"/>
        <v>0.94206720469222516</v>
      </c>
      <c r="M481" s="76">
        <f t="shared" ca="1" si="616"/>
        <v>0.25347808785320641</v>
      </c>
      <c r="N481" s="45">
        <f t="shared" ca="1" si="616"/>
        <v>0.25</v>
      </c>
      <c r="O481" s="45">
        <f t="shared" ca="1" si="616"/>
        <v>0</v>
      </c>
      <c r="P481" s="46" t="str">
        <f t="shared" ca="1" si="616"/>
        <v/>
      </c>
      <c r="Q481" s="243" t="str">
        <f t="shared" ca="1" si="616"/>
        <v/>
      </c>
      <c r="R481" s="45">
        <f t="shared" ca="1" si="598"/>
        <v>0.12641144714174296</v>
      </c>
      <c r="S481" s="45">
        <f t="shared" ca="1" si="533"/>
        <v>5.0695617570641283E-2</v>
      </c>
      <c r="T481" s="77">
        <f t="shared" ca="1" si="583"/>
        <v>8.9439515862024505E-2</v>
      </c>
      <c r="U481" s="45">
        <f t="shared" ca="1" si="599"/>
        <v>18.446370730841025</v>
      </c>
      <c r="V481" s="45">
        <f t="shared" ca="1" si="584"/>
        <v>0.20278247028256513</v>
      </c>
      <c r="W481" s="77">
        <f t="shared" ca="1" si="585"/>
        <v>0.66793669221811991</v>
      </c>
      <c r="X481" s="45">
        <f t="shared" ca="1" si="600"/>
        <v>1.0594411224243248</v>
      </c>
      <c r="Y481" s="45">
        <f t="shared" ca="1" si="586"/>
        <v>7.7198350001826538E-2</v>
      </c>
      <c r="Z481" s="77">
        <f t="shared" ca="1" si="587"/>
        <v>8.2567271297731656E-2</v>
      </c>
      <c r="AA481" s="45">
        <f t="shared" ca="1" si="601"/>
        <v>39.158513609608917</v>
      </c>
      <c r="AB481" s="45">
        <f t="shared" ca="1" si="588"/>
        <v>0</v>
      </c>
      <c r="AC481" s="45" cm="1">
        <f t="array" aca="1" ref="AC481" ca="1">pHUM*(T481+W481+Z481+AD481)</f>
        <v>9.0821588237442991E-2</v>
      </c>
      <c r="AD481" s="77">
        <f t="shared" ca="1" si="589"/>
        <v>9.6163354161795625E-2</v>
      </c>
      <c r="AE481" s="45">
        <f t="shared" ca="1" si="602"/>
        <v>6.3847072090583081</v>
      </c>
      <c r="AF481" s="45">
        <f t="shared" ca="1" si="590"/>
        <v>0</v>
      </c>
      <c r="AG481" s="76">
        <f t="shared" ca="1" si="591"/>
        <v>65.175444119074314</v>
      </c>
      <c r="AH481" s="45">
        <f t="shared" ca="1" si="592"/>
        <v>0.76808689530040231</v>
      </c>
      <c r="AI481" s="77">
        <f t="shared" ca="1" si="593"/>
        <v>1.1737148201220649E-2</v>
      </c>
      <c r="AJ481" s="384">
        <f t="shared" ca="1" si="595"/>
        <v>3.5260340061007422E-2</v>
      </c>
      <c r="AU481" s="1"/>
    </row>
    <row r="482" spans="3:47" x14ac:dyDescent="0.25">
      <c r="C482" s="10">
        <f t="shared" si="531"/>
        <v>32</v>
      </c>
      <c r="D482" s="91">
        <f t="shared" si="603"/>
        <v>8</v>
      </c>
      <c r="E482" s="278"/>
      <c r="F482" s="76">
        <f t="shared" ref="F482:Q482" ca="1" si="617">F410</f>
        <v>21.76</v>
      </c>
      <c r="G482" s="46">
        <f t="shared" ca="1" si="617"/>
        <v>27.012600000000003</v>
      </c>
      <c r="H482" s="46">
        <f t="shared" ca="1" si="579"/>
        <v>28.517550000000004</v>
      </c>
      <c r="I482" s="45">
        <f t="shared" ca="1" si="580"/>
        <v>1.3706166748122235</v>
      </c>
      <c r="J482" s="45">
        <f t="shared" ca="1" si="581"/>
        <v>0.27952512346894071</v>
      </c>
      <c r="K482" s="45">
        <f t="shared" ca="1" si="597"/>
        <v>0.90345467800480783</v>
      </c>
      <c r="L482" s="358">
        <f t="shared" ca="1" si="582"/>
        <v>0.93252308258228611</v>
      </c>
      <c r="M482" s="76">
        <f t="shared" ca="1" si="617"/>
        <v>0.25347808785320641</v>
      </c>
      <c r="N482" s="45">
        <f t="shared" ca="1" si="617"/>
        <v>0.25</v>
      </c>
      <c r="O482" s="45">
        <f t="shared" ca="1" si="617"/>
        <v>0</v>
      </c>
      <c r="P482" s="46" t="str">
        <f t="shared" ca="1" si="617"/>
        <v/>
      </c>
      <c r="Q482" s="243" t="str">
        <f t="shared" ca="1" si="617"/>
        <v/>
      </c>
      <c r="R482" s="45">
        <f t="shared" ca="1" si="598"/>
        <v>8.7667548850359739E-2</v>
      </c>
      <c r="S482" s="45">
        <f t="shared" ca="1" si="533"/>
        <v>5.0695617570641283E-2</v>
      </c>
      <c r="T482" s="77">
        <f t="shared" ca="1" si="583"/>
        <v>5.9690870583984493E-2</v>
      </c>
      <c r="U482" s="45">
        <f t="shared" ca="1" si="599"/>
        <v>17.981216508905469</v>
      </c>
      <c r="V482" s="45">
        <f t="shared" ca="1" si="584"/>
        <v>0.20278247028256513</v>
      </c>
      <c r="W482" s="77">
        <f t="shared" ca="1" si="585"/>
        <v>0.6056973806599496</v>
      </c>
      <c r="X482" s="45">
        <f t="shared" ca="1" si="600"/>
        <v>1.0540722011284196</v>
      </c>
      <c r="Y482" s="45">
        <f t="shared" ca="1" si="586"/>
        <v>6.8552319039597243E-2</v>
      </c>
      <c r="Z482" s="77">
        <f t="shared" ca="1" si="587"/>
        <v>7.6538946207935679E-2</v>
      </c>
      <c r="AA482" s="45">
        <f t="shared" ca="1" si="601"/>
        <v>39.153171843684568</v>
      </c>
      <c r="AB482" s="45">
        <f t="shared" ca="1" si="588"/>
        <v>0</v>
      </c>
      <c r="AC482" s="45" cm="1">
        <f t="array" aca="1" ref="AC482" ca="1">pHUM*(T482+W482+Z482+AD482)</f>
        <v>8.0649787105408516E-2</v>
      </c>
      <c r="AD482" s="77">
        <f t="shared" ca="1" si="589"/>
        <v>8.9337904800191062E-2</v>
      </c>
      <c r="AE482" s="45">
        <f t="shared" ca="1" si="602"/>
        <v>6.3847072090583081</v>
      </c>
      <c r="AF482" s="45">
        <f t="shared" ca="1" si="590"/>
        <v>0</v>
      </c>
      <c r="AG482" s="76">
        <f t="shared" ca="1" si="591"/>
        <v>64.660835311627125</v>
      </c>
      <c r="AH482" s="45">
        <f t="shared" ca="1" si="592"/>
        <v>0.68206299610705512</v>
      </c>
      <c r="AI482" s="77">
        <f t="shared" ca="1" si="593"/>
        <v>1.1081998443046977E-2</v>
      </c>
      <c r="AJ482" s="384">
        <f t="shared" ca="1" si="595"/>
        <v>3.2954948918088034E-2</v>
      </c>
      <c r="AU482" s="1"/>
    </row>
    <row r="483" spans="3:47" x14ac:dyDescent="0.25">
      <c r="C483" s="10">
        <f t="shared" si="531"/>
        <v>32</v>
      </c>
      <c r="D483" s="91">
        <f t="shared" si="603"/>
        <v>9</v>
      </c>
      <c r="E483" s="278"/>
      <c r="F483" s="76">
        <f t="shared" ref="F483:Q483" ca="1" si="618">F411</f>
        <v>16.16</v>
      </c>
      <c r="G483" s="46">
        <f t="shared" ca="1" si="618"/>
        <v>27.012600000000003</v>
      </c>
      <c r="H483" s="46">
        <f t="shared" ca="1" si="579"/>
        <v>28.517550000000004</v>
      </c>
      <c r="I483" s="45">
        <f t="shared" ca="1" si="580"/>
        <v>0.91183635166446475</v>
      </c>
      <c r="J483" s="45">
        <f t="shared" ca="1" si="581"/>
        <v>0.27952512346894071</v>
      </c>
      <c r="K483" s="45">
        <f t="shared" ca="1" si="597"/>
        <v>0.90345467800480783</v>
      </c>
      <c r="L483" s="358">
        <f t="shared" ca="1" si="582"/>
        <v>0.86198800670670384</v>
      </c>
      <c r="M483" s="76">
        <f t="shared" ca="1" si="618"/>
        <v>0.25347808785320641</v>
      </c>
      <c r="N483" s="45">
        <f t="shared" ca="1" si="618"/>
        <v>0.25</v>
      </c>
      <c r="O483" s="45">
        <f t="shared" ca="1" si="618"/>
        <v>0</v>
      </c>
      <c r="P483" s="46" t="str">
        <f t="shared" ca="1" si="618"/>
        <v/>
      </c>
      <c r="Q483" s="243" t="str">
        <f t="shared" ca="1" si="618"/>
        <v/>
      </c>
      <c r="R483" s="45">
        <f t="shared" ca="1" si="598"/>
        <v>7.8672295837016529E-2</v>
      </c>
      <c r="S483" s="45">
        <f t="shared" ca="1" si="533"/>
        <v>5.0695617570641283E-2</v>
      </c>
      <c r="T483" s="77">
        <f t="shared" ca="1" si="583"/>
        <v>4.1874886484751211E-2</v>
      </c>
      <c r="U483" s="45">
        <f t="shared" ca="1" si="599"/>
        <v>17.578301598528082</v>
      </c>
      <c r="V483" s="45">
        <f t="shared" ca="1" si="584"/>
        <v>0.20278247028256513</v>
      </c>
      <c r="W483" s="77">
        <f t="shared" ca="1" si="585"/>
        <v>0.39618055580948092</v>
      </c>
      <c r="X483" s="45">
        <f t="shared" ca="1" si="600"/>
        <v>1.0460855739600809</v>
      </c>
      <c r="Y483" s="45">
        <f t="shared" ca="1" si="586"/>
        <v>4.5247224907468429E-2</v>
      </c>
      <c r="Z483" s="77">
        <f t="shared" ca="1" si="587"/>
        <v>5.1168438638884733E-2</v>
      </c>
      <c r="AA483" s="45">
        <f t="shared" ca="1" si="601"/>
        <v>39.144483725989787</v>
      </c>
      <c r="AB483" s="45">
        <f t="shared" ca="1" si="588"/>
        <v>0</v>
      </c>
      <c r="AC483" s="45" cm="1">
        <f t="array" aca="1" ref="AC483" ca="1">pHUM*(T483+W483+Z483+AD483)</f>
        <v>5.3232029302904035E-2</v>
      </c>
      <c r="AD483" s="77">
        <f t="shared" ca="1" si="589"/>
        <v>5.9443758123747345E-2</v>
      </c>
      <c r="AE483" s="45">
        <f t="shared" ca="1" si="602"/>
        <v>6.3847072090583081</v>
      </c>
      <c r="AF483" s="45">
        <f t="shared" ca="1" si="590"/>
        <v>0</v>
      </c>
      <c r="AG483" s="76">
        <f t="shared" ca="1" si="591"/>
        <v>64.232250403373271</v>
      </c>
      <c r="AH483" s="45">
        <f t="shared" ca="1" si="592"/>
        <v>0.45018838484649182</v>
      </c>
      <c r="AI483" s="77">
        <f t="shared" ca="1" si="593"/>
        <v>1.0852549038479022E-2</v>
      </c>
      <c r="AJ483" s="384">
        <f t="shared" ca="1" si="595"/>
        <v>2.9831646722013883E-2</v>
      </c>
      <c r="AU483" s="1"/>
    </row>
    <row r="484" spans="3:47" x14ac:dyDescent="0.25">
      <c r="C484" s="10">
        <f t="shared" si="531"/>
        <v>32</v>
      </c>
      <c r="D484" s="91">
        <f t="shared" si="603"/>
        <v>10</v>
      </c>
      <c r="E484" s="278"/>
      <c r="F484" s="76">
        <f t="shared" ref="F484:Q484" ca="1" si="619">F412</f>
        <v>11.21</v>
      </c>
      <c r="G484" s="46">
        <f t="shared" ca="1" si="619"/>
        <v>27.012600000000003</v>
      </c>
      <c r="H484" s="46">
        <f t="shared" ca="1" si="579"/>
        <v>28.517550000000004</v>
      </c>
      <c r="I484" s="45">
        <f t="shared" ca="1" si="580"/>
        <v>0.55341948356365211</v>
      </c>
      <c r="J484" s="45">
        <f t="shared" ca="1" si="581"/>
        <v>0.27952512346894071</v>
      </c>
      <c r="K484" s="45">
        <f t="shared" ca="1" si="597"/>
        <v>0.90345467800480783</v>
      </c>
      <c r="L484" s="358">
        <f t="shared" ca="1" si="582"/>
        <v>0.75061725573145499</v>
      </c>
      <c r="M484" s="76">
        <f t="shared" ca="1" si="619"/>
        <v>0.25347808785320641</v>
      </c>
      <c r="N484" s="45">
        <f t="shared" ca="1" si="619"/>
        <v>0.25</v>
      </c>
      <c r="O484" s="45">
        <f t="shared" ca="1" si="619"/>
        <v>0</v>
      </c>
      <c r="P484" s="46" t="str">
        <f t="shared" ca="1" si="619"/>
        <v/>
      </c>
      <c r="Q484" s="243" t="str">
        <f t="shared" ca="1" si="619"/>
        <v/>
      </c>
      <c r="R484" s="45">
        <f t="shared" ca="1" si="598"/>
        <v>8.7493026922906586E-2</v>
      </c>
      <c r="S484" s="45">
        <f t="shared" ca="1" si="533"/>
        <v>5.0695617570641283E-2</v>
      </c>
      <c r="T484" s="77">
        <f t="shared" ca="1" si="583"/>
        <v>3.2325406484756646E-2</v>
      </c>
      <c r="U484" s="45">
        <f t="shared" ca="1" si="599"/>
        <v>17.384903513001166</v>
      </c>
      <c r="V484" s="45">
        <f t="shared" ca="1" si="584"/>
        <v>0.20278247028256513</v>
      </c>
      <c r="W484" s="77">
        <f t="shared" ca="1" si="585"/>
        <v>0.23887234009676819</v>
      </c>
      <c r="X484" s="45">
        <f t="shared" ca="1" si="600"/>
        <v>1.0401643602286648</v>
      </c>
      <c r="Y484" s="45">
        <f t="shared" ca="1" si="586"/>
        <v>2.791230759187199E-2</v>
      </c>
      <c r="Z484" s="77">
        <f t="shared" ca="1" si="587"/>
        <v>3.1183605327283488E-2</v>
      </c>
      <c r="AA484" s="45">
        <f t="shared" ca="1" si="601"/>
        <v>39.138271997168943</v>
      </c>
      <c r="AB484" s="45">
        <f t="shared" ca="1" si="588"/>
        <v>0</v>
      </c>
      <c r="AC484" s="45" cm="1">
        <f t="array" aca="1" ref="AC484" ca="1">pHUM*(T484+W484+Z484+AD484)</f>
        <v>3.2838008931614107E-2</v>
      </c>
      <c r="AD484" s="77">
        <f t="shared" ca="1" si="589"/>
        <v>3.6083160298957841E-2</v>
      </c>
      <c r="AE484" s="45">
        <f t="shared" ca="1" si="602"/>
        <v>6.3847072090583081</v>
      </c>
      <c r="AF484" s="45">
        <f t="shared" ca="1" si="590"/>
        <v>0</v>
      </c>
      <c r="AG484" s="76">
        <f t="shared" ca="1" si="591"/>
        <v>64.035540106379983</v>
      </c>
      <c r="AH484" s="45">
        <f t="shared" ca="1" si="592"/>
        <v>0.27771419568428013</v>
      </c>
      <c r="AI484" s="77">
        <f t="shared" ca="1" si="593"/>
        <v>1.0927386562780713E-2</v>
      </c>
      <c r="AJ484" s="384">
        <f t="shared" ca="1" si="595"/>
        <v>2.6156558607097757E-2</v>
      </c>
      <c r="AU484" s="1"/>
    </row>
    <row r="485" spans="3:47" x14ac:dyDescent="0.25">
      <c r="C485" s="10">
        <f t="shared" ref="C485:C548" si="620">IF(D485=1,C484+1,C484)</f>
        <v>32</v>
      </c>
      <c r="D485" s="91">
        <f t="shared" si="603"/>
        <v>11</v>
      </c>
      <c r="E485" s="278"/>
      <c r="F485" s="76">
        <f t="shared" ref="F485:Q485" ca="1" si="621">F413</f>
        <v>1.8</v>
      </c>
      <c r="G485" s="46">
        <f t="shared" ca="1" si="621"/>
        <v>27.012600000000003</v>
      </c>
      <c r="H485" s="46">
        <f t="shared" ca="1" si="579"/>
        <v>28.517550000000004</v>
      </c>
      <c r="I485" s="45">
        <f t="shared" ca="1" si="580"/>
        <v>0.10471759589279002</v>
      </c>
      <c r="J485" s="45">
        <f t="shared" ca="1" si="581"/>
        <v>0.27952512346894071</v>
      </c>
      <c r="K485" s="45">
        <f t="shared" ca="1" si="597"/>
        <v>0.90345467800480783</v>
      </c>
      <c r="L485" s="358">
        <f t="shared" ca="1" si="582"/>
        <v>0.42572038710161686</v>
      </c>
      <c r="M485" s="76">
        <f t="shared" ca="1" si="621"/>
        <v>0.25347808785320641</v>
      </c>
      <c r="N485" s="45">
        <f t="shared" ca="1" si="621"/>
        <v>0.25</v>
      </c>
      <c r="O485" s="45">
        <f t="shared" ca="1" si="621"/>
        <v>0</v>
      </c>
      <c r="P485" s="46" t="str">
        <f t="shared" ca="1" si="621"/>
        <v/>
      </c>
      <c r="Q485" s="243" t="str">
        <f t="shared" ca="1" si="621"/>
        <v/>
      </c>
      <c r="R485" s="45">
        <f t="shared" ca="1" si="598"/>
        <v>0.10586323800879122</v>
      </c>
      <c r="S485" s="45">
        <f t="shared" ref="S485:S548" ca="1" si="622">M485*N485/(1+N485) +   IF(O485&gt;0,O485*P485*(1-Q485)/(1+P485),0)</f>
        <v>5.0695617570641283E-2</v>
      </c>
      <c r="T485" s="77">
        <f t="shared" ca="1" si="583"/>
        <v>8.8465126159825002E-3</v>
      </c>
      <c r="U485" s="45">
        <f t="shared" ca="1" si="599"/>
        <v>17.348813643186961</v>
      </c>
      <c r="V485" s="45">
        <f t="shared" ca="1" si="584"/>
        <v>0.20278247028256513</v>
      </c>
      <c r="W485" s="77">
        <f t="shared" ca="1" si="585"/>
        <v>4.5358752258122741E-2</v>
      </c>
      <c r="X485" s="45">
        <f t="shared" ca="1" si="600"/>
        <v>1.0368930624932531</v>
      </c>
      <c r="Y485" s="45">
        <f t="shared" ca="1" si="586"/>
        <v>5.5244674192361145E-3</v>
      </c>
      <c r="Z485" s="77">
        <f t="shared" ca="1" si="587"/>
        <v>5.9547875144806139E-3</v>
      </c>
      <c r="AA485" s="45">
        <f t="shared" ca="1" si="601"/>
        <v>39.135026845801598</v>
      </c>
      <c r="AB485" s="45">
        <f t="shared" ca="1" si="588"/>
        <v>0</v>
      </c>
      <c r="AC485" s="45" cm="1">
        <f t="array" aca="1" ref="AC485" ca="1">pHUM*(T485+W485+Z485+AD485)</f>
        <v>6.4993734343954286E-3</v>
      </c>
      <c r="AD485" s="77">
        <f t="shared" ca="1" si="589"/>
        <v>6.8296138761962475E-3</v>
      </c>
      <c r="AE485" s="45">
        <f t="shared" ca="1" si="602"/>
        <v>6.3847072090583081</v>
      </c>
      <c r="AF485" s="45">
        <f t="shared" ca="1" si="590"/>
        <v>0</v>
      </c>
      <c r="AG485" s="76">
        <f t="shared" ca="1" si="591"/>
        <v>64.011303998548911</v>
      </c>
      <c r="AH485" s="45">
        <f t="shared" ca="1" si="592"/>
        <v>5.4965825411150568E-2</v>
      </c>
      <c r="AI485" s="77">
        <f t="shared" ca="1" si="593"/>
        <v>1.1178759551260081E-2</v>
      </c>
      <c r="AJ485" s="384">
        <f t="shared" ca="1" si="595"/>
        <v>1.5176384285987554E-2</v>
      </c>
      <c r="AU485" s="1"/>
    </row>
    <row r="486" spans="3:47" x14ac:dyDescent="0.25">
      <c r="C486" s="10">
        <f t="shared" si="620"/>
        <v>32</v>
      </c>
      <c r="D486" s="91">
        <f t="shared" si="603"/>
        <v>12</v>
      </c>
      <c r="E486" s="278"/>
      <c r="F486" s="76">
        <f t="shared" ref="F486:Q486" ca="1" si="623">F414</f>
        <v>-0.63</v>
      </c>
      <c r="G486" s="46">
        <f t="shared" ca="1" si="623"/>
        <v>27.012600000000003</v>
      </c>
      <c r="H486" s="46">
        <f t="shared" ca="1" si="579"/>
        <v>28.517550000000004</v>
      </c>
      <c r="I486" s="45">
        <f t="shared" ca="1" si="580"/>
        <v>5.069926650983797E-2</v>
      </c>
      <c r="J486" s="45">
        <f t="shared" ca="1" si="581"/>
        <v>0.27952512346894071</v>
      </c>
      <c r="K486" s="45">
        <f t="shared" ca="1" si="597"/>
        <v>0.90345467800480783</v>
      </c>
      <c r="L486" s="358">
        <f t="shared" ca="1" si="582"/>
        <v>0.3403279781726225</v>
      </c>
      <c r="M486" s="76">
        <f t="shared" ca="1" si="623"/>
        <v>0.25347808785320641</v>
      </c>
      <c r="N486" s="45">
        <f t="shared" ca="1" si="623"/>
        <v>0.25</v>
      </c>
      <c r="O486" s="45">
        <f t="shared" ca="1" si="623"/>
        <v>0</v>
      </c>
      <c r="P486" s="46" t="str">
        <f t="shared" ca="1" si="623"/>
        <v/>
      </c>
      <c r="Q486" s="243" t="str">
        <f t="shared" ca="1" si="623"/>
        <v/>
      </c>
      <c r="R486" s="45">
        <f t="shared" ca="1" si="598"/>
        <v>0.14771234296345001</v>
      </c>
      <c r="S486" s="45">
        <f t="shared" ca="1" si="622"/>
        <v>5.0695617570641283E-2</v>
      </c>
      <c r="T486" s="77">
        <f t="shared" ca="1" si="583"/>
        <v>6.1107593251454049E-3</v>
      </c>
      <c r="U486" s="45">
        <f t="shared" ca="1" si="599"/>
        <v>17.506237361211401</v>
      </c>
      <c r="V486" s="45">
        <f t="shared" ca="1" si="584"/>
        <v>0.20278247028256513</v>
      </c>
      <c r="W486" s="77">
        <f t="shared" ca="1" si="585"/>
        <v>2.2174778807590483E-2</v>
      </c>
      <c r="X486" s="45">
        <f t="shared" ca="1" si="600"/>
        <v>1.0364627423980086</v>
      </c>
      <c r="Y486" s="45">
        <f t="shared" ca="1" si="586"/>
        <v>2.8433411206478017E-3</v>
      </c>
      <c r="Z486" s="77">
        <f t="shared" ca="1" si="587"/>
        <v>2.8861087752155069E-3</v>
      </c>
      <c r="AA486" s="45">
        <f t="shared" ca="1" si="601"/>
        <v>39.134696605359792</v>
      </c>
      <c r="AB486" s="45">
        <f t="shared" ca="1" si="588"/>
        <v>0</v>
      </c>
      <c r="AC486" s="45" cm="1">
        <f t="array" aca="1" ref="AC486" ca="1">pHUM*(T486+W486+Z486+AD486)</f>
        <v>3.34510720076212E-3</v>
      </c>
      <c r="AD486" s="77">
        <f t="shared" ca="1" si="589"/>
        <v>3.3066943138464746E-3</v>
      </c>
      <c r="AE486" s="45">
        <f t="shared" ca="1" si="602"/>
        <v>6.3847072090583081</v>
      </c>
      <c r="AF486" s="45">
        <f t="shared" ca="1" si="590"/>
        <v>0</v>
      </c>
      <c r="AG486" s="76">
        <f t="shared" ca="1" si="591"/>
        <v>64.209816260990962</v>
      </c>
      <c r="AH486" s="45">
        <f t="shared" ca="1" si="592"/>
        <v>2.8289892900387949E-2</v>
      </c>
      <c r="AI486" s="77">
        <f t="shared" ca="1" si="593"/>
        <v>1.1811123394981705E-2</v>
      </c>
      <c r="AJ486" s="384">
        <f t="shared" ca="1" si="595"/>
        <v>1.2818584724164639E-2</v>
      </c>
      <c r="AU486" s="1"/>
    </row>
    <row r="487" spans="3:47" x14ac:dyDescent="0.25">
      <c r="C487" s="10">
        <f t="shared" si="620"/>
        <v>33</v>
      </c>
      <c r="D487" s="91">
        <f t="shared" si="603"/>
        <v>1</v>
      </c>
      <c r="E487" s="278"/>
      <c r="F487" s="76">
        <f t="shared" ref="F487:Q487" ca="1" si="624">F415</f>
        <v>-5.04</v>
      </c>
      <c r="G487" s="46">
        <f t="shared" ca="1" si="624"/>
        <v>27.012600000000003</v>
      </c>
      <c r="H487" s="46">
        <f t="shared" ca="1" si="579"/>
        <v>28.517550000000004</v>
      </c>
      <c r="I487" s="45">
        <f t="shared" ca="1" si="580"/>
        <v>6.847402527399577E-3</v>
      </c>
      <c r="J487" s="45">
        <f t="shared" ca="1" si="581"/>
        <v>0.27952512346894071</v>
      </c>
      <c r="K487" s="45">
        <f t="shared" ca="1" si="597"/>
        <v>0.90345467800480783</v>
      </c>
      <c r="L487" s="358">
        <f t="shared" ca="1" si="582"/>
        <v>0.21084054547214914</v>
      </c>
      <c r="M487" s="76">
        <f t="shared" ca="1" si="624"/>
        <v>0.25347808785320641</v>
      </c>
      <c r="N487" s="45">
        <f t="shared" ca="1" si="624"/>
        <v>0.25</v>
      </c>
      <c r="O487" s="45">
        <f t="shared" ca="1" si="624"/>
        <v>0</v>
      </c>
      <c r="P487" s="46" t="str">
        <f t="shared" ca="1" si="624"/>
        <v/>
      </c>
      <c r="Q487" s="243" t="str">
        <f t="shared" ca="1" si="624"/>
        <v/>
      </c>
      <c r="R487" s="45">
        <f t="shared" ca="1" si="598"/>
        <v>0.19229720120894589</v>
      </c>
      <c r="S487" s="45">
        <f t="shared" ca="1" si="622"/>
        <v>5.0695617570641283E-2</v>
      </c>
      <c r="T487" s="77">
        <f t="shared" ca="1" si="583"/>
        <v>1.0941555975497383E-3</v>
      </c>
      <c r="U487" s="45">
        <f t="shared" ca="1" si="599"/>
        <v>17.686845052686376</v>
      </c>
      <c r="V487" s="45">
        <f t="shared" ca="1" si="584"/>
        <v>0.20278247028256513</v>
      </c>
      <c r="W487" s="77">
        <f t="shared" ca="1" si="585"/>
        <v>3.0274645521387511E-3</v>
      </c>
      <c r="X487" s="45">
        <f t="shared" ca="1" si="600"/>
        <v>1.0364199747434411</v>
      </c>
      <c r="Y487" s="45">
        <f t="shared" ca="1" si="586"/>
        <v>4.0891373724781527E-4</v>
      </c>
      <c r="Z487" s="77">
        <f t="shared" ca="1" si="587"/>
        <v>3.9024967147911012E-4</v>
      </c>
      <c r="AA487" s="45">
        <f t="shared" ca="1" si="601"/>
        <v>39.134735018246708</v>
      </c>
      <c r="AB487" s="45">
        <f t="shared" ca="1" si="588"/>
        <v>0</v>
      </c>
      <c r="AC487" s="45" cm="1">
        <f t="array" aca="1" ref="AC487" ca="1">pHUM*(T487+W487+Z487+AD487)</f>
        <v>4.8107498499742971E-4</v>
      </c>
      <c r="AD487" s="77">
        <f t="shared" ca="1" si="589"/>
        <v>4.466162573155392E-4</v>
      </c>
      <c r="AE487" s="45">
        <f t="shared" ca="1" si="602"/>
        <v>6.3847072090583081</v>
      </c>
      <c r="AF487" s="45">
        <f t="shared" ca="1" si="590"/>
        <v>0</v>
      </c>
      <c r="AG487" s="76">
        <f t="shared" ca="1" si="591"/>
        <v>64.435004455943783</v>
      </c>
      <c r="AH487" s="45">
        <f t="shared" ca="1" si="592"/>
        <v>4.0684973562378933E-3</v>
      </c>
      <c r="AI487" s="77">
        <f t="shared" ca="1" si="593"/>
        <v>1.2483079076822362E-2</v>
      </c>
      <c r="AJ487" s="384">
        <f t="shared" ca="1" si="595"/>
        <v>8.3932253506480148E-3</v>
      </c>
      <c r="AU487" s="1"/>
    </row>
    <row r="488" spans="3:47" x14ac:dyDescent="0.25">
      <c r="C488" s="10">
        <f t="shared" si="620"/>
        <v>33</v>
      </c>
      <c r="D488" s="91">
        <f t="shared" si="603"/>
        <v>2</v>
      </c>
      <c r="E488" s="278"/>
      <c r="F488" s="76">
        <f t="shared" ref="F488:Q488" ca="1" si="625">F416</f>
        <v>-4.4400000000000004</v>
      </c>
      <c r="G488" s="46">
        <f t="shared" ca="1" si="625"/>
        <v>27.012600000000003</v>
      </c>
      <c r="H488" s="46">
        <f t="shared" ca="1" si="579"/>
        <v>28.517550000000004</v>
      </c>
      <c r="I488" s="45">
        <f t="shared" ca="1" si="580"/>
        <v>9.6941753008840392E-3</v>
      </c>
      <c r="J488" s="45">
        <f t="shared" ca="1" si="581"/>
        <v>0.27952512346894071</v>
      </c>
      <c r="K488" s="45">
        <f t="shared" ca="1" si="597"/>
        <v>0.90345467800480783</v>
      </c>
      <c r="L488" s="358">
        <f t="shared" ca="1" si="582"/>
        <v>0.22612365929309886</v>
      </c>
      <c r="M488" s="76">
        <f t="shared" ca="1" si="625"/>
        <v>0.25347808785320641</v>
      </c>
      <c r="N488" s="45">
        <f t="shared" ca="1" si="625"/>
        <v>0.25</v>
      </c>
      <c r="O488" s="45">
        <f t="shared" ca="1" si="625"/>
        <v>0</v>
      </c>
      <c r="P488" s="46" t="str">
        <f t="shared" ca="1" si="625"/>
        <v/>
      </c>
      <c r="Q488" s="243" t="str">
        <f t="shared" ca="1" si="625"/>
        <v/>
      </c>
      <c r="R488" s="45">
        <f t="shared" ca="1" si="598"/>
        <v>0.24189866318203743</v>
      </c>
      <c r="S488" s="45">
        <f t="shared" ca="1" si="622"/>
        <v>5.0695617570641283E-2</v>
      </c>
      <c r="T488" s="77">
        <f t="shared" ca="1" si="583"/>
        <v>1.9463012095627269E-3</v>
      </c>
      <c r="U488" s="45">
        <f t="shared" ca="1" si="599"/>
        <v>17.8866000584168</v>
      </c>
      <c r="V488" s="45">
        <f t="shared" ca="1" si="584"/>
        <v>0.20278247028256513</v>
      </c>
      <c r="W488" s="77">
        <f t="shared" ca="1" si="585"/>
        <v>4.3343706644999678E-3</v>
      </c>
      <c r="X488" s="45">
        <f t="shared" ca="1" si="600"/>
        <v>1.0364386388092097</v>
      </c>
      <c r="Y488" s="45">
        <f t="shared" ca="1" si="586"/>
        <v>6.1565472321071331E-4</v>
      </c>
      <c r="Z488" s="77">
        <f t="shared" ca="1" si="587"/>
        <v>5.52460688443754E-4</v>
      </c>
      <c r="AA488" s="45">
        <f t="shared" ca="1" si="601"/>
        <v>39.134769476974391</v>
      </c>
      <c r="AB488" s="45">
        <f t="shared" ca="1" si="588"/>
        <v>0</v>
      </c>
      <c r="AC488" s="45" cm="1">
        <f t="array" aca="1" ref="AC488" ca="1">pHUM*(T488+W488+Z488+AD488)</f>
        <v>7.2429967436554504E-4</v>
      </c>
      <c r="AD488" s="77">
        <f t="shared" ca="1" si="589"/>
        <v>6.322937514612459E-4</v>
      </c>
      <c r="AE488" s="45">
        <f t="shared" ca="1" si="602"/>
        <v>6.3847072090583081</v>
      </c>
      <c r="AF488" s="45">
        <f t="shared" ca="1" si="590"/>
        <v>0</v>
      </c>
      <c r="AG488" s="76">
        <f t="shared" ca="1" si="591"/>
        <v>64.68441404644075</v>
      </c>
      <c r="AH488" s="45">
        <f t="shared" ca="1" si="592"/>
        <v>6.1254719163914362E-3</v>
      </c>
      <c r="AI488" s="77">
        <f t="shared" ca="1" si="593"/>
        <v>1.322435400676646E-2</v>
      </c>
      <c r="AJ488" s="384">
        <f t="shared" ca="1" si="595"/>
        <v>9.536149128001048E-3</v>
      </c>
      <c r="AU488" s="1"/>
    </row>
    <row r="489" spans="3:47" x14ac:dyDescent="0.25">
      <c r="C489" s="10">
        <f t="shared" si="620"/>
        <v>33</v>
      </c>
      <c r="D489" s="91">
        <f t="shared" si="603"/>
        <v>3</v>
      </c>
      <c r="E489" s="278"/>
      <c r="F489" s="76">
        <f t="shared" ref="F489:Q489" ca="1" si="626">F417</f>
        <v>-0.82</v>
      </c>
      <c r="G489" s="46">
        <f t="shared" ca="1" si="626"/>
        <v>27.012600000000003</v>
      </c>
      <c r="H489" s="46">
        <f t="shared" ca="1" si="579"/>
        <v>28.517550000000004</v>
      </c>
      <c r="I489" s="45">
        <f t="shared" ca="1" si="580"/>
        <v>4.749388171975074E-2</v>
      </c>
      <c r="J489" s="45">
        <f t="shared" ca="1" si="581"/>
        <v>0.27952512346894071</v>
      </c>
      <c r="K489" s="45">
        <f t="shared" ca="1" si="597"/>
        <v>0.90345467800480783</v>
      </c>
      <c r="L489" s="358">
        <f t="shared" ca="1" si="582"/>
        <v>0.33399301288143546</v>
      </c>
      <c r="M489" s="76">
        <f t="shared" ca="1" si="626"/>
        <v>0.25347808785320641</v>
      </c>
      <c r="N489" s="45">
        <f t="shared" ca="1" si="626"/>
        <v>0.25</v>
      </c>
      <c r="O489" s="45">
        <f t="shared" ca="1" si="626"/>
        <v>0</v>
      </c>
      <c r="P489" s="46" t="str">
        <f t="shared" ca="1" si="626"/>
        <v/>
      </c>
      <c r="Q489" s="243" t="str">
        <f t="shared" ca="1" si="626"/>
        <v/>
      </c>
      <c r="R489" s="45">
        <f t="shared" ca="1" si="598"/>
        <v>0.29064797954311594</v>
      </c>
      <c r="S489" s="45">
        <f t="shared" ca="1" si="622"/>
        <v>5.0695617570641283E-2</v>
      </c>
      <c r="T489" s="77">
        <f t="shared" ca="1" si="583"/>
        <v>1.1278666868164679E-2</v>
      </c>
      <c r="U489" s="45">
        <f t="shared" ca="1" si="599"/>
        <v>18.085048158034866</v>
      </c>
      <c r="V489" s="45">
        <f t="shared" ca="1" si="584"/>
        <v>0.20278247028256513</v>
      </c>
      <c r="W489" s="77">
        <f t="shared" ca="1" si="585"/>
        <v>2.1460485409660193E-2</v>
      </c>
      <c r="X489" s="45">
        <f t="shared" ca="1" si="600"/>
        <v>1.0365018328439768</v>
      </c>
      <c r="Y489" s="45">
        <f t="shared" ca="1" si="586"/>
        <v>3.178360630465722E-3</v>
      </c>
      <c r="Z489" s="77">
        <f t="shared" ca="1" si="587"/>
        <v>2.703979094559389E-3</v>
      </c>
      <c r="AA489" s="45">
        <f t="shared" ca="1" si="601"/>
        <v>39.1348614828973</v>
      </c>
      <c r="AB489" s="45">
        <f t="shared" ca="1" si="588"/>
        <v>0</v>
      </c>
      <c r="AC489" s="45" cm="1">
        <f t="array" aca="1" ref="AC489" ca="1">pHUM*(T489+W489+Z489+AD489)</f>
        <v>3.7392478005479086E-3</v>
      </c>
      <c r="AD489" s="77">
        <f t="shared" ca="1" si="589"/>
        <v>3.0976548693168317E-3</v>
      </c>
      <c r="AE489" s="45">
        <f t="shared" ca="1" si="602"/>
        <v>6.3847072090583081</v>
      </c>
      <c r="AF489" s="45">
        <f t="shared" ca="1" si="590"/>
        <v>0</v>
      </c>
      <c r="AG489" s="76">
        <f t="shared" ca="1" si="591"/>
        <v>64.931766662377569</v>
      </c>
      <c r="AH489" s="45">
        <f t="shared" ca="1" si="592"/>
        <v>3.1623177810687464E-2</v>
      </c>
      <c r="AI489" s="77">
        <f t="shared" ca="1" si="593"/>
        <v>1.3947160303854024E-2</v>
      </c>
      <c r="AJ489" s="384">
        <f t="shared" ca="1" si="595"/>
        <v>1.4855030828796467E-2</v>
      </c>
      <c r="AU489" s="1"/>
    </row>
    <row r="490" spans="3:47" x14ac:dyDescent="0.25">
      <c r="C490" s="10">
        <f t="shared" si="620"/>
        <v>33</v>
      </c>
      <c r="D490" s="91">
        <f t="shared" si="603"/>
        <v>4</v>
      </c>
      <c r="E490" s="278"/>
      <c r="F490" s="76">
        <f t="shared" ref="F490:Q490" ca="1" si="627">F418</f>
        <v>6.18</v>
      </c>
      <c r="G490" s="46">
        <f t="shared" ca="1" si="627"/>
        <v>27.012600000000003</v>
      </c>
      <c r="H490" s="46">
        <f t="shared" ca="1" si="579"/>
        <v>28.517550000000004</v>
      </c>
      <c r="I490" s="45">
        <f t="shared" ca="1" si="580"/>
        <v>0.26773980091806004</v>
      </c>
      <c r="J490" s="45">
        <f t="shared" ca="1" si="581"/>
        <v>0.27952512346894071</v>
      </c>
      <c r="K490" s="45">
        <f t="shared" ca="1" si="597"/>
        <v>0.90345467800480783</v>
      </c>
      <c r="L490" s="358">
        <f t="shared" ca="1" si="582"/>
        <v>0.58750950384279488</v>
      </c>
      <c r="M490" s="76">
        <f t="shared" ca="1" si="627"/>
        <v>0.25347808785320641</v>
      </c>
      <c r="N490" s="45">
        <f t="shared" ca="1" si="627"/>
        <v>0.25</v>
      </c>
      <c r="O490" s="45">
        <f t="shared" ca="1" si="627"/>
        <v>0</v>
      </c>
      <c r="P490" s="46" t="str">
        <f t="shared" ca="1" si="627"/>
        <v/>
      </c>
      <c r="Q490" s="243" t="str">
        <f t="shared" ca="1" si="627"/>
        <v/>
      </c>
      <c r="R490" s="45">
        <f t="shared" ca="1" si="598"/>
        <v>0.33006493024559252</v>
      </c>
      <c r="S490" s="45">
        <f t="shared" ca="1" si="622"/>
        <v>5.0695617570641283E-2</v>
      </c>
      <c r="T490" s="77">
        <f t="shared" ca="1" si="583"/>
        <v>6.6005843202412762E-2</v>
      </c>
      <c r="U490" s="45">
        <f t="shared" ca="1" si="599"/>
        <v>18.266370142907771</v>
      </c>
      <c r="V490" s="45">
        <f t="shared" ca="1" si="584"/>
        <v>0.20278247028256513</v>
      </c>
      <c r="W490" s="77">
        <f t="shared" ca="1" si="585"/>
        <v>0.12185757613544489</v>
      </c>
      <c r="X490" s="45">
        <f t="shared" ca="1" si="600"/>
        <v>1.0369762143798831</v>
      </c>
      <c r="Y490" s="45">
        <f t="shared" ca="1" si="586"/>
        <v>1.8182539013815842E-2</v>
      </c>
      <c r="Z490" s="77">
        <f t="shared" ca="1" si="587"/>
        <v>1.5158307110103063E-2</v>
      </c>
      <c r="AA490" s="45">
        <f t="shared" ca="1" si="601"/>
        <v>39.135503075828531</v>
      </c>
      <c r="AB490" s="45">
        <f t="shared" ca="1" si="588"/>
        <v>0</v>
      </c>
      <c r="AC490" s="45" cm="1">
        <f t="array" aca="1" ref="AC490" ca="1">pHUM*(T490+W490+Z490+AD490)</f>
        <v>2.139122236919511E-2</v>
      </c>
      <c r="AD490" s="77">
        <f t="shared" ca="1" si="589"/>
        <v>1.7459657176585312E-2</v>
      </c>
      <c r="AE490" s="45">
        <f t="shared" ca="1" si="602"/>
        <v>6.3847072090583081</v>
      </c>
      <c r="AF490" s="45">
        <f t="shared" ca="1" si="590"/>
        <v>0</v>
      </c>
      <c r="AG490" s="76">
        <f t="shared" ca="1" si="591"/>
        <v>65.153621572420079</v>
      </c>
      <c r="AH490" s="45">
        <f t="shared" ca="1" si="592"/>
        <v>0.18090762224153512</v>
      </c>
      <c r="AI490" s="77">
        <f t="shared" ca="1" si="593"/>
        <v>1.453103059010542E-2</v>
      </c>
      <c r="AJ490" s="384">
        <f t="shared" ca="1" si="595"/>
        <v>2.7224294165774099E-2</v>
      </c>
      <c r="AU490" s="1"/>
    </row>
    <row r="491" spans="3:47" x14ac:dyDescent="0.25">
      <c r="C491" s="10">
        <f t="shared" si="620"/>
        <v>33</v>
      </c>
      <c r="D491" s="91">
        <f t="shared" si="603"/>
        <v>5</v>
      </c>
      <c r="E491" s="278"/>
      <c r="F491" s="76">
        <f t="shared" ref="F491:Q491" ca="1" si="628">F419</f>
        <v>13.58</v>
      </c>
      <c r="G491" s="46">
        <f t="shared" ca="1" si="628"/>
        <v>27.012600000000003</v>
      </c>
      <c r="H491" s="46">
        <f t="shared" ca="1" si="579"/>
        <v>28.517550000000004</v>
      </c>
      <c r="I491" s="45">
        <f t="shared" ca="1" si="580"/>
        <v>0.71743035359667851</v>
      </c>
      <c r="J491" s="45">
        <f t="shared" ca="1" si="581"/>
        <v>0.27952512346894071</v>
      </c>
      <c r="K491" s="45">
        <f t="shared" ca="1" si="597"/>
        <v>0.90345467800480783</v>
      </c>
      <c r="L491" s="358">
        <f t="shared" ca="1" si="582"/>
        <v>0.81042644426030708</v>
      </c>
      <c r="M491" s="76">
        <f t="shared" ca="1" si="628"/>
        <v>0.25347808785320641</v>
      </c>
      <c r="N491" s="45">
        <f t="shared" ca="1" si="628"/>
        <v>0.25</v>
      </c>
      <c r="O491" s="45">
        <f t="shared" ca="1" si="628"/>
        <v>0</v>
      </c>
      <c r="P491" s="46" t="str">
        <f t="shared" ca="1" si="628"/>
        <v/>
      </c>
      <c r="Q491" s="243" t="str">
        <f t="shared" ca="1" si="628"/>
        <v/>
      </c>
      <c r="R491" s="45">
        <f t="shared" ca="1" si="598"/>
        <v>0.31475470461382105</v>
      </c>
      <c r="S491" s="45">
        <f t="shared" ca="1" si="622"/>
        <v>5.0695617570641283E-2</v>
      </c>
      <c r="T491" s="77">
        <f t="shared" ca="1" si="583"/>
        <v>0.14164336103755834</v>
      </c>
      <c r="U491" s="45">
        <f t="shared" ca="1" si="599"/>
        <v>18.347295037054892</v>
      </c>
      <c r="V491" s="45">
        <f t="shared" ca="1" si="584"/>
        <v>0.20278247028256513</v>
      </c>
      <c r="W491" s="77">
        <f t="shared" ca="1" si="585"/>
        <v>0.32613913970304698</v>
      </c>
      <c r="X491" s="45">
        <f t="shared" ca="1" si="600"/>
        <v>1.0400004462835959</v>
      </c>
      <c r="Y491" s="45">
        <f t="shared" ca="1" si="586"/>
        <v>4.5752299805840113E-2</v>
      </c>
      <c r="Z491" s="77">
        <f t="shared" ca="1" si="587"/>
        <v>4.0237945252035487E-2</v>
      </c>
      <c r="AA491" s="45">
        <f t="shared" ca="1" si="601"/>
        <v>39.13943464102114</v>
      </c>
      <c r="AB491" s="45">
        <f t="shared" ca="1" si="588"/>
        <v>0</v>
      </c>
      <c r="AC491" s="45" cm="1">
        <f t="array" aca="1" ref="AC491" ca="1">pHUM*(T491+W491+Z491+AD491)</f>
        <v>5.3826235065694249E-2</v>
      </c>
      <c r="AD491" s="77">
        <f t="shared" ca="1" si="589"/>
        <v>4.6771728935830696E-2</v>
      </c>
      <c r="AE491" s="45">
        <f t="shared" ca="1" si="602"/>
        <v>6.3847072090583081</v>
      </c>
      <c r="AF491" s="45">
        <f t="shared" ca="1" si="590"/>
        <v>0</v>
      </c>
      <c r="AG491" s="76">
        <f t="shared" ca="1" si="591"/>
        <v>65.226192038031755</v>
      </c>
      <c r="AH491" s="45">
        <f t="shared" ca="1" si="592"/>
        <v>0.45521364005693721</v>
      </c>
      <c r="AI491" s="77">
        <f t="shared" ca="1" si="593"/>
        <v>1.4333601219784805E-2</v>
      </c>
      <c r="AJ491" s="384">
        <f t="shared" ca="1" si="595"/>
        <v>3.7043346456160364E-2</v>
      </c>
      <c r="AU491" s="1"/>
    </row>
    <row r="492" spans="3:47" x14ac:dyDescent="0.25">
      <c r="C492" s="10">
        <f t="shared" si="620"/>
        <v>33</v>
      </c>
      <c r="D492" s="91">
        <f t="shared" si="603"/>
        <v>6</v>
      </c>
      <c r="E492" s="278"/>
      <c r="F492" s="76">
        <f t="shared" ref="F492:Q492" ca="1" si="629">F420</f>
        <v>18.37</v>
      </c>
      <c r="G492" s="46">
        <f t="shared" ca="1" si="629"/>
        <v>27.012600000000003</v>
      </c>
      <c r="H492" s="46">
        <f t="shared" ca="1" si="579"/>
        <v>28.517550000000004</v>
      </c>
      <c r="I492" s="45">
        <f t="shared" ca="1" si="580"/>
        <v>1.0882596087882719</v>
      </c>
      <c r="J492" s="45">
        <f t="shared" ca="1" si="581"/>
        <v>0.27952512346894071</v>
      </c>
      <c r="K492" s="45">
        <f t="shared" ca="1" si="597"/>
        <v>0.90345467800480783</v>
      </c>
      <c r="L492" s="358">
        <f t="shared" ca="1" si="582"/>
        <v>0.89586760620832129</v>
      </c>
      <c r="M492" s="76">
        <f t="shared" ca="1" si="629"/>
        <v>0.25347808785320641</v>
      </c>
      <c r="N492" s="45">
        <f t="shared" ca="1" si="629"/>
        <v>0.25</v>
      </c>
      <c r="O492" s="45">
        <f t="shared" ca="1" si="629"/>
        <v>0</v>
      </c>
      <c r="P492" s="46" t="str">
        <f t="shared" ca="1" si="629"/>
        <v/>
      </c>
      <c r="Q492" s="243" t="str">
        <f t="shared" ca="1" si="629"/>
        <v/>
      </c>
      <c r="R492" s="45">
        <f t="shared" ca="1" si="598"/>
        <v>0.22380696114690399</v>
      </c>
      <c r="S492" s="45">
        <f t="shared" ca="1" si="622"/>
        <v>5.0695617570641283E-2</v>
      </c>
      <c r="T492" s="77">
        <f t="shared" ca="1" si="583"/>
        <v>0.1334379969187959</v>
      </c>
      <c r="U492" s="45">
        <f t="shared" ca="1" si="599"/>
        <v>18.223938367634407</v>
      </c>
      <c r="V492" s="45">
        <f t="shared" ca="1" si="584"/>
        <v>0.20278247028256513</v>
      </c>
      <c r="W492" s="77">
        <f t="shared" ca="1" si="585"/>
        <v>0.48912553616518312</v>
      </c>
      <c r="X492" s="45">
        <f t="shared" ca="1" si="600"/>
        <v>1.0455148008374007</v>
      </c>
      <c r="Y492" s="45">
        <f t="shared" ca="1" si="586"/>
        <v>6.2200609559452232E-2</v>
      </c>
      <c r="Z492" s="77">
        <f t="shared" ca="1" si="587"/>
        <v>6.0742550020591903E-2</v>
      </c>
      <c r="AA492" s="45">
        <f t="shared" ca="1" si="601"/>
        <v>39.146489147151001</v>
      </c>
      <c r="AB492" s="45">
        <f t="shared" ca="1" si="588"/>
        <v>0</v>
      </c>
      <c r="AC492" s="45" cm="1">
        <f t="array" aca="1" ref="AC492" ca="1">pHUM*(T492+W492+Z492+AD492)</f>
        <v>7.3177187717002629E-2</v>
      </c>
      <c r="AD492" s="77">
        <f t="shared" ca="1" si="589"/>
        <v>7.0938219494624505E-2</v>
      </c>
      <c r="AE492" s="45">
        <f t="shared" ca="1" si="602"/>
        <v>6.3847072090583081</v>
      </c>
      <c r="AF492" s="45">
        <f t="shared" ca="1" si="590"/>
        <v>0</v>
      </c>
      <c r="AG492" s="76">
        <f t="shared" ca="1" si="591"/>
        <v>65.024456485828026</v>
      </c>
      <c r="AH492" s="45">
        <f t="shared" ca="1" si="592"/>
        <v>0.61886650532274068</v>
      </c>
      <c r="AI492" s="77">
        <f t="shared" ca="1" si="593"/>
        <v>1.3043229758048325E-2</v>
      </c>
      <c r="AJ492" s="384">
        <f t="shared" ca="1" si="595"/>
        <v>3.7262344795766511E-2</v>
      </c>
      <c r="AU492" s="1"/>
    </row>
    <row r="493" spans="3:47" x14ac:dyDescent="0.25">
      <c r="C493" s="10">
        <f t="shared" si="620"/>
        <v>33</v>
      </c>
      <c r="D493" s="91">
        <f t="shared" si="603"/>
        <v>7</v>
      </c>
      <c r="E493" s="278"/>
      <c r="F493" s="76">
        <f t="shared" ref="F493:Q493" ca="1" si="630">F421</f>
        <v>22.71</v>
      </c>
      <c r="G493" s="46">
        <f t="shared" ca="1" si="630"/>
        <v>27.012600000000003</v>
      </c>
      <c r="H493" s="46">
        <f t="shared" ca="1" si="579"/>
        <v>28.517550000000004</v>
      </c>
      <c r="I493" s="45">
        <f t="shared" ca="1" si="580"/>
        <v>1.4513708414333564</v>
      </c>
      <c r="J493" s="45">
        <f t="shared" ca="1" si="581"/>
        <v>0.27952512346894071</v>
      </c>
      <c r="K493" s="45">
        <f t="shared" ca="1" si="597"/>
        <v>0.90345467800480783</v>
      </c>
      <c r="L493" s="358">
        <f t="shared" ca="1" si="582"/>
        <v>0.94004721434733285</v>
      </c>
      <c r="M493" s="76">
        <f t="shared" ca="1" si="630"/>
        <v>0.25347808785320641</v>
      </c>
      <c r="N493" s="45">
        <f t="shared" ca="1" si="630"/>
        <v>0.25</v>
      </c>
      <c r="O493" s="45">
        <f t="shared" ca="1" si="630"/>
        <v>0</v>
      </c>
      <c r="P493" s="46" t="str">
        <f t="shared" ca="1" si="630"/>
        <v/>
      </c>
      <c r="Q493" s="243" t="str">
        <f t="shared" ca="1" si="630"/>
        <v/>
      </c>
      <c r="R493" s="45">
        <f t="shared" ca="1" si="598"/>
        <v>0.14106458179874934</v>
      </c>
      <c r="S493" s="45">
        <f t="shared" ca="1" si="622"/>
        <v>5.0695617570641283E-2</v>
      </c>
      <c r="T493" s="77">
        <f t="shared" ca="1" si="583"/>
        <v>9.8977446831495092E-2</v>
      </c>
      <c r="U493" s="45">
        <f t="shared" ca="1" si="599"/>
        <v>17.937595301751788</v>
      </c>
      <c r="V493" s="45">
        <f t="shared" ca="1" si="584"/>
        <v>0.20278247028256513</v>
      </c>
      <c r="W493" s="77">
        <f t="shared" ca="1" si="585"/>
        <v>0.63918624115902789</v>
      </c>
      <c r="X493" s="45">
        <f t="shared" ca="1" si="600"/>
        <v>1.0469728603762611</v>
      </c>
      <c r="Y493" s="45">
        <f t="shared" ca="1" si="586"/>
        <v>7.5298927777761079E-2</v>
      </c>
      <c r="Z493" s="77">
        <f t="shared" ca="1" si="587"/>
        <v>8.0326333393056296E-2</v>
      </c>
      <c r="AA493" s="45">
        <f t="shared" ca="1" si="601"/>
        <v>39.14872811537338</v>
      </c>
      <c r="AB493" s="45">
        <f t="shared" ca="1" si="588"/>
        <v>0</v>
      </c>
      <c r="AC493" s="45" cm="1">
        <f t="array" aca="1" ref="AC493" ca="1">pHUM*(T493+W493+Z493+AD493)</f>
        <v>8.8586973856189508E-2</v>
      </c>
      <c r="AD493" s="77">
        <f t="shared" ca="1" si="589"/>
        <v>9.4584427089795975E-2</v>
      </c>
      <c r="AE493" s="45">
        <f t="shared" ca="1" si="602"/>
        <v>6.3847072090583081</v>
      </c>
      <c r="AF493" s="45">
        <f t="shared" ca="1" si="590"/>
        <v>0</v>
      </c>
      <c r="AG493" s="76">
        <f t="shared" ca="1" si="591"/>
        <v>64.659068068358479</v>
      </c>
      <c r="AH493" s="45">
        <f t="shared" ca="1" si="592"/>
        <v>0.74918854683942471</v>
      </c>
      <c r="AI493" s="77">
        <f t="shared" ca="1" si="593"/>
        <v>1.1820379976118964E-2</v>
      </c>
      <c r="AJ493" s="384">
        <f t="shared" ca="1" si="595"/>
        <v>3.5434234572802037E-2</v>
      </c>
      <c r="AU493" s="1"/>
    </row>
    <row r="494" spans="3:47" x14ac:dyDescent="0.25">
      <c r="C494" s="10">
        <f t="shared" si="620"/>
        <v>33</v>
      </c>
      <c r="D494" s="91">
        <f t="shared" si="603"/>
        <v>8</v>
      </c>
      <c r="E494" s="278"/>
      <c r="F494" s="76">
        <f t="shared" ref="F494:Q494" ca="1" si="631">F422</f>
        <v>19.329999999999998</v>
      </c>
      <c r="G494" s="46">
        <f t="shared" ca="1" si="631"/>
        <v>27.012600000000003</v>
      </c>
      <c r="H494" s="46">
        <f t="shared" ca="1" si="579"/>
        <v>28.517550000000004</v>
      </c>
      <c r="I494" s="45">
        <f t="shared" ca="1" si="580"/>
        <v>1.1670427279291871</v>
      </c>
      <c r="J494" s="45">
        <f t="shared" ca="1" si="581"/>
        <v>0.27952512346894071</v>
      </c>
      <c r="K494" s="45">
        <f t="shared" ca="1" si="597"/>
        <v>0.90345467800480783</v>
      </c>
      <c r="L494" s="358">
        <f t="shared" ca="1" si="582"/>
        <v>0.9079689727892073</v>
      </c>
      <c r="M494" s="76">
        <f t="shared" ca="1" si="631"/>
        <v>0.25347808785320641</v>
      </c>
      <c r="N494" s="45">
        <f t="shared" ca="1" si="631"/>
        <v>0.25</v>
      </c>
      <c r="O494" s="45">
        <f t="shared" ca="1" si="631"/>
        <v>0</v>
      </c>
      <c r="P494" s="46" t="str">
        <f t="shared" ca="1" si="631"/>
        <v/>
      </c>
      <c r="Q494" s="243" t="str">
        <f t="shared" ca="1" si="631"/>
        <v/>
      </c>
      <c r="R494" s="45">
        <f t="shared" ca="1" si="598"/>
        <v>9.278275253789553E-2</v>
      </c>
      <c r="S494" s="45">
        <f t="shared" ca="1" si="622"/>
        <v>5.0695617570641283E-2</v>
      </c>
      <c r="T494" s="77">
        <f t="shared" ca="1" si="583"/>
        <v>5.7699455138857644E-2</v>
      </c>
      <c r="U494" s="45">
        <f t="shared" ca="1" si="599"/>
        <v>17.501191530875325</v>
      </c>
      <c r="V494" s="45">
        <f t="shared" ca="1" si="584"/>
        <v>0.20278247028256513</v>
      </c>
      <c r="W494" s="77">
        <f t="shared" ca="1" si="585"/>
        <v>0.50323899236039582</v>
      </c>
      <c r="X494" s="45">
        <f t="shared" ca="1" si="600"/>
        <v>1.0419454547609659</v>
      </c>
      <c r="Y494" s="45">
        <f t="shared" ca="1" si="586"/>
        <v>5.7873875713974746E-2</v>
      </c>
      <c r="Z494" s="77">
        <f t="shared" ca="1" si="587"/>
        <v>6.4778498371789464E-2</v>
      </c>
      <c r="AA494" s="45">
        <f t="shared" ca="1" si="601"/>
        <v>39.142730662139769</v>
      </c>
      <c r="AB494" s="45">
        <f t="shared" ca="1" si="588"/>
        <v>0</v>
      </c>
      <c r="AC494" s="45" cm="1">
        <f t="array" aca="1" ref="AC494" ca="1">pHUM*(T494+W494+Z494+AD494)</f>
        <v>6.808691260467617E-2</v>
      </c>
      <c r="AD494" s="77">
        <f t="shared" ca="1" si="589"/>
        <v>7.6061402215354915E-2</v>
      </c>
      <c r="AE494" s="45">
        <f t="shared" ca="1" si="602"/>
        <v>6.3847072090583081</v>
      </c>
      <c r="AF494" s="45">
        <f t="shared" ca="1" si="590"/>
        <v>0</v>
      </c>
      <c r="AG494" s="76">
        <f t="shared" ca="1" si="591"/>
        <v>64.16335760937227</v>
      </c>
      <c r="AH494" s="45">
        <f t="shared" ca="1" si="592"/>
        <v>0.57581755976774707</v>
      </c>
      <c r="AI494" s="77">
        <f t="shared" ca="1" si="593"/>
        <v>1.1031646269906969E-2</v>
      </c>
      <c r="AJ494" s="384">
        <f t="shared" ca="1" si="595"/>
        <v>3.1941456698167947E-2</v>
      </c>
      <c r="AU494" s="1"/>
    </row>
    <row r="495" spans="3:47" x14ac:dyDescent="0.25">
      <c r="C495" s="10">
        <f t="shared" si="620"/>
        <v>33</v>
      </c>
      <c r="D495" s="91">
        <f t="shared" si="603"/>
        <v>9</v>
      </c>
      <c r="E495" s="278"/>
      <c r="F495" s="76">
        <f t="shared" ref="F495:Q495" ca="1" si="632">F423</f>
        <v>15.36</v>
      </c>
      <c r="G495" s="46">
        <f t="shared" ca="1" si="632"/>
        <v>27.012600000000003</v>
      </c>
      <c r="H495" s="46">
        <f t="shared" ca="1" si="579"/>
        <v>28.517550000000004</v>
      </c>
      <c r="I495" s="45">
        <f t="shared" ca="1" si="580"/>
        <v>0.85004563012661705</v>
      </c>
      <c r="J495" s="45">
        <f t="shared" ca="1" si="581"/>
        <v>0.27952512346894071</v>
      </c>
      <c r="K495" s="45">
        <f t="shared" ca="1" si="597"/>
        <v>0.90345467800480783</v>
      </c>
      <c r="L495" s="358">
        <f t="shared" ca="1" si="582"/>
        <v>0.84745728919304408</v>
      </c>
      <c r="M495" s="76">
        <f t="shared" ca="1" si="632"/>
        <v>0.25347808785320641</v>
      </c>
      <c r="N495" s="45">
        <f t="shared" ca="1" si="632"/>
        <v>0.25</v>
      </c>
      <c r="O495" s="45">
        <f t="shared" ca="1" si="632"/>
        <v>0</v>
      </c>
      <c r="P495" s="46" t="str">
        <f t="shared" ca="1" si="632"/>
        <v/>
      </c>
      <c r="Q495" s="243" t="str">
        <f t="shared" ca="1" si="632"/>
        <v/>
      </c>
      <c r="R495" s="45">
        <f t="shared" ca="1" si="598"/>
        <v>8.5778914969679168E-2</v>
      </c>
      <c r="S495" s="45">
        <f t="shared" ca="1" si="622"/>
        <v>5.0695617570641283E-2</v>
      </c>
      <c r="T495" s="77">
        <f t="shared" ca="1" si="583"/>
        <v>4.3537468977546526E-2</v>
      </c>
      <c r="U495" s="45">
        <f t="shared" ca="1" si="599"/>
        <v>17.200735008797494</v>
      </c>
      <c r="V495" s="45">
        <f t="shared" ca="1" si="584"/>
        <v>0.20278247028256513</v>
      </c>
      <c r="W495" s="77">
        <f t="shared" ca="1" si="585"/>
        <v>0.36167858803949055</v>
      </c>
      <c r="X495" s="45">
        <f t="shared" ca="1" si="600"/>
        <v>1.0350408321031512</v>
      </c>
      <c r="Y495" s="45">
        <f t="shared" ca="1" si="586"/>
        <v>4.1885029067824438E-2</v>
      </c>
      <c r="Z495" s="77">
        <f t="shared" ca="1" si="587"/>
        <v>4.7276986437579285E-2</v>
      </c>
      <c r="AA495" s="45">
        <f t="shared" ca="1" si="601"/>
        <v>39.134756172529094</v>
      </c>
      <c r="AB495" s="45">
        <f t="shared" ca="1" si="588"/>
        <v>0</v>
      </c>
      <c r="AC495" s="45" cm="1">
        <f t="array" aca="1" ref="AC495" ca="1">pHUM*(T495+W495+Z495+AD495)</f>
        <v>4.9276504785675808E-2</v>
      </c>
      <c r="AD495" s="77">
        <f t="shared" ca="1" si="589"/>
        <v>5.5404624467956416E-2</v>
      </c>
      <c r="AE495" s="45">
        <f t="shared" ca="1" si="602"/>
        <v>6.3847072090583081</v>
      </c>
      <c r="AF495" s="45">
        <f t="shared" ca="1" si="590"/>
        <v>0</v>
      </c>
      <c r="AG495" s="76">
        <f t="shared" ca="1" si="591"/>
        <v>63.841018137457723</v>
      </c>
      <c r="AH495" s="45">
        <f t="shared" ca="1" si="592"/>
        <v>0.41673613406907256</v>
      </c>
      <c r="AI495" s="77">
        <f t="shared" ca="1" si="593"/>
        <v>1.0854380200724541E-2</v>
      </c>
      <c r="AJ495" s="384">
        <f t="shared" ca="1" si="595"/>
        <v>2.9333730681250225E-2</v>
      </c>
      <c r="AU495" s="1"/>
    </row>
    <row r="496" spans="3:47" x14ac:dyDescent="0.25">
      <c r="C496" s="10">
        <f t="shared" si="620"/>
        <v>33</v>
      </c>
      <c r="D496" s="91">
        <f t="shared" si="603"/>
        <v>10</v>
      </c>
      <c r="E496" s="278"/>
      <c r="F496" s="76">
        <f t="shared" ref="F496:Q496" ca="1" si="633">F424</f>
        <v>10.24</v>
      </c>
      <c r="G496" s="46">
        <f t="shared" ca="1" si="633"/>
        <v>27.012600000000003</v>
      </c>
      <c r="H496" s="46">
        <f t="shared" ca="1" si="579"/>
        <v>28.517550000000004</v>
      </c>
      <c r="I496" s="45">
        <f t="shared" ca="1" si="580"/>
        <v>0.49116850915432075</v>
      </c>
      <c r="J496" s="45">
        <f t="shared" ca="1" si="581"/>
        <v>0.27952512346894071</v>
      </c>
      <c r="K496" s="45">
        <f t="shared" ca="1" si="597"/>
        <v>0.90345467800480783</v>
      </c>
      <c r="L496" s="358">
        <f t="shared" ca="1" si="582"/>
        <v>0.72269796343841763</v>
      </c>
      <c r="M496" s="76">
        <f t="shared" ca="1" si="633"/>
        <v>0.25347808785320641</v>
      </c>
      <c r="N496" s="45">
        <f t="shared" ca="1" si="633"/>
        <v>0.25</v>
      </c>
      <c r="O496" s="45">
        <f t="shared" ca="1" si="633"/>
        <v>0</v>
      </c>
      <c r="P496" s="46" t="str">
        <f t="shared" ca="1" si="633"/>
        <v/>
      </c>
      <c r="Q496" s="243" t="str">
        <f t="shared" ca="1" si="633"/>
        <v/>
      </c>
      <c r="R496" s="45">
        <f t="shared" ca="1" si="598"/>
        <v>9.2937063562773911E-2</v>
      </c>
      <c r="S496" s="45">
        <f t="shared" ca="1" si="622"/>
        <v>5.0695617570641283E-2</v>
      </c>
      <c r="T496" s="77">
        <f t="shared" ca="1" si="583"/>
        <v>3.1216606232968552E-2</v>
      </c>
      <c r="U496" s="45">
        <f t="shared" ca="1" si="599"/>
        <v>17.041838891040566</v>
      </c>
      <c r="V496" s="45">
        <f t="shared" ca="1" si="584"/>
        <v>0.20278247028256513</v>
      </c>
      <c r="W496" s="77">
        <f t="shared" ca="1" si="585"/>
        <v>0.20798083134184966</v>
      </c>
      <c r="X496" s="45">
        <f t="shared" ca="1" si="600"/>
        <v>1.0296488747333965</v>
      </c>
      <c r="Y496" s="45">
        <f t="shared" ca="1" si="586"/>
        <v>2.4629602676072036E-2</v>
      </c>
      <c r="Z496" s="77">
        <f t="shared" ca="1" si="587"/>
        <v>2.7442867269584129E-2</v>
      </c>
      <c r="AA496" s="45">
        <f t="shared" ca="1" si="601"/>
        <v>39.128628052846814</v>
      </c>
      <c r="AB496" s="45">
        <f t="shared" ca="1" si="588"/>
        <v>0</v>
      </c>
      <c r="AC496" s="45" cm="1">
        <f t="array" aca="1" ref="AC496" ca="1">pHUM*(T496+W496+Z496+AD496)</f>
        <v>2.897600314832004E-2</v>
      </c>
      <c r="AD496" s="77">
        <f t="shared" ca="1" si="589"/>
        <v>3.2018142802373882E-2</v>
      </c>
      <c r="AE496" s="45">
        <f t="shared" ca="1" si="602"/>
        <v>6.3847072090583081</v>
      </c>
      <c r="AF496" s="45">
        <f t="shared" ca="1" si="590"/>
        <v>0</v>
      </c>
      <c r="AG496" s="76">
        <f t="shared" ca="1" si="591"/>
        <v>63.677760091241858</v>
      </c>
      <c r="AH496" s="45">
        <f t="shared" ca="1" si="592"/>
        <v>0.24505284182238413</v>
      </c>
      <c r="AI496" s="77">
        <f t="shared" ca="1" si="593"/>
        <v>1.0914736813367978E-2</v>
      </c>
      <c r="AJ496" s="384">
        <f t="shared" ca="1" si="595"/>
        <v>2.5154533196736217E-2</v>
      </c>
      <c r="AU496" s="1"/>
    </row>
    <row r="497" spans="3:47" x14ac:dyDescent="0.25">
      <c r="C497" s="10">
        <f t="shared" si="620"/>
        <v>33</v>
      </c>
      <c r="D497" s="91">
        <f t="shared" si="603"/>
        <v>11</v>
      </c>
      <c r="E497" s="278"/>
      <c r="F497" s="76">
        <f t="shared" ref="F497:Q497" ca="1" si="634">F425</f>
        <v>1.6</v>
      </c>
      <c r="G497" s="46">
        <f t="shared" ca="1" si="634"/>
        <v>27.012600000000003</v>
      </c>
      <c r="H497" s="46">
        <f t="shared" ca="1" si="579"/>
        <v>28.517550000000004</v>
      </c>
      <c r="I497" s="45">
        <f t="shared" ca="1" si="580"/>
        <v>9.9319080037688343E-2</v>
      </c>
      <c r="J497" s="45">
        <f t="shared" ca="1" si="581"/>
        <v>0.27952512346894071</v>
      </c>
      <c r="K497" s="45">
        <f t="shared" ca="1" si="597"/>
        <v>0.90345467800480783</v>
      </c>
      <c r="L497" s="358">
        <f t="shared" ca="1" si="582"/>
        <v>0.41844375967031366</v>
      </c>
      <c r="M497" s="76">
        <f t="shared" ca="1" si="634"/>
        <v>0.25347808785320641</v>
      </c>
      <c r="N497" s="45">
        <f t="shared" ca="1" si="634"/>
        <v>0.25</v>
      </c>
      <c r="O497" s="45">
        <f t="shared" ca="1" si="634"/>
        <v>0</v>
      </c>
      <c r="P497" s="46" t="str">
        <f t="shared" ca="1" si="634"/>
        <v/>
      </c>
      <c r="Q497" s="243" t="str">
        <f t="shared" ca="1" si="634"/>
        <v/>
      </c>
      <c r="R497" s="45">
        <f t="shared" ca="1" si="598"/>
        <v>0.11241607490044665</v>
      </c>
      <c r="S497" s="45">
        <f t="shared" ca="1" si="622"/>
        <v>5.0695617570641283E-2</v>
      </c>
      <c r="T497" s="77">
        <f t="shared" ca="1" si="583"/>
        <v>8.9295880519691829E-3</v>
      </c>
      <c r="U497" s="45">
        <f t="shared" ca="1" si="599"/>
        <v>17.03664052998128</v>
      </c>
      <c r="V497" s="45">
        <f t="shared" ca="1" si="584"/>
        <v>0.20278247028256513</v>
      </c>
      <c r="W497" s="77">
        <f t="shared" ca="1" si="585"/>
        <v>4.2249113115080922E-2</v>
      </c>
      <c r="X497" s="45">
        <f t="shared" ca="1" si="600"/>
        <v>1.0268356101398843</v>
      </c>
      <c r="Y497" s="45">
        <f t="shared" ca="1" si="586"/>
        <v>5.2159464008188737E-3</v>
      </c>
      <c r="Z497" s="77">
        <f t="shared" ca="1" si="587"/>
        <v>5.5938480028948261E-3</v>
      </c>
      <c r="AA497" s="45">
        <f t="shared" ca="1" si="601"/>
        <v>39.125585913192765</v>
      </c>
      <c r="AB497" s="45">
        <f t="shared" ca="1" si="588"/>
        <v>0</v>
      </c>
      <c r="AC497" s="45" cm="1">
        <f t="array" aca="1" ref="AC497" ca="1">pHUM*(T497+W497+Z497+AD497)</f>
        <v>6.1364075303751457E-3</v>
      </c>
      <c r="AD497" s="77">
        <f t="shared" ca="1" si="589"/>
        <v>6.4759926585744197E-3</v>
      </c>
      <c r="AE497" s="45">
        <f t="shared" ca="1" si="602"/>
        <v>6.3847072090583081</v>
      </c>
      <c r="AF497" s="45">
        <f t="shared" ca="1" si="590"/>
        <v>0</v>
      </c>
      <c r="AG497" s="76">
        <f t="shared" ca="1" si="591"/>
        <v>63.686185337272683</v>
      </c>
      <c r="AH497" s="45">
        <f t="shared" ca="1" si="592"/>
        <v>5.1896187897325342E-2</v>
      </c>
      <c r="AI497" s="77">
        <f t="shared" ca="1" si="593"/>
        <v>1.1191357797868543E-2</v>
      </c>
      <c r="AJ497" s="384">
        <f t="shared" ca="1" si="595"/>
        <v>1.4933796445325553E-2</v>
      </c>
      <c r="AU497" s="1"/>
    </row>
    <row r="498" spans="3:47" x14ac:dyDescent="0.25">
      <c r="C498" s="10">
        <f t="shared" si="620"/>
        <v>33</v>
      </c>
      <c r="D498" s="91">
        <f t="shared" si="603"/>
        <v>12</v>
      </c>
      <c r="E498" s="278"/>
      <c r="F498" s="76">
        <f t="shared" ref="F498:Q498" ca="1" si="635">F426</f>
        <v>-3.59</v>
      </c>
      <c r="G498" s="46">
        <f t="shared" ca="1" si="635"/>
        <v>27.012600000000003</v>
      </c>
      <c r="H498" s="46">
        <f t="shared" ca="1" si="579"/>
        <v>28.517550000000004</v>
      </c>
      <c r="I498" s="45">
        <f t="shared" ca="1" si="580"/>
        <v>1.5109209527995384E-2</v>
      </c>
      <c r="J498" s="45">
        <f t="shared" ca="1" si="581"/>
        <v>0.27952512346894071</v>
      </c>
      <c r="K498" s="45">
        <f t="shared" ca="1" si="597"/>
        <v>0.90345467800480783</v>
      </c>
      <c r="L498" s="358">
        <f t="shared" ca="1" si="582"/>
        <v>0.24908644075501707</v>
      </c>
      <c r="M498" s="76">
        <f t="shared" ca="1" si="635"/>
        <v>0.25347808785320641</v>
      </c>
      <c r="N498" s="45">
        <f t="shared" ca="1" si="635"/>
        <v>0.25</v>
      </c>
      <c r="O498" s="45">
        <f t="shared" ca="1" si="635"/>
        <v>0</v>
      </c>
      <c r="P498" s="46" t="str">
        <f t="shared" ca="1" si="635"/>
        <v/>
      </c>
      <c r="Q498" s="243" t="str">
        <f t="shared" ca="1" si="635"/>
        <v/>
      </c>
      <c r="R498" s="45">
        <f t="shared" ca="1" si="598"/>
        <v>0.15418210441911873</v>
      </c>
      <c r="S498" s="45">
        <f t="shared" ca="1" si="622"/>
        <v>5.0695617570641283E-2</v>
      </c>
      <c r="T498" s="77">
        <f t="shared" ca="1" si="583"/>
        <v>1.9291377207575763E-3</v>
      </c>
      <c r="U498" s="45">
        <f t="shared" ca="1" si="599"/>
        <v>17.197173887148764</v>
      </c>
      <c r="V498" s="45">
        <f t="shared" ca="1" si="584"/>
        <v>0.20278247028256513</v>
      </c>
      <c r="W498" s="77">
        <f t="shared" ca="1" si="585"/>
        <v>6.4946658956881245E-3</v>
      </c>
      <c r="X498" s="45">
        <f t="shared" ca="1" si="600"/>
        <v>1.0264577085378084</v>
      </c>
      <c r="Y498" s="45">
        <f t="shared" ca="1" si="586"/>
        <v>8.4625486109073502E-4</v>
      </c>
      <c r="Z498" s="77">
        <f t="shared" ca="1" si="587"/>
        <v>8.5263872920512908E-4</v>
      </c>
      <c r="AA498" s="45">
        <f t="shared" ca="1" si="601"/>
        <v>39.12524632806457</v>
      </c>
      <c r="AB498" s="45">
        <f t="shared" ca="1" si="588"/>
        <v>0</v>
      </c>
      <c r="AC498" s="45" cm="1">
        <f t="array" aca="1" ref="AC498" ca="1">pHUM*(T498+W498+Z498+AD498)</f>
        <v>9.9559395422439407E-4</v>
      </c>
      <c r="AD498" s="77">
        <f t="shared" ca="1" si="589"/>
        <v>9.8524016912389313E-4</v>
      </c>
      <c r="AE498" s="45">
        <f t="shared" ca="1" si="602"/>
        <v>6.3847072090583081</v>
      </c>
      <c r="AF498" s="45">
        <f t="shared" ca="1" si="590"/>
        <v>0</v>
      </c>
      <c r="AG498" s="76">
        <f t="shared" ca="1" si="591"/>
        <v>63.887767237228566</v>
      </c>
      <c r="AH498" s="45">
        <f t="shared" ca="1" si="592"/>
        <v>8.419833699459596E-3</v>
      </c>
      <c r="AI498" s="77">
        <f t="shared" ca="1" si="593"/>
        <v>1.1826820202458337E-2</v>
      </c>
      <c r="AJ498" s="384">
        <f t="shared" ca="1" si="595"/>
        <v>9.3944357845576754E-3</v>
      </c>
      <c r="AU498" s="1"/>
    </row>
    <row r="499" spans="3:47" x14ac:dyDescent="0.25">
      <c r="C499" s="10">
        <f t="shared" si="620"/>
        <v>34</v>
      </c>
      <c r="D499" s="91">
        <f t="shared" si="603"/>
        <v>1</v>
      </c>
      <c r="E499" s="278"/>
      <c r="F499" s="76">
        <f t="shared" ref="F499:Q499" ca="1" si="636">F427</f>
        <v>-7.32</v>
      </c>
      <c r="G499" s="46">
        <f t="shared" ca="1" si="636"/>
        <v>27.012600000000003</v>
      </c>
      <c r="H499" s="46">
        <f t="shared" ca="1" si="579"/>
        <v>28.517550000000004</v>
      </c>
      <c r="I499" s="45">
        <f t="shared" ca="1" si="580"/>
        <v>1.2903599790233234E-3</v>
      </c>
      <c r="J499" s="45">
        <f t="shared" ca="1" si="581"/>
        <v>0.27952512346894071</v>
      </c>
      <c r="K499" s="45">
        <f t="shared" ca="1" si="597"/>
        <v>0.90345467800480783</v>
      </c>
      <c r="L499" s="358">
        <f t="shared" ca="1" si="582"/>
        <v>0.15974615302556239</v>
      </c>
      <c r="M499" s="76">
        <f t="shared" ca="1" si="636"/>
        <v>0.25347808785320641</v>
      </c>
      <c r="N499" s="45">
        <f t="shared" ca="1" si="636"/>
        <v>0.25</v>
      </c>
      <c r="O499" s="45">
        <f t="shared" ca="1" si="636"/>
        <v>0</v>
      </c>
      <c r="P499" s="46" t="str">
        <f t="shared" ca="1" si="636"/>
        <v/>
      </c>
      <c r="Q499" s="243" t="str">
        <f t="shared" ca="1" si="636"/>
        <v/>
      </c>
      <c r="R499" s="45">
        <f t="shared" ca="1" si="598"/>
        <v>0.20294858426900242</v>
      </c>
      <c r="S499" s="45">
        <f t="shared" ca="1" si="622"/>
        <v>5.0695617570641283E-2</v>
      </c>
      <c r="T499" s="77">
        <f t="shared" ca="1" si="583"/>
        <v>2.1811331947600471E-4</v>
      </c>
      <c r="U499" s="45">
        <f t="shared" ca="1" si="599"/>
        <v>17.393461691535641</v>
      </c>
      <c r="V499" s="45">
        <f t="shared" ca="1" si="584"/>
        <v>0.20278247028256513</v>
      </c>
      <c r="W499" s="77">
        <f t="shared" ca="1" si="585"/>
        <v>5.6108662149081002E-4</v>
      </c>
      <c r="X499" s="45">
        <f t="shared" ca="1" si="600"/>
        <v>1.026451324669694</v>
      </c>
      <c r="Y499" s="45">
        <f t="shared" ca="1" si="586"/>
        <v>7.7204968157889268E-5</v>
      </c>
      <c r="Z499" s="77">
        <f t="shared" ca="1" si="587"/>
        <v>7.2844459128416569E-5</v>
      </c>
      <c r="AA499" s="45">
        <f t="shared" ca="1" si="601"/>
        <v>39.12525668184967</v>
      </c>
      <c r="AB499" s="45">
        <f t="shared" ca="1" si="588"/>
        <v>0</v>
      </c>
      <c r="AC499" s="45" cm="1">
        <f t="array" aca="1" ref="AC499" ca="1">pHUM*(T499+W499+Z499+AD499)</f>
        <v>9.0829374303399128E-5</v>
      </c>
      <c r="AD499" s="77">
        <f t="shared" ca="1" si="589"/>
        <v>8.4142685174115966E-5</v>
      </c>
      <c r="AE499" s="45">
        <f t="shared" ca="1" si="602"/>
        <v>6.3847072090583081</v>
      </c>
      <c r="AF499" s="45">
        <f t="shared" ca="1" si="590"/>
        <v>0</v>
      </c>
      <c r="AG499" s="76">
        <f t="shared" ca="1" si="591"/>
        <v>64.13282549138232</v>
      </c>
      <c r="AH499" s="45">
        <f t="shared" ca="1" si="592"/>
        <v>7.681527428080589E-4</v>
      </c>
      <c r="AI499" s="77">
        <f t="shared" ca="1" si="593"/>
        <v>1.2565326249390772E-2</v>
      </c>
      <c r="AJ499" s="384">
        <f t="shared" ca="1" si="595"/>
        <v>6.4011503008698512E-3</v>
      </c>
      <c r="AU499" s="1"/>
    </row>
    <row r="500" spans="3:47" x14ac:dyDescent="0.25">
      <c r="C500" s="10">
        <f t="shared" si="620"/>
        <v>34</v>
      </c>
      <c r="D500" s="91">
        <f t="shared" si="603"/>
        <v>2</v>
      </c>
      <c r="E500" s="278"/>
      <c r="F500" s="76">
        <f t="shared" ref="F500:Q500" ca="1" si="637">F428</f>
        <v>-7.56</v>
      </c>
      <c r="G500" s="46">
        <f t="shared" ca="1" si="637"/>
        <v>27.012600000000003</v>
      </c>
      <c r="H500" s="46">
        <f t="shared" ca="1" si="579"/>
        <v>28.517550000000004</v>
      </c>
      <c r="I500" s="45">
        <f t="shared" ca="1" si="580"/>
        <v>1.0386103497602255E-3</v>
      </c>
      <c r="J500" s="45">
        <f t="shared" ca="1" si="581"/>
        <v>0.27952512346894071</v>
      </c>
      <c r="K500" s="45">
        <f t="shared" ca="1" si="597"/>
        <v>0.90345467800480783</v>
      </c>
      <c r="L500" s="358">
        <f t="shared" ca="1" si="582"/>
        <v>0.15499691161362872</v>
      </c>
      <c r="M500" s="76">
        <f t="shared" ca="1" si="637"/>
        <v>0.25347808785320641</v>
      </c>
      <c r="N500" s="45">
        <f t="shared" ca="1" si="637"/>
        <v>0.25</v>
      </c>
      <c r="O500" s="45">
        <f t="shared" ca="1" si="637"/>
        <v>0</v>
      </c>
      <c r="P500" s="46" t="str">
        <f t="shared" ca="1" si="637"/>
        <v/>
      </c>
      <c r="Q500" s="243" t="str">
        <f t="shared" ca="1" si="637"/>
        <v/>
      </c>
      <c r="R500" s="45">
        <f t="shared" ca="1" si="598"/>
        <v>0.25342608852016768</v>
      </c>
      <c r="S500" s="45">
        <f t="shared" ca="1" si="622"/>
        <v>5.0695617570641283E-2</v>
      </c>
      <c r="T500" s="77">
        <f t="shared" ca="1" si="583"/>
        <v>2.1924757134496564E-4</v>
      </c>
      <c r="U500" s="45">
        <f t="shared" ca="1" si="599"/>
        <v>17.595683075196714</v>
      </c>
      <c r="V500" s="45">
        <f t="shared" ca="1" si="584"/>
        <v>0.20278247028256513</v>
      </c>
      <c r="W500" s="77">
        <f t="shared" ca="1" si="585"/>
        <v>4.5687053241929009E-4</v>
      </c>
      <c r="X500" s="45">
        <f t="shared" ca="1" si="600"/>
        <v>1.0264556851787234</v>
      </c>
      <c r="Y500" s="45">
        <f t="shared" ca="1" si="586"/>
        <v>6.6178294247546958E-5</v>
      </c>
      <c r="Z500" s="77">
        <f t="shared" ca="1" si="587"/>
        <v>5.8633137717820369E-5</v>
      </c>
      <c r="AA500" s="45">
        <f t="shared" ca="1" si="601"/>
        <v>39.125263368538796</v>
      </c>
      <c r="AB500" s="45">
        <f t="shared" ca="1" si="588"/>
        <v>0</v>
      </c>
      <c r="AC500" s="45" cm="1">
        <f t="array" aca="1" ref="AC500" ca="1">pHUM*(T500+W500+Z500+AD500)</f>
        <v>7.7856816761819942E-5</v>
      </c>
      <c r="AD500" s="77">
        <f t="shared" ca="1" si="589"/>
        <v>6.7726447168809558E-5</v>
      </c>
      <c r="AE500" s="45">
        <f t="shared" ca="1" si="602"/>
        <v>6.3847072090583081</v>
      </c>
      <c r="AF500" s="45">
        <f t="shared" ca="1" si="590"/>
        <v>0</v>
      </c>
      <c r="AG500" s="76">
        <f t="shared" ca="1" si="591"/>
        <v>64.385535426492709</v>
      </c>
      <c r="AH500" s="45">
        <f t="shared" ca="1" si="592"/>
        <v>6.5844257764151868E-4</v>
      </c>
      <c r="AI500" s="77">
        <f t="shared" ca="1" si="593"/>
        <v>1.3322987665777971E-2</v>
      </c>
      <c r="AJ500" s="384">
        <f t="shared" ca="1" si="595"/>
        <v>6.5853436356855255E-3</v>
      </c>
      <c r="AU500" s="1"/>
    </row>
    <row r="501" spans="3:47" x14ac:dyDescent="0.25">
      <c r="C501" s="10">
        <f t="shared" si="620"/>
        <v>34</v>
      </c>
      <c r="D501" s="91">
        <f t="shared" si="603"/>
        <v>3</v>
      </c>
      <c r="E501" s="278"/>
      <c r="F501" s="76">
        <f t="shared" ref="F501:Q501" ca="1" si="638">F429</f>
        <v>-3.72</v>
      </c>
      <c r="G501" s="46">
        <f t="shared" ca="1" si="638"/>
        <v>27.012600000000003</v>
      </c>
      <c r="H501" s="46">
        <f t="shared" ca="1" si="579"/>
        <v>28.517550000000004</v>
      </c>
      <c r="I501" s="45">
        <f t="shared" ca="1" si="580"/>
        <v>1.416534540335657E-2</v>
      </c>
      <c r="J501" s="45">
        <f t="shared" ca="1" si="581"/>
        <v>0.27952512346894071</v>
      </c>
      <c r="K501" s="45">
        <f t="shared" ca="1" si="597"/>
        <v>0.90345467800480783</v>
      </c>
      <c r="L501" s="358">
        <f t="shared" ca="1" si="582"/>
        <v>0.24547574864616473</v>
      </c>
      <c r="M501" s="76">
        <f t="shared" ca="1" si="638"/>
        <v>0.25347808785320641</v>
      </c>
      <c r="N501" s="45">
        <f t="shared" ca="1" si="638"/>
        <v>0.25</v>
      </c>
      <c r="O501" s="45">
        <f t="shared" ca="1" si="638"/>
        <v>0</v>
      </c>
      <c r="P501" s="46" t="str">
        <f t="shared" ca="1" si="638"/>
        <v/>
      </c>
      <c r="Q501" s="243" t="str">
        <f t="shared" ca="1" si="638"/>
        <v/>
      </c>
      <c r="R501" s="45">
        <f t="shared" ca="1" si="598"/>
        <v>0.30390245851946401</v>
      </c>
      <c r="S501" s="45">
        <f t="shared" ca="1" si="622"/>
        <v>5.0695617570641283E-2</v>
      </c>
      <c r="T501" s="77">
        <f t="shared" ca="1" si="583"/>
        <v>3.5663121478739478E-3</v>
      </c>
      <c r="U501" s="45">
        <f t="shared" ca="1" si="599"/>
        <v>17.798008674946857</v>
      </c>
      <c r="V501" s="45">
        <f t="shared" ca="1" si="584"/>
        <v>0.20278247028256513</v>
      </c>
      <c r="W501" s="77">
        <f t="shared" ca="1" si="585"/>
        <v>6.3017576112901841E-3</v>
      </c>
      <c r="X501" s="45">
        <f t="shared" ca="1" si="600"/>
        <v>1.026463230335253</v>
      </c>
      <c r="Y501" s="45">
        <f t="shared" ca="1" si="586"/>
        <v>9.558937996179891E-4</v>
      </c>
      <c r="Z501" s="77">
        <f t="shared" ca="1" si="587"/>
        <v>7.993998968189274E-4</v>
      </c>
      <c r="AA501" s="45">
        <f t="shared" ca="1" si="601"/>
        <v>39.125273498908385</v>
      </c>
      <c r="AB501" s="45">
        <f t="shared" ca="1" si="588"/>
        <v>0</v>
      </c>
      <c r="AC501" s="45" cm="1">
        <f t="array" aca="1" ref="AC501" ca="1">pHUM*(T501+W501+Z501+AD501)</f>
        <v>1.124580940727046E-3</v>
      </c>
      <c r="AD501" s="77">
        <f t="shared" ca="1" si="589"/>
        <v>9.2369411810575843E-4</v>
      </c>
      <c r="AE501" s="45">
        <f t="shared" ca="1" si="602"/>
        <v>6.3847072090583081</v>
      </c>
      <c r="AF501" s="45">
        <f t="shared" ca="1" si="590"/>
        <v>0</v>
      </c>
      <c r="AG501" s="76">
        <f t="shared" ca="1" si="591"/>
        <v>64.63835507176826</v>
      </c>
      <c r="AH501" s="45">
        <f t="shared" ca="1" si="592"/>
        <v>9.5106890337437831E-3</v>
      </c>
      <c r="AI501" s="77">
        <f t="shared" ca="1" si="593"/>
        <v>1.407408055209536E-2</v>
      </c>
      <c r="AJ501" s="384">
        <f t="shared" ca="1" si="595"/>
        <v>1.1017437139084763E-2</v>
      </c>
      <c r="AU501" s="1"/>
    </row>
    <row r="502" spans="3:47" x14ac:dyDescent="0.25">
      <c r="C502" s="10">
        <f t="shared" si="620"/>
        <v>34</v>
      </c>
      <c r="D502" s="91">
        <f t="shared" si="603"/>
        <v>4</v>
      </c>
      <c r="E502" s="278"/>
      <c r="F502" s="76">
        <f t="shared" ref="F502:Q502" ca="1" si="639">F430</f>
        <v>5.88</v>
      </c>
      <c r="G502" s="46">
        <f t="shared" ca="1" si="639"/>
        <v>27.012600000000003</v>
      </c>
      <c r="H502" s="46">
        <f t="shared" ca="1" si="579"/>
        <v>28.517550000000004</v>
      </c>
      <c r="I502" s="45">
        <f t="shared" ca="1" si="580"/>
        <v>0.2538659245156123</v>
      </c>
      <c r="J502" s="45">
        <f t="shared" ca="1" si="581"/>
        <v>0.27952512346894071</v>
      </c>
      <c r="K502" s="45">
        <f t="shared" ca="1" si="597"/>
        <v>0.90345467800480783</v>
      </c>
      <c r="L502" s="358">
        <f t="shared" ca="1" si="582"/>
        <v>0.57663575359475594</v>
      </c>
      <c r="M502" s="76">
        <f t="shared" ca="1" si="639"/>
        <v>0.25347808785320641</v>
      </c>
      <c r="N502" s="45">
        <f t="shared" ca="1" si="639"/>
        <v>0.25</v>
      </c>
      <c r="O502" s="45">
        <f t="shared" ca="1" si="639"/>
        <v>0</v>
      </c>
      <c r="P502" s="46" t="str">
        <f t="shared" ca="1" si="639"/>
        <v/>
      </c>
      <c r="Q502" s="243" t="str">
        <f t="shared" ca="1" si="639"/>
        <v/>
      </c>
      <c r="R502" s="45">
        <f t="shared" ca="1" si="598"/>
        <v>0.35103176394223135</v>
      </c>
      <c r="S502" s="45">
        <f t="shared" ca="1" si="622"/>
        <v>5.0695617570641283E-2</v>
      </c>
      <c r="T502" s="77">
        <f t="shared" ca="1" si="583"/>
        <v>6.6933045521027232E-2</v>
      </c>
      <c r="U502" s="45">
        <f t="shared" ca="1" si="599"/>
        <v>17.994489387618131</v>
      </c>
      <c r="V502" s="45">
        <f t="shared" ca="1" si="584"/>
        <v>0.20278247028256513</v>
      </c>
      <c r="W502" s="77">
        <f t="shared" ca="1" si="585"/>
        <v>0.11384304909563332</v>
      </c>
      <c r="X502" s="45">
        <f t="shared" ca="1" si="600"/>
        <v>1.0266197242380519</v>
      </c>
      <c r="Y502" s="45">
        <f t="shared" ca="1" si="586"/>
        <v>1.7446952621381077E-2</v>
      </c>
      <c r="Z502" s="77">
        <f t="shared" ca="1" si="587"/>
        <v>1.4234698950692662E-2</v>
      </c>
      <c r="AA502" s="45">
        <f t="shared" ca="1" si="601"/>
        <v>39.125474385731003</v>
      </c>
      <c r="AB502" s="45">
        <f t="shared" ca="1" si="588"/>
        <v>0</v>
      </c>
      <c r="AC502" s="45" cm="1">
        <f t="array" aca="1" ref="AC502" ca="1">pHUM*(T502+W502+Z502+AD502)</f>
        <v>2.0525826613389503E-2</v>
      </c>
      <c r="AD502" s="77">
        <f t="shared" ca="1" si="589"/>
        <v>1.6550872879290905E-2</v>
      </c>
      <c r="AE502" s="45">
        <f t="shared" ca="1" si="602"/>
        <v>6.3847072090583081</v>
      </c>
      <c r="AF502" s="45">
        <f t="shared" ca="1" si="590"/>
        <v>0</v>
      </c>
      <c r="AG502" s="76">
        <f t="shared" ca="1" si="591"/>
        <v>64.882322470587724</v>
      </c>
      <c r="AH502" s="45">
        <f t="shared" ca="1" si="592"/>
        <v>0.17358888721187354</v>
      </c>
      <c r="AI502" s="77">
        <f t="shared" ca="1" si="593"/>
        <v>1.4770891250670671E-2</v>
      </c>
      <c r="AJ502" s="384">
        <f t="shared" ca="1" si="595"/>
        <v>2.7161491139251481E-2</v>
      </c>
      <c r="AU502" s="1"/>
    </row>
    <row r="503" spans="3:47" x14ac:dyDescent="0.25">
      <c r="C503" s="10">
        <f t="shared" si="620"/>
        <v>34</v>
      </c>
      <c r="D503" s="91">
        <f t="shared" si="603"/>
        <v>5</v>
      </c>
      <c r="E503" s="278"/>
      <c r="F503" s="76">
        <f t="shared" ref="F503:Q503" ca="1" si="640">F431</f>
        <v>13.3</v>
      </c>
      <c r="G503" s="46">
        <f t="shared" ca="1" si="640"/>
        <v>27.012600000000003</v>
      </c>
      <c r="H503" s="46">
        <f t="shared" ca="1" si="579"/>
        <v>28.517550000000004</v>
      </c>
      <c r="I503" s="45">
        <f t="shared" ca="1" si="580"/>
        <v>0.69725265541392489</v>
      </c>
      <c r="J503" s="45">
        <f t="shared" ca="1" si="581"/>
        <v>0.27952512346894071</v>
      </c>
      <c r="K503" s="45">
        <f t="shared" ca="1" si="597"/>
        <v>0.90345467800480783</v>
      </c>
      <c r="L503" s="358">
        <f t="shared" ca="1" si="582"/>
        <v>0.80399103068855049</v>
      </c>
      <c r="M503" s="76">
        <f t="shared" ca="1" si="640"/>
        <v>0.25347808785320641</v>
      </c>
      <c r="N503" s="45">
        <f t="shared" ca="1" si="640"/>
        <v>0.25</v>
      </c>
      <c r="O503" s="45">
        <f t="shared" ca="1" si="640"/>
        <v>0</v>
      </c>
      <c r="P503" s="46" t="str">
        <f t="shared" ca="1" si="640"/>
        <v/>
      </c>
      <c r="Q503" s="243" t="str">
        <f t="shared" ca="1" si="640"/>
        <v/>
      </c>
      <c r="R503" s="45">
        <f t="shared" ca="1" si="598"/>
        <v>0.33479433599184538</v>
      </c>
      <c r="S503" s="45">
        <f t="shared" ca="1" si="622"/>
        <v>5.0695617570641283E-2</v>
      </c>
      <c r="T503" s="77">
        <f t="shared" ca="1" si="583"/>
        <v>0.14753910809057297</v>
      </c>
      <c r="U503" s="45">
        <f t="shared" ca="1" si="599"/>
        <v>18.083428808805063</v>
      </c>
      <c r="V503" s="45">
        <f t="shared" ca="1" si="584"/>
        <v>0.20278247028256513</v>
      </c>
      <c r="W503" s="77">
        <f t="shared" ca="1" si="585"/>
        <v>0.312486530706856</v>
      </c>
      <c r="X503" s="45">
        <f t="shared" ca="1" si="600"/>
        <v>1.0298319779087404</v>
      </c>
      <c r="Y503" s="45">
        <f t="shared" ca="1" si="586"/>
        <v>4.4880137130949453E-2</v>
      </c>
      <c r="Z503" s="77">
        <f t="shared" ca="1" si="587"/>
        <v>3.874525240268091E-2</v>
      </c>
      <c r="AA503" s="45">
        <f t="shared" ca="1" si="601"/>
        <v>39.129449339465097</v>
      </c>
      <c r="AB503" s="45">
        <f t="shared" ca="1" si="588"/>
        <v>0</v>
      </c>
      <c r="AC503" s="45" cm="1">
        <f t="array" aca="1" ref="AC503" ca="1">pHUM*(T503+W503+Z503+AD503)</f>
        <v>5.2800161330528769E-2</v>
      </c>
      <c r="AD503" s="77">
        <f t="shared" ca="1" si="589"/>
        <v>4.5445443183789631E-2</v>
      </c>
      <c r="AE503" s="45">
        <f t="shared" ca="1" si="602"/>
        <v>6.3847072090583081</v>
      </c>
      <c r="AF503" s="45">
        <f t="shared" ca="1" si="590"/>
        <v>0</v>
      </c>
      <c r="AG503" s="76">
        <f t="shared" ca="1" si="591"/>
        <v>64.962211671229056</v>
      </c>
      <c r="AH503" s="45">
        <f t="shared" ca="1" si="592"/>
        <v>0.4465360359224213</v>
      </c>
      <c r="AI503" s="77">
        <f t="shared" ca="1" si="593"/>
        <v>1.4560837231436615E-2</v>
      </c>
      <c r="AJ503" s="384">
        <f t="shared" ca="1" si="595"/>
        <v>3.7331782331263552E-2</v>
      </c>
      <c r="AU503" s="1"/>
    </row>
    <row r="504" spans="3:47" x14ac:dyDescent="0.25">
      <c r="C504" s="10">
        <f t="shared" si="620"/>
        <v>34</v>
      </c>
      <c r="D504" s="91">
        <f t="shared" si="603"/>
        <v>6</v>
      </c>
      <c r="E504" s="278"/>
      <c r="F504" s="76">
        <f t="shared" ref="F504:Q504" ca="1" si="641">F432</f>
        <v>18.579999999999998</v>
      </c>
      <c r="G504" s="46">
        <f t="shared" ca="1" si="641"/>
        <v>27.012600000000003</v>
      </c>
      <c r="H504" s="46">
        <f t="shared" ca="1" si="579"/>
        <v>28.517550000000004</v>
      </c>
      <c r="I504" s="45">
        <f t="shared" ca="1" si="580"/>
        <v>1.1053966357180092</v>
      </c>
      <c r="J504" s="45">
        <f t="shared" ca="1" si="581"/>
        <v>0.27952512346894071</v>
      </c>
      <c r="K504" s="45">
        <f t="shared" ca="1" si="597"/>
        <v>0.90345467800480783</v>
      </c>
      <c r="L504" s="358">
        <f t="shared" ca="1" si="582"/>
        <v>0.89864190578209513</v>
      </c>
      <c r="M504" s="76">
        <f t="shared" ca="1" si="641"/>
        <v>0.25347808785320641</v>
      </c>
      <c r="N504" s="45">
        <f t="shared" ca="1" si="641"/>
        <v>0.25</v>
      </c>
      <c r="O504" s="45">
        <f t="shared" ca="1" si="641"/>
        <v>0</v>
      </c>
      <c r="P504" s="46" t="str">
        <f t="shared" ca="1" si="641"/>
        <v/>
      </c>
      <c r="Q504" s="243" t="str">
        <f t="shared" ca="1" si="641"/>
        <v/>
      </c>
      <c r="R504" s="45">
        <f t="shared" ca="1" si="598"/>
        <v>0.2379508454719137</v>
      </c>
      <c r="S504" s="45">
        <f t="shared" ca="1" si="622"/>
        <v>5.0695617570641283E-2</v>
      </c>
      <c r="T504" s="77">
        <f t="shared" ca="1" si="583"/>
        <v>0.14323320525148991</v>
      </c>
      <c r="U504" s="45">
        <f t="shared" ca="1" si="599"/>
        <v>17.973724748380771</v>
      </c>
      <c r="V504" s="45">
        <f t="shared" ca="1" si="584"/>
        <v>0.20278247028256513</v>
      </c>
      <c r="W504" s="77">
        <f t="shared" ca="1" si="585"/>
        <v>0.48990199418576824</v>
      </c>
      <c r="X504" s="45">
        <f t="shared" ca="1" si="600"/>
        <v>1.0359668626370089</v>
      </c>
      <c r="Y504" s="45">
        <f t="shared" ca="1" si="586"/>
        <v>6.3193059565528897E-2</v>
      </c>
      <c r="Z504" s="77">
        <f t="shared" ca="1" si="587"/>
        <v>6.1107105837737249E-2</v>
      </c>
      <c r="AA504" s="45">
        <f t="shared" ca="1" si="601"/>
        <v>39.13680405761184</v>
      </c>
      <c r="AB504" s="45">
        <f t="shared" ca="1" si="588"/>
        <v>0</v>
      </c>
      <c r="AC504" s="45" cm="1">
        <f t="array" aca="1" ref="AC504" ca="1">pHUM*(T504+W504+Z504+AD504)</f>
        <v>7.4344775959445761E-2</v>
      </c>
      <c r="AD504" s="77">
        <f t="shared" ca="1" si="589"/>
        <v>7.203644148800506E-2</v>
      </c>
      <c r="AE504" s="45">
        <f t="shared" ca="1" si="602"/>
        <v>6.3847072090583081</v>
      </c>
      <c r="AF504" s="45">
        <f t="shared" ca="1" si="590"/>
        <v>0</v>
      </c>
      <c r="AG504" s="76">
        <f t="shared" ca="1" si="591"/>
        <v>64.769153723159846</v>
      </c>
      <c r="AH504" s="45">
        <f t="shared" ca="1" si="592"/>
        <v>0.62874091123802589</v>
      </c>
      <c r="AI504" s="77">
        <f t="shared" ca="1" si="593"/>
        <v>1.3185732161696469E-2</v>
      </c>
      <c r="AJ504" s="384">
        <f t="shared" ca="1" si="595"/>
        <v>3.7786085642133038E-2</v>
      </c>
      <c r="AU504" s="1"/>
    </row>
    <row r="505" spans="3:47" x14ac:dyDescent="0.25">
      <c r="C505" s="10">
        <f t="shared" si="620"/>
        <v>34</v>
      </c>
      <c r="D505" s="91">
        <f t="shared" si="603"/>
        <v>7</v>
      </c>
      <c r="E505" s="278"/>
      <c r="F505" s="76">
        <f t="shared" ref="F505:Q505" ca="1" si="642">F433</f>
        <v>20.88</v>
      </c>
      <c r="G505" s="46">
        <f t="shared" ca="1" si="642"/>
        <v>27.012600000000003</v>
      </c>
      <c r="H505" s="46">
        <f t="shared" ca="1" si="579"/>
        <v>28.517550000000004</v>
      </c>
      <c r="I505" s="45">
        <f t="shared" ca="1" si="580"/>
        <v>1.2963209464812457</v>
      </c>
      <c r="J505" s="45">
        <f t="shared" ca="1" si="581"/>
        <v>0.27952512346894071</v>
      </c>
      <c r="K505" s="45">
        <f t="shared" ca="1" si="597"/>
        <v>0.90345467800480783</v>
      </c>
      <c r="L505" s="358">
        <f t="shared" ca="1" si="582"/>
        <v>0.92456370800230281</v>
      </c>
      <c r="M505" s="76">
        <f t="shared" ca="1" si="642"/>
        <v>0.25347808785320641</v>
      </c>
      <c r="N505" s="45">
        <f t="shared" ca="1" si="642"/>
        <v>0.25</v>
      </c>
      <c r="O505" s="45">
        <f t="shared" ca="1" si="642"/>
        <v>0</v>
      </c>
      <c r="P505" s="46" t="str">
        <f t="shared" ca="1" si="642"/>
        <v/>
      </c>
      <c r="Q505" s="243" t="str">
        <f t="shared" ca="1" si="642"/>
        <v/>
      </c>
      <c r="R505" s="45">
        <f t="shared" ca="1" si="598"/>
        <v>0.14541325779106506</v>
      </c>
      <c r="S505" s="45">
        <f t="shared" ca="1" si="622"/>
        <v>5.0695617570641283E-2</v>
      </c>
      <c r="T505" s="77">
        <f t="shared" ca="1" si="583"/>
        <v>9.6044771709889135E-2</v>
      </c>
      <c r="U505" s="45">
        <f t="shared" ca="1" si="599"/>
        <v>17.686605224477567</v>
      </c>
      <c r="V505" s="45">
        <f t="shared" ca="1" si="584"/>
        <v>0.20278247028256513</v>
      </c>
      <c r="W505" s="77">
        <f t="shared" ca="1" si="585"/>
        <v>0.56399950373231367</v>
      </c>
      <c r="X505" s="45">
        <f t="shared" ca="1" si="600"/>
        <v>1.0380528163648004</v>
      </c>
      <c r="Y505" s="45">
        <f t="shared" ca="1" si="586"/>
        <v>6.7289185083991981E-2</v>
      </c>
      <c r="Z505" s="77">
        <f t="shared" ca="1" si="587"/>
        <v>7.1433934827071444E-2</v>
      </c>
      <c r="AA505" s="45">
        <f t="shared" ca="1" si="601"/>
        <v>39.139112392083284</v>
      </c>
      <c r="AB505" s="45">
        <f t="shared" ca="1" si="588"/>
        <v>0</v>
      </c>
      <c r="AC505" s="45" cm="1">
        <f t="array" aca="1" ref="AC505" ca="1">pHUM*(T505+W505+Z505+AD505)</f>
        <v>7.9163747157637632E-2</v>
      </c>
      <c r="AD505" s="77">
        <f t="shared" ca="1" si="589"/>
        <v>8.4470135504311261E-2</v>
      </c>
      <c r="AE505" s="45">
        <f t="shared" ca="1" si="602"/>
        <v>6.3847072090583081</v>
      </c>
      <c r="AF505" s="45">
        <f t="shared" ca="1" si="590"/>
        <v>0</v>
      </c>
      <c r="AG505" s="76">
        <f t="shared" ca="1" si="591"/>
        <v>64.39389089977503</v>
      </c>
      <c r="AH505" s="45">
        <f t="shared" ca="1" si="592"/>
        <v>0.66949541353195596</v>
      </c>
      <c r="AI505" s="77">
        <f t="shared" ca="1" si="593"/>
        <v>1.1819983676729868E-2</v>
      </c>
      <c r="AJ505" s="384">
        <f t="shared" ca="1" si="595"/>
        <v>3.4849448520269943E-2</v>
      </c>
      <c r="AU505" s="1"/>
    </row>
    <row r="506" spans="3:47" x14ac:dyDescent="0.25">
      <c r="C506" s="10">
        <f t="shared" si="620"/>
        <v>34</v>
      </c>
      <c r="D506" s="91">
        <f t="shared" si="603"/>
        <v>8</v>
      </c>
      <c r="E506" s="278"/>
      <c r="F506" s="76">
        <f t="shared" ref="F506:Q506" ca="1" si="643">F434</f>
        <v>19.38</v>
      </c>
      <c r="G506" s="46">
        <f t="shared" ca="1" si="643"/>
        <v>27.012600000000003</v>
      </c>
      <c r="H506" s="46">
        <f t="shared" ca="1" si="579"/>
        <v>28.517550000000004</v>
      </c>
      <c r="I506" s="45">
        <f t="shared" ca="1" si="580"/>
        <v>1.1711755949831784</v>
      </c>
      <c r="J506" s="45">
        <f t="shared" ca="1" si="581"/>
        <v>0.27952512346894071</v>
      </c>
      <c r="K506" s="45">
        <f t="shared" ca="1" si="597"/>
        <v>0.90345467800480783</v>
      </c>
      <c r="L506" s="358">
        <f t="shared" ca="1" si="582"/>
        <v>0.9085593811553081</v>
      </c>
      <c r="M506" s="76">
        <f t="shared" ca="1" si="643"/>
        <v>0.25347808785320641</v>
      </c>
      <c r="N506" s="45">
        <f t="shared" ca="1" si="643"/>
        <v>0.25</v>
      </c>
      <c r="O506" s="45">
        <f t="shared" ca="1" si="643"/>
        <v>0</v>
      </c>
      <c r="P506" s="46" t="str">
        <f t="shared" ca="1" si="643"/>
        <v/>
      </c>
      <c r="Q506" s="243" t="str">
        <f t="shared" ca="1" si="643"/>
        <v/>
      </c>
      <c r="R506" s="45">
        <f t="shared" ca="1" si="598"/>
        <v>0.10006410365181721</v>
      </c>
      <c r="S506" s="45">
        <f t="shared" ca="1" si="622"/>
        <v>5.0695617570641283E-2</v>
      </c>
      <c r="T506" s="77">
        <f t="shared" ca="1" si="583"/>
        <v>6.2357646589744672E-2</v>
      </c>
      <c r="U506" s="45">
        <f t="shared" ca="1" si="599"/>
        <v>17.325388191027816</v>
      </c>
      <c r="V506" s="45">
        <f t="shared" ca="1" si="584"/>
        <v>0.20278247028256513</v>
      </c>
      <c r="W506" s="77">
        <f t="shared" ca="1" si="585"/>
        <v>0.49992237052161326</v>
      </c>
      <c r="X506" s="45">
        <f t="shared" ca="1" si="600"/>
        <v>1.0339080666217211</v>
      </c>
      <c r="Y506" s="45">
        <f t="shared" ca="1" si="586"/>
        <v>5.7982233798144434E-2</v>
      </c>
      <c r="Z506" s="77">
        <f t="shared" ca="1" si="587"/>
        <v>6.4499187307090811E-2</v>
      </c>
      <c r="AA506" s="45">
        <f t="shared" ca="1" si="601"/>
        <v>39.133806003736609</v>
      </c>
      <c r="AB506" s="45">
        <f t="shared" ca="1" si="588"/>
        <v>0</v>
      </c>
      <c r="AC506" s="45" cm="1">
        <f t="array" aca="1" ref="AC506" ca="1">pHUM*(T506+W506+Z506+AD506)</f>
        <v>6.8214392703699334E-2</v>
      </c>
      <c r="AD506" s="77">
        <f t="shared" ca="1" si="589"/>
        <v>7.6313093293272988E-2</v>
      </c>
      <c r="AE506" s="45">
        <f t="shared" ca="1" si="602"/>
        <v>6.3847072090583081</v>
      </c>
      <c r="AF506" s="45">
        <f t="shared" ca="1" si="590"/>
        <v>0</v>
      </c>
      <c r="AG506" s="76">
        <f t="shared" ca="1" si="591"/>
        <v>63.977873574096265</v>
      </c>
      <c r="AH506" s="45">
        <f t="shared" ca="1" si="592"/>
        <v>0.57689567120987795</v>
      </c>
      <c r="AI506" s="77">
        <f t="shared" ca="1" si="593"/>
        <v>1.1088284457945132E-2</v>
      </c>
      <c r="AJ506" s="384">
        <f t="shared" ca="1" si="595"/>
        <v>3.2126320125339669E-2</v>
      </c>
      <c r="AU506" s="1"/>
    </row>
    <row r="507" spans="3:47" x14ac:dyDescent="0.25">
      <c r="C507" s="10">
        <f t="shared" si="620"/>
        <v>34</v>
      </c>
      <c r="D507" s="91">
        <f t="shared" si="603"/>
        <v>9</v>
      </c>
      <c r="E507" s="278"/>
      <c r="F507" s="76">
        <f t="shared" ref="F507:Q507" ca="1" si="644">F435</f>
        <v>16.57</v>
      </c>
      <c r="G507" s="46">
        <f t="shared" ca="1" si="644"/>
        <v>27.012600000000003</v>
      </c>
      <c r="H507" s="46">
        <f t="shared" ca="1" si="579"/>
        <v>28.517550000000004</v>
      </c>
      <c r="I507" s="45">
        <f t="shared" ca="1" si="580"/>
        <v>0.9439672665218134</v>
      </c>
      <c r="J507" s="45">
        <f t="shared" ca="1" si="581"/>
        <v>0.27952512346894071</v>
      </c>
      <c r="K507" s="45">
        <f t="shared" ca="1" si="597"/>
        <v>0.90345467800480783</v>
      </c>
      <c r="L507" s="358">
        <f t="shared" ca="1" si="582"/>
        <v>0.86895066774150642</v>
      </c>
      <c r="M507" s="76">
        <f t="shared" ca="1" si="644"/>
        <v>0.25347808785320641</v>
      </c>
      <c r="N507" s="45">
        <f t="shared" ca="1" si="644"/>
        <v>0.25</v>
      </c>
      <c r="O507" s="45">
        <f t="shared" ca="1" si="644"/>
        <v>0</v>
      </c>
      <c r="P507" s="46" t="str">
        <f t="shared" ca="1" si="644"/>
        <v/>
      </c>
      <c r="Q507" s="243" t="str">
        <f t="shared" ca="1" si="644"/>
        <v/>
      </c>
      <c r="R507" s="45">
        <f t="shared" ca="1" si="598"/>
        <v>8.8402074632713837E-2</v>
      </c>
      <c r="S507" s="45">
        <f t="shared" ca="1" si="622"/>
        <v>5.0695617570641283E-2</v>
      </c>
      <c r="T507" s="77">
        <f t="shared" ca="1" si="583"/>
        <v>4.8146195874830794E-2</v>
      </c>
      <c r="U507" s="45">
        <f t="shared" ca="1" si="599"/>
        <v>17.028248290788767</v>
      </c>
      <c r="V507" s="45">
        <f t="shared" ca="1" si="584"/>
        <v>0.20278247028256513</v>
      </c>
      <c r="W507" s="77">
        <f t="shared" ca="1" si="585"/>
        <v>0.39714810812425688</v>
      </c>
      <c r="X507" s="45">
        <f t="shared" ca="1" si="600"/>
        <v>1.0273911131127746</v>
      </c>
      <c r="Y507" s="45">
        <f t="shared" ca="1" si="586"/>
        <v>4.6081234737677682E-2</v>
      </c>
      <c r="Z507" s="77">
        <f t="shared" ca="1" si="587"/>
        <v>5.1979286139910159E-2</v>
      </c>
      <c r="AA507" s="45">
        <f t="shared" ca="1" si="601"/>
        <v>39.125707303147038</v>
      </c>
      <c r="AB507" s="45">
        <f t="shared" ca="1" si="588"/>
        <v>0</v>
      </c>
      <c r="AC507" s="45" cm="1">
        <f t="array" aca="1" ref="AC507" ca="1">pHUM*(T507+W507+Z507+AD507)</f>
        <v>5.4213217338444329E-2</v>
      </c>
      <c r="AD507" s="77">
        <f t="shared" ca="1" si="589"/>
        <v>6.150724824504978E-2</v>
      </c>
      <c r="AE507" s="45">
        <f t="shared" ca="1" si="602"/>
        <v>6.3847072090583081</v>
      </c>
      <c r="AF507" s="45">
        <f t="shared" ca="1" si="590"/>
        <v>0</v>
      </c>
      <c r="AG507" s="76">
        <f t="shared" ca="1" si="591"/>
        <v>63.654455990739599</v>
      </c>
      <c r="AH507" s="45">
        <f t="shared" ca="1" si="592"/>
        <v>0.4584863863079256</v>
      </c>
      <c r="AI507" s="77">
        <f t="shared" ca="1" si="593"/>
        <v>1.0845003503643121E-2</v>
      </c>
      <c r="AJ507" s="384">
        <f t="shared" ca="1" si="595"/>
        <v>3.0051695166043446E-2</v>
      </c>
      <c r="AU507" s="1"/>
    </row>
    <row r="508" spans="3:47" x14ac:dyDescent="0.25">
      <c r="C508" s="10">
        <f t="shared" si="620"/>
        <v>34</v>
      </c>
      <c r="D508" s="91">
        <f t="shared" si="603"/>
        <v>10</v>
      </c>
      <c r="E508" s="278"/>
      <c r="F508" s="76">
        <f t="shared" ref="F508:Q508" ca="1" si="645">F436</f>
        <v>10.87</v>
      </c>
      <c r="G508" s="46">
        <f t="shared" ca="1" si="645"/>
        <v>27.012600000000003</v>
      </c>
      <c r="H508" s="46">
        <f t="shared" ca="1" si="579"/>
        <v>28.517550000000004</v>
      </c>
      <c r="I508" s="45">
        <f t="shared" ca="1" si="580"/>
        <v>0.53125146958099567</v>
      </c>
      <c r="J508" s="45">
        <f t="shared" ca="1" si="581"/>
        <v>0.27952512346894071</v>
      </c>
      <c r="K508" s="45">
        <f t="shared" ca="1" si="597"/>
        <v>0.90345467800480783</v>
      </c>
      <c r="L508" s="358">
        <f t="shared" ca="1" si="582"/>
        <v>0.74105246316705919</v>
      </c>
      <c r="M508" s="76">
        <f t="shared" ca="1" si="645"/>
        <v>0.25347808785320641</v>
      </c>
      <c r="N508" s="45">
        <f t="shared" ca="1" si="645"/>
        <v>0.25</v>
      </c>
      <c r="O508" s="45">
        <f t="shared" ca="1" si="645"/>
        <v>0</v>
      </c>
      <c r="P508" s="46" t="str">
        <f t="shared" ca="1" si="645"/>
        <v/>
      </c>
      <c r="Q508" s="243" t="str">
        <f t="shared" ca="1" si="645"/>
        <v/>
      </c>
      <c r="R508" s="45">
        <f t="shared" ca="1" si="598"/>
        <v>9.0951496328524312E-2</v>
      </c>
      <c r="S508" s="45">
        <f t="shared" ca="1" si="622"/>
        <v>5.0695617570641283E-2</v>
      </c>
      <c r="T508" s="77">
        <f t="shared" ca="1" si="583"/>
        <v>3.2533920585815154E-2</v>
      </c>
      <c r="U508" s="45">
        <f t="shared" ca="1" si="599"/>
        <v>16.833882652947075</v>
      </c>
      <c r="V508" s="45">
        <f t="shared" ca="1" si="584"/>
        <v>0.20278247028256513</v>
      </c>
      <c r="W508" s="77">
        <f t="shared" ca="1" si="585"/>
        <v>0.22209748755901282</v>
      </c>
      <c r="X508" s="45">
        <f t="shared" ca="1" si="600"/>
        <v>1.0214930617105422</v>
      </c>
      <c r="Y508" s="45">
        <f t="shared" ca="1" si="586"/>
        <v>2.6279679705246174E-2</v>
      </c>
      <c r="Z508" s="77">
        <f t="shared" ca="1" si="587"/>
        <v>2.9415004243758449E-2</v>
      </c>
      <c r="AA508" s="45">
        <f t="shared" ca="1" si="601"/>
        <v>39.118413272240431</v>
      </c>
      <c r="AB508" s="45">
        <f t="shared" ca="1" si="588"/>
        <v>0</v>
      </c>
      <c r="AC508" s="45" cm="1">
        <f t="array" aca="1" ref="AC508" ca="1">pHUM*(T508+W508+Z508+AD508)</f>
        <v>3.0917270241466087E-2</v>
      </c>
      <c r="AD508" s="77">
        <f t="shared" ca="1" si="589"/>
        <v>3.4620861649430068E-2</v>
      </c>
      <c r="AE508" s="45">
        <f t="shared" ca="1" si="602"/>
        <v>6.3847072090583081</v>
      </c>
      <c r="AF508" s="45">
        <f t="shared" ca="1" si="590"/>
        <v>0</v>
      </c>
      <c r="AG508" s="76">
        <f t="shared" ca="1" si="591"/>
        <v>63.449447692284878</v>
      </c>
      <c r="AH508" s="45">
        <f t="shared" ca="1" si="592"/>
        <v>0.26147032409130422</v>
      </c>
      <c r="AI508" s="77">
        <f t="shared" ca="1" si="593"/>
        <v>1.0830145700220138E-2</v>
      </c>
      <c r="AJ508" s="384">
        <f t="shared" ca="1" si="595"/>
        <v>2.5593473883391837E-2</v>
      </c>
      <c r="AU508" s="1"/>
    </row>
    <row r="509" spans="3:47" x14ac:dyDescent="0.25">
      <c r="C509" s="10">
        <f t="shared" si="620"/>
        <v>34</v>
      </c>
      <c r="D509" s="91">
        <f t="shared" si="603"/>
        <v>11</v>
      </c>
      <c r="E509" s="278"/>
      <c r="F509" s="76">
        <f t="shared" ref="F509:Q509" ca="1" si="646">F437</f>
        <v>1.4</v>
      </c>
      <c r="G509" s="46">
        <f t="shared" ca="1" si="646"/>
        <v>28.536243189942063</v>
      </c>
      <c r="H509" s="46">
        <f t="shared" ca="1" si="579"/>
        <v>26.993906810057943</v>
      </c>
      <c r="I509" s="45">
        <f t="shared" ca="1" si="580"/>
        <v>9.940372096718314E-2</v>
      </c>
      <c r="J509" s="45">
        <f t="shared" ca="1" si="581"/>
        <v>0.28648639837560558</v>
      </c>
      <c r="K509" s="45">
        <f t="shared" ca="1" si="597"/>
        <v>0.92595425264501963</v>
      </c>
      <c r="L509" s="358">
        <f t="shared" ca="1" si="582"/>
        <v>0.41120226021724715</v>
      </c>
      <c r="M509" s="76">
        <f t="shared" ca="1" si="646"/>
        <v>0.25347808785320641</v>
      </c>
      <c r="N509" s="45">
        <f t="shared" ca="1" si="646"/>
        <v>0.25</v>
      </c>
      <c r="O509" s="45">
        <f t="shared" ca="1" si="646"/>
        <v>0</v>
      </c>
      <c r="P509" s="46" t="str">
        <f t="shared" ca="1" si="646"/>
        <v/>
      </c>
      <c r="Q509" s="243" t="str">
        <f t="shared" ca="1" si="646"/>
        <v/>
      </c>
      <c r="R509" s="45">
        <f t="shared" ca="1" si="598"/>
        <v>0.10911319331335044</v>
      </c>
      <c r="S509" s="45">
        <f t="shared" ca="1" si="622"/>
        <v>5.0695617570641283E-2</v>
      </c>
      <c r="T509" s="77">
        <f t="shared" ca="1" si="583"/>
        <v>8.6743136422450483E-3</v>
      </c>
      <c r="U509" s="45">
        <f t="shared" ca="1" si="599"/>
        <v>16.814567635670628</v>
      </c>
      <c r="V509" s="45">
        <f t="shared" ca="1" si="584"/>
        <v>0.20278247028256513</v>
      </c>
      <c r="W509" s="77">
        <f t="shared" ca="1" si="585"/>
        <v>4.1733886962369002E-2</v>
      </c>
      <c r="X509" s="45">
        <f t="shared" ca="1" si="600"/>
        <v>1.01835773717203</v>
      </c>
      <c r="Y509" s="45">
        <f t="shared" ca="1" si="586"/>
        <v>5.1492917888376092E-3</v>
      </c>
      <c r="Z509" s="77">
        <f t="shared" ca="1" si="587"/>
        <v>5.5523783347567329E-3</v>
      </c>
      <c r="AA509" s="45">
        <f t="shared" ca="1" si="601"/>
        <v>39.114709680832469</v>
      </c>
      <c r="AB509" s="45">
        <f t="shared" ca="1" si="588"/>
        <v>0</v>
      </c>
      <c r="AC509" s="45" cm="1">
        <f t="array" aca="1" ref="AC509" ca="1">pHUM*(T509+W509+Z509+AD509)</f>
        <v>6.0579903398089519E-3</v>
      </c>
      <c r="AD509" s="77">
        <f t="shared" ca="1" si="589"/>
        <v>6.4797093738710914E-3</v>
      </c>
      <c r="AE509" s="45">
        <f t="shared" ca="1" si="602"/>
        <v>6.3847072090583081</v>
      </c>
      <c r="AF509" s="45">
        <f t="shared" ca="1" si="590"/>
        <v>0</v>
      </c>
      <c r="AG509" s="76">
        <f t="shared" ca="1" si="591"/>
        <v>63.441455456046782</v>
      </c>
      <c r="AH509" s="45">
        <f t="shared" ca="1" si="592"/>
        <v>5.1233006184595323E-2</v>
      </c>
      <c r="AI509" s="77">
        <f t="shared" ca="1" si="593"/>
        <v>1.1085326972966025E-2</v>
      </c>
      <c r="AJ509" s="384">
        <f t="shared" ca="1" si="595"/>
        <v>1.489832781507161E-2</v>
      </c>
      <c r="AU509" s="1"/>
    </row>
    <row r="510" spans="3:47" x14ac:dyDescent="0.25">
      <c r="C510" s="10">
        <f t="shared" si="620"/>
        <v>34</v>
      </c>
      <c r="D510" s="91">
        <f t="shared" si="603"/>
        <v>12</v>
      </c>
      <c r="E510" s="278"/>
      <c r="F510" s="76">
        <f t="shared" ref="F510:Q510" ca="1" si="647">F438</f>
        <v>-1.78</v>
      </c>
      <c r="G510" s="46">
        <f t="shared" ca="1" si="647"/>
        <v>32.216243189942062</v>
      </c>
      <c r="H510" s="46">
        <f t="shared" ca="1" si="579"/>
        <v>23.313906810057944</v>
      </c>
      <c r="I510" s="45">
        <f t="shared" ca="1" si="580"/>
        <v>3.9789790397057247E-2</v>
      </c>
      <c r="J510" s="45">
        <f t="shared" ca="1" si="581"/>
        <v>0.29882189650486002</v>
      </c>
      <c r="K510" s="45">
        <f t="shared" ca="1" si="597"/>
        <v>0.96582388351071458</v>
      </c>
      <c r="L510" s="358">
        <f t="shared" ca="1" si="582"/>
        <v>0.30292377267304249</v>
      </c>
      <c r="M510" s="76">
        <f t="shared" ca="1" si="647"/>
        <v>0.25347808785320641</v>
      </c>
      <c r="N510" s="45">
        <f t="shared" ca="1" si="647"/>
        <v>0.25</v>
      </c>
      <c r="O510" s="45">
        <f t="shared" ca="1" si="647"/>
        <v>0</v>
      </c>
      <c r="P510" s="46" t="str">
        <f t="shared" ca="1" si="647"/>
        <v/>
      </c>
      <c r="Q510" s="243" t="str">
        <f t="shared" ca="1" si="647"/>
        <v/>
      </c>
      <c r="R510" s="45">
        <f t="shared" ca="1" si="598"/>
        <v>0.15113449724174668</v>
      </c>
      <c r="S510" s="45">
        <f t="shared" ca="1" si="622"/>
        <v>5.0695617570641283E-2</v>
      </c>
      <c r="T510" s="77">
        <f t="shared" ca="1" si="583"/>
        <v>4.9291689443774654E-3</v>
      </c>
      <c r="U510" s="45">
        <f t="shared" ca="1" si="599"/>
        <v>16.975616218990822</v>
      </c>
      <c r="V510" s="45">
        <f t="shared" ca="1" si="584"/>
        <v>0.20278247028256513</v>
      </c>
      <c r="W510" s="77">
        <f t="shared" ca="1" si="585"/>
        <v>1.6878009232985939E-2</v>
      </c>
      <c r="X510" s="45">
        <f t="shared" ca="1" si="600"/>
        <v>1.017954650626111</v>
      </c>
      <c r="Y510" s="45">
        <f t="shared" ca="1" si="586"/>
        <v>2.1958034943713686E-3</v>
      </c>
      <c r="Z510" s="77">
        <f t="shared" ca="1" si="587"/>
        <v>2.2252952709986909E-3</v>
      </c>
      <c r="AA510" s="45">
        <f t="shared" ca="1" si="601"/>
        <v>39.114287961798411</v>
      </c>
      <c r="AB510" s="45">
        <f t="shared" ca="1" si="588"/>
        <v>0</v>
      </c>
      <c r="AC510" s="45" cm="1">
        <f t="array" aca="1" ref="AC510" ca="1">pHUM*(T510+W510+Z510+AD510)</f>
        <v>2.5832982286721983E-3</v>
      </c>
      <c r="AD510" s="77">
        <f t="shared" ca="1" si="589"/>
        <v>2.5938295249876469E-3</v>
      </c>
      <c r="AE510" s="45">
        <f t="shared" ca="1" si="602"/>
        <v>6.3847072090583081</v>
      </c>
      <c r="AF510" s="45">
        <f t="shared" ca="1" si="590"/>
        <v>0</v>
      </c>
      <c r="AG510" s="76">
        <f t="shared" ca="1" si="591"/>
        <v>63.643700537715397</v>
      </c>
      <c r="AH510" s="45">
        <f t="shared" ca="1" si="592"/>
        <v>2.1847201250306179E-2</v>
      </c>
      <c r="AI510" s="77">
        <f t="shared" ca="1" si="593"/>
        <v>1.1727656504704547E-2</v>
      </c>
      <c r="AJ510" s="384">
        <f t="shared" ca="1" si="595"/>
        <v>1.2111213821253131E-2</v>
      </c>
      <c r="AU510" s="1"/>
    </row>
    <row r="511" spans="3:47" x14ac:dyDescent="0.25">
      <c r="C511" s="10">
        <f t="shared" si="620"/>
        <v>35</v>
      </c>
      <c r="D511" s="91">
        <f t="shared" si="603"/>
        <v>1</v>
      </c>
      <c r="E511" s="278"/>
      <c r="F511" s="76">
        <f t="shared" ref="F511:Q511" ca="1" si="648">F439</f>
        <v>-8.2799999999999994</v>
      </c>
      <c r="G511" s="46">
        <f t="shared" ca="1" si="648"/>
        <v>27.676243189942063</v>
      </c>
      <c r="H511" s="46">
        <f t="shared" ca="1" si="579"/>
        <v>27.853906810057943</v>
      </c>
      <c r="I511" s="45">
        <f t="shared" ca="1" si="580"/>
        <v>5.2124139735228647E-4</v>
      </c>
      <c r="J511" s="45">
        <f t="shared" ca="1" si="581"/>
        <v>0.28271042830183513</v>
      </c>
      <c r="K511" s="45">
        <f t="shared" ca="1" si="597"/>
        <v>0.91374991914963299</v>
      </c>
      <c r="L511" s="358">
        <f t="shared" ca="1" si="582"/>
        <v>0.14143923467074027</v>
      </c>
      <c r="M511" s="76">
        <f t="shared" ca="1" si="648"/>
        <v>0.25347808785320641</v>
      </c>
      <c r="N511" s="45">
        <f t="shared" ca="1" si="648"/>
        <v>0.25</v>
      </c>
      <c r="O511" s="45">
        <f t="shared" ca="1" si="648"/>
        <v>0</v>
      </c>
      <c r="P511" s="46" t="str">
        <f t="shared" ca="1" si="648"/>
        <v/>
      </c>
      <c r="Q511" s="243" t="str">
        <f t="shared" ca="1" si="648"/>
        <v/>
      </c>
      <c r="R511" s="45">
        <f t="shared" ca="1" si="598"/>
        <v>0.19690094586801049</v>
      </c>
      <c r="S511" s="45">
        <f t="shared" ca="1" si="622"/>
        <v>5.0695617570641283E-2</v>
      </c>
      <c r="T511" s="77">
        <f t="shared" ca="1" si="583"/>
        <v>8.5508864309104358E-5</v>
      </c>
      <c r="U511" s="45">
        <f t="shared" ca="1" si="599"/>
        <v>17.1615206800404</v>
      </c>
      <c r="V511" s="45">
        <f t="shared" ca="1" si="584"/>
        <v>0.20278247028256513</v>
      </c>
      <c r="W511" s="77">
        <f t="shared" ca="1" si="585"/>
        <v>2.2363091842464195E-4</v>
      </c>
      <c r="X511" s="45">
        <f t="shared" ca="1" si="600"/>
        <v>1.0179251588494838</v>
      </c>
      <c r="Y511" s="45">
        <f t="shared" ca="1" si="586"/>
        <v>3.070275608352226E-5</v>
      </c>
      <c r="Z511" s="77">
        <f t="shared" ca="1" si="587"/>
        <v>2.9181741973809894E-5</v>
      </c>
      <c r="AA511" s="45">
        <f t="shared" ca="1" si="601"/>
        <v>39.114277430502092</v>
      </c>
      <c r="AB511" s="45">
        <f t="shared" ca="1" si="588"/>
        <v>0</v>
      </c>
      <c r="AC511" s="45" cm="1">
        <f t="array" aca="1" ref="AC511" ca="1">pHUM*(T511+W511+Z511+AD511)</f>
        <v>3.6120889510026183E-5</v>
      </c>
      <c r="AD511" s="77">
        <f t="shared" ca="1" si="589"/>
        <v>3.3979952948467377E-5</v>
      </c>
      <c r="AE511" s="45">
        <f t="shared" ca="1" si="602"/>
        <v>6.3847072090583081</v>
      </c>
      <c r="AF511" s="45">
        <f t="shared" ca="1" si="590"/>
        <v>0</v>
      </c>
      <c r="AG511" s="76">
        <f t="shared" ca="1" si="591"/>
        <v>63.87533142431829</v>
      </c>
      <c r="AH511" s="45">
        <f t="shared" ca="1" si="592"/>
        <v>3.0547783206247514E-4</v>
      </c>
      <c r="AI511" s="77">
        <f t="shared" ca="1" si="593"/>
        <v>1.2424608263150111E-2</v>
      </c>
      <c r="AJ511" s="384">
        <f t="shared" ca="1" si="595"/>
        <v>5.6679724479058446E-3</v>
      </c>
      <c r="AU511" s="1"/>
    </row>
    <row r="512" spans="3:47" x14ac:dyDescent="0.25">
      <c r="C512" s="10">
        <f t="shared" si="620"/>
        <v>35</v>
      </c>
      <c r="D512" s="91">
        <f t="shared" si="603"/>
        <v>2</v>
      </c>
      <c r="E512" s="278"/>
      <c r="F512" s="76">
        <f t="shared" ref="F512:Q512" ca="1" si="649">F440</f>
        <v>-13.02</v>
      </c>
      <c r="G512" s="46">
        <f t="shared" ca="1" si="649"/>
        <v>27.012600000000003</v>
      </c>
      <c r="H512" s="46">
        <f t="shared" ca="1" si="579"/>
        <v>28.517550000000004</v>
      </c>
      <c r="I512" s="45">
        <f t="shared" ca="1" si="580"/>
        <v>3.4968020066039631E-8</v>
      </c>
      <c r="J512" s="45">
        <f t="shared" ca="1" si="581"/>
        <v>0.27952512346894071</v>
      </c>
      <c r="K512" s="45">
        <f t="shared" ca="1" si="597"/>
        <v>0.90345467800480783</v>
      </c>
      <c r="L512" s="358">
        <f t="shared" ca="1" si="582"/>
        <v>7.5103934893711255E-2</v>
      </c>
      <c r="M512" s="76">
        <f t="shared" ca="1" si="649"/>
        <v>0.25347808785320641</v>
      </c>
      <c r="N512" s="45">
        <f t="shared" ca="1" si="649"/>
        <v>0.25</v>
      </c>
      <c r="O512" s="45">
        <f t="shared" ca="1" si="649"/>
        <v>0</v>
      </c>
      <c r="P512" s="46" t="str">
        <f t="shared" ca="1" si="649"/>
        <v/>
      </c>
      <c r="Q512" s="243" t="str">
        <f t="shared" ca="1" si="649"/>
        <v/>
      </c>
      <c r="R512" s="45">
        <f t="shared" ca="1" si="598"/>
        <v>0.24751105457434266</v>
      </c>
      <c r="S512" s="45">
        <f t="shared" ca="1" si="622"/>
        <v>5.0695617570641283E-2</v>
      </c>
      <c r="T512" s="77">
        <f t="shared" ca="1" si="583"/>
        <v>7.2124761619648606E-9</v>
      </c>
      <c r="U512" s="45">
        <f t="shared" ca="1" si="599"/>
        <v>17.364079519404541</v>
      </c>
      <c r="V512" s="45">
        <f t="shared" ca="1" si="584"/>
        <v>0.20278247028256513</v>
      </c>
      <c r="W512" s="77">
        <f t="shared" ca="1" si="585"/>
        <v>1.5179686820363999E-8</v>
      </c>
      <c r="X512" s="45">
        <f t="shared" ca="1" si="600"/>
        <v>1.0179266798635935</v>
      </c>
      <c r="Y512" s="45">
        <f t="shared" ca="1" si="586"/>
        <v>2.1960641351083502E-9</v>
      </c>
      <c r="Z512" s="77">
        <f t="shared" ca="1" si="587"/>
        <v>1.9577184498080669E-9</v>
      </c>
      <c r="AA512" s="45">
        <f t="shared" ca="1" si="601"/>
        <v>39.114279571438658</v>
      </c>
      <c r="AB512" s="45">
        <f t="shared" ca="1" si="588"/>
        <v>0</v>
      </c>
      <c r="AC512" s="45" cm="1">
        <f t="array" aca="1" ref="AC512" ca="1">pHUM*(T512+W512+Z512+AD512)</f>
        <v>2.583604864833353E-9</v>
      </c>
      <c r="AD512" s="77">
        <f t="shared" ca="1" si="589"/>
        <v>2.2795820695787906E-9</v>
      </c>
      <c r="AE512" s="45">
        <f t="shared" ca="1" si="602"/>
        <v>6.3847072090583081</v>
      </c>
      <c r="AF512" s="45">
        <f t="shared" ca="1" si="590"/>
        <v>0</v>
      </c>
      <c r="AG512" s="76">
        <f t="shared" ca="1" si="591"/>
        <v>64.128504034339443</v>
      </c>
      <c r="AH512" s="45">
        <f t="shared" ca="1" si="592"/>
        <v>2.1849794501774017E-8</v>
      </c>
      <c r="AI512" s="77">
        <f t="shared" ca="1" si="593"/>
        <v>1.3188215450735331E-2</v>
      </c>
      <c r="AJ512" s="384">
        <f t="shared" ca="1" si="595"/>
        <v>3.1586674167127793E-3</v>
      </c>
      <c r="AU512" s="1"/>
    </row>
    <row r="513" spans="3:47" x14ac:dyDescent="0.25">
      <c r="C513" s="10">
        <f t="shared" si="620"/>
        <v>35</v>
      </c>
      <c r="D513" s="91">
        <f t="shared" si="603"/>
        <v>3</v>
      </c>
      <c r="E513" s="278"/>
      <c r="F513" s="76">
        <f t="shared" ref="F513:Q513" ca="1" si="650">F441</f>
        <v>-3.52</v>
      </c>
      <c r="G513" s="46">
        <f t="shared" ca="1" si="650"/>
        <v>29.742600000000003</v>
      </c>
      <c r="H513" s="46">
        <f t="shared" ca="1" si="579"/>
        <v>25.787550000000003</v>
      </c>
      <c r="I513" s="45">
        <f t="shared" ca="1" si="580"/>
        <v>1.7216068766348798E-2</v>
      </c>
      <c r="J513" s="45">
        <f t="shared" ca="1" si="581"/>
        <v>0.2911707845539237</v>
      </c>
      <c r="K513" s="45">
        <f t="shared" ca="1" si="597"/>
        <v>0.94109468279262609</v>
      </c>
      <c r="L513" s="358">
        <f t="shared" ca="1" si="582"/>
        <v>0.2510452916114092</v>
      </c>
      <c r="M513" s="76">
        <f t="shared" ca="1" si="650"/>
        <v>0.25347808785320641</v>
      </c>
      <c r="N513" s="45">
        <f t="shared" ca="1" si="650"/>
        <v>0.25</v>
      </c>
      <c r="O513" s="45">
        <f t="shared" ca="1" si="650"/>
        <v>0</v>
      </c>
      <c r="P513" s="46" t="str">
        <f t="shared" ca="1" si="650"/>
        <v/>
      </c>
      <c r="Q513" s="243" t="str">
        <f t="shared" ca="1" si="650"/>
        <v/>
      </c>
      <c r="R513" s="45">
        <f t="shared" ca="1" si="598"/>
        <v>0.2982066649325078</v>
      </c>
      <c r="S513" s="45">
        <f t="shared" ca="1" si="622"/>
        <v>5.0695617570641283E-2</v>
      </c>
      <c r="T513" s="77">
        <f t="shared" ca="1" si="583"/>
        <v>4.2477452355207971E-3</v>
      </c>
      <c r="U513" s="45">
        <f t="shared" ca="1" si="599"/>
        <v>17.566861974507418</v>
      </c>
      <c r="V513" s="45">
        <f t="shared" ca="1" si="584"/>
        <v>0.20278247028256513</v>
      </c>
      <c r="W513" s="77">
        <f t="shared" ca="1" si="585"/>
        <v>7.5591807351681169E-3</v>
      </c>
      <c r="X513" s="45">
        <f t="shared" ca="1" si="600"/>
        <v>1.0179266801019393</v>
      </c>
      <c r="Y513" s="45">
        <f t="shared" ca="1" si="586"/>
        <v>1.1456903194398281E-3</v>
      </c>
      <c r="Z513" s="77">
        <f t="shared" ca="1" si="587"/>
        <v>9.634020779225802E-4</v>
      </c>
      <c r="AA513" s="45">
        <f t="shared" ca="1" si="601"/>
        <v>39.114279571742678</v>
      </c>
      <c r="AB513" s="45">
        <f t="shared" ca="1" si="588"/>
        <v>0</v>
      </c>
      <c r="AC513" s="45" cm="1">
        <f t="array" aca="1" ref="AC513" ca="1">pHUM*(T513+W513+Z513+AD513)</f>
        <v>1.3478709640468566E-3</v>
      </c>
      <c r="AD513" s="77">
        <f t="shared" ca="1" si="589"/>
        <v>1.1223074432415955E-3</v>
      </c>
      <c r="AE513" s="45">
        <f t="shared" ca="1" si="602"/>
        <v>6.3847072090583081</v>
      </c>
      <c r="AF513" s="45">
        <f t="shared" ca="1" si="590"/>
        <v>0</v>
      </c>
      <c r="AG513" s="76">
        <f t="shared" ca="1" si="591"/>
        <v>64.381982100342853</v>
      </c>
      <c r="AH513" s="45">
        <f t="shared" ca="1" si="592"/>
        <v>1.1399074208366406E-2</v>
      </c>
      <c r="AI513" s="77">
        <f t="shared" ca="1" si="593"/>
        <v>1.3946405901791243E-2</v>
      </c>
      <c r="AJ513" s="384">
        <f t="shared" ca="1" si="595"/>
        <v>1.1630356703230538E-2</v>
      </c>
      <c r="AU513" s="1"/>
    </row>
    <row r="514" spans="3:47" x14ac:dyDescent="0.25">
      <c r="C514" s="10">
        <f t="shared" si="620"/>
        <v>35</v>
      </c>
      <c r="D514" s="91">
        <f t="shared" si="603"/>
        <v>4</v>
      </c>
      <c r="E514" s="278"/>
      <c r="F514" s="76">
        <f t="shared" ref="F514:Q514" ca="1" si="651">F442</f>
        <v>6.08</v>
      </c>
      <c r="G514" s="46">
        <f t="shared" ca="1" si="651"/>
        <v>27.012600000000003</v>
      </c>
      <c r="H514" s="46">
        <f t="shared" ca="1" si="579"/>
        <v>28.517550000000004</v>
      </c>
      <c r="I514" s="45">
        <f t="shared" ca="1" si="580"/>
        <v>0.26307228538649535</v>
      </c>
      <c r="J514" s="45">
        <f t="shared" ca="1" si="581"/>
        <v>0.27952512346894071</v>
      </c>
      <c r="K514" s="45">
        <f t="shared" ca="1" si="597"/>
        <v>0.90345467800480783</v>
      </c>
      <c r="L514" s="358">
        <f t="shared" ca="1" si="582"/>
        <v>0.58389398806465831</v>
      </c>
      <c r="M514" s="76">
        <f t="shared" ca="1" si="651"/>
        <v>0.25347808785320641</v>
      </c>
      <c r="N514" s="45">
        <f t="shared" ca="1" si="651"/>
        <v>0.25</v>
      </c>
      <c r="O514" s="45">
        <f t="shared" ca="1" si="651"/>
        <v>0</v>
      </c>
      <c r="P514" s="46" t="str">
        <f t="shared" ca="1" si="651"/>
        <v/>
      </c>
      <c r="Q514" s="243" t="str">
        <f t="shared" ca="1" si="651"/>
        <v/>
      </c>
      <c r="R514" s="45">
        <f t="shared" ca="1" si="598"/>
        <v>0.34465453726762829</v>
      </c>
      <c r="S514" s="45">
        <f t="shared" ca="1" si="622"/>
        <v>5.0695617570641283E-2</v>
      </c>
      <c r="T514" s="77">
        <f t="shared" ca="1" si="583"/>
        <v>6.7848877793297319E-2</v>
      </c>
      <c r="U514" s="45">
        <f t="shared" ca="1" si="599"/>
        <v>17.762085264054814</v>
      </c>
      <c r="V514" s="45">
        <f t="shared" ca="1" si="584"/>
        <v>0.20278247028256513</v>
      </c>
      <c r="W514" s="77">
        <f t="shared" ca="1" si="585"/>
        <v>0.11643450575535226</v>
      </c>
      <c r="X514" s="45">
        <f t="shared" ca="1" si="600"/>
        <v>1.0181089683434565</v>
      </c>
      <c r="Y514" s="45">
        <f t="shared" ca="1" si="586"/>
        <v>1.7817462127871064E-2</v>
      </c>
      <c r="Z514" s="77">
        <f t="shared" ca="1" si="587"/>
        <v>1.4624934860754535E-2</v>
      </c>
      <c r="AA514" s="45">
        <f t="shared" ca="1" si="601"/>
        <v>39.114505135263485</v>
      </c>
      <c r="AB514" s="45">
        <f t="shared" ca="1" si="588"/>
        <v>0</v>
      </c>
      <c r="AC514" s="45" cm="1">
        <f t="array" aca="1" ref="AC514" ca="1">pHUM*(T514+W514+Z514+AD514)</f>
        <v>2.0961720150436545E-2</v>
      </c>
      <c r="AD514" s="77">
        <f t="shared" ca="1" si="589"/>
        <v>1.7146144591939413E-2</v>
      </c>
      <c r="AE514" s="45">
        <f t="shared" ca="1" si="602"/>
        <v>6.3847072090583081</v>
      </c>
      <c r="AF514" s="45">
        <f t="shared" ca="1" si="590"/>
        <v>0</v>
      </c>
      <c r="AG514" s="76">
        <f t="shared" ca="1" si="591"/>
        <v>64.624061113987693</v>
      </c>
      <c r="AH514" s="45">
        <f t="shared" ca="1" si="592"/>
        <v>0.17727528072303594</v>
      </c>
      <c r="AI514" s="77">
        <f t="shared" ca="1" si="593"/>
        <v>1.4637028469333773E-2</v>
      </c>
      <c r="AJ514" s="384">
        <f t="shared" ca="1" si="595"/>
        <v>2.7254123801684349E-2</v>
      </c>
      <c r="AU514" s="1"/>
    </row>
    <row r="515" spans="3:47" x14ac:dyDescent="0.25">
      <c r="C515" s="10">
        <f t="shared" si="620"/>
        <v>35</v>
      </c>
      <c r="D515" s="91">
        <f t="shared" si="603"/>
        <v>5</v>
      </c>
      <c r="E515" s="278"/>
      <c r="F515" s="76">
        <f t="shared" ref="F515:Q515" ca="1" si="652">F443</f>
        <v>16.079999999999998</v>
      </c>
      <c r="G515" s="46">
        <f t="shared" ca="1" si="652"/>
        <v>27.012600000000003</v>
      </c>
      <c r="H515" s="46">
        <f t="shared" ca="1" si="579"/>
        <v>28.517550000000004</v>
      </c>
      <c r="I515" s="45">
        <f t="shared" ca="1" si="580"/>
        <v>0.90560233354751607</v>
      </c>
      <c r="J515" s="45">
        <f t="shared" ca="1" si="581"/>
        <v>0.27952512346894071</v>
      </c>
      <c r="K515" s="45">
        <f t="shared" ca="1" si="597"/>
        <v>0.90345467800480783</v>
      </c>
      <c r="L515" s="358">
        <f t="shared" ca="1" si="582"/>
        <v>0.86059167822175908</v>
      </c>
      <c r="M515" s="76">
        <f t="shared" ca="1" si="652"/>
        <v>0.25347808785320641</v>
      </c>
      <c r="N515" s="45">
        <f t="shared" ca="1" si="652"/>
        <v>0.25</v>
      </c>
      <c r="O515" s="45">
        <f t="shared" ca="1" si="652"/>
        <v>0</v>
      </c>
      <c r="P515" s="46" t="str">
        <f t="shared" ca="1" si="652"/>
        <v/>
      </c>
      <c r="Q515" s="243" t="str">
        <f t="shared" ca="1" si="652"/>
        <v/>
      </c>
      <c r="R515" s="45">
        <f t="shared" ca="1" si="598"/>
        <v>0.32750127704497223</v>
      </c>
      <c r="S515" s="45">
        <f t="shared" ca="1" si="622"/>
        <v>5.0695617570641283E-2</v>
      </c>
      <c r="T515" s="77">
        <f t="shared" ca="1" si="583"/>
        <v>0.17352118168479536</v>
      </c>
      <c r="U515" s="45">
        <f t="shared" ca="1" si="599"/>
        <v>17.848433228582024</v>
      </c>
      <c r="V515" s="45">
        <f t="shared" ca="1" si="584"/>
        <v>0.20278247028256513</v>
      </c>
      <c r="W515" s="77">
        <f t="shared" ca="1" si="585"/>
        <v>0.39954959017723968</v>
      </c>
      <c r="X515" s="45">
        <f t="shared" ca="1" si="600"/>
        <v>1.021301495610573</v>
      </c>
      <c r="Y515" s="45">
        <f t="shared" ca="1" si="586"/>
        <v>5.6217406998371133E-2</v>
      </c>
      <c r="Z515" s="77">
        <f t="shared" ca="1" si="587"/>
        <v>4.962304203120018E-2</v>
      </c>
      <c r="AA515" s="45">
        <f t="shared" ca="1" si="601"/>
        <v>39.118320710821983</v>
      </c>
      <c r="AB515" s="45">
        <f t="shared" ca="1" si="588"/>
        <v>0</v>
      </c>
      <c r="AC515" s="45" cm="1">
        <f t="array" aca="1" ref="AC515" ca="1">pHUM*(T515+W515+Z515+AD515)</f>
        <v>6.6138125880436632E-2</v>
      </c>
      <c r="AD515" s="77">
        <f t="shared" ca="1" si="589"/>
        <v>5.8998202241967675E-2</v>
      </c>
      <c r="AE515" s="45">
        <f t="shared" ca="1" si="602"/>
        <v>6.3847072090583081</v>
      </c>
      <c r="AF515" s="45">
        <f t="shared" ca="1" si="590"/>
        <v>0</v>
      </c>
      <c r="AG515" s="76">
        <f t="shared" ca="1" si="591"/>
        <v>64.700263921117866</v>
      </c>
      <c r="AH515" s="45">
        <f t="shared" ca="1" si="592"/>
        <v>0.55933648325639518</v>
      </c>
      <c r="AI515" s="77">
        <f t="shared" ca="1" si="593"/>
        <v>1.4412918137414134E-2</v>
      </c>
      <c r="AJ515" s="384">
        <f t="shared" ca="1" si="595"/>
        <v>3.9553901316743412E-2</v>
      </c>
      <c r="AU515" s="1"/>
    </row>
    <row r="516" spans="3:47" x14ac:dyDescent="0.25">
      <c r="C516" s="10">
        <f t="shared" si="620"/>
        <v>35</v>
      </c>
      <c r="D516" s="91">
        <f t="shared" si="603"/>
        <v>6</v>
      </c>
      <c r="E516" s="278"/>
      <c r="F516" s="76">
        <f t="shared" ref="F516:Q516" ca="1" si="653">F444</f>
        <v>17.399999999999999</v>
      </c>
      <c r="G516" s="46">
        <f t="shared" ca="1" si="653"/>
        <v>27.012600000000003</v>
      </c>
      <c r="H516" s="46">
        <f t="shared" ca="1" si="579"/>
        <v>28.517550000000004</v>
      </c>
      <c r="I516" s="45">
        <f t="shared" ca="1" si="580"/>
        <v>1.0098878501236044</v>
      </c>
      <c r="J516" s="45">
        <f t="shared" ca="1" si="581"/>
        <v>0.27952512346894071</v>
      </c>
      <c r="K516" s="45">
        <f t="shared" ca="1" si="597"/>
        <v>0.90345467800480783</v>
      </c>
      <c r="L516" s="358">
        <f t="shared" ca="1" si="582"/>
        <v>0.88208077264421947</v>
      </c>
      <c r="M516" s="76">
        <f t="shared" ca="1" si="653"/>
        <v>0.25347808785320641</v>
      </c>
      <c r="N516" s="45">
        <f t="shared" ca="1" si="653"/>
        <v>0.25</v>
      </c>
      <c r="O516" s="45">
        <f t="shared" ca="1" si="653"/>
        <v>0</v>
      </c>
      <c r="P516" s="46" t="str">
        <f t="shared" ca="1" si="653"/>
        <v/>
      </c>
      <c r="Q516" s="243" t="str">
        <f t="shared" ca="1" si="653"/>
        <v/>
      </c>
      <c r="R516" s="45">
        <f t="shared" ca="1" si="598"/>
        <v>0.20467571293081815</v>
      </c>
      <c r="S516" s="45">
        <f t="shared" ca="1" si="622"/>
        <v>5.0695617570641283E-2</v>
      </c>
      <c r="T516" s="77">
        <f t="shared" ca="1" si="583"/>
        <v>0.11645395421434461</v>
      </c>
      <c r="U516" s="45">
        <f t="shared" ca="1" si="599"/>
        <v>17.651666108687348</v>
      </c>
      <c r="V516" s="45">
        <f t="shared" ca="1" si="584"/>
        <v>0.20278247028256513</v>
      </c>
      <c r="W516" s="77">
        <f t="shared" ca="1" si="585"/>
        <v>0.44007635547563517</v>
      </c>
      <c r="X516" s="45">
        <f t="shared" ca="1" si="600"/>
        <v>1.027895860577744</v>
      </c>
      <c r="Y516" s="45">
        <f t="shared" ca="1" si="586"/>
        <v>5.5901838774892826E-2</v>
      </c>
      <c r="Z516" s="77">
        <f t="shared" ca="1" si="587"/>
        <v>5.5536638537143468E-2</v>
      </c>
      <c r="AA516" s="45">
        <f t="shared" ca="1" si="601"/>
        <v>39.125460634460453</v>
      </c>
      <c r="AB516" s="45">
        <f t="shared" ca="1" si="588"/>
        <v>0</v>
      </c>
      <c r="AC516" s="45" cm="1">
        <f t="array" aca="1" ref="AC516" ca="1">pHUM*(T516+W516+Z516+AD516)</f>
        <v>6.5766869146932735E-2</v>
      </c>
      <c r="AD516" s="77">
        <f t="shared" ca="1" si="589"/>
        <v>6.5798489095980336E-2</v>
      </c>
      <c r="AE516" s="45">
        <f t="shared" ca="1" si="602"/>
        <v>6.3847072090583081</v>
      </c>
      <c r="AF516" s="45">
        <f t="shared" ca="1" si="590"/>
        <v>0</v>
      </c>
      <c r="AG516" s="76">
        <f t="shared" ca="1" si="591"/>
        <v>64.394405525714674</v>
      </c>
      <c r="AH516" s="45">
        <f t="shared" ca="1" si="592"/>
        <v>0.55619672940127807</v>
      </c>
      <c r="AI516" s="77">
        <f t="shared" ca="1" si="593"/>
        <v>1.2646128862986522E-2</v>
      </c>
      <c r="AJ516" s="384">
        <f t="shared" ca="1" si="595"/>
        <v>3.5571964772267428E-2</v>
      </c>
      <c r="AU516" s="1"/>
    </row>
    <row r="517" spans="3:47" x14ac:dyDescent="0.25">
      <c r="C517" s="10">
        <f t="shared" si="620"/>
        <v>35</v>
      </c>
      <c r="D517" s="91">
        <f t="shared" si="603"/>
        <v>7</v>
      </c>
      <c r="E517" s="278"/>
      <c r="F517" s="76">
        <f t="shared" ref="F517:Q517" ca="1" si="654">F445</f>
        <v>21.29</v>
      </c>
      <c r="G517" s="46">
        <f t="shared" ca="1" si="654"/>
        <v>27.012600000000003</v>
      </c>
      <c r="H517" s="46">
        <f t="shared" ca="1" si="579"/>
        <v>28.517550000000004</v>
      </c>
      <c r="I517" s="45">
        <f t="shared" ca="1" si="580"/>
        <v>1.3308669995183955</v>
      </c>
      <c r="J517" s="45">
        <f t="shared" ca="1" si="581"/>
        <v>0.27952512346894071</v>
      </c>
      <c r="K517" s="45">
        <f t="shared" ca="1" si="597"/>
        <v>0.90345467800480783</v>
      </c>
      <c r="L517" s="358">
        <f t="shared" ca="1" si="582"/>
        <v>0.92839591561968593</v>
      </c>
      <c r="M517" s="76">
        <f t="shared" ca="1" si="654"/>
        <v>0.25347808785320641</v>
      </c>
      <c r="N517" s="45">
        <f t="shared" ca="1" si="654"/>
        <v>0.25</v>
      </c>
      <c r="O517" s="45">
        <f t="shared" ca="1" si="654"/>
        <v>0</v>
      </c>
      <c r="P517" s="46" t="str">
        <f t="shared" ca="1" si="654"/>
        <v/>
      </c>
      <c r="Q517" s="243" t="str">
        <f t="shared" ca="1" si="654"/>
        <v/>
      </c>
      <c r="R517" s="45">
        <f t="shared" ca="1" si="598"/>
        <v>0.13891737628711481</v>
      </c>
      <c r="S517" s="45">
        <f t="shared" ca="1" si="622"/>
        <v>5.0695617570641283E-2</v>
      </c>
      <c r="T517" s="77">
        <f t="shared" ca="1" si="583"/>
        <v>9.3092664317525969E-2</v>
      </c>
      <c r="U517" s="45">
        <f t="shared" ca="1" si="599"/>
        <v>17.414372223494276</v>
      </c>
      <c r="V517" s="45">
        <f t="shared" ca="1" si="584"/>
        <v>0.20278247028256513</v>
      </c>
      <c r="W517" s="77">
        <f t="shared" ca="1" si="585"/>
        <v>0.56987245717839197</v>
      </c>
      <c r="X517" s="45">
        <f t="shared" ca="1" si="600"/>
        <v>1.0282610608154934</v>
      </c>
      <c r="Y517" s="45">
        <f t="shared" ca="1" si="586"/>
        <v>6.780731463763047E-2</v>
      </c>
      <c r="Z517" s="77">
        <f t="shared" ca="1" si="587"/>
        <v>7.2577668119352248E-2</v>
      </c>
      <c r="AA517" s="45">
        <f t="shared" ca="1" si="601"/>
        <v>39.125429014511404</v>
      </c>
      <c r="AB517" s="45">
        <f t="shared" ca="1" si="588"/>
        <v>0</v>
      </c>
      <c r="AC517" s="45" cm="1">
        <f t="array" aca="1" ref="AC517" ca="1">pHUM*(T517+W517+Z517+AD517)</f>
        <v>7.9773311338388789E-2</v>
      </c>
      <c r="AD517" s="77">
        <f t="shared" ca="1" si="589"/>
        <v>8.6688392719049684E-2</v>
      </c>
      <c r="AE517" s="45">
        <f t="shared" ca="1" si="602"/>
        <v>6.3847072090583081</v>
      </c>
      <c r="AF517" s="45">
        <f t="shared" ca="1" si="590"/>
        <v>0</v>
      </c>
      <c r="AG517" s="76">
        <f t="shared" ca="1" si="591"/>
        <v>64.091686884166592</v>
      </c>
      <c r="AH517" s="45">
        <f t="shared" ca="1" si="592"/>
        <v>0.67465055635830073</v>
      </c>
      <c r="AI517" s="77">
        <f t="shared" ca="1" si="593"/>
        <v>1.1660412593370192E-2</v>
      </c>
      <c r="AJ517" s="384">
        <f t="shared" ca="1" si="595"/>
        <v>3.4521484611876874E-2</v>
      </c>
      <c r="AU517" s="1"/>
    </row>
    <row r="518" spans="3:47" x14ac:dyDescent="0.25">
      <c r="C518" s="10">
        <f t="shared" si="620"/>
        <v>35</v>
      </c>
      <c r="D518" s="91">
        <f t="shared" si="603"/>
        <v>8</v>
      </c>
      <c r="E518" s="278"/>
      <c r="F518" s="76">
        <f t="shared" ref="F518:Q518" ca="1" si="655">F446</f>
        <v>21.81</v>
      </c>
      <c r="G518" s="46">
        <f t="shared" ca="1" si="655"/>
        <v>27.012600000000003</v>
      </c>
      <c r="H518" s="46">
        <f t="shared" ca="1" si="579"/>
        <v>28.517550000000004</v>
      </c>
      <c r="I518" s="45">
        <f t="shared" ca="1" si="580"/>
        <v>1.3748539373542934</v>
      </c>
      <c r="J518" s="45">
        <f t="shared" ca="1" si="581"/>
        <v>0.27952512346894071</v>
      </c>
      <c r="K518" s="45">
        <f t="shared" ca="1" si="597"/>
        <v>0.90345467800480783</v>
      </c>
      <c r="L518" s="358">
        <f t="shared" ca="1" si="582"/>
        <v>0.93294591915671865</v>
      </c>
      <c r="M518" s="76">
        <f t="shared" ca="1" si="655"/>
        <v>0.25347808785320641</v>
      </c>
      <c r="N518" s="45">
        <f t="shared" ca="1" si="655"/>
        <v>0.25</v>
      </c>
      <c r="O518" s="45">
        <f t="shared" ca="1" si="655"/>
        <v>0</v>
      </c>
      <c r="P518" s="46" t="str">
        <f t="shared" ca="1" si="655"/>
        <v/>
      </c>
      <c r="Q518" s="243" t="str">
        <f t="shared" ca="1" si="655"/>
        <v/>
      </c>
      <c r="R518" s="45">
        <f t="shared" ca="1" si="598"/>
        <v>9.6520329540230126E-2</v>
      </c>
      <c r="S518" s="45">
        <f t="shared" ca="1" si="622"/>
        <v>5.0695617570641283E-2</v>
      </c>
      <c r="T518" s="77">
        <f t="shared" ca="1" si="583"/>
        <v>6.5827101645662786E-2</v>
      </c>
      <c r="U518" s="45">
        <f t="shared" ca="1" si="599"/>
        <v>17.047282236598448</v>
      </c>
      <c r="V518" s="45">
        <f t="shared" ca="1" si="584"/>
        <v>0.20278247028256513</v>
      </c>
      <c r="W518" s="77">
        <f t="shared" ca="1" si="585"/>
        <v>0.57598272230136494</v>
      </c>
      <c r="X518" s="45">
        <f t="shared" ca="1" si="600"/>
        <v>1.0234907073337718</v>
      </c>
      <c r="Y518" s="45">
        <f t="shared" ca="1" si="586"/>
        <v>6.6459187398340461E-2</v>
      </c>
      <c r="Z518" s="77">
        <f t="shared" ca="1" si="587"/>
        <v>7.4539522075411882E-2</v>
      </c>
      <c r="AA518" s="45">
        <f t="shared" ca="1" si="601"/>
        <v>39.118513933130743</v>
      </c>
      <c r="AB518" s="45">
        <f t="shared" ca="1" si="588"/>
        <v>0</v>
      </c>
      <c r="AC518" s="45" cm="1">
        <f t="array" aca="1" ref="AC518" ca="1">pHUM*(T518+W518+Z518+AD518)</f>
        <v>7.8187279292165249E-2</v>
      </c>
      <c r="AD518" s="77">
        <f t="shared" ca="1" si="589"/>
        <v>8.953445167023337E-2</v>
      </c>
      <c r="AE518" s="45">
        <f t="shared" ca="1" si="602"/>
        <v>6.3847072090583081</v>
      </c>
      <c r="AF518" s="45">
        <f t="shared" ca="1" si="590"/>
        <v>0</v>
      </c>
      <c r="AG518" s="76">
        <f t="shared" ca="1" si="591"/>
        <v>63.670514415661501</v>
      </c>
      <c r="AH518" s="45">
        <f t="shared" ca="1" si="592"/>
        <v>0.66123733100216731</v>
      </c>
      <c r="AI518" s="77">
        <f t="shared" ca="1" si="593"/>
        <v>1.0964411721128628E-2</v>
      </c>
      <c r="AJ518" s="384">
        <f t="shared" ca="1" si="595"/>
        <v>3.2620071539947171E-2</v>
      </c>
      <c r="AU518" s="1"/>
    </row>
    <row r="519" spans="3:47" x14ac:dyDescent="0.25">
      <c r="C519" s="10">
        <f t="shared" si="620"/>
        <v>35</v>
      </c>
      <c r="D519" s="91">
        <f t="shared" si="603"/>
        <v>9</v>
      </c>
      <c r="E519" s="278"/>
      <c r="F519" s="76">
        <f t="shared" ref="F519:Q519" ca="1" si="656">F447</f>
        <v>19.09</v>
      </c>
      <c r="G519" s="46">
        <f t="shared" ca="1" si="656"/>
        <v>27.012600000000003</v>
      </c>
      <c r="H519" s="46">
        <f t="shared" ca="1" si="579"/>
        <v>28.517550000000004</v>
      </c>
      <c r="I519" s="45">
        <f t="shared" ca="1" si="580"/>
        <v>1.1472439462064867</v>
      </c>
      <c r="J519" s="45">
        <f t="shared" ca="1" si="581"/>
        <v>0.27952512346894071</v>
      </c>
      <c r="K519" s="45">
        <f t="shared" ca="1" si="597"/>
        <v>0.90345467800480783</v>
      </c>
      <c r="L519" s="358">
        <f t="shared" ca="1" si="582"/>
        <v>0.90508116523032656</v>
      </c>
      <c r="M519" s="76">
        <f t="shared" ca="1" si="656"/>
        <v>0.25347808785320641</v>
      </c>
      <c r="N519" s="45">
        <f t="shared" ca="1" si="656"/>
        <v>0.25</v>
      </c>
      <c r="O519" s="45">
        <f t="shared" ca="1" si="656"/>
        <v>0</v>
      </c>
      <c r="P519" s="46" t="str">
        <f t="shared" ca="1" si="656"/>
        <v/>
      </c>
      <c r="Q519" s="243" t="str">
        <f t="shared" ca="1" si="656"/>
        <v/>
      </c>
      <c r="R519" s="45">
        <f t="shared" ca="1" si="598"/>
        <v>8.1388845465208623E-2</v>
      </c>
      <c r="S519" s="45">
        <f t="shared" ca="1" si="622"/>
        <v>5.0695617570641283E-2</v>
      </c>
      <c r="T519" s="77">
        <f t="shared" ca="1" si="583"/>
        <v>5.0101878867953413E-2</v>
      </c>
      <c r="U519" s="45">
        <f t="shared" ca="1" si="599"/>
        <v>16.674081984579647</v>
      </c>
      <c r="V519" s="45">
        <f t="shared" ca="1" si="584"/>
        <v>0.20278247028256513</v>
      </c>
      <c r="W519" s="77">
        <f t="shared" ca="1" si="585"/>
        <v>0.47143799373558765</v>
      </c>
      <c r="X519" s="45">
        <f t="shared" ca="1" si="600"/>
        <v>1.0154103726567003</v>
      </c>
      <c r="Y519" s="45">
        <f t="shared" ca="1" si="586"/>
        <v>5.4291250762925118E-2</v>
      </c>
      <c r="Z519" s="77">
        <f t="shared" ca="1" si="587"/>
        <v>6.2091257598248732E-2</v>
      </c>
      <c r="AA519" s="45">
        <f t="shared" ca="1" si="601"/>
        <v>39.107166760752676</v>
      </c>
      <c r="AB519" s="45">
        <f t="shared" ca="1" si="588"/>
        <v>0</v>
      </c>
      <c r="AC519" s="45" cm="1">
        <f t="array" aca="1" ref="AC519" ca="1">pHUM*(T519+W519+Z519+AD519)</f>
        <v>6.3872059721088378E-2</v>
      </c>
      <c r="AD519" s="77">
        <f t="shared" ca="1" si="589"/>
        <v>7.4704324369294237E-2</v>
      </c>
      <c r="AE519" s="45">
        <f t="shared" ca="1" si="602"/>
        <v>6.3847072090583081</v>
      </c>
      <c r="AF519" s="45">
        <f t="shared" ca="1" si="590"/>
        <v>0</v>
      </c>
      <c r="AG519" s="76">
        <f t="shared" ca="1" si="591"/>
        <v>63.262755172512541</v>
      </c>
      <c r="AH519" s="45">
        <f t="shared" ca="1" si="592"/>
        <v>0.54017214408707059</v>
      </c>
      <c r="AI519" s="77">
        <f t="shared" ca="1" si="593"/>
        <v>1.0649139535438796E-2</v>
      </c>
      <c r="AJ519" s="384">
        <f t="shared" ca="1" si="595"/>
        <v>3.0735899078059292E-2</v>
      </c>
      <c r="AU519" s="1"/>
    </row>
    <row r="520" spans="3:47" x14ac:dyDescent="0.25">
      <c r="C520" s="10">
        <f t="shared" si="620"/>
        <v>35</v>
      </c>
      <c r="D520" s="91">
        <f t="shared" si="603"/>
        <v>10</v>
      </c>
      <c r="E520" s="278"/>
      <c r="F520" s="76">
        <f t="shared" ref="F520:Q520" ca="1" si="657">F448</f>
        <v>9.02</v>
      </c>
      <c r="G520" s="46">
        <f t="shared" ca="1" si="657"/>
        <v>27.012600000000003</v>
      </c>
      <c r="H520" s="46">
        <f t="shared" ca="1" si="579"/>
        <v>28.517550000000004</v>
      </c>
      <c r="I520" s="45">
        <f t="shared" ca="1" si="580"/>
        <v>0.41742778729268759</v>
      </c>
      <c r="J520" s="45">
        <f t="shared" ca="1" si="581"/>
        <v>0.27952512346894071</v>
      </c>
      <c r="K520" s="45">
        <f t="shared" ca="1" si="597"/>
        <v>0.90345467800480783</v>
      </c>
      <c r="L520" s="358">
        <f t="shared" ca="1" si="582"/>
        <v>0.68492882381082199</v>
      </c>
      <c r="M520" s="76">
        <f t="shared" ca="1" si="657"/>
        <v>0.25347808785320641</v>
      </c>
      <c r="N520" s="45">
        <f t="shared" ca="1" si="657"/>
        <v>0.25</v>
      </c>
      <c r="O520" s="45">
        <f t="shared" ca="1" si="657"/>
        <v>0</v>
      </c>
      <c r="P520" s="46" t="str">
        <f t="shared" ca="1" si="657"/>
        <v/>
      </c>
      <c r="Q520" s="243" t="str">
        <f t="shared" ca="1" si="657"/>
        <v/>
      </c>
      <c r="R520" s="45">
        <f t="shared" ca="1" si="598"/>
        <v>8.1982584167896499E-2</v>
      </c>
      <c r="S520" s="45">
        <f t="shared" ca="1" si="622"/>
        <v>5.0695617570641283E-2</v>
      </c>
      <c r="T520" s="77">
        <f t="shared" ca="1" si="583"/>
        <v>2.4086465507844296E-2</v>
      </c>
      <c r="U520" s="45">
        <f t="shared" ca="1" si="599"/>
        <v>16.405426461126623</v>
      </c>
      <c r="V520" s="45">
        <f t="shared" ca="1" si="584"/>
        <v>0.20278247028256513</v>
      </c>
      <c r="W520" s="77">
        <f t="shared" ca="1" si="585"/>
        <v>0.17031181500069278</v>
      </c>
      <c r="X520" s="45">
        <f t="shared" ca="1" si="600"/>
        <v>1.0076103658213769</v>
      </c>
      <c r="Y520" s="45">
        <f t="shared" ca="1" si="586"/>
        <v>2.0159859893040442E-2</v>
      </c>
      <c r="Z520" s="77">
        <f t="shared" ca="1" si="587"/>
        <v>2.2869719022293865E-2</v>
      </c>
      <c r="AA520" s="45">
        <f t="shared" ca="1" si="601"/>
        <v>39.096334496104468</v>
      </c>
      <c r="AB520" s="45">
        <f t="shared" ca="1" si="588"/>
        <v>0</v>
      </c>
      <c r="AC520" s="45" cm="1">
        <f t="array" aca="1" ref="AC520" ca="1">pHUM*(T520+W520+Z520+AD520)</f>
        <v>2.3717482227106401E-2</v>
      </c>
      <c r="AD520" s="77">
        <f t="shared" ca="1" si="589"/>
        <v>2.719036789063594E-2</v>
      </c>
      <c r="AE520" s="45">
        <f t="shared" ca="1" si="602"/>
        <v>6.3847072090583081</v>
      </c>
      <c r="AF520" s="45">
        <f t="shared" ca="1" si="590"/>
        <v>0</v>
      </c>
      <c r="AG520" s="76">
        <f t="shared" ca="1" si="591"/>
        <v>62.976061116278672</v>
      </c>
      <c r="AH520" s="45">
        <f t="shared" ca="1" si="592"/>
        <v>0.20058102530132008</v>
      </c>
      <c r="AI520" s="77">
        <f t="shared" ca="1" si="593"/>
        <v>1.0585249652515083E-2</v>
      </c>
      <c r="AJ520" s="384">
        <f t="shared" ca="1" si="595"/>
        <v>2.3120304266956992E-2</v>
      </c>
      <c r="AU520" s="1"/>
    </row>
    <row r="521" spans="3:47" x14ac:dyDescent="0.25">
      <c r="C521" s="10">
        <f t="shared" si="620"/>
        <v>35</v>
      </c>
      <c r="D521" s="91">
        <f t="shared" si="603"/>
        <v>11</v>
      </c>
      <c r="E521" s="278"/>
      <c r="F521" s="76">
        <f t="shared" ref="F521:Q521" ca="1" si="658">F449</f>
        <v>5.62</v>
      </c>
      <c r="G521" s="46">
        <f t="shared" ca="1" si="658"/>
        <v>27.012600000000003</v>
      </c>
      <c r="H521" s="46">
        <f t="shared" ca="1" si="579"/>
        <v>28.517550000000004</v>
      </c>
      <c r="I521" s="45">
        <f t="shared" ca="1" si="580"/>
        <v>0.24215575259059691</v>
      </c>
      <c r="J521" s="45">
        <f t="shared" ca="1" si="581"/>
        <v>0.27952512346894071</v>
      </c>
      <c r="K521" s="45">
        <f t="shared" ca="1" si="597"/>
        <v>0.90345467800480783</v>
      </c>
      <c r="L521" s="358">
        <f t="shared" ca="1" si="582"/>
        <v>0.5671500175141555</v>
      </c>
      <c r="M521" s="76">
        <f t="shared" ca="1" si="658"/>
        <v>0.25347808785320641</v>
      </c>
      <c r="N521" s="45">
        <f t="shared" ca="1" si="658"/>
        <v>0.25</v>
      </c>
      <c r="O521" s="45">
        <f t="shared" ca="1" si="658"/>
        <v>0</v>
      </c>
      <c r="P521" s="46" t="str">
        <f t="shared" ca="1" si="658"/>
        <v/>
      </c>
      <c r="Q521" s="243" t="str">
        <f t="shared" ca="1" si="658"/>
        <v/>
      </c>
      <c r="R521" s="45">
        <f t="shared" ca="1" si="598"/>
        <v>0.10859173623069349</v>
      </c>
      <c r="S521" s="45">
        <f t="shared" ca="1" si="622"/>
        <v>5.0695617570641283E-2</v>
      </c>
      <c r="T521" s="77">
        <f t="shared" ca="1" si="583"/>
        <v>1.9843917491017132E-2</v>
      </c>
      <c r="U521" s="45">
        <f t="shared" ca="1" si="599"/>
        <v>16.437897116408493</v>
      </c>
      <c r="V521" s="45">
        <f t="shared" ca="1" si="584"/>
        <v>0.20278247028256513</v>
      </c>
      <c r="W521" s="77">
        <f t="shared" ca="1" si="585"/>
        <v>9.9212669189804106E-2</v>
      </c>
      <c r="X521" s="45">
        <f t="shared" ca="1" si="600"/>
        <v>1.0049005066921233</v>
      </c>
      <c r="Y521" s="45">
        <f t="shared" ca="1" si="586"/>
        <v>1.2215583369070703E-2</v>
      </c>
      <c r="Z521" s="77">
        <f t="shared" ca="1" si="587"/>
        <v>1.329510174075777E-2</v>
      </c>
      <c r="AA521" s="45">
        <f t="shared" ca="1" si="601"/>
        <v>39.092861610440941</v>
      </c>
      <c r="AB521" s="45">
        <f t="shared" ca="1" si="588"/>
        <v>0</v>
      </c>
      <c r="AC521" s="45" cm="1">
        <f t="array" aca="1" ref="AC521" ca="1">pHUM*(T521+W521+Z521+AD521)</f>
        <v>1.4371274551847887E-2</v>
      </c>
      <c r="AD521" s="77">
        <f t="shared" ca="1" si="589"/>
        <v>1.5774418770998187E-2</v>
      </c>
      <c r="AE521" s="45">
        <f t="shared" ca="1" si="602"/>
        <v>6.3847072090583081</v>
      </c>
      <c r="AF521" s="45">
        <f t="shared" ca="1" si="590"/>
        <v>0</v>
      </c>
      <c r="AG521" s="76">
        <f t="shared" ca="1" si="591"/>
        <v>63.028958178830557</v>
      </c>
      <c r="AH521" s="45">
        <f t="shared" ca="1" si="592"/>
        <v>0.12153924927165863</v>
      </c>
      <c r="AI521" s="77">
        <f t="shared" ca="1" si="593"/>
        <v>1.0978428137154557E-2</v>
      </c>
      <c r="AJ521" s="384">
        <f t="shared" ca="1" si="595"/>
        <v>1.9855756933098156E-2</v>
      </c>
      <c r="AU521" s="1"/>
    </row>
    <row r="522" spans="3:47" x14ac:dyDescent="0.25">
      <c r="C522" s="10">
        <f t="shared" si="620"/>
        <v>35</v>
      </c>
      <c r="D522" s="91">
        <f t="shared" si="603"/>
        <v>12</v>
      </c>
      <c r="E522" s="278"/>
      <c r="F522" s="76">
        <f t="shared" ref="F522:Q522" ca="1" si="659">F450</f>
        <v>3.68</v>
      </c>
      <c r="G522" s="46">
        <f t="shared" ca="1" si="659"/>
        <v>27.012600000000003</v>
      </c>
      <c r="H522" s="46">
        <f t="shared" ca="1" si="579"/>
        <v>28.517550000000004</v>
      </c>
      <c r="I522" s="45">
        <f t="shared" ca="1" si="580"/>
        <v>0.16418562454767627</v>
      </c>
      <c r="J522" s="45">
        <f t="shared" ca="1" si="581"/>
        <v>0.27952512346894071</v>
      </c>
      <c r="K522" s="45">
        <f t="shared" ca="1" si="597"/>
        <v>0.90345467800480783</v>
      </c>
      <c r="L522" s="358">
        <f t="shared" ca="1" si="582"/>
        <v>0.49525928680467546</v>
      </c>
      <c r="M522" s="76">
        <f t="shared" ca="1" si="659"/>
        <v>0.25347808785320641</v>
      </c>
      <c r="N522" s="45">
        <f t="shared" ca="1" si="659"/>
        <v>0.25</v>
      </c>
      <c r="O522" s="45">
        <f t="shared" ca="1" si="659"/>
        <v>0</v>
      </c>
      <c r="P522" s="46" t="str">
        <f t="shared" ca="1" si="659"/>
        <v/>
      </c>
      <c r="Q522" s="243" t="str">
        <f t="shared" ca="1" si="659"/>
        <v/>
      </c>
      <c r="R522" s="45">
        <f t="shared" ca="1" si="598"/>
        <v>0.13944343631031764</v>
      </c>
      <c r="S522" s="45">
        <f t="shared" ca="1" si="622"/>
        <v>5.0695617570641283E-2</v>
      </c>
      <c r="T522" s="77">
        <f t="shared" ca="1" si="583"/>
        <v>1.7831187991366577E-2</v>
      </c>
      <c r="U522" s="45">
        <f t="shared" ca="1" si="599"/>
        <v>16.541466917501253</v>
      </c>
      <c r="V522" s="45">
        <f t="shared" ca="1" si="584"/>
        <v>0.20278247028256513</v>
      </c>
      <c r="W522" s="77">
        <f t="shared" ca="1" si="585"/>
        <v>6.7757621445086486E-2</v>
      </c>
      <c r="X522" s="45">
        <f t="shared" ca="1" si="600"/>
        <v>1.0038209883204361</v>
      </c>
      <c r="Y522" s="45">
        <f t="shared" ca="1" si="586"/>
        <v>8.6845115717229231E-3</v>
      </c>
      <c r="Z522" s="77">
        <f t="shared" ca="1" si="587"/>
        <v>9.0239084623995307E-3</v>
      </c>
      <c r="AA522" s="45">
        <f t="shared" ca="1" si="601"/>
        <v>39.091458466221795</v>
      </c>
      <c r="AB522" s="45">
        <f t="shared" ca="1" si="588"/>
        <v>0</v>
      </c>
      <c r="AC522" s="45" cm="1">
        <f t="array" aca="1" ref="AC522" ca="1">pHUM*(T522+W522+Z522+AD522)</f>
        <v>1.0217072437321086E-2</v>
      </c>
      <c r="AD522" s="77">
        <f t="shared" ca="1" si="589"/>
        <v>1.0695629080737434E-2</v>
      </c>
      <c r="AE522" s="45">
        <f t="shared" ca="1" si="602"/>
        <v>6.3847072090583081</v>
      </c>
      <c r="AF522" s="45">
        <f t="shared" ca="1" si="590"/>
        <v>0</v>
      </c>
      <c r="AG522" s="76">
        <f t="shared" ca="1" si="591"/>
        <v>63.160897017412104</v>
      </c>
      <c r="AH522" s="45">
        <f t="shared" ca="1" si="592"/>
        <v>8.6406762970546017E-2</v>
      </c>
      <c r="AI522" s="77">
        <f t="shared" ca="1" si="593"/>
        <v>1.1450259763089455E-2</v>
      </c>
      <c r="AJ522" s="384">
        <f t="shared" ca="1" si="595"/>
        <v>1.8084105316267252E-2</v>
      </c>
      <c r="AU522" s="1"/>
    </row>
    <row r="523" spans="3:47" x14ac:dyDescent="0.25">
      <c r="C523" s="10">
        <f t="shared" si="620"/>
        <v>36</v>
      </c>
      <c r="D523" s="91">
        <f t="shared" si="603"/>
        <v>1</v>
      </c>
      <c r="E523" s="278"/>
      <c r="F523" s="76">
        <f t="shared" ref="F523:Q523" si="660">F451</f>
        <v>0.85587096774193583</v>
      </c>
      <c r="G523" s="46">
        <f t="shared" si="660"/>
        <v>78.439554282868485</v>
      </c>
      <c r="H523" s="46">
        <f t="shared" si="579"/>
        <v>-22.909404282868479</v>
      </c>
      <c r="I523" s="45">
        <f t="shared" si="580"/>
        <v>0</v>
      </c>
      <c r="J523" s="45">
        <f t="shared" si="581"/>
        <v>0.23072180944359474</v>
      </c>
      <c r="K523" s="45">
        <f t="shared" ca="1" si="597"/>
        <v>0.74571722023659515</v>
      </c>
      <c r="L523" s="358">
        <f t="shared" si="582"/>
        <v>0.39170179323548027</v>
      </c>
      <c r="M523" s="76">
        <f t="shared" ca="1" si="660"/>
        <v>0.25347808785320641</v>
      </c>
      <c r="N523" s="45">
        <f t="shared" ca="1" si="660"/>
        <v>0.25</v>
      </c>
      <c r="O523" s="45">
        <f t="shared" ca="1" si="660"/>
        <v>0</v>
      </c>
      <c r="P523" s="46" t="str">
        <f t="shared" ca="1" si="660"/>
        <v/>
      </c>
      <c r="Q523" s="243" t="str">
        <f t="shared" ca="1" si="660"/>
        <v/>
      </c>
      <c r="R523" s="45">
        <f t="shared" ca="1" si="598"/>
        <v>0.17230786588959235</v>
      </c>
      <c r="S523" s="45">
        <f t="shared" ca="1" si="622"/>
        <v>5.0695617570641283E-2</v>
      </c>
      <c r="T523" s="77">
        <f t="shared" ca="1" si="583"/>
        <v>0</v>
      </c>
      <c r="U523" s="45">
        <f t="shared" ca="1" si="599"/>
        <v>16.676491766338732</v>
      </c>
      <c r="V523" s="45">
        <f t="shared" ca="1" si="584"/>
        <v>0.20278247028256513</v>
      </c>
      <c r="W523" s="77">
        <f t="shared" ca="1" si="585"/>
        <v>0</v>
      </c>
      <c r="X523" s="45">
        <f t="shared" ca="1" si="600"/>
        <v>1.0034815914297595</v>
      </c>
      <c r="Y523" s="45">
        <f t="shared" ca="1" si="586"/>
        <v>0</v>
      </c>
      <c r="Z523" s="77">
        <f t="shared" ca="1" si="587"/>
        <v>0</v>
      </c>
      <c r="AA523" s="45">
        <f t="shared" ca="1" si="601"/>
        <v>39.09097990957838</v>
      </c>
      <c r="AB523" s="45">
        <f t="shared" ca="1" si="588"/>
        <v>0</v>
      </c>
      <c r="AC523" s="45" cm="1">
        <f t="array" aca="1" ref="AC523" ca="1">pHUM*(T523+W523+Z523+AD523)</f>
        <v>0</v>
      </c>
      <c r="AD523" s="77">
        <f t="shared" ca="1" si="589"/>
        <v>0</v>
      </c>
      <c r="AE523" s="45">
        <f t="shared" ca="1" si="602"/>
        <v>6.3847072090583081</v>
      </c>
      <c r="AF523" s="45">
        <f t="shared" ca="1" si="590"/>
        <v>0</v>
      </c>
      <c r="AG523" s="76">
        <f t="shared" ca="1" si="591"/>
        <v>63.327968342294767</v>
      </c>
      <c r="AH523" s="45">
        <f t="shared" ca="1" si="592"/>
        <v>0</v>
      </c>
      <c r="AI523" s="77">
        <f t="shared" ca="1" si="593"/>
        <v>1.1956556220375461E-2</v>
      </c>
      <c r="AJ523" s="384">
        <f t="shared" ca="1" si="595"/>
        <v>1.2327666871247978E-2</v>
      </c>
      <c r="AU523" s="1"/>
    </row>
    <row r="524" spans="3:47" x14ac:dyDescent="0.25">
      <c r="C524" s="10">
        <f t="shared" si="620"/>
        <v>36</v>
      </c>
      <c r="D524" s="91">
        <f t="shared" si="603"/>
        <v>2</v>
      </c>
      <c r="E524" s="278"/>
      <c r="F524" s="76">
        <f t="shared" ref="F524:Q524" si="661">F452</f>
        <v>0.91042857142857181</v>
      </c>
      <c r="G524" s="46">
        <f t="shared" si="661"/>
        <v>77.312634079068317</v>
      </c>
      <c r="H524" s="46">
        <f t="shared" si="579"/>
        <v>-21.782484079068311</v>
      </c>
      <c r="I524" s="45">
        <f t="shared" si="580"/>
        <v>0</v>
      </c>
      <c r="J524" s="45">
        <f t="shared" si="581"/>
        <v>0.23463537609132465</v>
      </c>
      <c r="K524" s="45">
        <f t="shared" ca="1" si="597"/>
        <v>0.75836628037006848</v>
      </c>
      <c r="L524" s="358">
        <f t="shared" si="582"/>
        <v>0.39364266736760256</v>
      </c>
      <c r="M524" s="76">
        <f t="shared" ca="1" si="661"/>
        <v>0.25347808785320641</v>
      </c>
      <c r="N524" s="45">
        <f t="shared" ca="1" si="661"/>
        <v>0.25</v>
      </c>
      <c r="O524" s="45">
        <f t="shared" ca="1" si="661"/>
        <v>0</v>
      </c>
      <c r="P524" s="46" t="str">
        <f t="shared" ca="1" si="661"/>
        <v/>
      </c>
      <c r="Q524" s="243" t="str">
        <f t="shared" ca="1" si="661"/>
        <v/>
      </c>
      <c r="R524" s="45">
        <f t="shared" ca="1" si="598"/>
        <v>0.22300348346023363</v>
      </c>
      <c r="S524" s="45">
        <f t="shared" ca="1" si="622"/>
        <v>5.0695617570641283E-2</v>
      </c>
      <c r="T524" s="77">
        <f t="shared" ca="1" si="583"/>
        <v>0</v>
      </c>
      <c r="U524" s="45">
        <f t="shared" ca="1" si="599"/>
        <v>16.879274236621296</v>
      </c>
      <c r="V524" s="45">
        <f t="shared" ca="1" si="584"/>
        <v>0.20278247028256513</v>
      </c>
      <c r="W524" s="77">
        <f t="shared" ca="1" si="585"/>
        <v>0</v>
      </c>
      <c r="X524" s="45">
        <f t="shared" ca="1" si="600"/>
        <v>1.0034815914297595</v>
      </c>
      <c r="Y524" s="45">
        <f t="shared" ca="1" si="586"/>
        <v>0</v>
      </c>
      <c r="Z524" s="77">
        <f t="shared" ca="1" si="587"/>
        <v>0</v>
      </c>
      <c r="AA524" s="45">
        <f t="shared" ca="1" si="601"/>
        <v>39.09097990957838</v>
      </c>
      <c r="AB524" s="45">
        <f t="shared" ca="1" si="588"/>
        <v>0</v>
      </c>
      <c r="AC524" s="45" cm="1">
        <f t="array" aca="1" ref="AC524" ca="1">pHUM*(T524+W524+Z524+AD524)</f>
        <v>0</v>
      </c>
      <c r="AD524" s="77">
        <f t="shared" ca="1" si="589"/>
        <v>0</v>
      </c>
      <c r="AE524" s="45">
        <f t="shared" ca="1" si="602"/>
        <v>6.3847072090583081</v>
      </c>
      <c r="AF524" s="45">
        <f t="shared" ca="1" si="590"/>
        <v>0</v>
      </c>
      <c r="AG524" s="76">
        <f t="shared" ca="1" si="591"/>
        <v>63.581446430147977</v>
      </c>
      <c r="AH524" s="45">
        <f t="shared" ca="1" si="592"/>
        <v>0</v>
      </c>
      <c r="AI524" s="77">
        <f t="shared" ca="1" si="593"/>
        <v>1.2730816874525118E-2</v>
      </c>
      <c r="AJ524" s="384">
        <f t="shared" ca="1" si="595"/>
        <v>1.3414733648828836E-2</v>
      </c>
      <c r="AU524" s="1"/>
    </row>
    <row r="525" spans="3:47" x14ac:dyDescent="0.25">
      <c r="C525" s="10">
        <f t="shared" si="620"/>
        <v>36</v>
      </c>
      <c r="D525" s="91">
        <f t="shared" si="603"/>
        <v>3</v>
      </c>
      <c r="E525" s="278"/>
      <c r="F525" s="76">
        <f t="shared" ref="F525:Q525" si="662">F453</f>
        <v>1.7499333333333336</v>
      </c>
      <c r="G525" s="46">
        <f t="shared" si="662"/>
        <v>89.127050621045186</v>
      </c>
      <c r="H525" s="46">
        <f t="shared" si="579"/>
        <v>-33.596900621045179</v>
      </c>
      <c r="I525" s="45">
        <f t="shared" si="580"/>
        <v>0</v>
      </c>
      <c r="J525" s="45">
        <f t="shared" si="581"/>
        <v>0.19161115755788954</v>
      </c>
      <c r="K525" s="45">
        <f t="shared" ca="1" si="597"/>
        <v>0.61930746869995335</v>
      </c>
      <c r="L525" s="358">
        <f t="shared" si="582"/>
        <v>0.42389567243620196</v>
      </c>
      <c r="M525" s="76">
        <f t="shared" ca="1" si="662"/>
        <v>0.25347808785320641</v>
      </c>
      <c r="N525" s="45">
        <f t="shared" ca="1" si="662"/>
        <v>0.25</v>
      </c>
      <c r="O525" s="45">
        <f t="shared" ca="1" si="662"/>
        <v>0</v>
      </c>
      <c r="P525" s="46" t="str">
        <f t="shared" ca="1" si="662"/>
        <v/>
      </c>
      <c r="Q525" s="243" t="str">
        <f t="shared" ca="1" si="662"/>
        <v/>
      </c>
      <c r="R525" s="45">
        <f t="shared" ca="1" si="598"/>
        <v>0.27369910103087491</v>
      </c>
      <c r="S525" s="45">
        <f t="shared" ca="1" si="622"/>
        <v>5.0695617570641283E-2</v>
      </c>
      <c r="T525" s="77">
        <f t="shared" ca="1" si="583"/>
        <v>0</v>
      </c>
      <c r="U525" s="45">
        <f t="shared" ca="1" si="599"/>
        <v>17.08205670690386</v>
      </c>
      <c r="V525" s="45">
        <f t="shared" ca="1" si="584"/>
        <v>0.20278247028256513</v>
      </c>
      <c r="W525" s="77">
        <f t="shared" ca="1" si="585"/>
        <v>0</v>
      </c>
      <c r="X525" s="45">
        <f t="shared" ca="1" si="600"/>
        <v>1.0034815914297595</v>
      </c>
      <c r="Y525" s="45">
        <f t="shared" ca="1" si="586"/>
        <v>0</v>
      </c>
      <c r="Z525" s="77">
        <f t="shared" ca="1" si="587"/>
        <v>0</v>
      </c>
      <c r="AA525" s="45">
        <f t="shared" ca="1" si="601"/>
        <v>39.09097990957838</v>
      </c>
      <c r="AB525" s="45">
        <f t="shared" ca="1" si="588"/>
        <v>0</v>
      </c>
      <c r="AC525" s="45" cm="1">
        <f t="array" aca="1" ref="AC525" ca="1">pHUM*(T525+W525+Z525+AD525)</f>
        <v>0</v>
      </c>
      <c r="AD525" s="77">
        <f t="shared" ca="1" si="589"/>
        <v>0</v>
      </c>
      <c r="AE525" s="45">
        <f t="shared" ca="1" si="602"/>
        <v>6.3847072090583081</v>
      </c>
      <c r="AF525" s="45">
        <f t="shared" ca="1" si="590"/>
        <v>0</v>
      </c>
      <c r="AG525" s="76">
        <f t="shared" ca="1" si="591"/>
        <v>63.834924518001181</v>
      </c>
      <c r="AH525" s="45">
        <f t="shared" ca="1" si="592"/>
        <v>0</v>
      </c>
      <c r="AI525" s="77">
        <f t="shared" ca="1" si="593"/>
        <v>1.3498245244331679E-2</v>
      </c>
      <c r="AJ525" s="384">
        <f t="shared" ca="1" si="595"/>
        <v>1.2507991828525356E-2</v>
      </c>
      <c r="AU525" s="1"/>
    </row>
    <row r="526" spans="3:47" x14ac:dyDescent="0.25">
      <c r="C526" s="10">
        <f t="shared" si="620"/>
        <v>36</v>
      </c>
      <c r="D526" s="91">
        <f t="shared" si="603"/>
        <v>4</v>
      </c>
      <c r="E526" s="278"/>
      <c r="F526" s="76">
        <f t="shared" ref="F526:Q526" si="663">F454</f>
        <v>5.3144</v>
      </c>
      <c r="G526" s="46">
        <f t="shared" si="663"/>
        <v>88.517400984298064</v>
      </c>
      <c r="H526" s="46">
        <f t="shared" si="579"/>
        <v>-32.987250984298058</v>
      </c>
      <c r="I526" s="45">
        <f t="shared" si="580"/>
        <v>0</v>
      </c>
      <c r="J526" s="45">
        <f t="shared" si="581"/>
        <v>0.19391725365845511</v>
      </c>
      <c r="K526" s="45">
        <f t="shared" ca="1" si="597"/>
        <v>0.62676101449980381</v>
      </c>
      <c r="L526" s="358">
        <f t="shared" si="582"/>
        <v>0.55593677468735669</v>
      </c>
      <c r="M526" s="76">
        <f t="shared" ca="1" si="663"/>
        <v>0.25347808785320641</v>
      </c>
      <c r="N526" s="45">
        <f t="shared" ca="1" si="663"/>
        <v>0.25</v>
      </c>
      <c r="O526" s="45">
        <f t="shared" ca="1" si="663"/>
        <v>0</v>
      </c>
      <c r="P526" s="46" t="str">
        <f t="shared" ca="1" si="663"/>
        <v/>
      </c>
      <c r="Q526" s="243" t="str">
        <f t="shared" ca="1" si="663"/>
        <v/>
      </c>
      <c r="R526" s="45">
        <f t="shared" ca="1" si="598"/>
        <v>0.3243947186015162</v>
      </c>
      <c r="S526" s="45">
        <f t="shared" ca="1" si="622"/>
        <v>5.0695617570641283E-2</v>
      </c>
      <c r="T526" s="77">
        <f t="shared" ca="1" si="583"/>
        <v>0</v>
      </c>
      <c r="U526" s="45">
        <f t="shared" ca="1" si="599"/>
        <v>17.284839177186424</v>
      </c>
      <c r="V526" s="45">
        <f t="shared" ca="1" si="584"/>
        <v>0.20278247028256513</v>
      </c>
      <c r="W526" s="77">
        <f t="shared" ca="1" si="585"/>
        <v>0</v>
      </c>
      <c r="X526" s="45">
        <f t="shared" ca="1" si="600"/>
        <v>1.0034815914297595</v>
      </c>
      <c r="Y526" s="45">
        <f t="shared" ca="1" si="586"/>
        <v>0</v>
      </c>
      <c r="Z526" s="77">
        <f t="shared" ca="1" si="587"/>
        <v>0</v>
      </c>
      <c r="AA526" s="45">
        <f t="shared" ca="1" si="601"/>
        <v>39.09097990957838</v>
      </c>
      <c r="AB526" s="45">
        <f t="shared" ca="1" si="588"/>
        <v>0</v>
      </c>
      <c r="AC526" s="45" cm="1">
        <f t="array" aca="1" ref="AC526" ca="1">pHUM*(T526+W526+Z526+AD526)</f>
        <v>0</v>
      </c>
      <c r="AD526" s="77">
        <f t="shared" ca="1" si="589"/>
        <v>0</v>
      </c>
      <c r="AE526" s="45">
        <f t="shared" ca="1" si="602"/>
        <v>6.3847072090583081</v>
      </c>
      <c r="AF526" s="45">
        <f t="shared" ca="1" si="590"/>
        <v>0</v>
      </c>
      <c r="AG526" s="76">
        <f t="shared" ca="1" si="591"/>
        <v>64.088402605854384</v>
      </c>
      <c r="AH526" s="45">
        <f t="shared" ca="1" si="592"/>
        <v>0</v>
      </c>
      <c r="AI526" s="77">
        <f t="shared" ca="1" si="593"/>
        <v>1.4258931367410183E-2</v>
      </c>
      <c r="AJ526" s="384">
        <f t="shared" ca="1" si="595"/>
        <v>1.7537079476088735E-2</v>
      </c>
      <c r="AU526" s="1"/>
    </row>
    <row r="527" spans="3:47" x14ac:dyDescent="0.25">
      <c r="C527" s="10">
        <f t="shared" si="620"/>
        <v>36</v>
      </c>
      <c r="D527" s="91">
        <f t="shared" si="603"/>
        <v>5</v>
      </c>
      <c r="E527" s="278"/>
      <c r="F527" s="76">
        <f t="shared" ref="F527:Q527" si="664">F455</f>
        <v>12.662516129032257</v>
      </c>
      <c r="G527" s="46">
        <f t="shared" si="664"/>
        <v>89.413014608233681</v>
      </c>
      <c r="H527" s="46">
        <f t="shared" si="579"/>
        <v>-33.882864608233675</v>
      </c>
      <c r="I527" s="45">
        <f t="shared" si="580"/>
        <v>0</v>
      </c>
      <c r="J527" s="45">
        <f t="shared" si="581"/>
        <v>0.19052718077467024</v>
      </c>
      <c r="K527" s="45">
        <f t="shared" ca="1" si="597"/>
        <v>0.6158039414194908</v>
      </c>
      <c r="L527" s="358">
        <f t="shared" si="582"/>
        <v>0.78870900469063665</v>
      </c>
      <c r="M527" s="76">
        <f t="shared" ca="1" si="664"/>
        <v>0.25347808785320641</v>
      </c>
      <c r="N527" s="45">
        <f t="shared" ca="1" si="664"/>
        <v>0.25</v>
      </c>
      <c r="O527" s="45">
        <f t="shared" ca="1" si="664"/>
        <v>0</v>
      </c>
      <c r="P527" s="46" t="str">
        <f t="shared" ca="1" si="664"/>
        <v/>
      </c>
      <c r="Q527" s="243" t="str">
        <f t="shared" ca="1" si="664"/>
        <v/>
      </c>
      <c r="R527" s="45">
        <f t="shared" ca="1" si="598"/>
        <v>0.37509033617215748</v>
      </c>
      <c r="S527" s="45">
        <f t="shared" ca="1" si="622"/>
        <v>5.0695617570641283E-2</v>
      </c>
      <c r="T527" s="77">
        <f t="shared" ca="1" si="583"/>
        <v>0</v>
      </c>
      <c r="U527" s="45">
        <f t="shared" ca="1" si="599"/>
        <v>17.487621647468988</v>
      </c>
      <c r="V527" s="45">
        <f t="shared" ca="1" si="584"/>
        <v>0.20278247028256513</v>
      </c>
      <c r="W527" s="77">
        <f t="shared" ca="1" si="585"/>
        <v>0</v>
      </c>
      <c r="X527" s="45">
        <f t="shared" ca="1" si="600"/>
        <v>1.0034815914297595</v>
      </c>
      <c r="Y527" s="45">
        <f t="shared" ca="1" si="586"/>
        <v>0</v>
      </c>
      <c r="Z527" s="77">
        <f t="shared" ca="1" si="587"/>
        <v>0</v>
      </c>
      <c r="AA527" s="45">
        <f t="shared" ca="1" si="601"/>
        <v>39.09097990957838</v>
      </c>
      <c r="AB527" s="45">
        <f t="shared" ca="1" si="588"/>
        <v>0</v>
      </c>
      <c r="AC527" s="45" cm="1">
        <f t="array" aca="1" ref="AC527" ca="1">pHUM*(T527+W527+Z527+AD527)</f>
        <v>0</v>
      </c>
      <c r="AD527" s="77">
        <f t="shared" ca="1" si="589"/>
        <v>0</v>
      </c>
      <c r="AE527" s="45">
        <f t="shared" ca="1" si="602"/>
        <v>6.3847072090583081</v>
      </c>
      <c r="AF527" s="45">
        <f t="shared" ca="1" si="590"/>
        <v>0</v>
      </c>
      <c r="AG527" s="76">
        <f t="shared" ca="1" si="591"/>
        <v>64.341880693707594</v>
      </c>
      <c r="AH527" s="45">
        <f t="shared" ca="1" si="592"/>
        <v>0</v>
      </c>
      <c r="AI527" s="77">
        <f t="shared" ca="1" si="593"/>
        <v>1.5012963706242787E-2</v>
      </c>
      <c r="AJ527" s="384">
        <f t="shared" ca="1" si="595"/>
        <v>2.5737434345584065E-2</v>
      </c>
      <c r="AU527" s="1"/>
    </row>
    <row r="528" spans="3:47" x14ac:dyDescent="0.25">
      <c r="C528" s="10">
        <f t="shared" si="620"/>
        <v>36</v>
      </c>
      <c r="D528" s="91">
        <f t="shared" si="603"/>
        <v>6</v>
      </c>
      <c r="E528" s="278"/>
      <c r="F528" s="76">
        <f t="shared" ref="F528:Q528" si="665">F456</f>
        <v>17.952400000000004</v>
      </c>
      <c r="G528" s="46">
        <f t="shared" si="665"/>
        <v>83.948488098886401</v>
      </c>
      <c r="H528" s="46">
        <f t="shared" si="579"/>
        <v>-28.418338098886395</v>
      </c>
      <c r="I528" s="45">
        <f t="shared" si="580"/>
        <v>0</v>
      </c>
      <c r="J528" s="45">
        <f t="shared" si="581"/>
        <v>0.21095121603234232</v>
      </c>
      <c r="K528" s="45">
        <f t="shared" ca="1" si="597"/>
        <v>0.68181657730811884</v>
      </c>
      <c r="L528" s="358">
        <f t="shared" si="582"/>
        <v>0.89013124354981255</v>
      </c>
      <c r="M528" s="76">
        <f t="shared" ca="1" si="665"/>
        <v>0.25347808785320641</v>
      </c>
      <c r="N528" s="45">
        <f t="shared" ca="1" si="665"/>
        <v>0.25</v>
      </c>
      <c r="O528" s="45">
        <f t="shared" ca="1" si="665"/>
        <v>0</v>
      </c>
      <c r="P528" s="46" t="str">
        <f t="shared" ca="1" si="665"/>
        <v/>
      </c>
      <c r="Q528" s="243" t="str">
        <f t="shared" ca="1" si="665"/>
        <v/>
      </c>
      <c r="R528" s="45">
        <f t="shared" ca="1" si="598"/>
        <v>0.42578595374279876</v>
      </c>
      <c r="S528" s="45">
        <f t="shared" ca="1" si="622"/>
        <v>5.0695617570641283E-2</v>
      </c>
      <c r="T528" s="77">
        <f t="shared" ca="1" si="583"/>
        <v>0</v>
      </c>
      <c r="U528" s="45">
        <f t="shared" ca="1" si="599"/>
        <v>17.690404117751552</v>
      </c>
      <c r="V528" s="45">
        <f t="shared" ca="1" si="584"/>
        <v>0.20278247028256513</v>
      </c>
      <c r="W528" s="77">
        <f t="shared" ca="1" si="585"/>
        <v>0</v>
      </c>
      <c r="X528" s="45">
        <f t="shared" ca="1" si="600"/>
        <v>1.0034815914297595</v>
      </c>
      <c r="Y528" s="45">
        <f t="shared" ca="1" si="586"/>
        <v>0</v>
      </c>
      <c r="Z528" s="77">
        <f t="shared" ca="1" si="587"/>
        <v>0</v>
      </c>
      <c r="AA528" s="45">
        <f t="shared" ca="1" si="601"/>
        <v>39.09097990957838</v>
      </c>
      <c r="AB528" s="45">
        <f t="shared" ca="1" si="588"/>
        <v>0</v>
      </c>
      <c r="AC528" s="45" cm="1">
        <f t="array" aca="1" ref="AC528" ca="1">pHUM*(T528+W528+Z528+AD528)</f>
        <v>0</v>
      </c>
      <c r="AD528" s="77">
        <f t="shared" ca="1" si="589"/>
        <v>0</v>
      </c>
      <c r="AE528" s="45">
        <f t="shared" ca="1" si="602"/>
        <v>6.3847072090583081</v>
      </c>
      <c r="AF528" s="45">
        <f t="shared" ca="1" si="590"/>
        <v>0</v>
      </c>
      <c r="AG528" s="76">
        <f t="shared" ca="1" si="591"/>
        <v>64.595358781560805</v>
      </c>
      <c r="AH528" s="45">
        <f t="shared" ca="1" si="592"/>
        <v>0</v>
      </c>
      <c r="AI528" s="77">
        <f t="shared" ca="1" si="593"/>
        <v>1.5760429182473328E-2</v>
      </c>
      <c r="AJ528" s="384">
        <f t="shared" ca="1" si="595"/>
        <v>3.3761824413032215E-2</v>
      </c>
      <c r="AU528" s="1"/>
    </row>
    <row r="529" spans="3:47" x14ac:dyDescent="0.25">
      <c r="C529" s="10">
        <f t="shared" si="620"/>
        <v>36</v>
      </c>
      <c r="D529" s="91">
        <f t="shared" si="603"/>
        <v>7</v>
      </c>
      <c r="E529" s="278"/>
      <c r="F529" s="76">
        <f t="shared" ref="F529:Q529" si="666">F457</f>
        <v>21.363032258064525</v>
      </c>
      <c r="G529" s="46">
        <f t="shared" si="666"/>
        <v>73.679575814389409</v>
      </c>
      <c r="H529" s="46">
        <f t="shared" si="579"/>
        <v>-18.149425814389403</v>
      </c>
      <c r="I529" s="45">
        <f t="shared" si="580"/>
        <v>0</v>
      </c>
      <c r="J529" s="45">
        <f t="shared" si="581"/>
        <v>0.2468878570948656</v>
      </c>
      <c r="K529" s="45">
        <f t="shared" ca="1" si="597"/>
        <v>0.79796759113040194</v>
      </c>
      <c r="L529" s="358">
        <f t="shared" si="582"/>
        <v>0.92905557700722019</v>
      </c>
      <c r="M529" s="76">
        <f t="shared" ca="1" si="666"/>
        <v>0.25347808785320641</v>
      </c>
      <c r="N529" s="45">
        <f t="shared" ca="1" si="666"/>
        <v>0.25</v>
      </c>
      <c r="O529" s="45">
        <f t="shared" ca="1" si="666"/>
        <v>0</v>
      </c>
      <c r="P529" s="46" t="str">
        <f t="shared" ca="1" si="666"/>
        <v/>
      </c>
      <c r="Q529" s="243" t="str">
        <f t="shared" ca="1" si="666"/>
        <v/>
      </c>
      <c r="R529" s="45">
        <f t="shared" ca="1" si="598"/>
        <v>0.47648157131344004</v>
      </c>
      <c r="S529" s="45">
        <f t="shared" ca="1" si="622"/>
        <v>5.0695617570641283E-2</v>
      </c>
      <c r="T529" s="77">
        <f t="shared" ca="1" si="583"/>
        <v>0</v>
      </c>
      <c r="U529" s="45">
        <f t="shared" ca="1" si="599"/>
        <v>17.893186588034116</v>
      </c>
      <c r="V529" s="45">
        <f t="shared" ca="1" si="584"/>
        <v>0.20278247028256513</v>
      </c>
      <c r="W529" s="77">
        <f t="shared" ca="1" si="585"/>
        <v>0</v>
      </c>
      <c r="X529" s="45">
        <f t="shared" ca="1" si="600"/>
        <v>1.0034815914297595</v>
      </c>
      <c r="Y529" s="45">
        <f t="shared" ca="1" si="586"/>
        <v>0</v>
      </c>
      <c r="Z529" s="77">
        <f t="shared" ca="1" si="587"/>
        <v>0</v>
      </c>
      <c r="AA529" s="45">
        <f t="shared" ca="1" si="601"/>
        <v>39.09097990957838</v>
      </c>
      <c r="AB529" s="45">
        <f t="shared" ca="1" si="588"/>
        <v>0</v>
      </c>
      <c r="AC529" s="45" cm="1">
        <f t="array" aca="1" ref="AC529" ca="1">pHUM*(T529+W529+Z529+AD529)</f>
        <v>0</v>
      </c>
      <c r="AD529" s="77">
        <f t="shared" ca="1" si="589"/>
        <v>0</v>
      </c>
      <c r="AE529" s="45">
        <f t="shared" ca="1" si="602"/>
        <v>6.3847072090583081</v>
      </c>
      <c r="AF529" s="45">
        <f t="shared" ca="1" si="590"/>
        <v>0</v>
      </c>
      <c r="AG529" s="76">
        <f t="shared" ca="1" si="591"/>
        <v>64.848836869414001</v>
      </c>
      <c r="AH529" s="45">
        <f t="shared" ca="1" si="592"/>
        <v>0</v>
      </c>
      <c r="AI529" s="77">
        <f t="shared" ca="1" si="593"/>
        <v>1.6501413210309717E-2</v>
      </c>
      <c r="AJ529" s="384">
        <f t="shared" ca="1" si="595"/>
        <v>4.3179786862524994E-2</v>
      </c>
      <c r="AU529" s="1"/>
    </row>
    <row r="530" spans="3:47" x14ac:dyDescent="0.25">
      <c r="C530" s="10">
        <f t="shared" si="620"/>
        <v>36</v>
      </c>
      <c r="D530" s="91">
        <f t="shared" si="603"/>
        <v>8</v>
      </c>
      <c r="E530" s="278"/>
      <c r="F530" s="76">
        <f t="shared" ref="F530:Q530" si="667">F458</f>
        <v>21.84690322580645</v>
      </c>
      <c r="G530" s="46">
        <f t="shared" si="667"/>
        <v>71.917724933598876</v>
      </c>
      <c r="H530" s="46">
        <f t="shared" ref="H530:H593" si="668">FC-G530</f>
        <v>-16.38757493359887</v>
      </c>
      <c r="I530" s="45">
        <f t="shared" ref="I530:I593" si="669">PRODUCT(47.91/(1+EXP(106.06/(F530+18.27))), IF(IF(H530&lt;=0,1-((1-RM_PWP)*(G530-FC)/(WSAT-FC)),IF(H530&lt;=Wat1bar,1,1-((1-RM_PWP)*(H530-Wat1bar)/(FC-Wat1bar))))&lt;=RM_PWP,RM_PWP,IF(H530&lt;=0,1-((1-RM_PWP)*(G530-FC)/(WSAT-FC)),IF(H530&lt;=Wat1bar,1,1-((1-RM_PWP)*(H530-Wat1bar)/(FC-Wat1bar))))),0.56+(ATAN(3.14*0.45*(SoilpH-5)))/3.14,EXP(-0.09*SoilSal))</f>
        <v>0</v>
      </c>
      <c r="J530" s="45">
        <f t="shared" ref="J530:J593" si="670">POWER(((G530/150)-$J$9),$M$9)*POWER(($L$9-(G530/150)),$N$9)</f>
        <v>0.25260629061506468</v>
      </c>
      <c r="K530" s="45">
        <f t="shared" ca="1" si="597"/>
        <v>0.81645017133846476</v>
      </c>
      <c r="L530" s="358">
        <f t="shared" ref="L530:L593" si="671">1/(1+EXP(-(F530-3.8)/6.7))+1/(1+EXP((F530-62.2)/7.1))-1</f>
        <v>0.93325603418156189</v>
      </c>
      <c r="M530" s="76">
        <f t="shared" ca="1" si="667"/>
        <v>0.25347808785320641</v>
      </c>
      <c r="N530" s="45">
        <f t="shared" ca="1" si="667"/>
        <v>0.25</v>
      </c>
      <c r="O530" s="45">
        <f t="shared" ca="1" si="667"/>
        <v>0</v>
      </c>
      <c r="P530" s="46" t="str">
        <f t="shared" ca="1" si="667"/>
        <v/>
      </c>
      <c r="Q530" s="243" t="str">
        <f t="shared" ca="1" si="667"/>
        <v/>
      </c>
      <c r="R530" s="45">
        <f t="shared" ca="1" si="598"/>
        <v>0.52717718888408127</v>
      </c>
      <c r="S530" s="45">
        <f t="shared" ca="1" si="622"/>
        <v>5.0695617570641283E-2</v>
      </c>
      <c r="T530" s="77">
        <f t="shared" ref="T530:T593" ca="1" si="672">R530*(1-EXP(-kDPM*I530))</f>
        <v>0</v>
      </c>
      <c r="U530" s="45">
        <f t="shared" ca="1" si="599"/>
        <v>18.09596905831668</v>
      </c>
      <c r="V530" s="45">
        <f t="shared" ref="V530:V593" ca="1" si="673">M530*1/(1+N530)</f>
        <v>0.20278247028256513</v>
      </c>
      <c r="W530" s="77">
        <f t="shared" ref="W530:W593" ca="1" si="674">U530*(1-EXP(-kRPM*I530))</f>
        <v>0</v>
      </c>
      <c r="X530" s="45">
        <f t="shared" ca="1" si="600"/>
        <v>1.0034815914297595</v>
      </c>
      <c r="Y530" s="45">
        <f t="shared" ref="Y530:Y593" ca="1" si="675">pBIO*(T530+W530+Z530+AD530)</f>
        <v>0</v>
      </c>
      <c r="Z530" s="77">
        <f t="shared" ref="Z530:Z593" ca="1" si="676">X530*(1-EXP(-kBIO*I530))</f>
        <v>0</v>
      </c>
      <c r="AA530" s="45">
        <f t="shared" ca="1" si="601"/>
        <v>39.09097990957838</v>
      </c>
      <c r="AB530" s="45">
        <f t="shared" ref="AB530:AB593" ca="1" si="677">IF(O530&gt;0,O530*(1-Q530)/(1+P530),0)</f>
        <v>0</v>
      </c>
      <c r="AC530" s="45" cm="1">
        <f t="array" aca="1" ref="AC530" ca="1">pHUM*(T530+W530+Z530+AD530)</f>
        <v>0</v>
      </c>
      <c r="AD530" s="77">
        <f t="shared" ref="AD530:AD593" ca="1" si="678">AA530*(1-EXP(-kHUM*I530))</f>
        <v>0</v>
      </c>
      <c r="AE530" s="45">
        <f t="shared" ca="1" si="602"/>
        <v>6.3847072090583081</v>
      </c>
      <c r="AF530" s="45">
        <f t="shared" ref="AF530:AF593" ca="1" si="679">IF(O530&gt;0,O530*Q530,0)</f>
        <v>0</v>
      </c>
      <c r="AG530" s="76">
        <f t="shared" ref="AG530:AG593" ca="1" si="680">R530+U530+X530+AA530+AE530</f>
        <v>65.102314957267211</v>
      </c>
      <c r="AH530" s="45">
        <f t="shared" ref="AH530:AH593" ca="1" si="681">p_CO2*(T530+W530+Z530+AD530)</f>
        <v>0</v>
      </c>
      <c r="AI530" s="77">
        <f t="shared" ref="AI530:AI593" ca="1" si="682">((kRPM*U530)+(kDPM*R530)+(kBIO*X530)+(kHUM*AA530))/(U530+R530+AA530+X530)</f>
        <v>1.723599972906123E-2</v>
      </c>
      <c r="AJ530" s="384">
        <f t="shared" ca="1" si="595"/>
        <v>4.63551590537159E-2</v>
      </c>
      <c r="AU530" s="1"/>
    </row>
    <row r="531" spans="3:47" x14ac:dyDescent="0.25">
      <c r="C531" s="10">
        <f t="shared" si="620"/>
        <v>36</v>
      </c>
      <c r="D531" s="91">
        <f t="shared" si="603"/>
        <v>9</v>
      </c>
      <c r="E531" s="278"/>
      <c r="F531" s="76">
        <f t="shared" ref="F531:Q531" si="683">F459</f>
        <v>19.915099999999999</v>
      </c>
      <c r="G531" s="46">
        <f t="shared" si="683"/>
        <v>90.121120170480822</v>
      </c>
      <c r="H531" s="46">
        <f t="shared" si="668"/>
        <v>-34.590970170480816</v>
      </c>
      <c r="I531" s="45">
        <f t="shared" si="669"/>
        <v>0</v>
      </c>
      <c r="J531" s="45">
        <f t="shared" si="670"/>
        <v>0.18783711693191202</v>
      </c>
      <c r="K531" s="45">
        <f t="shared" ca="1" si="597"/>
        <v>0.60710937138331467</v>
      </c>
      <c r="L531" s="358">
        <f t="shared" si="671"/>
        <v>0.91464137695305081</v>
      </c>
      <c r="M531" s="76">
        <f t="shared" ca="1" si="683"/>
        <v>0.25347808785320641</v>
      </c>
      <c r="N531" s="45">
        <f t="shared" ca="1" si="683"/>
        <v>0.25</v>
      </c>
      <c r="O531" s="45">
        <f t="shared" ca="1" si="683"/>
        <v>0</v>
      </c>
      <c r="P531" s="46" t="str">
        <f t="shared" ca="1" si="683"/>
        <v/>
      </c>
      <c r="Q531" s="243" t="str">
        <f t="shared" ca="1" si="683"/>
        <v/>
      </c>
      <c r="R531" s="45">
        <f t="shared" ca="1" si="598"/>
        <v>0.5778728064547225</v>
      </c>
      <c r="S531" s="45">
        <f t="shared" ca="1" si="622"/>
        <v>5.0695617570641283E-2</v>
      </c>
      <c r="T531" s="77">
        <f t="shared" ca="1" si="672"/>
        <v>0</v>
      </c>
      <c r="U531" s="45">
        <f t="shared" ca="1" si="599"/>
        <v>18.298751528599244</v>
      </c>
      <c r="V531" s="45">
        <f t="shared" ca="1" si="673"/>
        <v>0.20278247028256513</v>
      </c>
      <c r="W531" s="77">
        <f t="shared" ca="1" si="674"/>
        <v>0</v>
      </c>
      <c r="X531" s="45">
        <f t="shared" ca="1" si="600"/>
        <v>1.0034815914297595</v>
      </c>
      <c r="Y531" s="45">
        <f t="shared" ca="1" si="675"/>
        <v>0</v>
      </c>
      <c r="Z531" s="77">
        <f t="shared" ca="1" si="676"/>
        <v>0</v>
      </c>
      <c r="AA531" s="45">
        <f t="shared" ca="1" si="601"/>
        <v>39.09097990957838</v>
      </c>
      <c r="AB531" s="45">
        <f t="shared" ca="1" si="677"/>
        <v>0</v>
      </c>
      <c r="AC531" s="45" cm="1">
        <f t="array" aca="1" ref="AC531" ca="1">pHUM*(T531+W531+Z531+AD531)</f>
        <v>0</v>
      </c>
      <c r="AD531" s="77">
        <f t="shared" ca="1" si="678"/>
        <v>0</v>
      </c>
      <c r="AE531" s="45">
        <f t="shared" ca="1" si="602"/>
        <v>6.3847072090583081</v>
      </c>
      <c r="AF531" s="45">
        <f t="shared" ca="1" si="679"/>
        <v>0</v>
      </c>
      <c r="AG531" s="76">
        <f t="shared" ca="1" si="680"/>
        <v>65.355793045120407</v>
      </c>
      <c r="AH531" s="45">
        <f t="shared" ca="1" si="681"/>
        <v>0</v>
      </c>
      <c r="AI531" s="77">
        <f t="shared" ca="1" si="682"/>
        <v>1.7964271234836602E-2</v>
      </c>
      <c r="AJ531" s="384">
        <f t="shared" ref="AJ531:AJ594" ca="1" si="684">(530)*(1-EXP((-$AJ$9*L531*K531*AI531)))</f>
        <v>3.5209759384137174E-2</v>
      </c>
      <c r="AU531" s="1"/>
    </row>
    <row r="532" spans="3:47" x14ac:dyDescent="0.25">
      <c r="C532" s="10">
        <f t="shared" si="620"/>
        <v>36</v>
      </c>
      <c r="D532" s="91">
        <f t="shared" si="603"/>
        <v>10</v>
      </c>
      <c r="E532" s="278"/>
      <c r="F532" s="76">
        <f t="shared" ref="F532:Q532" si="685">F460</f>
        <v>16.404967741935486</v>
      </c>
      <c r="G532" s="46">
        <f t="shared" si="685"/>
        <v>93.270963763991602</v>
      </c>
      <c r="H532" s="46">
        <f t="shared" si="668"/>
        <v>-37.740813763991596</v>
      </c>
      <c r="I532" s="45">
        <f t="shared" si="669"/>
        <v>0</v>
      </c>
      <c r="J532" s="45">
        <f t="shared" si="670"/>
        <v>0.1757835150476853</v>
      </c>
      <c r="K532" s="45">
        <f t="shared" ref="K532:K595" ca="1" si="686">J532/$I$15</f>
        <v>0.56815085891056294</v>
      </c>
      <c r="L532" s="358">
        <f t="shared" si="671"/>
        <v>0.86618676922472848</v>
      </c>
      <c r="M532" s="76">
        <f t="shared" ca="1" si="685"/>
        <v>0.25347808785320641</v>
      </c>
      <c r="N532" s="45">
        <f t="shared" ca="1" si="685"/>
        <v>0.25</v>
      </c>
      <c r="O532" s="45">
        <f t="shared" ca="1" si="685"/>
        <v>0</v>
      </c>
      <c r="P532" s="46" t="str">
        <f t="shared" ca="1" si="685"/>
        <v/>
      </c>
      <c r="Q532" s="243" t="str">
        <f t="shared" ca="1" si="685"/>
        <v/>
      </c>
      <c r="R532" s="45">
        <f t="shared" ref="R532:R595" ca="1" si="687">R531+S532-T531</f>
        <v>0.62856842402536373</v>
      </c>
      <c r="S532" s="45">
        <f t="shared" ca="1" si="622"/>
        <v>5.0695617570641283E-2</v>
      </c>
      <c r="T532" s="77">
        <f t="shared" ca="1" si="672"/>
        <v>0</v>
      </c>
      <c r="U532" s="45">
        <f t="shared" ref="U532:U595" ca="1" si="688">U531+V532-W531</f>
        <v>18.501533998881808</v>
      </c>
      <c r="V532" s="45">
        <f t="shared" ca="1" si="673"/>
        <v>0.20278247028256513</v>
      </c>
      <c r="W532" s="77">
        <f t="shared" ca="1" si="674"/>
        <v>0</v>
      </c>
      <c r="X532" s="45">
        <f t="shared" ref="X532:X595" ca="1" si="689">X531+Y531-Z531</f>
        <v>1.0034815914297595</v>
      </c>
      <c r="Y532" s="45">
        <f t="shared" ca="1" si="675"/>
        <v>0</v>
      </c>
      <c r="Z532" s="77">
        <f t="shared" ca="1" si="676"/>
        <v>0</v>
      </c>
      <c r="AA532" s="45">
        <f t="shared" ref="AA532:AA595" ca="1" si="690">AA531+AC531+AB532-AD531</f>
        <v>39.09097990957838</v>
      </c>
      <c r="AB532" s="45">
        <f t="shared" ca="1" si="677"/>
        <v>0</v>
      </c>
      <c r="AC532" s="45" cm="1">
        <f t="array" aca="1" ref="AC532" ca="1">pHUM*(T532+W532+Z532+AD532)</f>
        <v>0</v>
      </c>
      <c r="AD532" s="77">
        <f t="shared" ca="1" si="678"/>
        <v>0</v>
      </c>
      <c r="AE532" s="45">
        <f t="shared" ref="AE532:AE595" ca="1" si="691">AE531+AF532</f>
        <v>6.3847072090583081</v>
      </c>
      <c r="AF532" s="45">
        <f t="shared" ca="1" si="679"/>
        <v>0</v>
      </c>
      <c r="AG532" s="76">
        <f t="shared" ca="1" si="680"/>
        <v>65.609271132973618</v>
      </c>
      <c r="AH532" s="45">
        <f t="shared" ca="1" si="681"/>
        <v>0</v>
      </c>
      <c r="AI532" s="77">
        <f t="shared" ca="1" si="682"/>
        <v>1.8686308811428163E-2</v>
      </c>
      <c r="AJ532" s="384">
        <f t="shared" ca="1" si="684"/>
        <v>3.245902979924109E-2</v>
      </c>
      <c r="AU532" s="1"/>
    </row>
    <row r="533" spans="3:47" x14ac:dyDescent="0.25">
      <c r="C533" s="10">
        <f t="shared" si="620"/>
        <v>36</v>
      </c>
      <c r="D533" s="91">
        <f t="shared" ref="D533:D596" si="692">IF(D532+1&lt;13,D532+1,1)</f>
        <v>11</v>
      </c>
      <c r="E533" s="278"/>
      <c r="F533" s="76">
        <f t="shared" ref="F533:Q533" si="693">F461</f>
        <v>8.5982333333333347</v>
      </c>
      <c r="G533" s="46">
        <f t="shared" si="693"/>
        <v>93.768190396309464</v>
      </c>
      <c r="H533" s="46">
        <f t="shared" si="668"/>
        <v>-38.238040396309458</v>
      </c>
      <c r="I533" s="45">
        <f t="shared" si="669"/>
        <v>0</v>
      </c>
      <c r="J533" s="45">
        <f t="shared" si="670"/>
        <v>0.17386998013358751</v>
      </c>
      <c r="K533" s="45">
        <f t="shared" ca="1" si="686"/>
        <v>0.56196611226520721</v>
      </c>
      <c r="L533" s="358">
        <f t="shared" si="671"/>
        <v>0.6712335176859634</v>
      </c>
      <c r="M533" s="76">
        <f t="shared" ca="1" si="693"/>
        <v>0.25347808785320641</v>
      </c>
      <c r="N533" s="45">
        <f t="shared" ca="1" si="693"/>
        <v>0.25</v>
      </c>
      <c r="O533" s="45">
        <f t="shared" ca="1" si="693"/>
        <v>0</v>
      </c>
      <c r="P533" s="46" t="str">
        <f t="shared" ca="1" si="693"/>
        <v/>
      </c>
      <c r="Q533" s="243" t="str">
        <f t="shared" ca="1" si="693"/>
        <v/>
      </c>
      <c r="R533" s="45">
        <f t="shared" ca="1" si="687"/>
        <v>0.67926404159600495</v>
      </c>
      <c r="S533" s="45">
        <f t="shared" ca="1" si="622"/>
        <v>5.0695617570641283E-2</v>
      </c>
      <c r="T533" s="77">
        <f t="shared" ca="1" si="672"/>
        <v>0</v>
      </c>
      <c r="U533" s="45">
        <f t="shared" ca="1" si="688"/>
        <v>18.704316469164372</v>
      </c>
      <c r="V533" s="45">
        <f t="shared" ca="1" si="673"/>
        <v>0.20278247028256513</v>
      </c>
      <c r="W533" s="77">
        <f t="shared" ca="1" si="674"/>
        <v>0</v>
      </c>
      <c r="X533" s="45">
        <f t="shared" ca="1" si="689"/>
        <v>1.0034815914297595</v>
      </c>
      <c r="Y533" s="45">
        <f t="shared" ca="1" si="675"/>
        <v>0</v>
      </c>
      <c r="Z533" s="77">
        <f t="shared" ca="1" si="676"/>
        <v>0</v>
      </c>
      <c r="AA533" s="45">
        <f t="shared" ca="1" si="690"/>
        <v>39.09097990957838</v>
      </c>
      <c r="AB533" s="45">
        <f t="shared" ca="1" si="677"/>
        <v>0</v>
      </c>
      <c r="AC533" s="45" cm="1">
        <f t="array" aca="1" ref="AC533" ca="1">pHUM*(T533+W533+Z533+AD533)</f>
        <v>0</v>
      </c>
      <c r="AD533" s="77">
        <f t="shared" ca="1" si="678"/>
        <v>0</v>
      </c>
      <c r="AE533" s="45">
        <f t="shared" ca="1" si="691"/>
        <v>6.3847072090583081</v>
      </c>
      <c r="AF533" s="45">
        <f t="shared" ca="1" si="679"/>
        <v>0</v>
      </c>
      <c r="AG533" s="76">
        <f t="shared" ca="1" si="680"/>
        <v>65.862749220826828</v>
      </c>
      <c r="AH533" s="45">
        <f t="shared" ca="1" si="681"/>
        <v>0</v>
      </c>
      <c r="AI533" s="77">
        <f t="shared" ca="1" si="682"/>
        <v>1.9402192160406229E-2</v>
      </c>
      <c r="AJ533" s="384">
        <f t="shared" ca="1" si="684"/>
        <v>2.5832954448397061E-2</v>
      </c>
      <c r="AU533" s="1"/>
    </row>
    <row r="534" spans="3:47" x14ac:dyDescent="0.25">
      <c r="C534" s="10">
        <f t="shared" si="620"/>
        <v>36</v>
      </c>
      <c r="D534" s="91">
        <f t="shared" si="692"/>
        <v>12</v>
      </c>
      <c r="E534" s="278"/>
      <c r="F534" s="76">
        <f t="shared" ref="F534:Q534" si="694">F462</f>
        <v>5.8543548387096775</v>
      </c>
      <c r="G534" s="46">
        <f t="shared" si="694"/>
        <v>92.353978821555827</v>
      </c>
      <c r="H534" s="46">
        <f t="shared" si="668"/>
        <v>-36.823828821555821</v>
      </c>
      <c r="I534" s="45">
        <f t="shared" si="669"/>
        <v>0</v>
      </c>
      <c r="J534" s="45">
        <f t="shared" si="670"/>
        <v>0.17930557122010893</v>
      </c>
      <c r="K534" s="45">
        <f t="shared" ca="1" si="686"/>
        <v>0.57953451589882432</v>
      </c>
      <c r="L534" s="358">
        <f t="shared" si="671"/>
        <v>0.57570255434605899</v>
      </c>
      <c r="M534" s="76">
        <f t="shared" ca="1" si="694"/>
        <v>0.25347808785320641</v>
      </c>
      <c r="N534" s="45">
        <f t="shared" ca="1" si="694"/>
        <v>0.25</v>
      </c>
      <c r="O534" s="45">
        <f t="shared" ca="1" si="694"/>
        <v>0</v>
      </c>
      <c r="P534" s="46" t="str">
        <f t="shared" ca="1" si="694"/>
        <v/>
      </c>
      <c r="Q534" s="243" t="str">
        <f t="shared" ca="1" si="694"/>
        <v/>
      </c>
      <c r="R534" s="45">
        <f t="shared" ca="1" si="687"/>
        <v>0.72995965916664618</v>
      </c>
      <c r="S534" s="45">
        <f t="shared" ca="1" si="622"/>
        <v>5.0695617570641283E-2</v>
      </c>
      <c r="T534" s="77">
        <f t="shared" ca="1" si="672"/>
        <v>0</v>
      </c>
      <c r="U534" s="45">
        <f t="shared" ca="1" si="688"/>
        <v>18.907098939446936</v>
      </c>
      <c r="V534" s="45">
        <f t="shared" ca="1" si="673"/>
        <v>0.20278247028256513</v>
      </c>
      <c r="W534" s="77">
        <f t="shared" ca="1" si="674"/>
        <v>0</v>
      </c>
      <c r="X534" s="45">
        <f t="shared" ca="1" si="689"/>
        <v>1.0034815914297595</v>
      </c>
      <c r="Y534" s="45">
        <f t="shared" ca="1" si="675"/>
        <v>0</v>
      </c>
      <c r="Z534" s="77">
        <f t="shared" ca="1" si="676"/>
        <v>0</v>
      </c>
      <c r="AA534" s="45">
        <f t="shared" ca="1" si="690"/>
        <v>39.09097990957838</v>
      </c>
      <c r="AB534" s="45">
        <f t="shared" ca="1" si="677"/>
        <v>0</v>
      </c>
      <c r="AC534" s="45" cm="1">
        <f t="array" aca="1" ref="AC534" ca="1">pHUM*(T534+W534+Z534+AD534)</f>
        <v>0</v>
      </c>
      <c r="AD534" s="77">
        <f t="shared" ca="1" si="678"/>
        <v>0</v>
      </c>
      <c r="AE534" s="45">
        <f t="shared" ca="1" si="691"/>
        <v>6.3847072090583081</v>
      </c>
      <c r="AF534" s="45">
        <f t="shared" ca="1" si="679"/>
        <v>0</v>
      </c>
      <c r="AG534" s="76">
        <f t="shared" ca="1" si="680"/>
        <v>66.116227308680024</v>
      </c>
      <c r="AH534" s="45">
        <f t="shared" ca="1" si="681"/>
        <v>0</v>
      </c>
      <c r="AI534" s="77">
        <f t="shared" ca="1" si="682"/>
        <v>2.0111999630447276E-2</v>
      </c>
      <c r="AJ534" s="384">
        <f t="shared" ca="1" si="684"/>
        <v>2.3684984785772301E-2</v>
      </c>
      <c r="AU534" s="1"/>
    </row>
    <row r="535" spans="3:47" x14ac:dyDescent="0.25">
      <c r="C535" s="10">
        <f t="shared" si="620"/>
        <v>37</v>
      </c>
      <c r="D535" s="91">
        <f t="shared" si="692"/>
        <v>1</v>
      </c>
      <c r="E535" s="278"/>
      <c r="F535" s="76">
        <f t="shared" ref="F535:Q535" si="695">F463</f>
        <v>2.2624333333333326</v>
      </c>
      <c r="G535" s="46">
        <f t="shared" si="695"/>
        <v>87.461548542671366</v>
      </c>
      <c r="H535" s="46">
        <f t="shared" si="668"/>
        <v>-31.93139854267136</v>
      </c>
      <c r="I535" s="45">
        <f t="shared" si="669"/>
        <v>0</v>
      </c>
      <c r="J535" s="45">
        <f t="shared" si="670"/>
        <v>0.19789456043296222</v>
      </c>
      <c r="K535" s="45">
        <f t="shared" ca="1" si="686"/>
        <v>0.63961608944510806</v>
      </c>
      <c r="L535" s="358">
        <f t="shared" si="671"/>
        <v>0.44266298791276926</v>
      </c>
      <c r="M535" s="76">
        <f t="shared" ca="1" si="695"/>
        <v>0.25347808785320641</v>
      </c>
      <c r="N535" s="45">
        <f t="shared" ca="1" si="695"/>
        <v>0.25</v>
      </c>
      <c r="O535" s="45">
        <f t="shared" ca="1" si="695"/>
        <v>0</v>
      </c>
      <c r="P535" s="46" t="str">
        <f t="shared" ca="1" si="695"/>
        <v/>
      </c>
      <c r="Q535" s="243" t="str">
        <f t="shared" ca="1" si="695"/>
        <v/>
      </c>
      <c r="R535" s="45">
        <f t="shared" ca="1" si="687"/>
        <v>0.78065527673728741</v>
      </c>
      <c r="S535" s="45">
        <f t="shared" ca="1" si="622"/>
        <v>5.0695617570641283E-2</v>
      </c>
      <c r="T535" s="77">
        <f t="shared" ca="1" si="672"/>
        <v>0</v>
      </c>
      <c r="U535" s="45">
        <f t="shared" ca="1" si="688"/>
        <v>19.1098814097295</v>
      </c>
      <c r="V535" s="45">
        <f t="shared" ca="1" si="673"/>
        <v>0.20278247028256513</v>
      </c>
      <c r="W535" s="77">
        <f t="shared" ca="1" si="674"/>
        <v>0</v>
      </c>
      <c r="X535" s="45">
        <f t="shared" ca="1" si="689"/>
        <v>1.0034815914297595</v>
      </c>
      <c r="Y535" s="45">
        <f t="shared" ca="1" si="675"/>
        <v>0</v>
      </c>
      <c r="Z535" s="77">
        <f t="shared" ca="1" si="676"/>
        <v>0</v>
      </c>
      <c r="AA535" s="45">
        <f t="shared" ca="1" si="690"/>
        <v>39.09097990957838</v>
      </c>
      <c r="AB535" s="45">
        <f t="shared" ca="1" si="677"/>
        <v>0</v>
      </c>
      <c r="AC535" s="45" cm="1">
        <f t="array" aca="1" ref="AC535" ca="1">pHUM*(T535+W535+Z535+AD535)</f>
        <v>0</v>
      </c>
      <c r="AD535" s="77">
        <f t="shared" ca="1" si="678"/>
        <v>0</v>
      </c>
      <c r="AE535" s="45">
        <f t="shared" ca="1" si="691"/>
        <v>6.3847072090583081</v>
      </c>
      <c r="AF535" s="45">
        <f t="shared" ca="1" si="679"/>
        <v>0</v>
      </c>
      <c r="AG535" s="76">
        <f t="shared" ca="1" si="680"/>
        <v>66.369705396533234</v>
      </c>
      <c r="AH535" s="45">
        <f t="shared" ca="1" si="681"/>
        <v>0</v>
      </c>
      <c r="AI535" s="77">
        <f t="shared" ca="1" si="682"/>
        <v>2.0815808245918461E-2</v>
      </c>
      <c r="AJ535" s="384">
        <f t="shared" ca="1" si="684"/>
        <v>2.0803070690834646E-2</v>
      </c>
      <c r="AU535" s="1"/>
    </row>
    <row r="536" spans="3:47" x14ac:dyDescent="0.25">
      <c r="C536" s="10">
        <f t="shared" si="620"/>
        <v>37</v>
      </c>
      <c r="D536" s="91">
        <f t="shared" si="692"/>
        <v>2</v>
      </c>
      <c r="E536" s="278"/>
      <c r="F536" s="76">
        <f t="shared" ref="F536:Q536" si="696">F464</f>
        <v>1.5363448275862068</v>
      </c>
      <c r="G536" s="46">
        <f t="shared" si="696"/>
        <v>89.651029216467379</v>
      </c>
      <c r="H536" s="46">
        <f t="shared" si="668"/>
        <v>-34.120879216467372</v>
      </c>
      <c r="I536" s="45">
        <f t="shared" si="669"/>
        <v>0</v>
      </c>
      <c r="J536" s="45">
        <f t="shared" si="670"/>
        <v>0.18962389606700991</v>
      </c>
      <c r="K536" s="45">
        <f t="shared" ca="1" si="686"/>
        <v>0.61288442998317227</v>
      </c>
      <c r="L536" s="358">
        <f t="shared" si="671"/>
        <v>0.41613501220093307</v>
      </c>
      <c r="M536" s="76">
        <f t="shared" ca="1" si="696"/>
        <v>0.25347808785320641</v>
      </c>
      <c r="N536" s="45">
        <f t="shared" ca="1" si="696"/>
        <v>0.25</v>
      </c>
      <c r="O536" s="45">
        <f t="shared" ca="1" si="696"/>
        <v>0</v>
      </c>
      <c r="P536" s="46" t="str">
        <f t="shared" ca="1" si="696"/>
        <v/>
      </c>
      <c r="Q536" s="243" t="str">
        <f t="shared" ca="1" si="696"/>
        <v/>
      </c>
      <c r="R536" s="45">
        <f t="shared" ca="1" si="687"/>
        <v>0.83135089430792863</v>
      </c>
      <c r="S536" s="45">
        <f t="shared" ca="1" si="622"/>
        <v>5.0695617570641283E-2</v>
      </c>
      <c r="T536" s="77">
        <f t="shared" ca="1" si="672"/>
        <v>0</v>
      </c>
      <c r="U536" s="45">
        <f t="shared" ca="1" si="688"/>
        <v>19.312663880012064</v>
      </c>
      <c r="V536" s="45">
        <f t="shared" ca="1" si="673"/>
        <v>0.20278247028256513</v>
      </c>
      <c r="W536" s="77">
        <f t="shared" ca="1" si="674"/>
        <v>0</v>
      </c>
      <c r="X536" s="45">
        <f t="shared" ca="1" si="689"/>
        <v>1.0034815914297595</v>
      </c>
      <c r="Y536" s="45">
        <f t="shared" ca="1" si="675"/>
        <v>0</v>
      </c>
      <c r="Z536" s="77">
        <f t="shared" ca="1" si="676"/>
        <v>0</v>
      </c>
      <c r="AA536" s="45">
        <f t="shared" ca="1" si="690"/>
        <v>39.09097990957838</v>
      </c>
      <c r="AB536" s="45">
        <f t="shared" ca="1" si="677"/>
        <v>0</v>
      </c>
      <c r="AC536" s="45" cm="1">
        <f t="array" aca="1" ref="AC536" ca="1">pHUM*(T536+W536+Z536+AD536)</f>
        <v>0</v>
      </c>
      <c r="AD536" s="77">
        <f t="shared" ca="1" si="678"/>
        <v>0</v>
      </c>
      <c r="AE536" s="45">
        <f t="shared" ca="1" si="691"/>
        <v>6.3847072090583081</v>
      </c>
      <c r="AF536" s="45">
        <f t="shared" ca="1" si="679"/>
        <v>0</v>
      </c>
      <c r="AG536" s="76">
        <f t="shared" ca="1" si="680"/>
        <v>66.623183484386445</v>
      </c>
      <c r="AH536" s="45">
        <f t="shared" ca="1" si="681"/>
        <v>0</v>
      </c>
      <c r="AI536" s="77">
        <f t="shared" ca="1" si="682"/>
        <v>2.1513693734740529E-2</v>
      </c>
      <c r="AJ536" s="384">
        <f t="shared" ca="1" si="684"/>
        <v>1.9367340645789488E-2</v>
      </c>
      <c r="AU536" s="1"/>
    </row>
    <row r="537" spans="3:47" x14ac:dyDescent="0.25">
      <c r="C537" s="10">
        <f t="shared" si="620"/>
        <v>37</v>
      </c>
      <c r="D537" s="91">
        <f t="shared" si="692"/>
        <v>3</v>
      </c>
      <c r="E537" s="278"/>
      <c r="F537" s="76">
        <f t="shared" ref="F537:Q537" ca="1" si="697">F465</f>
        <v>-0.57999999999999996</v>
      </c>
      <c r="G537" s="46">
        <f t="shared" ca="1" si="697"/>
        <v>55.530150000000006</v>
      </c>
      <c r="H537" s="46">
        <f t="shared" ca="1" si="668"/>
        <v>0</v>
      </c>
      <c r="I537" s="45">
        <f t="shared" ca="1" si="669"/>
        <v>8.1834107856600266E-2</v>
      </c>
      <c r="J537" s="45">
        <f t="shared" ca="1" si="670"/>
        <v>0.29595601705647312</v>
      </c>
      <c r="K537" s="45">
        <f t="shared" ca="1" si="686"/>
        <v>0.95656105889548582</v>
      </c>
      <c r="L537" s="358">
        <f t="shared" ca="1" si="671"/>
        <v>0.34200470507454295</v>
      </c>
      <c r="M537" s="76">
        <f t="shared" ca="1" si="697"/>
        <v>0.25347808785320641</v>
      </c>
      <c r="N537" s="45">
        <f t="shared" ca="1" si="697"/>
        <v>0.25</v>
      </c>
      <c r="O537" s="45">
        <f t="shared" ca="1" si="697"/>
        <v>0</v>
      </c>
      <c r="P537" s="46" t="str">
        <f t="shared" ca="1" si="697"/>
        <v/>
      </c>
      <c r="Q537" s="243" t="str">
        <f t="shared" ca="1" si="697"/>
        <v/>
      </c>
      <c r="R537" s="45">
        <f t="shared" ca="1" si="687"/>
        <v>0.88204651187856986</v>
      </c>
      <c r="S537" s="45">
        <f t="shared" ca="1" si="622"/>
        <v>5.0695617570641283E-2</v>
      </c>
      <c r="T537" s="77">
        <f t="shared" ca="1" si="672"/>
        <v>5.8146070292331417E-2</v>
      </c>
      <c r="U537" s="45">
        <f t="shared" ca="1" si="688"/>
        <v>19.515446350294628</v>
      </c>
      <c r="V537" s="45">
        <f t="shared" ca="1" si="673"/>
        <v>0.20278247028256513</v>
      </c>
      <c r="W537" s="77">
        <f t="shared" ca="1" si="674"/>
        <v>3.9884915295171131E-2</v>
      </c>
      <c r="X537" s="45">
        <f t="shared" ca="1" si="689"/>
        <v>1.0034815914297595</v>
      </c>
      <c r="Y537" s="45">
        <f t="shared" ca="1" si="675"/>
        <v>8.8956528351065555E-3</v>
      </c>
      <c r="Z537" s="77">
        <f t="shared" ca="1" si="676"/>
        <v>4.5063971684033361E-3</v>
      </c>
      <c r="AA537" s="45">
        <f t="shared" ca="1" si="690"/>
        <v>39.09097990957838</v>
      </c>
      <c r="AB537" s="45">
        <f t="shared" ca="1" si="677"/>
        <v>0</v>
      </c>
      <c r="AC537" s="45" cm="1">
        <f t="array" aca="1" ref="AC537" ca="1">pHUM*(T537+W537+Z537+AD537)</f>
        <v>1.046547392365477E-2</v>
      </c>
      <c r="AD537" s="77">
        <f t="shared" ca="1" si="678"/>
        <v>5.3312622027334375E-3</v>
      </c>
      <c r="AE537" s="45">
        <f t="shared" ca="1" si="691"/>
        <v>6.3847072090583081</v>
      </c>
      <c r="AF537" s="45">
        <f t="shared" ca="1" si="679"/>
        <v>0</v>
      </c>
      <c r="AG537" s="76">
        <f t="shared" ca="1" si="680"/>
        <v>66.876661572239641</v>
      </c>
      <c r="AH537" s="45">
        <f t="shared" ca="1" si="681"/>
        <v>8.850751819987801E-2</v>
      </c>
      <c r="AI537" s="77">
        <f t="shared" ca="1" si="682"/>
        <v>2.2205730555550158E-2</v>
      </c>
      <c r="AJ537" s="384">
        <f t="shared" ca="1" si="684"/>
        <v>2.5641854787054053E-2</v>
      </c>
      <c r="AU537" s="1"/>
    </row>
    <row r="538" spans="3:47" x14ac:dyDescent="0.25">
      <c r="C538" s="10">
        <f t="shared" si="620"/>
        <v>37</v>
      </c>
      <c r="D538" s="91">
        <f t="shared" si="692"/>
        <v>4</v>
      </c>
      <c r="E538" s="278"/>
      <c r="F538" s="76">
        <f t="shared" ref="F538:Q538" ca="1" si="698">F466</f>
        <v>7.18</v>
      </c>
      <c r="G538" s="46">
        <f t="shared" ca="1" si="698"/>
        <v>29.828585295978598</v>
      </c>
      <c r="H538" s="46">
        <f t="shared" ca="1" si="668"/>
        <v>25.701564704021408</v>
      </c>
      <c r="I538" s="45">
        <f t="shared" ca="1" si="669"/>
        <v>0.34975431431902781</v>
      </c>
      <c r="J538" s="45">
        <f t="shared" ca="1" si="670"/>
        <v>0.29147915612483932</v>
      </c>
      <c r="K538" s="45">
        <f t="shared" ca="1" si="686"/>
        <v>0.94209137223094908</v>
      </c>
      <c r="L538" s="358">
        <f t="shared" ca="1" si="671"/>
        <v>0.62308014794471589</v>
      </c>
      <c r="M538" s="76">
        <f t="shared" ca="1" si="698"/>
        <v>0.25347808785320641</v>
      </c>
      <c r="N538" s="45">
        <f t="shared" ca="1" si="698"/>
        <v>0.25</v>
      </c>
      <c r="O538" s="45">
        <f t="shared" ca="1" si="698"/>
        <v>0</v>
      </c>
      <c r="P538" s="46" t="str">
        <f t="shared" ca="1" si="698"/>
        <v/>
      </c>
      <c r="Q538" s="243" t="str">
        <f t="shared" ca="1" si="698"/>
        <v/>
      </c>
      <c r="R538" s="45">
        <f t="shared" ca="1" si="687"/>
        <v>0.87459605915687966</v>
      </c>
      <c r="S538" s="45">
        <f t="shared" ca="1" si="622"/>
        <v>5.0695617570641283E-2</v>
      </c>
      <c r="T538" s="77">
        <f t="shared" ca="1" si="672"/>
        <v>0.22112372029543051</v>
      </c>
      <c r="U538" s="45">
        <f t="shared" ca="1" si="688"/>
        <v>19.67834390528202</v>
      </c>
      <c r="V538" s="45">
        <f t="shared" ca="1" si="673"/>
        <v>0.20278247028256513</v>
      </c>
      <c r="W538" s="77">
        <f t="shared" ca="1" si="674"/>
        <v>0.17131457535289046</v>
      </c>
      <c r="X538" s="45">
        <f t="shared" ca="1" si="689"/>
        <v>1.0078708470964626</v>
      </c>
      <c r="Y538" s="45">
        <f t="shared" ca="1" si="675"/>
        <v>3.5825868860059069E-2</v>
      </c>
      <c r="Z538" s="77">
        <f t="shared" ca="1" si="676"/>
        <v>1.9202607237993011E-2</v>
      </c>
      <c r="AA538" s="45">
        <f t="shared" ca="1" si="690"/>
        <v>39.096114121299301</v>
      </c>
      <c r="AB538" s="45">
        <f t="shared" ca="1" si="677"/>
        <v>0</v>
      </c>
      <c r="AC538" s="45" cm="1">
        <f t="array" aca="1" ref="AC538" ca="1">pHUM*(T538+W538+Z538+AD538)</f>
        <v>4.2148081011834197E-2</v>
      </c>
      <c r="AD538" s="77">
        <f t="shared" ca="1" si="678"/>
        <v>2.2783416501392199E-2</v>
      </c>
      <c r="AE538" s="45">
        <f t="shared" ca="1" si="691"/>
        <v>6.3847072090583081</v>
      </c>
      <c r="AF538" s="45">
        <f t="shared" ca="1" si="679"/>
        <v>0</v>
      </c>
      <c r="AG538" s="76">
        <f t="shared" ca="1" si="680"/>
        <v>67.041632141892975</v>
      </c>
      <c r="AH538" s="45">
        <f t="shared" ca="1" si="681"/>
        <v>0.35645036951581299</v>
      </c>
      <c r="AI538" s="77">
        <f t="shared" ca="1" si="682"/>
        <v>2.2114238979427846E-2</v>
      </c>
      <c r="AJ538" s="384">
        <f t="shared" ca="1" si="684"/>
        <v>4.5818436478174407E-2</v>
      </c>
      <c r="AU538" s="1"/>
    </row>
    <row r="539" spans="3:47" x14ac:dyDescent="0.25">
      <c r="C539" s="10">
        <f t="shared" si="620"/>
        <v>37</v>
      </c>
      <c r="D539" s="91">
        <f t="shared" si="692"/>
        <v>5</v>
      </c>
      <c r="E539" s="278"/>
      <c r="F539" s="76">
        <f t="shared" ref="F539:Q539" ca="1" si="699">F467</f>
        <v>14.05</v>
      </c>
      <c r="G539" s="46">
        <f t="shared" ca="1" si="699"/>
        <v>27.012600000000003</v>
      </c>
      <c r="H539" s="46">
        <f t="shared" ca="1" si="668"/>
        <v>28.517550000000004</v>
      </c>
      <c r="I539" s="45">
        <f t="shared" ca="1" si="669"/>
        <v>0.75173784437395219</v>
      </c>
      <c r="J539" s="45">
        <f t="shared" ca="1" si="670"/>
        <v>0.27952512346894071</v>
      </c>
      <c r="K539" s="45">
        <f t="shared" ca="1" si="686"/>
        <v>0.90345467800480783</v>
      </c>
      <c r="L539" s="358">
        <f t="shared" ca="1" si="671"/>
        <v>0.82085140481213359</v>
      </c>
      <c r="M539" s="76">
        <f t="shared" ca="1" si="699"/>
        <v>0.25347808785320641</v>
      </c>
      <c r="N539" s="45">
        <f t="shared" ca="1" si="699"/>
        <v>0.25</v>
      </c>
      <c r="O539" s="45">
        <f t="shared" ca="1" si="699"/>
        <v>0</v>
      </c>
      <c r="P539" s="46" t="str">
        <f t="shared" ca="1" si="699"/>
        <v/>
      </c>
      <c r="Q539" s="243" t="str">
        <f t="shared" ca="1" si="699"/>
        <v/>
      </c>
      <c r="R539" s="45">
        <f t="shared" ca="1" si="687"/>
        <v>0.70416795643209051</v>
      </c>
      <c r="S539" s="45">
        <f t="shared" ca="1" si="622"/>
        <v>5.0695617570641283E-2</v>
      </c>
      <c r="T539" s="77">
        <f t="shared" ca="1" si="672"/>
        <v>0.32779946324687731</v>
      </c>
      <c r="U539" s="45">
        <f t="shared" ca="1" si="688"/>
        <v>19.709811800211693</v>
      </c>
      <c r="V539" s="45">
        <f t="shared" ca="1" si="673"/>
        <v>0.20278247028256513</v>
      </c>
      <c r="W539" s="77">
        <f t="shared" ca="1" si="674"/>
        <v>0.36695629869242469</v>
      </c>
      <c r="X539" s="45">
        <f t="shared" ca="1" si="689"/>
        <v>1.0244941087185286</v>
      </c>
      <c r="Y539" s="45">
        <f t="shared" ca="1" si="675"/>
        <v>6.4755698700415504E-2</v>
      </c>
      <c r="Z539" s="77">
        <f t="shared" ca="1" si="676"/>
        <v>4.1494584807002285E-2</v>
      </c>
      <c r="AA539" s="45">
        <f t="shared" ca="1" si="690"/>
        <v>39.115478785809742</v>
      </c>
      <c r="AB539" s="45">
        <f t="shared" ca="1" si="677"/>
        <v>0</v>
      </c>
      <c r="AC539" s="45" cm="1">
        <f t="array" aca="1" ref="AC539" ca="1">pHUM*(T539+W539+Z539+AD539)</f>
        <v>7.6183174941665308E-2</v>
      </c>
      <c r="AD539" s="77">
        <f t="shared" ca="1" si="678"/>
        <v>4.897695490795053E-2</v>
      </c>
      <c r="AE539" s="45">
        <f t="shared" ca="1" si="691"/>
        <v>6.3847072090583081</v>
      </c>
      <c r="AF539" s="45">
        <f t="shared" ca="1" si="679"/>
        <v>0</v>
      </c>
      <c r="AG539" s="76">
        <f t="shared" ca="1" si="680"/>
        <v>66.938659860230359</v>
      </c>
      <c r="AH539" s="45">
        <f t="shared" ca="1" si="681"/>
        <v>0.64428842801217412</v>
      </c>
      <c r="AI539" s="77">
        <f t="shared" ca="1" si="682"/>
        <v>1.9835064655596108E-2</v>
      </c>
      <c r="AJ539" s="384">
        <f t="shared" ca="1" si="684"/>
        <v>5.1919842092613688E-2</v>
      </c>
      <c r="AU539" s="1"/>
    </row>
    <row r="540" spans="3:47" x14ac:dyDescent="0.25">
      <c r="C540" s="10">
        <f t="shared" si="620"/>
        <v>37</v>
      </c>
      <c r="D540" s="91">
        <f t="shared" si="692"/>
        <v>6</v>
      </c>
      <c r="E540" s="278"/>
      <c r="F540" s="76">
        <f t="shared" ref="F540:Q540" ca="1" si="700">F468</f>
        <v>17.96</v>
      </c>
      <c r="G540" s="46">
        <f t="shared" ca="1" si="700"/>
        <v>27.012600000000003</v>
      </c>
      <c r="H540" s="46">
        <f t="shared" ca="1" si="668"/>
        <v>28.517550000000004</v>
      </c>
      <c r="I540" s="45">
        <f t="shared" ca="1" si="669"/>
        <v>1.0549705763362276</v>
      </c>
      <c r="J540" s="45">
        <f t="shared" ca="1" si="670"/>
        <v>0.27952512346894071</v>
      </c>
      <c r="K540" s="45">
        <f t="shared" ca="1" si="686"/>
        <v>0.90345467800480783</v>
      </c>
      <c r="L540" s="358">
        <f t="shared" ca="1" si="671"/>
        <v>0.89023829243059249</v>
      </c>
      <c r="M540" s="76">
        <f t="shared" ca="1" si="700"/>
        <v>0.25347808785320641</v>
      </c>
      <c r="N540" s="45">
        <f t="shared" ca="1" si="700"/>
        <v>0.25</v>
      </c>
      <c r="O540" s="45">
        <f t="shared" ca="1" si="700"/>
        <v>0</v>
      </c>
      <c r="P540" s="46" t="str">
        <f t="shared" ca="1" si="700"/>
        <v/>
      </c>
      <c r="Q540" s="243" t="str">
        <f t="shared" ca="1" si="700"/>
        <v/>
      </c>
      <c r="R540" s="45">
        <f t="shared" ca="1" si="687"/>
        <v>0.42706411075585454</v>
      </c>
      <c r="S540" s="45">
        <f t="shared" ca="1" si="622"/>
        <v>5.0695617570641283E-2</v>
      </c>
      <c r="T540" s="77">
        <f t="shared" ca="1" si="672"/>
        <v>0.24977319108169391</v>
      </c>
      <c r="U540" s="45">
        <f t="shared" ca="1" si="688"/>
        <v>19.545637971801831</v>
      </c>
      <c r="V540" s="45">
        <f t="shared" ca="1" si="673"/>
        <v>0.20278247028256513</v>
      </c>
      <c r="W540" s="77">
        <f t="shared" ca="1" si="674"/>
        <v>0.50876320520902663</v>
      </c>
      <c r="X540" s="45">
        <f t="shared" ca="1" si="689"/>
        <v>1.0477552226119418</v>
      </c>
      <c r="Y540" s="45">
        <f t="shared" ca="1" si="675"/>
        <v>7.3096191068335953E-2</v>
      </c>
      <c r="Z540" s="77">
        <f t="shared" ca="1" si="676"/>
        <v>5.9064179413688835E-2</v>
      </c>
      <c r="AA540" s="45">
        <f t="shared" ca="1" si="690"/>
        <v>39.142685005843461</v>
      </c>
      <c r="AB540" s="45">
        <f t="shared" ca="1" si="677"/>
        <v>0</v>
      </c>
      <c r="AC540" s="45" cm="1">
        <f t="array" aca="1" ref="AC540" ca="1">pHUM*(T540+W540+Z540+AD540)</f>
        <v>8.599551890392465E-2</v>
      </c>
      <c r="AD540" s="77">
        <f t="shared" ca="1" si="678"/>
        <v>6.8763497662078635E-2</v>
      </c>
      <c r="AE540" s="45">
        <f t="shared" ca="1" si="691"/>
        <v>6.3847072090583081</v>
      </c>
      <c r="AF540" s="45">
        <f t="shared" ca="1" si="679"/>
        <v>0</v>
      </c>
      <c r="AG540" s="76">
        <f t="shared" ca="1" si="680"/>
        <v>66.547849520071395</v>
      </c>
      <c r="AH540" s="45">
        <f t="shared" ca="1" si="681"/>
        <v>0.72727236339422752</v>
      </c>
      <c r="AI540" s="77">
        <f t="shared" ca="1" si="682"/>
        <v>1.6079480171498663E-2</v>
      </c>
      <c r="AJ540" s="384">
        <f t="shared" ca="1" si="684"/>
        <v>4.5647399614440198E-2</v>
      </c>
      <c r="AU540" s="1"/>
    </row>
    <row r="541" spans="3:47" x14ac:dyDescent="0.25">
      <c r="C541" s="10">
        <f t="shared" si="620"/>
        <v>37</v>
      </c>
      <c r="D541" s="91">
        <f t="shared" si="692"/>
        <v>7</v>
      </c>
      <c r="E541" s="278"/>
      <c r="F541" s="76">
        <f t="shared" ref="F541:Q541" ca="1" si="701">F469</f>
        <v>21.89</v>
      </c>
      <c r="G541" s="46">
        <f t="shared" ca="1" si="701"/>
        <v>27.012600000000003</v>
      </c>
      <c r="H541" s="46">
        <f t="shared" ca="1" si="668"/>
        <v>28.517550000000004</v>
      </c>
      <c r="I541" s="45">
        <f t="shared" ca="1" si="669"/>
        <v>1.3816368002949853</v>
      </c>
      <c r="J541" s="45">
        <f t="shared" ca="1" si="670"/>
        <v>0.27952512346894071</v>
      </c>
      <c r="K541" s="45">
        <f t="shared" ca="1" si="686"/>
        <v>0.90345467800480783</v>
      </c>
      <c r="L541" s="358">
        <f t="shared" ca="1" si="671"/>
        <v>0.9336160920992449</v>
      </c>
      <c r="M541" s="76">
        <f t="shared" ca="1" si="701"/>
        <v>0.25347808785320641</v>
      </c>
      <c r="N541" s="45">
        <f t="shared" ca="1" si="701"/>
        <v>0.25</v>
      </c>
      <c r="O541" s="45">
        <f t="shared" ca="1" si="701"/>
        <v>0</v>
      </c>
      <c r="P541" s="46" t="str">
        <f t="shared" ca="1" si="701"/>
        <v/>
      </c>
      <c r="Q541" s="243" t="str">
        <f t="shared" ca="1" si="701"/>
        <v/>
      </c>
      <c r="R541" s="45">
        <f t="shared" ca="1" si="687"/>
        <v>0.22798653724480192</v>
      </c>
      <c r="S541" s="45">
        <f t="shared" ca="1" si="622"/>
        <v>5.0695617570641283E-2</v>
      </c>
      <c r="T541" s="77">
        <f t="shared" ca="1" si="672"/>
        <v>0.15589601521205412</v>
      </c>
      <c r="U541" s="45">
        <f t="shared" ca="1" si="688"/>
        <v>19.23965723687537</v>
      </c>
      <c r="V541" s="45">
        <f t="shared" ca="1" si="673"/>
        <v>0.20278247028256513</v>
      </c>
      <c r="W541" s="77">
        <f t="shared" ca="1" si="674"/>
        <v>0.65320929391336813</v>
      </c>
      <c r="X541" s="45">
        <f t="shared" ca="1" si="689"/>
        <v>1.0617872342665888</v>
      </c>
      <c r="Y541" s="45">
        <f t="shared" ca="1" si="675"/>
        <v>8.0560149841108056E-2</v>
      </c>
      <c r="Z541" s="77">
        <f t="shared" ca="1" si="676"/>
        <v>7.7695800399241052E-2</v>
      </c>
      <c r="AA541" s="45">
        <f t="shared" ca="1" si="690"/>
        <v>39.159917027085307</v>
      </c>
      <c r="AB541" s="45">
        <f t="shared" ca="1" si="677"/>
        <v>0</v>
      </c>
      <c r="AC541" s="45" cm="1">
        <f t="array" aca="1" ref="AC541" ca="1">pHUM*(T541+W541+Z541+AD541)</f>
        <v>9.4776646871891829E-2</v>
      </c>
      <c r="AD541" s="77">
        <f t="shared" ca="1" si="678"/>
        <v>9.0070893250743786E-2</v>
      </c>
      <c r="AE541" s="45">
        <f t="shared" ca="1" si="691"/>
        <v>6.3847072090583081</v>
      </c>
      <c r="AF541" s="45">
        <f t="shared" ca="1" si="679"/>
        <v>0</v>
      </c>
      <c r="AG541" s="76">
        <f t="shared" ca="1" si="680"/>
        <v>66.074055244530371</v>
      </c>
      <c r="AH541" s="45">
        <f t="shared" ca="1" si="681"/>
        <v>0.80153520606240725</v>
      </c>
      <c r="AI541" s="77">
        <f t="shared" ca="1" si="682"/>
        <v>1.3313012528636049E-2</v>
      </c>
      <c r="AJ541" s="384">
        <f t="shared" ca="1" si="684"/>
        <v>3.9635550958591059E-2</v>
      </c>
      <c r="AU541" s="1"/>
    </row>
    <row r="542" spans="3:47" x14ac:dyDescent="0.25">
      <c r="C542" s="10">
        <f t="shared" si="620"/>
        <v>37</v>
      </c>
      <c r="D542" s="91">
        <f t="shared" si="692"/>
        <v>8</v>
      </c>
      <c r="E542" s="278"/>
      <c r="F542" s="76">
        <f t="shared" ref="F542:Q542" ca="1" si="702">F470</f>
        <v>20.350000000000001</v>
      </c>
      <c r="G542" s="46">
        <f t="shared" ca="1" si="702"/>
        <v>27.012600000000003</v>
      </c>
      <c r="H542" s="46">
        <f t="shared" ca="1" si="668"/>
        <v>28.517550000000004</v>
      </c>
      <c r="I542" s="45">
        <f t="shared" ca="1" si="669"/>
        <v>1.2518642054104028</v>
      </c>
      <c r="J542" s="45">
        <f t="shared" ca="1" si="670"/>
        <v>0.27952512346894071</v>
      </c>
      <c r="K542" s="45">
        <f t="shared" ca="1" si="686"/>
        <v>0.90345467800480783</v>
      </c>
      <c r="L542" s="358">
        <f t="shared" ca="1" si="671"/>
        <v>0.91927514332007565</v>
      </c>
      <c r="M542" s="76">
        <f t="shared" ca="1" si="702"/>
        <v>0.25347808785320641</v>
      </c>
      <c r="N542" s="45">
        <f t="shared" ca="1" si="702"/>
        <v>0.25</v>
      </c>
      <c r="O542" s="45">
        <f t="shared" ca="1" si="702"/>
        <v>0</v>
      </c>
      <c r="P542" s="46" t="str">
        <f t="shared" ca="1" si="702"/>
        <v/>
      </c>
      <c r="Q542" s="243" t="str">
        <f t="shared" ca="1" si="702"/>
        <v/>
      </c>
      <c r="R542" s="45">
        <f t="shared" ca="1" si="687"/>
        <v>0.12278613960338911</v>
      </c>
      <c r="S542" s="45">
        <f t="shared" ca="1" si="622"/>
        <v>5.0695617570641283E-2</v>
      </c>
      <c r="T542" s="77">
        <f t="shared" ca="1" si="672"/>
        <v>7.9526332198068456E-2</v>
      </c>
      <c r="U542" s="45">
        <f t="shared" ca="1" si="688"/>
        <v>18.789230413244567</v>
      </c>
      <c r="V542" s="45">
        <f t="shared" ca="1" si="673"/>
        <v>0.20278247028256513</v>
      </c>
      <c r="W542" s="77">
        <f t="shared" ca="1" si="674"/>
        <v>0.57893255966587398</v>
      </c>
      <c r="X542" s="45">
        <f t="shared" ca="1" si="689"/>
        <v>1.064651583708456</v>
      </c>
      <c r="Y542" s="45">
        <f t="shared" ca="1" si="675"/>
        <v>6.6874977263219518E-2</v>
      </c>
      <c r="Z542" s="77">
        <f t="shared" ca="1" si="676"/>
        <v>7.0837309950154762E-2</v>
      </c>
      <c r="AA542" s="45">
        <f t="shared" ca="1" si="690"/>
        <v>39.164622780706452</v>
      </c>
      <c r="AB542" s="45">
        <f t="shared" ca="1" si="677"/>
        <v>0</v>
      </c>
      <c r="AC542" s="45" cm="1">
        <f t="array" aca="1" ref="AC542" ca="1">pHUM*(T542+W542+Z542+AD542)</f>
        <v>7.8676443839081775E-2</v>
      </c>
      <c r="AD542" s="77">
        <f t="shared" ca="1" si="678"/>
        <v>8.1629461848775925E-2</v>
      </c>
      <c r="AE542" s="45">
        <f t="shared" ca="1" si="691"/>
        <v>6.3847072090583081</v>
      </c>
      <c r="AF542" s="45">
        <f t="shared" ca="1" si="679"/>
        <v>0</v>
      </c>
      <c r="AG542" s="76">
        <f t="shared" ca="1" si="680"/>
        <v>65.52599812632117</v>
      </c>
      <c r="AH542" s="45">
        <f t="shared" ca="1" si="681"/>
        <v>0.66537424256057198</v>
      </c>
      <c r="AI542" s="77">
        <f t="shared" ca="1" si="682"/>
        <v>1.1766445083395336E-2</v>
      </c>
      <c r="AJ542" s="384">
        <f t="shared" ca="1" si="684"/>
        <v>3.4493171402227851E-2</v>
      </c>
      <c r="AU542" s="1"/>
    </row>
    <row r="543" spans="3:47" x14ac:dyDescent="0.25">
      <c r="C543" s="10">
        <f t="shared" si="620"/>
        <v>37</v>
      </c>
      <c r="D543" s="91">
        <f t="shared" si="692"/>
        <v>9</v>
      </c>
      <c r="E543" s="278"/>
      <c r="F543" s="76">
        <f t="shared" ref="F543:Q543" ca="1" si="703">F471</f>
        <v>17.38</v>
      </c>
      <c r="G543" s="46">
        <f t="shared" ca="1" si="703"/>
        <v>27.012600000000003</v>
      </c>
      <c r="H543" s="46">
        <f t="shared" ca="1" si="668"/>
        <v>28.517550000000004</v>
      </c>
      <c r="I543" s="45">
        <f t="shared" ca="1" si="669"/>
        <v>1.0082864185928893</v>
      </c>
      <c r="J543" s="45">
        <f t="shared" ca="1" si="670"/>
        <v>0.27952512346894071</v>
      </c>
      <c r="K543" s="45">
        <f t="shared" ca="1" si="686"/>
        <v>0.90345467800480783</v>
      </c>
      <c r="L543" s="358">
        <f t="shared" ca="1" si="671"/>
        <v>0.88177917719725518</v>
      </c>
      <c r="M543" s="76">
        <f t="shared" ca="1" si="703"/>
        <v>0.25347808785320641</v>
      </c>
      <c r="N543" s="45">
        <f t="shared" ca="1" si="703"/>
        <v>0.25</v>
      </c>
      <c r="O543" s="45">
        <f t="shared" ca="1" si="703"/>
        <v>0</v>
      </c>
      <c r="P543" s="46" t="str">
        <f t="shared" ca="1" si="703"/>
        <v/>
      </c>
      <c r="Q543" s="243" t="str">
        <f t="shared" ca="1" si="703"/>
        <v/>
      </c>
      <c r="R543" s="45">
        <f t="shared" ca="1" si="687"/>
        <v>9.3955424975961932E-2</v>
      </c>
      <c r="S543" s="45">
        <f t="shared" ca="1" si="622"/>
        <v>5.0695617570641283E-2</v>
      </c>
      <c r="T543" s="77">
        <f t="shared" ca="1" si="672"/>
        <v>5.340355944267039E-2</v>
      </c>
      <c r="U543" s="45">
        <f t="shared" ca="1" si="688"/>
        <v>18.413080323861259</v>
      </c>
      <c r="V543" s="45">
        <f t="shared" ca="1" si="673"/>
        <v>0.20278247028256513</v>
      </c>
      <c r="W543" s="77">
        <f t="shared" ca="1" si="674"/>
        <v>0.45834047057382871</v>
      </c>
      <c r="X543" s="45">
        <f t="shared" ca="1" si="689"/>
        <v>1.0606892510215209</v>
      </c>
      <c r="Y543" s="45">
        <f t="shared" ca="1" si="675"/>
        <v>5.2343672605886883E-2</v>
      </c>
      <c r="Z543" s="77">
        <f t="shared" ca="1" si="676"/>
        <v>5.7220066681141088E-2</v>
      </c>
      <c r="AA543" s="45">
        <f t="shared" ca="1" si="690"/>
        <v>39.161669762696754</v>
      </c>
      <c r="AB543" s="45">
        <f t="shared" ca="1" si="677"/>
        <v>0</v>
      </c>
      <c r="AC543" s="45" cm="1">
        <f t="array" aca="1" ref="AC543" ca="1">pHUM*(T543+W543+Z543+AD543)</f>
        <v>6.1580791301043394E-2</v>
      </c>
      <c r="AD543" s="77">
        <f t="shared" ca="1" si="678"/>
        <v>6.575503418760148E-2</v>
      </c>
      <c r="AE543" s="45">
        <f t="shared" ca="1" si="691"/>
        <v>6.3847072090583081</v>
      </c>
      <c r="AF543" s="45">
        <f t="shared" ca="1" si="679"/>
        <v>0</v>
      </c>
      <c r="AG543" s="76">
        <f t="shared" ca="1" si="680"/>
        <v>65.114101971613806</v>
      </c>
      <c r="AH543" s="45">
        <f t="shared" ca="1" si="681"/>
        <v>0.52079466697831134</v>
      </c>
      <c r="AI543" s="77">
        <f t="shared" ca="1" si="682"/>
        <v>1.1275964219699416E-2</v>
      </c>
      <c r="AJ543" s="384">
        <f t="shared" ca="1" si="684"/>
        <v>3.1707135363078232E-2</v>
      </c>
      <c r="AU543" s="1"/>
    </row>
    <row r="544" spans="3:47" x14ac:dyDescent="0.25">
      <c r="C544" s="10">
        <f t="shared" si="620"/>
        <v>37</v>
      </c>
      <c r="D544" s="91">
        <f t="shared" si="692"/>
        <v>10</v>
      </c>
      <c r="E544" s="278"/>
      <c r="F544" s="76">
        <f t="shared" ref="F544:Q544" ca="1" si="704">F472</f>
        <v>9.61</v>
      </c>
      <c r="G544" s="46">
        <f t="shared" ca="1" si="704"/>
        <v>27.012600000000003</v>
      </c>
      <c r="H544" s="46">
        <f t="shared" ca="1" si="668"/>
        <v>28.517550000000004</v>
      </c>
      <c r="I544" s="45">
        <f t="shared" ca="1" si="669"/>
        <v>0.45243046736638293</v>
      </c>
      <c r="J544" s="45">
        <f t="shared" ca="1" si="670"/>
        <v>0.27952512346894071</v>
      </c>
      <c r="K544" s="45">
        <f t="shared" ca="1" si="686"/>
        <v>0.90345467800480783</v>
      </c>
      <c r="L544" s="358">
        <f t="shared" ca="1" si="671"/>
        <v>0.70354868513849667</v>
      </c>
      <c r="M544" s="76">
        <f t="shared" ca="1" si="704"/>
        <v>0.25347808785320641</v>
      </c>
      <c r="N544" s="45">
        <f t="shared" ca="1" si="704"/>
        <v>0.25</v>
      </c>
      <c r="O544" s="45">
        <f t="shared" ca="1" si="704"/>
        <v>0</v>
      </c>
      <c r="P544" s="46" t="str">
        <f t="shared" ca="1" si="704"/>
        <v/>
      </c>
      <c r="Q544" s="243" t="str">
        <f t="shared" ca="1" si="704"/>
        <v/>
      </c>
      <c r="R544" s="45">
        <f t="shared" ca="1" si="687"/>
        <v>9.1247483103932825E-2</v>
      </c>
      <c r="S544" s="45">
        <f t="shared" ca="1" si="622"/>
        <v>5.0695617570641283E-2</v>
      </c>
      <c r="T544" s="77">
        <f t="shared" ca="1" si="672"/>
        <v>2.8660956799418685E-2</v>
      </c>
      <c r="U544" s="45">
        <f t="shared" ca="1" si="688"/>
        <v>18.157522323569992</v>
      </c>
      <c r="V544" s="45">
        <f t="shared" ca="1" si="673"/>
        <v>0.20278247028256513</v>
      </c>
      <c r="W544" s="77">
        <f t="shared" ca="1" si="674"/>
        <v>0.20421829833543079</v>
      </c>
      <c r="X544" s="45">
        <f t="shared" ca="1" si="689"/>
        <v>1.0558128569462666</v>
      </c>
      <c r="Y544" s="45">
        <f t="shared" ca="1" si="675"/>
        <v>2.3778929331443131E-2</v>
      </c>
      <c r="Z544" s="77">
        <f t="shared" ca="1" si="676"/>
        <v>2.5948321021143549E-2</v>
      </c>
      <c r="AA544" s="45">
        <f t="shared" ca="1" si="690"/>
        <v>39.15749551981019</v>
      </c>
      <c r="AB544" s="45">
        <f t="shared" ca="1" si="677"/>
        <v>0</v>
      </c>
      <c r="AC544" s="45" cm="1">
        <f t="array" aca="1" ref="AC544" ca="1">pHUM*(T544+W544+Z544+AD544)</f>
        <v>2.797521097816839E-2</v>
      </c>
      <c r="AD544" s="77">
        <f t="shared" ca="1" si="678"/>
        <v>2.9515610465148275E-2</v>
      </c>
      <c r="AE544" s="45">
        <f t="shared" ca="1" si="691"/>
        <v>6.3847072090583081</v>
      </c>
      <c r="AF544" s="45">
        <f t="shared" ca="1" si="679"/>
        <v>0</v>
      </c>
      <c r="AG544" s="76">
        <f t="shared" ca="1" si="680"/>
        <v>64.846785392488684</v>
      </c>
      <c r="AH544" s="45">
        <f t="shared" ca="1" si="681"/>
        <v>0.23658904631152977</v>
      </c>
      <c r="AI544" s="77">
        <f t="shared" ca="1" si="682"/>
        <v>1.1174933346669037E-2</v>
      </c>
      <c r="AJ544" s="384">
        <f t="shared" ca="1" si="684"/>
        <v>2.5071787285938507E-2</v>
      </c>
      <c r="AU544" s="1"/>
    </row>
    <row r="545" spans="3:47" x14ac:dyDescent="0.25">
      <c r="C545" s="10">
        <f t="shared" si="620"/>
        <v>37</v>
      </c>
      <c r="D545" s="91">
        <f t="shared" si="692"/>
        <v>11</v>
      </c>
      <c r="E545" s="278"/>
      <c r="F545" s="76">
        <f t="shared" ref="F545:Q545" ca="1" si="705">F473</f>
        <v>5.71</v>
      </c>
      <c r="G545" s="46">
        <f t="shared" ca="1" si="705"/>
        <v>27.012600000000003</v>
      </c>
      <c r="H545" s="46">
        <f t="shared" ca="1" si="668"/>
        <v>28.517550000000004</v>
      </c>
      <c r="I545" s="45">
        <f t="shared" ca="1" si="669"/>
        <v>0.24617612464957264</v>
      </c>
      <c r="J545" s="45">
        <f t="shared" ca="1" si="670"/>
        <v>0.27952512346894071</v>
      </c>
      <c r="K545" s="45">
        <f t="shared" ca="1" si="686"/>
        <v>0.90345467800480783</v>
      </c>
      <c r="L545" s="358">
        <f t="shared" ca="1" si="671"/>
        <v>0.57043958344737544</v>
      </c>
      <c r="M545" s="76">
        <f t="shared" ca="1" si="705"/>
        <v>0.25347808785320641</v>
      </c>
      <c r="N545" s="45">
        <f t="shared" ca="1" si="705"/>
        <v>0.25</v>
      </c>
      <c r="O545" s="45">
        <f t="shared" ca="1" si="705"/>
        <v>0</v>
      </c>
      <c r="P545" s="46" t="str">
        <f t="shared" ca="1" si="705"/>
        <v/>
      </c>
      <c r="Q545" s="243" t="str">
        <f t="shared" ca="1" si="705"/>
        <v/>
      </c>
      <c r="R545" s="45">
        <f t="shared" ca="1" si="687"/>
        <v>0.11328214387515542</v>
      </c>
      <c r="S545" s="45">
        <f t="shared" ca="1" si="622"/>
        <v>5.0695617570641283E-2</v>
      </c>
      <c r="T545" s="77">
        <f t="shared" ca="1" si="672"/>
        <v>2.1010693094592452E-2</v>
      </c>
      <c r="U545" s="45">
        <f t="shared" ca="1" si="688"/>
        <v>18.156086495517126</v>
      </c>
      <c r="V545" s="45">
        <f t="shared" ca="1" si="673"/>
        <v>0.20278247028256513</v>
      </c>
      <c r="W545" s="77">
        <f t="shared" ca="1" si="674"/>
        <v>0.11139673349355267</v>
      </c>
      <c r="X545" s="45">
        <f t="shared" ca="1" si="689"/>
        <v>1.0536434652565663</v>
      </c>
      <c r="Y545" s="45">
        <f t="shared" ca="1" si="675"/>
        <v>1.3412459791432718E-2</v>
      </c>
      <c r="Z545" s="77">
        <f t="shared" ca="1" si="676"/>
        <v>1.4169858383280512E-2</v>
      </c>
      <c r="AA545" s="45">
        <f t="shared" ca="1" si="690"/>
        <v>39.155955120323213</v>
      </c>
      <c r="AB545" s="45">
        <f t="shared" ca="1" si="677"/>
        <v>0</v>
      </c>
      <c r="AC545" s="45" cm="1">
        <f t="array" aca="1" ref="AC545" ca="1">pHUM*(T545+W545+Z545+AD545)</f>
        <v>1.5779364460509079E-2</v>
      </c>
      <c r="AD545" s="77">
        <f t="shared" ca="1" si="678"/>
        <v>1.6062140159282191E-2</v>
      </c>
      <c r="AE545" s="45">
        <f t="shared" ca="1" si="691"/>
        <v>6.3847072090583081</v>
      </c>
      <c r="AF545" s="45">
        <f t="shared" ca="1" si="679"/>
        <v>0</v>
      </c>
      <c r="AG545" s="76">
        <f t="shared" ca="1" si="680"/>
        <v>64.863674434030372</v>
      </c>
      <c r="AH545" s="45">
        <f t="shared" ca="1" si="681"/>
        <v>0.13344760087876606</v>
      </c>
      <c r="AI545" s="77">
        <f t="shared" ca="1" si="682"/>
        <v>1.1483004858086024E-2</v>
      </c>
      <c r="AJ545" s="384">
        <f t="shared" ca="1" si="684"/>
        <v>2.0888781823484859E-2</v>
      </c>
      <c r="AU545" s="1"/>
    </row>
    <row r="546" spans="3:47" x14ac:dyDescent="0.25">
      <c r="C546" s="10">
        <f t="shared" si="620"/>
        <v>37</v>
      </c>
      <c r="D546" s="91">
        <f t="shared" si="692"/>
        <v>12</v>
      </c>
      <c r="E546" s="278"/>
      <c r="F546" s="76">
        <f t="shared" ref="F546:Q546" ca="1" si="706">F474</f>
        <v>-0.46</v>
      </c>
      <c r="G546" s="46">
        <f t="shared" ca="1" si="706"/>
        <v>27.012600000000003</v>
      </c>
      <c r="H546" s="46">
        <f t="shared" ca="1" si="668"/>
        <v>28.517550000000004</v>
      </c>
      <c r="I546" s="45">
        <f t="shared" ca="1" si="669"/>
        <v>5.3686278337302371E-2</v>
      </c>
      <c r="J546" s="45">
        <f t="shared" ca="1" si="670"/>
        <v>0.27952512346894071</v>
      </c>
      <c r="K546" s="45">
        <f t="shared" ca="1" si="686"/>
        <v>0.90345467800480783</v>
      </c>
      <c r="L546" s="358">
        <f t="shared" ca="1" si="671"/>
        <v>0.34604490353891793</v>
      </c>
      <c r="M546" s="76">
        <f t="shared" ca="1" si="706"/>
        <v>0.25347808785320641</v>
      </c>
      <c r="N546" s="45">
        <f t="shared" ca="1" si="706"/>
        <v>0.25</v>
      </c>
      <c r="O546" s="45">
        <f t="shared" ca="1" si="706"/>
        <v>0</v>
      </c>
      <c r="P546" s="46" t="str">
        <f t="shared" ca="1" si="706"/>
        <v/>
      </c>
      <c r="Q546" s="243" t="str">
        <f t="shared" ca="1" si="706"/>
        <v/>
      </c>
      <c r="R546" s="45">
        <f t="shared" ca="1" si="687"/>
        <v>0.14296706835120426</v>
      </c>
      <c r="S546" s="45">
        <f t="shared" ca="1" si="622"/>
        <v>5.0695617570641283E-2</v>
      </c>
      <c r="T546" s="77">
        <f t="shared" ca="1" si="672"/>
        <v>6.255174458432983E-3</v>
      </c>
      <c r="U546" s="45">
        <f t="shared" ca="1" si="688"/>
        <v>18.247472232306137</v>
      </c>
      <c r="V546" s="45">
        <f t="shared" ca="1" si="673"/>
        <v>0.20278247028256513</v>
      </c>
      <c r="W546" s="77">
        <f t="shared" ca="1" si="674"/>
        <v>2.4474543816744222E-2</v>
      </c>
      <c r="X546" s="45">
        <f t="shared" ca="1" si="689"/>
        <v>1.0528860666647184</v>
      </c>
      <c r="Y546" s="45">
        <f t="shared" ca="1" si="675"/>
        <v>3.0791218911630021E-3</v>
      </c>
      <c r="Z546" s="77">
        <f t="shared" ca="1" si="676"/>
        <v>3.1043190066222782E-3</v>
      </c>
      <c r="AA546" s="45">
        <f t="shared" ca="1" si="690"/>
        <v>39.155672344624435</v>
      </c>
      <c r="AB546" s="45">
        <f t="shared" ca="1" si="677"/>
        <v>0</v>
      </c>
      <c r="AC546" s="45" cm="1">
        <f t="array" aca="1" ref="AC546" ca="1">pHUM*(T546+W546+Z546+AD546)</f>
        <v>3.6224963425447085E-3</v>
      </c>
      <c r="AD546" s="77">
        <f t="shared" ca="1" si="678"/>
        <v>3.5033804680758081E-3</v>
      </c>
      <c r="AE546" s="45">
        <f t="shared" ca="1" si="691"/>
        <v>6.3847072090583081</v>
      </c>
      <c r="AF546" s="45">
        <f t="shared" ca="1" si="679"/>
        <v>0</v>
      </c>
      <c r="AG546" s="76">
        <f t="shared" ca="1" si="680"/>
        <v>64.983704921004801</v>
      </c>
      <c r="AH546" s="45">
        <f t="shared" ca="1" si="681"/>
        <v>3.0635799516167583E-2</v>
      </c>
      <c r="AI546" s="77">
        <f t="shared" ca="1" si="682"/>
        <v>1.1919900412657105E-2</v>
      </c>
      <c r="AJ546" s="384">
        <f t="shared" ca="1" si="684"/>
        <v>1.3153949336761617E-2</v>
      </c>
      <c r="AU546" s="1"/>
    </row>
    <row r="547" spans="3:47" x14ac:dyDescent="0.25">
      <c r="C547" s="10">
        <f t="shared" si="620"/>
        <v>38</v>
      </c>
      <c r="D547" s="91">
        <f t="shared" si="692"/>
        <v>1</v>
      </c>
      <c r="E547" s="278"/>
      <c r="F547" s="76">
        <f t="shared" ref="F547:Q547" ca="1" si="707">F475</f>
        <v>-3.44</v>
      </c>
      <c r="G547" s="46">
        <f t="shared" ca="1" si="707"/>
        <v>27.012600000000003</v>
      </c>
      <c r="H547" s="46">
        <f t="shared" ca="1" si="668"/>
        <v>28.517550000000004</v>
      </c>
      <c r="I547" s="45">
        <f t="shared" ca="1" si="669"/>
        <v>1.6253779081695344E-2</v>
      </c>
      <c r="J547" s="45">
        <f t="shared" ca="1" si="670"/>
        <v>0.27952512346894071</v>
      </c>
      <c r="K547" s="45">
        <f t="shared" ca="1" si="686"/>
        <v>0.90345467800480783</v>
      </c>
      <c r="L547" s="358">
        <f t="shared" ca="1" si="671"/>
        <v>0.25329647647379749</v>
      </c>
      <c r="M547" s="76">
        <f t="shared" ca="1" si="707"/>
        <v>0.25347808785320641</v>
      </c>
      <c r="N547" s="45">
        <f t="shared" ca="1" si="707"/>
        <v>0.25</v>
      </c>
      <c r="O547" s="45">
        <f t="shared" ca="1" si="707"/>
        <v>0</v>
      </c>
      <c r="P547" s="46" t="str">
        <f t="shared" ca="1" si="707"/>
        <v/>
      </c>
      <c r="Q547" s="243" t="str">
        <f t="shared" ca="1" si="707"/>
        <v/>
      </c>
      <c r="R547" s="45">
        <f t="shared" ca="1" si="687"/>
        <v>0.18740751146341256</v>
      </c>
      <c r="S547" s="45">
        <f t="shared" ca="1" si="622"/>
        <v>5.0695617570641283E-2</v>
      </c>
      <c r="T547" s="77">
        <f t="shared" ca="1" si="672"/>
        <v>2.5212865139021302E-3</v>
      </c>
      <c r="U547" s="45">
        <f t="shared" ca="1" si="688"/>
        <v>18.425780158771957</v>
      </c>
      <c r="V547" s="45">
        <f t="shared" ca="1" si="673"/>
        <v>0.20278247028256513</v>
      </c>
      <c r="W547" s="77">
        <f t="shared" ca="1" si="674"/>
        <v>7.4856930147072457E-3</v>
      </c>
      <c r="X547" s="45">
        <f t="shared" ca="1" si="689"/>
        <v>1.0528608695492592</v>
      </c>
      <c r="Y547" s="45">
        <f t="shared" ca="1" si="675"/>
        <v>9.9030829595028215E-4</v>
      </c>
      <c r="Z547" s="77">
        <f t="shared" ca="1" si="676"/>
        <v>9.4079266161180178E-4</v>
      </c>
      <c r="AA547" s="45">
        <f t="shared" ca="1" si="690"/>
        <v>39.155791460498904</v>
      </c>
      <c r="AB547" s="45">
        <f t="shared" ca="1" si="677"/>
        <v>0</v>
      </c>
      <c r="AC547" s="45" cm="1">
        <f t="array" aca="1" ref="AC547" ca="1">pHUM*(T547+W547+Z547+AD547)</f>
        <v>1.16506858347092E-3</v>
      </c>
      <c r="AD547" s="77">
        <f t="shared" ca="1" si="678"/>
        <v>1.0607016065394095E-3</v>
      </c>
      <c r="AE547" s="45">
        <f t="shared" ca="1" si="691"/>
        <v>6.3847072090583081</v>
      </c>
      <c r="AF547" s="45">
        <f t="shared" ca="1" si="679"/>
        <v>0</v>
      </c>
      <c r="AG547" s="76">
        <f t="shared" ca="1" si="680"/>
        <v>65.206547209341835</v>
      </c>
      <c r="AH547" s="45">
        <f t="shared" ca="1" si="681"/>
        <v>9.8530969173393854E-3</v>
      </c>
      <c r="AI547" s="77">
        <f t="shared" ca="1" si="682"/>
        <v>1.2580096617933351E-2</v>
      </c>
      <c r="AJ547" s="384">
        <f t="shared" ca="1" si="684"/>
        <v>1.016167805710233E-2</v>
      </c>
      <c r="AU547" s="1"/>
    </row>
    <row r="548" spans="3:47" x14ac:dyDescent="0.25">
      <c r="C548" s="10">
        <f t="shared" si="620"/>
        <v>38</v>
      </c>
      <c r="D548" s="91">
        <f t="shared" si="692"/>
        <v>2</v>
      </c>
      <c r="E548" s="278"/>
      <c r="F548" s="76">
        <f t="shared" ref="F548:Q548" ca="1" si="708">F476</f>
        <v>-1.65</v>
      </c>
      <c r="G548" s="46">
        <f t="shared" ca="1" si="708"/>
        <v>27.012600000000003</v>
      </c>
      <c r="H548" s="46">
        <f t="shared" ca="1" si="668"/>
        <v>28.517550000000004</v>
      </c>
      <c r="I548" s="45">
        <f t="shared" ca="1" si="669"/>
        <v>3.508132091145684E-2</v>
      </c>
      <c r="J548" s="45">
        <f t="shared" ca="1" si="670"/>
        <v>0.27952512346894071</v>
      </c>
      <c r="K548" s="45">
        <f t="shared" ca="1" si="686"/>
        <v>0.90345467800480783</v>
      </c>
      <c r="L548" s="358">
        <f t="shared" ca="1" si="671"/>
        <v>0.30703519550320224</v>
      </c>
      <c r="M548" s="76">
        <f t="shared" ca="1" si="708"/>
        <v>0.25347808785320641</v>
      </c>
      <c r="N548" s="45">
        <f t="shared" ca="1" si="708"/>
        <v>0.25</v>
      </c>
      <c r="O548" s="45">
        <f t="shared" ca="1" si="708"/>
        <v>0</v>
      </c>
      <c r="P548" s="46" t="str">
        <f t="shared" ca="1" si="708"/>
        <v/>
      </c>
      <c r="Q548" s="243" t="str">
        <f t="shared" ca="1" si="708"/>
        <v/>
      </c>
      <c r="R548" s="45">
        <f t="shared" ca="1" si="687"/>
        <v>0.23558184252015171</v>
      </c>
      <c r="S548" s="45">
        <f t="shared" ca="1" si="622"/>
        <v>5.0695617570641283E-2</v>
      </c>
      <c r="T548" s="77">
        <f t="shared" ca="1" si="672"/>
        <v>6.7874054706907241E-3</v>
      </c>
      <c r="U548" s="45">
        <f t="shared" ca="1" si="688"/>
        <v>18.621076936039813</v>
      </c>
      <c r="V548" s="45">
        <f t="shared" ca="1" si="673"/>
        <v>0.20278247028256513</v>
      </c>
      <c r="W548" s="77">
        <f t="shared" ca="1" si="674"/>
        <v>1.632413994149538E-2</v>
      </c>
      <c r="X548" s="45">
        <f t="shared" ca="1" si="689"/>
        <v>1.0529103851835977</v>
      </c>
      <c r="Y548" s="45">
        <f t="shared" ca="1" si="675"/>
        <v>2.2621221369907127E-3</v>
      </c>
      <c r="Z548" s="77">
        <f t="shared" ca="1" si="676"/>
        <v>2.0296031297235557E-3</v>
      </c>
      <c r="AA548" s="45">
        <f t="shared" ca="1" si="690"/>
        <v>39.155895827475831</v>
      </c>
      <c r="AB548" s="45">
        <f t="shared" ca="1" si="677"/>
        <v>0</v>
      </c>
      <c r="AC548" s="45" cm="1">
        <f t="array" aca="1" ref="AC548" ca="1">pHUM*(T548+W548+Z548+AD548)</f>
        <v>2.6613201611655445E-3</v>
      </c>
      <c r="AD548" s="77">
        <f t="shared" ca="1" si="678"/>
        <v>2.2893339837954719E-3</v>
      </c>
      <c r="AE548" s="45">
        <f t="shared" ca="1" si="691"/>
        <v>6.3847072090583081</v>
      </c>
      <c r="AF548" s="45">
        <f t="shared" ca="1" si="679"/>
        <v>0</v>
      </c>
      <c r="AG548" s="76">
        <f t="shared" ca="1" si="680"/>
        <v>65.450172200277706</v>
      </c>
      <c r="AH548" s="45">
        <f t="shared" ca="1" si="681"/>
        <v>2.2507040227548875E-2</v>
      </c>
      <c r="AI548" s="77">
        <f t="shared" ca="1" si="682"/>
        <v>1.3290592449954395E-2</v>
      </c>
      <c r="AJ548" s="384">
        <f t="shared" ca="1" si="684"/>
        <v>1.301318609277291E-2</v>
      </c>
      <c r="AU548" s="1"/>
    </row>
    <row r="549" spans="3:47" x14ac:dyDescent="0.25">
      <c r="C549" s="10">
        <f t="shared" ref="C549:C612" si="709">IF(D549=1,C548+1,C548)</f>
        <v>38</v>
      </c>
      <c r="D549" s="91">
        <f t="shared" si="692"/>
        <v>3</v>
      </c>
      <c r="E549" s="278"/>
      <c r="F549" s="76">
        <f t="shared" ref="F549:Q549" ca="1" si="710">F477</f>
        <v>4.68</v>
      </c>
      <c r="G549" s="46">
        <f t="shared" ca="1" si="710"/>
        <v>27.012600000000003</v>
      </c>
      <c r="H549" s="46">
        <f t="shared" ca="1" si="668"/>
        <v>28.517550000000004</v>
      </c>
      <c r="I549" s="45">
        <f t="shared" ca="1" si="669"/>
        <v>0.20228669449817699</v>
      </c>
      <c r="J549" s="45">
        <f t="shared" ca="1" si="670"/>
        <v>0.27952512346894071</v>
      </c>
      <c r="K549" s="45">
        <f t="shared" ca="1" si="686"/>
        <v>0.90345467800480783</v>
      </c>
      <c r="L549" s="358">
        <f t="shared" ca="1" si="671"/>
        <v>0.53248567772813127</v>
      </c>
      <c r="M549" s="76">
        <f t="shared" ca="1" si="710"/>
        <v>0.25347808785320641</v>
      </c>
      <c r="N549" s="45">
        <f t="shared" ca="1" si="710"/>
        <v>0.25</v>
      </c>
      <c r="O549" s="45">
        <f t="shared" ca="1" si="710"/>
        <v>0</v>
      </c>
      <c r="P549" s="46" t="str">
        <f t="shared" ca="1" si="710"/>
        <v/>
      </c>
      <c r="Q549" s="243" t="str">
        <f t="shared" ca="1" si="710"/>
        <v/>
      </c>
      <c r="R549" s="45">
        <f t="shared" ca="1" si="687"/>
        <v>0.27949005462010229</v>
      </c>
      <c r="S549" s="45">
        <f t="shared" ref="S549:S612" ca="1" si="711">M549*N549/(1+N549) +   IF(O549&gt;0,O549*P549*(1-Q549)/(1+P549),0)</f>
        <v>5.0695617570641283E-2</v>
      </c>
      <c r="T549" s="77">
        <f t="shared" ca="1" si="672"/>
        <v>4.3357229787122406E-2</v>
      </c>
      <c r="U549" s="45">
        <f t="shared" ca="1" si="688"/>
        <v>18.807535266380881</v>
      </c>
      <c r="V549" s="45">
        <f t="shared" ca="1" si="673"/>
        <v>0.20278247028256513</v>
      </c>
      <c r="W549" s="77">
        <f t="shared" ca="1" si="674"/>
        <v>9.487275761363928E-2</v>
      </c>
      <c r="X549" s="45">
        <f t="shared" ca="1" si="689"/>
        <v>1.0531429041908649</v>
      </c>
      <c r="Y549" s="45">
        <f t="shared" ca="1" si="675"/>
        <v>1.3448889094574369E-2</v>
      </c>
      <c r="Z549" s="77">
        <f t="shared" ca="1" si="676"/>
        <v>1.1652084441863306E-2</v>
      </c>
      <c r="AA549" s="45">
        <f t="shared" ca="1" si="690"/>
        <v>39.156267813653201</v>
      </c>
      <c r="AB549" s="45">
        <f t="shared" ca="1" si="677"/>
        <v>0</v>
      </c>
      <c r="AC549" s="45" cm="1">
        <f t="array" aca="1" ref="AC549" ca="1">pHUM*(T549+W549+Z549+AD549)</f>
        <v>1.5822222464205143E-2</v>
      </c>
      <c r="AD549" s="77">
        <f t="shared" ca="1" si="678"/>
        <v>1.3199094848766232E-2</v>
      </c>
      <c r="AE549" s="45">
        <f t="shared" ca="1" si="691"/>
        <v>6.3847072090583081</v>
      </c>
      <c r="AF549" s="45">
        <f t="shared" ca="1" si="679"/>
        <v>0</v>
      </c>
      <c r="AG549" s="76">
        <f t="shared" ca="1" si="680"/>
        <v>65.68114324790335</v>
      </c>
      <c r="AH549" s="45">
        <f t="shared" ca="1" si="681"/>
        <v>0.13381005513261171</v>
      </c>
      <c r="AI549" s="77">
        <f t="shared" ca="1" si="682"/>
        <v>1.3934734054756648E-2</v>
      </c>
      <c r="AJ549" s="384">
        <f t="shared" ca="1" si="684"/>
        <v>2.3662105727615401E-2</v>
      </c>
      <c r="AU549" s="1"/>
    </row>
    <row r="550" spans="3:47" x14ac:dyDescent="0.25">
      <c r="C550" s="10">
        <f t="shared" si="709"/>
        <v>38</v>
      </c>
      <c r="D550" s="91">
        <f t="shared" si="692"/>
        <v>4</v>
      </c>
      <c r="E550" s="278"/>
      <c r="F550" s="76">
        <f t="shared" ref="F550:Q550" ca="1" si="712">F478</f>
        <v>7.69</v>
      </c>
      <c r="G550" s="46">
        <f t="shared" ca="1" si="712"/>
        <v>27.012600000000003</v>
      </c>
      <c r="H550" s="46">
        <f t="shared" ca="1" si="668"/>
        <v>28.517550000000004</v>
      </c>
      <c r="I550" s="45">
        <f t="shared" ca="1" si="669"/>
        <v>0.3433111911106958</v>
      </c>
      <c r="J550" s="45">
        <f t="shared" ca="1" si="670"/>
        <v>0.27952512346894071</v>
      </c>
      <c r="K550" s="45">
        <f t="shared" ca="1" si="686"/>
        <v>0.90345467800480783</v>
      </c>
      <c r="L550" s="358">
        <f t="shared" ca="1" si="671"/>
        <v>0.64074183470648283</v>
      </c>
      <c r="M550" s="76">
        <f t="shared" ca="1" si="712"/>
        <v>0.25347808785320641</v>
      </c>
      <c r="N550" s="45">
        <f t="shared" ca="1" si="712"/>
        <v>0.25</v>
      </c>
      <c r="O550" s="45">
        <f t="shared" ca="1" si="712"/>
        <v>0</v>
      </c>
      <c r="P550" s="46" t="str">
        <f t="shared" ca="1" si="712"/>
        <v/>
      </c>
      <c r="Q550" s="243" t="str">
        <f t="shared" ca="1" si="712"/>
        <v/>
      </c>
      <c r="R550" s="45">
        <f t="shared" ca="1" si="687"/>
        <v>0.28682844240362115</v>
      </c>
      <c r="S550" s="45">
        <f t="shared" ca="1" si="711"/>
        <v>5.0695617570641283E-2</v>
      </c>
      <c r="T550" s="77">
        <f t="shared" ca="1" si="672"/>
        <v>7.1364922050609986E-2</v>
      </c>
      <c r="U550" s="45">
        <f t="shared" ca="1" si="688"/>
        <v>18.915444979049806</v>
      </c>
      <c r="V550" s="45">
        <f t="shared" ca="1" si="673"/>
        <v>0.20278247028256513</v>
      </c>
      <c r="W550" s="77">
        <f t="shared" ca="1" si="674"/>
        <v>0.16165239287894473</v>
      </c>
      <c r="X550" s="45">
        <f t="shared" ca="1" si="689"/>
        <v>1.0549397088435759</v>
      </c>
      <c r="Y550" s="45">
        <f t="shared" ca="1" si="675"/>
        <v>2.2690892648197417E-2</v>
      </c>
      <c r="Z550" s="77">
        <f t="shared" ca="1" si="676"/>
        <v>1.9732610448838461E-2</v>
      </c>
      <c r="AA550" s="45">
        <f t="shared" ca="1" si="690"/>
        <v>39.158890941268638</v>
      </c>
      <c r="AB550" s="45">
        <f t="shared" ca="1" si="677"/>
        <v>0</v>
      </c>
      <c r="AC550" s="45" cm="1">
        <f t="array" aca="1" ref="AC550" ca="1">pHUM*(T550+W550+Z550+AD550)</f>
        <v>2.6695167821408725E-2</v>
      </c>
      <c r="AD550" s="77">
        <f t="shared" ca="1" si="678"/>
        <v>2.2399733475586558E-2</v>
      </c>
      <c r="AE550" s="45">
        <f t="shared" ca="1" si="691"/>
        <v>6.3847072090583081</v>
      </c>
      <c r="AF550" s="45">
        <f t="shared" ca="1" si="679"/>
        <v>0</v>
      </c>
      <c r="AG550" s="76">
        <f t="shared" ca="1" si="680"/>
        <v>65.800811280623947</v>
      </c>
      <c r="AH550" s="45">
        <f t="shared" ca="1" si="681"/>
        <v>0.22576359838437363</v>
      </c>
      <c r="AI550" s="77">
        <f t="shared" ca="1" si="682"/>
        <v>1.4056733300707971E-2</v>
      </c>
      <c r="AJ550" s="384">
        <f t="shared" ca="1" si="684"/>
        <v>2.8721835285583364E-2</v>
      </c>
      <c r="AU550" s="1"/>
    </row>
    <row r="551" spans="3:47" x14ac:dyDescent="0.25">
      <c r="C551" s="10">
        <f t="shared" si="709"/>
        <v>38</v>
      </c>
      <c r="D551" s="91">
        <f t="shared" si="692"/>
        <v>5</v>
      </c>
      <c r="E551" s="278"/>
      <c r="F551" s="76">
        <f t="shared" ref="F551:Q551" ca="1" si="713">F479</f>
        <v>15.52</v>
      </c>
      <c r="G551" s="46">
        <f t="shared" ca="1" si="713"/>
        <v>27.012600000000003</v>
      </c>
      <c r="H551" s="46">
        <f t="shared" ca="1" si="668"/>
        <v>28.517550000000004</v>
      </c>
      <c r="I551" s="45">
        <f t="shared" ca="1" si="669"/>
        <v>0.86230369296737164</v>
      </c>
      <c r="J551" s="45">
        <f t="shared" ca="1" si="670"/>
        <v>0.27952512346894071</v>
      </c>
      <c r="K551" s="45">
        <f t="shared" ca="1" si="686"/>
        <v>0.90345467800480783</v>
      </c>
      <c r="L551" s="358">
        <f t="shared" ca="1" si="671"/>
        <v>0.85046529796407655</v>
      </c>
      <c r="M551" s="76">
        <f t="shared" ca="1" si="713"/>
        <v>0.25347808785320641</v>
      </c>
      <c r="N551" s="45">
        <f t="shared" ca="1" si="713"/>
        <v>0.25</v>
      </c>
      <c r="O551" s="45">
        <f t="shared" ca="1" si="713"/>
        <v>0</v>
      </c>
      <c r="P551" s="46" t="str">
        <f t="shared" ca="1" si="713"/>
        <v/>
      </c>
      <c r="Q551" s="243" t="str">
        <f t="shared" ca="1" si="713"/>
        <v/>
      </c>
      <c r="R551" s="45">
        <f t="shared" ca="1" si="687"/>
        <v>0.26615913792365242</v>
      </c>
      <c r="S551" s="45">
        <f t="shared" ca="1" si="711"/>
        <v>5.0695617570641283E-2</v>
      </c>
      <c r="T551" s="77">
        <f t="shared" ca="1" si="672"/>
        <v>0.13642231208113587</v>
      </c>
      <c r="U551" s="45">
        <f t="shared" ca="1" si="688"/>
        <v>18.956575056453424</v>
      </c>
      <c r="V551" s="45">
        <f t="shared" ca="1" si="673"/>
        <v>0.20278247028256513</v>
      </c>
      <c r="W551" s="77">
        <f t="shared" ca="1" si="674"/>
        <v>0.40428475713177842</v>
      </c>
      <c r="X551" s="45">
        <f t="shared" ca="1" si="689"/>
        <v>1.0578979910429349</v>
      </c>
      <c r="Y551" s="45">
        <f t="shared" ca="1" si="675"/>
        <v>5.3270047747631173E-2</v>
      </c>
      <c r="Z551" s="77">
        <f t="shared" ca="1" si="676"/>
        <v>4.9001441012260498E-2</v>
      </c>
      <c r="AA551" s="45">
        <f t="shared" ca="1" si="690"/>
        <v>39.163186375614458</v>
      </c>
      <c r="AB551" s="45">
        <f t="shared" ca="1" si="677"/>
        <v>0</v>
      </c>
      <c r="AC551" s="45" cm="1">
        <f t="array" aca="1" ref="AC551" ca="1">pHUM*(T551+W551+Z551+AD551)</f>
        <v>6.2670644408977849E-2</v>
      </c>
      <c r="AD551" s="77">
        <f t="shared" ca="1" si="678"/>
        <v>5.6243841325891782E-2</v>
      </c>
      <c r="AE551" s="45">
        <f t="shared" ca="1" si="691"/>
        <v>6.3847072090583081</v>
      </c>
      <c r="AF551" s="45">
        <f t="shared" ca="1" si="679"/>
        <v>0</v>
      </c>
      <c r="AG551" s="76">
        <f t="shared" ca="1" si="680"/>
        <v>65.828525770092781</v>
      </c>
      <c r="AH551" s="45">
        <f t="shared" ca="1" si="681"/>
        <v>0.5300116593944576</v>
      </c>
      <c r="AI551" s="77">
        <f t="shared" ca="1" si="682"/>
        <v>1.3780575418003156E-2</v>
      </c>
      <c r="AJ551" s="384">
        <f t="shared" ca="1" si="684"/>
        <v>3.7373614931512922E-2</v>
      </c>
      <c r="AU551" s="1"/>
    </row>
    <row r="552" spans="3:47" x14ac:dyDescent="0.25">
      <c r="C552" s="10">
        <f t="shared" si="709"/>
        <v>38</v>
      </c>
      <c r="D552" s="91">
        <f t="shared" si="692"/>
        <v>6</v>
      </c>
      <c r="E552" s="278"/>
      <c r="F552" s="76">
        <f t="shared" ref="F552:Q552" ca="1" si="714">F480</f>
        <v>17.8</v>
      </c>
      <c r="G552" s="46">
        <f t="shared" ca="1" si="714"/>
        <v>27.012600000000003</v>
      </c>
      <c r="H552" s="46">
        <f t="shared" ca="1" si="668"/>
        <v>28.517550000000004</v>
      </c>
      <c r="I552" s="45">
        <f t="shared" ca="1" si="669"/>
        <v>1.0420430221807615</v>
      </c>
      <c r="J552" s="45">
        <f t="shared" ca="1" si="670"/>
        <v>0.27952512346894071</v>
      </c>
      <c r="K552" s="45">
        <f t="shared" ca="1" si="686"/>
        <v>0.90345467800480783</v>
      </c>
      <c r="L552" s="358">
        <f t="shared" ca="1" si="671"/>
        <v>0.88796358149435028</v>
      </c>
      <c r="M552" s="76">
        <f t="shared" ca="1" si="714"/>
        <v>0.25347808785320641</v>
      </c>
      <c r="N552" s="45">
        <f t="shared" ca="1" si="714"/>
        <v>0.25</v>
      </c>
      <c r="O552" s="45">
        <f t="shared" ca="1" si="714"/>
        <v>0</v>
      </c>
      <c r="P552" s="46" t="str">
        <f t="shared" ca="1" si="714"/>
        <v/>
      </c>
      <c r="Q552" s="243" t="str">
        <f t="shared" ca="1" si="714"/>
        <v/>
      </c>
      <c r="R552" s="45">
        <f t="shared" ca="1" si="687"/>
        <v>0.18043244341315784</v>
      </c>
      <c r="S552" s="45">
        <f t="shared" ca="1" si="711"/>
        <v>5.0695617570641283E-2</v>
      </c>
      <c r="T552" s="77">
        <f t="shared" ca="1" si="672"/>
        <v>0.10471661384205616</v>
      </c>
      <c r="U552" s="45">
        <f t="shared" ca="1" si="688"/>
        <v>18.755072769604208</v>
      </c>
      <c r="V552" s="45">
        <f t="shared" ca="1" si="673"/>
        <v>0.20278247028256513</v>
      </c>
      <c r="W552" s="77">
        <f t="shared" ca="1" si="674"/>
        <v>0.48228057884166675</v>
      </c>
      <c r="X552" s="45">
        <f t="shared" ca="1" si="689"/>
        <v>1.0621665977783055</v>
      </c>
      <c r="Y552" s="45">
        <f t="shared" ca="1" si="675"/>
        <v>5.8892419570310953E-2</v>
      </c>
      <c r="Z552" s="77">
        <f t="shared" ca="1" si="676"/>
        <v>5.9163682005015754E-2</v>
      </c>
      <c r="AA552" s="45">
        <f t="shared" ca="1" si="690"/>
        <v>39.169613178697539</v>
      </c>
      <c r="AB552" s="45">
        <f t="shared" ca="1" si="677"/>
        <v>0</v>
      </c>
      <c r="AC552" s="45" cm="1">
        <f t="array" aca="1" ref="AC552" ca="1">pHUM*(T552+W552+Z552+AD552)</f>
        <v>6.9285199494483474E-2</v>
      </c>
      <c r="AD552" s="77">
        <f t="shared" ca="1" si="678"/>
        <v>6.7968331468506726E-2</v>
      </c>
      <c r="AE552" s="45">
        <f t="shared" ca="1" si="691"/>
        <v>6.3847072090583081</v>
      </c>
      <c r="AF552" s="45">
        <f t="shared" ca="1" si="679"/>
        <v>0</v>
      </c>
      <c r="AG552" s="76">
        <f t="shared" ca="1" si="680"/>
        <v>65.551992198551517</v>
      </c>
      <c r="AH552" s="45">
        <f t="shared" ca="1" si="681"/>
        <v>0.5859515870924511</v>
      </c>
      <c r="AI552" s="77">
        <f t="shared" ca="1" si="682"/>
        <v>1.2556584950483512E-2</v>
      </c>
      <c r="AJ552" s="384">
        <f t="shared" ca="1" si="684"/>
        <v>3.5555647762384179E-2</v>
      </c>
      <c r="AU552" s="1"/>
    </row>
    <row r="553" spans="3:47" x14ac:dyDescent="0.25">
      <c r="C553" s="10">
        <f t="shared" si="709"/>
        <v>38</v>
      </c>
      <c r="D553" s="91">
        <f t="shared" si="692"/>
        <v>7</v>
      </c>
      <c r="E553" s="278"/>
      <c r="F553" s="76">
        <f t="shared" ref="F553:Q553" ca="1" si="715">F481</f>
        <v>22.99</v>
      </c>
      <c r="G553" s="46">
        <f t="shared" ca="1" si="715"/>
        <v>27.012600000000003</v>
      </c>
      <c r="H553" s="46">
        <f t="shared" ca="1" si="668"/>
        <v>28.517550000000004</v>
      </c>
      <c r="I553" s="45">
        <f t="shared" ca="1" si="669"/>
        <v>1.4752596357037575</v>
      </c>
      <c r="J553" s="45">
        <f t="shared" ca="1" si="670"/>
        <v>0.27952512346894071</v>
      </c>
      <c r="K553" s="45">
        <f t="shared" ca="1" si="686"/>
        <v>0.90345467800480783</v>
      </c>
      <c r="L553" s="358">
        <f t="shared" ca="1" si="671"/>
        <v>0.94206720469222516</v>
      </c>
      <c r="M553" s="76">
        <f t="shared" ca="1" si="715"/>
        <v>0.25347808785320641</v>
      </c>
      <c r="N553" s="45">
        <f t="shared" ca="1" si="715"/>
        <v>0.25</v>
      </c>
      <c r="O553" s="45">
        <f t="shared" ca="1" si="715"/>
        <v>0</v>
      </c>
      <c r="P553" s="46" t="str">
        <f t="shared" ca="1" si="715"/>
        <v/>
      </c>
      <c r="Q553" s="243" t="str">
        <f t="shared" ca="1" si="715"/>
        <v/>
      </c>
      <c r="R553" s="45">
        <f t="shared" ca="1" si="687"/>
        <v>0.12641144714174296</v>
      </c>
      <c r="S553" s="45">
        <f t="shared" ca="1" si="711"/>
        <v>5.0695617570641283E-2</v>
      </c>
      <c r="T553" s="77">
        <f t="shared" ca="1" si="672"/>
        <v>8.9439515862024505E-2</v>
      </c>
      <c r="U553" s="45">
        <f t="shared" ca="1" si="688"/>
        <v>18.475574661045105</v>
      </c>
      <c r="V553" s="45">
        <f t="shared" ca="1" si="673"/>
        <v>0.20278247028256513</v>
      </c>
      <c r="W553" s="77">
        <f t="shared" ca="1" si="674"/>
        <v>0.66899415641120741</v>
      </c>
      <c r="X553" s="45">
        <f t="shared" ca="1" si="689"/>
        <v>1.0618953353436007</v>
      </c>
      <c r="Y553" s="45">
        <f t="shared" ca="1" si="675"/>
        <v>7.7303844373297695E-2</v>
      </c>
      <c r="Z553" s="77">
        <f t="shared" ca="1" si="676"/>
        <v>8.2758539750163021E-2</v>
      </c>
      <c r="AA553" s="45">
        <f t="shared" ca="1" si="690"/>
        <v>39.170930046723512</v>
      </c>
      <c r="AB553" s="45">
        <f t="shared" ca="1" si="677"/>
        <v>0</v>
      </c>
      <c r="AC553" s="45" cm="1">
        <f t="array" aca="1" ref="AC553" ca="1">pHUM*(T553+W553+Z553+AD553)</f>
        <v>9.0945699262703183E-2</v>
      </c>
      <c r="AD553" s="77">
        <f t="shared" ca="1" si="678"/>
        <v>9.619384577472001E-2</v>
      </c>
      <c r="AE553" s="45">
        <f t="shared" ca="1" si="691"/>
        <v>6.3847072090583081</v>
      </c>
      <c r="AF553" s="45">
        <f t="shared" ca="1" si="679"/>
        <v>0</v>
      </c>
      <c r="AG553" s="76">
        <f t="shared" ca="1" si="680"/>
        <v>65.21951869931226</v>
      </c>
      <c r="AH553" s="45">
        <f t="shared" ca="1" si="681"/>
        <v>0.76913651416211415</v>
      </c>
      <c r="AI553" s="77">
        <f t="shared" ca="1" si="682"/>
        <v>1.1743410890571179E-2</v>
      </c>
      <c r="AJ553" s="384">
        <f t="shared" ca="1" si="684"/>
        <v>3.5279153592401302E-2</v>
      </c>
      <c r="AU553" s="1"/>
    </row>
    <row r="554" spans="3:47" x14ac:dyDescent="0.25">
      <c r="C554" s="10">
        <f t="shared" si="709"/>
        <v>38</v>
      </c>
      <c r="D554" s="91">
        <f t="shared" si="692"/>
        <v>8</v>
      </c>
      <c r="E554" s="278"/>
      <c r="F554" s="76">
        <f t="shared" ref="F554:Q554" ca="1" si="716">F482</f>
        <v>21.76</v>
      </c>
      <c r="G554" s="46">
        <f t="shared" ca="1" si="716"/>
        <v>27.012600000000003</v>
      </c>
      <c r="H554" s="46">
        <f t="shared" ca="1" si="668"/>
        <v>28.517550000000004</v>
      </c>
      <c r="I554" s="45">
        <f t="shared" ca="1" si="669"/>
        <v>1.3706166748122235</v>
      </c>
      <c r="J554" s="45">
        <f t="shared" ca="1" si="670"/>
        <v>0.27952512346894071</v>
      </c>
      <c r="K554" s="45">
        <f t="shared" ca="1" si="686"/>
        <v>0.90345467800480783</v>
      </c>
      <c r="L554" s="358">
        <f t="shared" ca="1" si="671"/>
        <v>0.93252308258228611</v>
      </c>
      <c r="M554" s="76">
        <f t="shared" ca="1" si="716"/>
        <v>0.25347808785320641</v>
      </c>
      <c r="N554" s="45">
        <f t="shared" ca="1" si="716"/>
        <v>0.25</v>
      </c>
      <c r="O554" s="45">
        <f t="shared" ca="1" si="716"/>
        <v>0</v>
      </c>
      <c r="P554" s="46" t="str">
        <f t="shared" ca="1" si="716"/>
        <v/>
      </c>
      <c r="Q554" s="243" t="str">
        <f t="shared" ca="1" si="716"/>
        <v/>
      </c>
      <c r="R554" s="45">
        <f t="shared" ca="1" si="687"/>
        <v>8.7667548850359739E-2</v>
      </c>
      <c r="S554" s="45">
        <f t="shared" ca="1" si="711"/>
        <v>5.0695617570641283E-2</v>
      </c>
      <c r="T554" s="77">
        <f t="shared" ca="1" si="672"/>
        <v>5.9690870583984493E-2</v>
      </c>
      <c r="U554" s="45">
        <f t="shared" ca="1" si="688"/>
        <v>18.00936297491646</v>
      </c>
      <c r="V554" s="45">
        <f t="shared" ca="1" si="673"/>
        <v>0.20278247028256513</v>
      </c>
      <c r="W554" s="77">
        <f t="shared" ca="1" si="674"/>
        <v>0.60664549452806571</v>
      </c>
      <c r="X554" s="45">
        <f t="shared" ca="1" si="689"/>
        <v>1.0564406399667352</v>
      </c>
      <c r="Y554" s="45">
        <f t="shared" ca="1" si="675"/>
        <v>6.8647044236115867E-2</v>
      </c>
      <c r="Z554" s="77">
        <f t="shared" ca="1" si="676"/>
        <v>7.6710924761822744E-2</v>
      </c>
      <c r="AA554" s="45">
        <f t="shared" ca="1" si="690"/>
        <v>39.165681900211496</v>
      </c>
      <c r="AB554" s="45">
        <f t="shared" ca="1" si="677"/>
        <v>0</v>
      </c>
      <c r="AC554" s="45" cm="1">
        <f t="array" aca="1" ref="AC554" ca="1">pHUM*(T554+W554+Z554+AD554)</f>
        <v>8.0761228513077502E-2</v>
      </c>
      <c r="AD554" s="77">
        <f t="shared" ca="1" si="678"/>
        <v>8.936644967117903E-2</v>
      </c>
      <c r="AE554" s="45">
        <f t="shared" ca="1" si="691"/>
        <v>6.3847072090583081</v>
      </c>
      <c r="AF554" s="45">
        <f t="shared" ca="1" si="679"/>
        <v>0</v>
      </c>
      <c r="AG554" s="76">
        <f t="shared" ca="1" si="680"/>
        <v>64.703860273003357</v>
      </c>
      <c r="AH554" s="45">
        <f t="shared" ca="1" si="681"/>
        <v>0.68300546679585861</v>
      </c>
      <c r="AI554" s="77">
        <f t="shared" ca="1" si="682"/>
        <v>1.1088479561268905E-2</v>
      </c>
      <c r="AJ554" s="384">
        <f t="shared" ca="1" si="684"/>
        <v>3.2974221459635134E-2</v>
      </c>
      <c r="AU554" s="1"/>
    </row>
    <row r="555" spans="3:47" x14ac:dyDescent="0.25">
      <c r="C555" s="10">
        <f t="shared" si="709"/>
        <v>38</v>
      </c>
      <c r="D555" s="91">
        <f t="shared" si="692"/>
        <v>9</v>
      </c>
      <c r="E555" s="278"/>
      <c r="F555" s="76">
        <f t="shared" ref="F555:Q555" ca="1" si="717">F483</f>
        <v>16.16</v>
      </c>
      <c r="G555" s="46">
        <f t="shared" ca="1" si="717"/>
        <v>27.012600000000003</v>
      </c>
      <c r="H555" s="46">
        <f t="shared" ca="1" si="668"/>
        <v>28.517550000000004</v>
      </c>
      <c r="I555" s="45">
        <f t="shared" ca="1" si="669"/>
        <v>0.91183635166446475</v>
      </c>
      <c r="J555" s="45">
        <f t="shared" ca="1" si="670"/>
        <v>0.27952512346894071</v>
      </c>
      <c r="K555" s="45">
        <f t="shared" ca="1" si="686"/>
        <v>0.90345467800480783</v>
      </c>
      <c r="L555" s="358">
        <f t="shared" ca="1" si="671"/>
        <v>0.86198800670670384</v>
      </c>
      <c r="M555" s="76">
        <f t="shared" ca="1" si="717"/>
        <v>0.25347808785320641</v>
      </c>
      <c r="N555" s="45">
        <f t="shared" ca="1" si="717"/>
        <v>0.25</v>
      </c>
      <c r="O555" s="45">
        <f t="shared" ca="1" si="717"/>
        <v>0</v>
      </c>
      <c r="P555" s="46" t="str">
        <f t="shared" ca="1" si="717"/>
        <v/>
      </c>
      <c r="Q555" s="243" t="str">
        <f t="shared" ca="1" si="717"/>
        <v/>
      </c>
      <c r="R555" s="45">
        <f t="shared" ca="1" si="687"/>
        <v>7.8672295837016529E-2</v>
      </c>
      <c r="S555" s="45">
        <f t="shared" ca="1" si="711"/>
        <v>5.0695617570641283E-2</v>
      </c>
      <c r="T555" s="77">
        <f t="shared" ca="1" si="672"/>
        <v>4.1874886484751211E-2</v>
      </c>
      <c r="U555" s="45">
        <f t="shared" ca="1" si="688"/>
        <v>17.605499950670957</v>
      </c>
      <c r="V555" s="45">
        <f t="shared" ca="1" si="673"/>
        <v>0.20278247028256513</v>
      </c>
      <c r="W555" s="77">
        <f t="shared" ca="1" si="674"/>
        <v>0.39679355349919904</v>
      </c>
      <c r="X555" s="45">
        <f t="shared" ca="1" si="689"/>
        <v>1.0483767594410283</v>
      </c>
      <c r="Y555" s="45">
        <f t="shared" ca="1" si="675"/>
        <v>4.5308596571500756E-2</v>
      </c>
      <c r="Z555" s="77">
        <f t="shared" ca="1" si="676"/>
        <v>5.1280510142985819E-2</v>
      </c>
      <c r="AA555" s="45">
        <f t="shared" ca="1" si="690"/>
        <v>39.15707667905339</v>
      </c>
      <c r="AB555" s="45">
        <f t="shared" ca="1" si="677"/>
        <v>0</v>
      </c>
      <c r="AC555" s="45" cm="1">
        <f t="array" aca="1" ref="AC555" ca="1">pHUM*(T555+W555+Z555+AD555)</f>
        <v>5.330423126058912E-2</v>
      </c>
      <c r="AD555" s="77">
        <f t="shared" ca="1" si="678"/>
        <v>5.9462881442915796E-2</v>
      </c>
      <c r="AE555" s="45">
        <f t="shared" ca="1" si="691"/>
        <v>6.3847072090583081</v>
      </c>
      <c r="AF555" s="45">
        <f t="shared" ca="1" si="679"/>
        <v>0</v>
      </c>
      <c r="AG555" s="76">
        <f t="shared" ca="1" si="680"/>
        <v>64.274332894060692</v>
      </c>
      <c r="AH555" s="45">
        <f t="shared" ca="1" si="681"/>
        <v>0.45079900373776199</v>
      </c>
      <c r="AI555" s="77">
        <f t="shared" ca="1" si="682"/>
        <v>1.0858945002555522E-2</v>
      </c>
      <c r="AJ555" s="384">
        <f t="shared" ca="1" si="684"/>
        <v>2.9849227547222856E-2</v>
      </c>
      <c r="AU555" s="1"/>
    </row>
    <row r="556" spans="3:47" x14ac:dyDescent="0.25">
      <c r="C556" s="10">
        <f t="shared" si="709"/>
        <v>38</v>
      </c>
      <c r="D556" s="91">
        <f t="shared" si="692"/>
        <v>10</v>
      </c>
      <c r="E556" s="278"/>
      <c r="F556" s="76">
        <f t="shared" ref="F556:Q556" ca="1" si="718">F484</f>
        <v>11.21</v>
      </c>
      <c r="G556" s="46">
        <f t="shared" ca="1" si="718"/>
        <v>27.012600000000003</v>
      </c>
      <c r="H556" s="46">
        <f t="shared" ca="1" si="668"/>
        <v>28.517550000000004</v>
      </c>
      <c r="I556" s="45">
        <f t="shared" ca="1" si="669"/>
        <v>0.55341948356365211</v>
      </c>
      <c r="J556" s="45">
        <f t="shared" ca="1" si="670"/>
        <v>0.27952512346894071</v>
      </c>
      <c r="K556" s="45">
        <f t="shared" ca="1" si="686"/>
        <v>0.90345467800480783</v>
      </c>
      <c r="L556" s="358">
        <f t="shared" ca="1" si="671"/>
        <v>0.75061725573145499</v>
      </c>
      <c r="M556" s="76">
        <f t="shared" ca="1" si="718"/>
        <v>0.25347808785320641</v>
      </c>
      <c r="N556" s="45">
        <f t="shared" ca="1" si="718"/>
        <v>0.25</v>
      </c>
      <c r="O556" s="45">
        <f t="shared" ca="1" si="718"/>
        <v>0</v>
      </c>
      <c r="P556" s="46" t="str">
        <f t="shared" ca="1" si="718"/>
        <v/>
      </c>
      <c r="Q556" s="243" t="str">
        <f t="shared" ca="1" si="718"/>
        <v/>
      </c>
      <c r="R556" s="45">
        <f t="shared" ca="1" si="687"/>
        <v>8.7493026922906586E-2</v>
      </c>
      <c r="S556" s="45">
        <f t="shared" ca="1" si="711"/>
        <v>5.0695617570641283E-2</v>
      </c>
      <c r="T556" s="77">
        <f t="shared" ca="1" si="672"/>
        <v>3.2325406484756646E-2</v>
      </c>
      <c r="U556" s="45">
        <f t="shared" ca="1" si="688"/>
        <v>17.411488867454324</v>
      </c>
      <c r="V556" s="45">
        <f t="shared" ca="1" si="673"/>
        <v>0.20278247028256513</v>
      </c>
      <c r="W556" s="77">
        <f t="shared" ca="1" si="674"/>
        <v>0.23923762862573694</v>
      </c>
      <c r="X556" s="45">
        <f t="shared" ca="1" si="689"/>
        <v>1.0424048458695432</v>
      </c>
      <c r="Y556" s="45">
        <f t="shared" ca="1" si="675"/>
        <v>2.794893271337387E-2</v>
      </c>
      <c r="Z556" s="77">
        <f t="shared" ca="1" si="676"/>
        <v>3.1250773962008906E-2</v>
      </c>
      <c r="AA556" s="45">
        <f t="shared" ca="1" si="690"/>
        <v>39.150918028871061</v>
      </c>
      <c r="AB556" s="45">
        <f t="shared" ca="1" si="677"/>
        <v>0</v>
      </c>
      <c r="AC556" s="45" cm="1">
        <f t="array" aca="1" ref="AC556" ca="1">pHUM*(T556+W556+Z556+AD556)</f>
        <v>3.2881097309851608E-2</v>
      </c>
      <c r="AD556" s="77">
        <f t="shared" ca="1" si="678"/>
        <v>3.6094819188473612E-2</v>
      </c>
      <c r="AE556" s="45">
        <f t="shared" ca="1" si="691"/>
        <v>6.3847072090583081</v>
      </c>
      <c r="AF556" s="45">
        <f t="shared" ca="1" si="679"/>
        <v>0</v>
      </c>
      <c r="AG556" s="76">
        <f t="shared" ca="1" si="680"/>
        <v>64.077011978176145</v>
      </c>
      <c r="AH556" s="45">
        <f t="shared" ca="1" si="681"/>
        <v>0.27807859823775066</v>
      </c>
      <c r="AI556" s="77">
        <f t="shared" ca="1" si="682"/>
        <v>1.0933553037112187E-2</v>
      </c>
      <c r="AJ556" s="384">
        <f t="shared" ca="1" si="684"/>
        <v>2.6171318747971739E-2</v>
      </c>
      <c r="AU556" s="1"/>
    </row>
    <row r="557" spans="3:47" x14ac:dyDescent="0.25">
      <c r="C557" s="10">
        <f t="shared" si="709"/>
        <v>38</v>
      </c>
      <c r="D557" s="91">
        <f t="shared" si="692"/>
        <v>11</v>
      </c>
      <c r="E557" s="278"/>
      <c r="F557" s="76">
        <f t="shared" ref="F557:Q557" ca="1" si="719">F485</f>
        <v>1.8</v>
      </c>
      <c r="G557" s="46">
        <f t="shared" ca="1" si="719"/>
        <v>27.012600000000003</v>
      </c>
      <c r="H557" s="46">
        <f t="shared" ca="1" si="668"/>
        <v>28.517550000000004</v>
      </c>
      <c r="I557" s="45">
        <f t="shared" ca="1" si="669"/>
        <v>0.10471759589279002</v>
      </c>
      <c r="J557" s="45">
        <f t="shared" ca="1" si="670"/>
        <v>0.27952512346894071</v>
      </c>
      <c r="K557" s="45">
        <f t="shared" ca="1" si="686"/>
        <v>0.90345467800480783</v>
      </c>
      <c r="L557" s="358">
        <f t="shared" ca="1" si="671"/>
        <v>0.42572038710161686</v>
      </c>
      <c r="M557" s="76">
        <f t="shared" ca="1" si="719"/>
        <v>0.25347808785320641</v>
      </c>
      <c r="N557" s="45">
        <f t="shared" ca="1" si="719"/>
        <v>0.25</v>
      </c>
      <c r="O557" s="45">
        <f t="shared" ca="1" si="719"/>
        <v>0</v>
      </c>
      <c r="P557" s="46" t="str">
        <f t="shared" ca="1" si="719"/>
        <v/>
      </c>
      <c r="Q557" s="243" t="str">
        <f t="shared" ca="1" si="719"/>
        <v/>
      </c>
      <c r="R557" s="45">
        <f t="shared" ca="1" si="687"/>
        <v>0.10586323800879122</v>
      </c>
      <c r="S557" s="45">
        <f t="shared" ca="1" si="711"/>
        <v>5.0695617570641283E-2</v>
      </c>
      <c r="T557" s="77">
        <f t="shared" ca="1" si="672"/>
        <v>8.8465126159825002E-3</v>
      </c>
      <c r="U557" s="45">
        <f t="shared" ca="1" si="688"/>
        <v>17.37503370911115</v>
      </c>
      <c r="V557" s="45">
        <f t="shared" ca="1" si="673"/>
        <v>0.20278247028256513</v>
      </c>
      <c r="W557" s="77">
        <f t="shared" ca="1" si="674"/>
        <v>4.5427305042129038E-2</v>
      </c>
      <c r="X557" s="45">
        <f t="shared" ca="1" si="689"/>
        <v>1.0391030046209082</v>
      </c>
      <c r="Y557" s="45">
        <f t="shared" ca="1" si="675"/>
        <v>5.531349879972473E-3</v>
      </c>
      <c r="Z557" s="77">
        <f t="shared" ca="1" si="676"/>
        <v>5.9674790217010814E-3</v>
      </c>
      <c r="AA557" s="45">
        <f t="shared" ca="1" si="690"/>
        <v>39.147704306992445</v>
      </c>
      <c r="AB557" s="45">
        <f t="shared" ca="1" si="677"/>
        <v>0</v>
      </c>
      <c r="AC557" s="45" cm="1">
        <f t="array" aca="1" ref="AC557" ca="1">pHUM*(T557+W557+Z557+AD557)</f>
        <v>6.5074704470264389E-3</v>
      </c>
      <c r="AD557" s="77">
        <f t="shared" ca="1" si="678"/>
        <v>6.831826271889883E-3</v>
      </c>
      <c r="AE557" s="45">
        <f t="shared" ca="1" si="691"/>
        <v>6.3847072090583081</v>
      </c>
      <c r="AF557" s="45">
        <f t="shared" ca="1" si="679"/>
        <v>0</v>
      </c>
      <c r="AG557" s="76">
        <f t="shared" ca="1" si="680"/>
        <v>64.0524114677916</v>
      </c>
      <c r="AH557" s="45">
        <f t="shared" ca="1" si="681"/>
        <v>5.5034302624703602E-2</v>
      </c>
      <c r="AI557" s="77">
        <f t="shared" ca="1" si="682"/>
        <v>1.118463193784177E-2</v>
      </c>
      <c r="AJ557" s="384">
        <f t="shared" ca="1" si="684"/>
        <v>1.518435657651529E-2</v>
      </c>
      <c r="AU557" s="1"/>
    </row>
    <row r="558" spans="3:47" x14ac:dyDescent="0.25">
      <c r="C558" s="10">
        <f t="shared" si="709"/>
        <v>38</v>
      </c>
      <c r="D558" s="91">
        <f t="shared" si="692"/>
        <v>12</v>
      </c>
      <c r="E558" s="278"/>
      <c r="F558" s="76">
        <f t="shared" ref="F558:Q558" ca="1" si="720">F486</f>
        <v>-0.63</v>
      </c>
      <c r="G558" s="46">
        <f t="shared" ca="1" si="720"/>
        <v>27.012600000000003</v>
      </c>
      <c r="H558" s="46">
        <f t="shared" ca="1" si="668"/>
        <v>28.517550000000004</v>
      </c>
      <c r="I558" s="45">
        <f t="shared" ca="1" si="669"/>
        <v>5.069926650983797E-2</v>
      </c>
      <c r="J558" s="45">
        <f t="shared" ca="1" si="670"/>
        <v>0.27952512346894071</v>
      </c>
      <c r="K558" s="45">
        <f t="shared" ca="1" si="686"/>
        <v>0.90345467800480783</v>
      </c>
      <c r="L558" s="358">
        <f t="shared" ca="1" si="671"/>
        <v>0.3403279781726225</v>
      </c>
      <c r="M558" s="76">
        <f t="shared" ca="1" si="720"/>
        <v>0.25347808785320641</v>
      </c>
      <c r="N558" s="45">
        <f t="shared" ca="1" si="720"/>
        <v>0.25</v>
      </c>
      <c r="O558" s="45">
        <f t="shared" ca="1" si="720"/>
        <v>0</v>
      </c>
      <c r="P558" s="46" t="str">
        <f t="shared" ca="1" si="720"/>
        <v/>
      </c>
      <c r="Q558" s="243" t="str">
        <f t="shared" ca="1" si="720"/>
        <v/>
      </c>
      <c r="R558" s="45">
        <f t="shared" ca="1" si="687"/>
        <v>0.14771234296345001</v>
      </c>
      <c r="S558" s="45">
        <f t="shared" ca="1" si="711"/>
        <v>5.0695617570641283E-2</v>
      </c>
      <c r="T558" s="77">
        <f t="shared" ca="1" si="672"/>
        <v>6.1107593251454049E-3</v>
      </c>
      <c r="U558" s="45">
        <f t="shared" ca="1" si="688"/>
        <v>17.532388874351586</v>
      </c>
      <c r="V558" s="45">
        <f t="shared" ca="1" si="673"/>
        <v>0.20278247028256513</v>
      </c>
      <c r="W558" s="77">
        <f t="shared" ca="1" si="674"/>
        <v>2.2207904373490343E-2</v>
      </c>
      <c r="X558" s="45">
        <f t="shared" ca="1" si="689"/>
        <v>1.0386668754791797</v>
      </c>
      <c r="Y558" s="45">
        <f t="shared" ca="1" si="675"/>
        <v>2.8466674309148465E-3</v>
      </c>
      <c r="Z558" s="77">
        <f t="shared" ca="1" si="676"/>
        <v>2.8922463502262519E-3</v>
      </c>
      <c r="AA558" s="45">
        <f t="shared" ca="1" si="690"/>
        <v>39.147379951167579</v>
      </c>
      <c r="AB558" s="45">
        <f t="shared" ca="1" si="677"/>
        <v>0</v>
      </c>
      <c r="AC558" s="45" cm="1">
        <f t="array" aca="1" ref="AC558" ca="1">pHUM*(T558+W558+Z558+AD558)</f>
        <v>3.3490205069586433E-3</v>
      </c>
      <c r="AD558" s="77">
        <f t="shared" ca="1" si="678"/>
        <v>3.3077659957835058E-3</v>
      </c>
      <c r="AE558" s="45">
        <f t="shared" ca="1" si="691"/>
        <v>6.3847072090583081</v>
      </c>
      <c r="AF558" s="45">
        <f t="shared" ca="1" si="679"/>
        <v>0</v>
      </c>
      <c r="AG558" s="76">
        <f t="shared" ca="1" si="680"/>
        <v>64.250855253020106</v>
      </c>
      <c r="AH558" s="45">
        <f t="shared" ca="1" si="681"/>
        <v>2.8322988106772022E-2</v>
      </c>
      <c r="AI558" s="77">
        <f t="shared" ca="1" si="682"/>
        <v>1.1816505426952282E-2</v>
      </c>
      <c r="AJ558" s="384">
        <f t="shared" ca="1" si="684"/>
        <v>1.2824425760253888E-2</v>
      </c>
      <c r="AU558" s="1"/>
    </row>
    <row r="559" spans="3:47" x14ac:dyDescent="0.25">
      <c r="C559" s="10">
        <f t="shared" si="709"/>
        <v>39</v>
      </c>
      <c r="D559" s="91">
        <f t="shared" si="692"/>
        <v>1</v>
      </c>
      <c r="E559" s="278"/>
      <c r="F559" s="76">
        <f t="shared" ref="F559:Q559" ca="1" si="721">F487</f>
        <v>-5.04</v>
      </c>
      <c r="G559" s="46">
        <f t="shared" ca="1" si="721"/>
        <v>27.012600000000003</v>
      </c>
      <c r="H559" s="46">
        <f t="shared" ca="1" si="668"/>
        <v>28.517550000000004</v>
      </c>
      <c r="I559" s="45">
        <f t="shared" ca="1" si="669"/>
        <v>6.847402527399577E-3</v>
      </c>
      <c r="J559" s="45">
        <f t="shared" ca="1" si="670"/>
        <v>0.27952512346894071</v>
      </c>
      <c r="K559" s="45">
        <f t="shared" ca="1" si="686"/>
        <v>0.90345467800480783</v>
      </c>
      <c r="L559" s="358">
        <f t="shared" ca="1" si="671"/>
        <v>0.21084054547214914</v>
      </c>
      <c r="M559" s="76">
        <f t="shared" ca="1" si="721"/>
        <v>0.25347808785320641</v>
      </c>
      <c r="N559" s="45">
        <f t="shared" ca="1" si="721"/>
        <v>0.25</v>
      </c>
      <c r="O559" s="45">
        <f t="shared" ca="1" si="721"/>
        <v>0</v>
      </c>
      <c r="P559" s="46" t="str">
        <f t="shared" ca="1" si="721"/>
        <v/>
      </c>
      <c r="Q559" s="243" t="str">
        <f t="shared" ca="1" si="721"/>
        <v/>
      </c>
      <c r="R559" s="45">
        <f t="shared" ca="1" si="687"/>
        <v>0.19229720120894589</v>
      </c>
      <c r="S559" s="45">
        <f t="shared" ca="1" si="711"/>
        <v>5.0695617570641283E-2</v>
      </c>
      <c r="T559" s="77">
        <f t="shared" ca="1" si="672"/>
        <v>1.0941555975497383E-3</v>
      </c>
      <c r="U559" s="45">
        <f t="shared" ca="1" si="688"/>
        <v>17.712963440260658</v>
      </c>
      <c r="V559" s="45">
        <f t="shared" ca="1" si="673"/>
        <v>0.20278247028256513</v>
      </c>
      <c r="W559" s="77">
        <f t="shared" ca="1" si="674"/>
        <v>3.0319352472969103E-3</v>
      </c>
      <c r="X559" s="45">
        <f t="shared" ca="1" si="689"/>
        <v>1.0386212965598682</v>
      </c>
      <c r="Y559" s="45">
        <f t="shared" ca="1" si="675"/>
        <v>4.0936271901357587E-4</v>
      </c>
      <c r="Z559" s="77">
        <f t="shared" ca="1" si="676"/>
        <v>3.9107854890005442E-4</v>
      </c>
      <c r="AA559" s="45">
        <f t="shared" ca="1" si="690"/>
        <v>39.147421205678754</v>
      </c>
      <c r="AB559" s="45">
        <f t="shared" ca="1" si="677"/>
        <v>0</v>
      </c>
      <c r="AC559" s="45" cm="1">
        <f t="array" aca="1" ref="AC559" ca="1">pHUM*(T559+W559+Z559+AD559)</f>
        <v>4.8160319883950106E-4</v>
      </c>
      <c r="AD559" s="77">
        <f t="shared" ca="1" si="678"/>
        <v>4.4676103554255062E-4</v>
      </c>
      <c r="AE559" s="45">
        <f t="shared" ca="1" si="691"/>
        <v>6.3847072090583081</v>
      </c>
      <c r="AF559" s="45">
        <f t="shared" ca="1" si="679"/>
        <v>0</v>
      </c>
      <c r="AG559" s="76">
        <f t="shared" ca="1" si="680"/>
        <v>64.476010352766536</v>
      </c>
      <c r="AH559" s="45">
        <f t="shared" ca="1" si="681"/>
        <v>4.0729645114361774E-3</v>
      </c>
      <c r="AI559" s="77">
        <f t="shared" ca="1" si="682"/>
        <v>1.2487955816833259E-2</v>
      </c>
      <c r="AJ559" s="384">
        <f t="shared" ca="1" si="684"/>
        <v>8.3965042895484121E-3</v>
      </c>
      <c r="AU559" s="1"/>
    </row>
    <row r="560" spans="3:47" x14ac:dyDescent="0.25">
      <c r="C560" s="10">
        <f t="shared" si="709"/>
        <v>39</v>
      </c>
      <c r="D560" s="91">
        <f t="shared" si="692"/>
        <v>2</v>
      </c>
      <c r="E560" s="278"/>
      <c r="F560" s="76">
        <f t="shared" ref="F560:Q560" ca="1" si="722">F488</f>
        <v>-4.4400000000000004</v>
      </c>
      <c r="G560" s="46">
        <f t="shared" ca="1" si="722"/>
        <v>27.012600000000003</v>
      </c>
      <c r="H560" s="46">
        <f t="shared" ca="1" si="668"/>
        <v>28.517550000000004</v>
      </c>
      <c r="I560" s="45">
        <f t="shared" ca="1" si="669"/>
        <v>9.6941753008840392E-3</v>
      </c>
      <c r="J560" s="45">
        <f t="shared" ca="1" si="670"/>
        <v>0.27952512346894071</v>
      </c>
      <c r="K560" s="45">
        <f t="shared" ca="1" si="686"/>
        <v>0.90345467800480783</v>
      </c>
      <c r="L560" s="358">
        <f t="shared" ca="1" si="671"/>
        <v>0.22612365929309886</v>
      </c>
      <c r="M560" s="76">
        <f t="shared" ca="1" si="722"/>
        <v>0.25347808785320641</v>
      </c>
      <c r="N560" s="45">
        <f t="shared" ca="1" si="722"/>
        <v>0.25</v>
      </c>
      <c r="O560" s="45">
        <f t="shared" ca="1" si="722"/>
        <v>0</v>
      </c>
      <c r="P560" s="46" t="str">
        <f t="shared" ca="1" si="722"/>
        <v/>
      </c>
      <c r="Q560" s="243" t="str">
        <f t="shared" ca="1" si="722"/>
        <v/>
      </c>
      <c r="R560" s="45">
        <f t="shared" ca="1" si="687"/>
        <v>0.24189866318203743</v>
      </c>
      <c r="S560" s="45">
        <f t="shared" ca="1" si="711"/>
        <v>5.0695617570641283E-2</v>
      </c>
      <c r="T560" s="77">
        <f t="shared" ca="1" si="672"/>
        <v>1.9463012095627269E-3</v>
      </c>
      <c r="U560" s="45">
        <f t="shared" ca="1" si="688"/>
        <v>17.912713975295926</v>
      </c>
      <c r="V560" s="45">
        <f t="shared" ca="1" si="673"/>
        <v>0.20278247028256513</v>
      </c>
      <c r="W560" s="77">
        <f t="shared" ca="1" si="674"/>
        <v>4.3406987198534959E-3</v>
      </c>
      <c r="X560" s="45">
        <f t="shared" ca="1" si="689"/>
        <v>1.0386395807299817</v>
      </c>
      <c r="Y560" s="45">
        <f t="shared" ca="1" si="675"/>
        <v>6.1629023514295277E-4</v>
      </c>
      <c r="Z560" s="77">
        <f t="shared" ca="1" si="676"/>
        <v>5.5363387308126559E-4</v>
      </c>
      <c r="AA560" s="45">
        <f t="shared" ca="1" si="690"/>
        <v>39.147456047842056</v>
      </c>
      <c r="AB560" s="45">
        <f t="shared" ca="1" si="677"/>
        <v>0</v>
      </c>
      <c r="AC560" s="45" cm="1">
        <f t="array" aca="1" ref="AC560" ca="1">pHUM*(T560+W560+Z560+AD560)</f>
        <v>7.2504733546229741E-4</v>
      </c>
      <c r="AD560" s="77">
        <f t="shared" ca="1" si="678"/>
        <v>6.3249872620862015E-4</v>
      </c>
      <c r="AE560" s="45">
        <f t="shared" ca="1" si="691"/>
        <v>6.3847072090583081</v>
      </c>
      <c r="AF560" s="45">
        <f t="shared" ca="1" si="679"/>
        <v>0</v>
      </c>
      <c r="AG560" s="76">
        <f t="shared" ca="1" si="680"/>
        <v>64.72541547610831</v>
      </c>
      <c r="AH560" s="45">
        <f t="shared" ca="1" si="681"/>
        <v>6.1317949581008594E-3</v>
      </c>
      <c r="AI560" s="77">
        <f t="shared" ca="1" si="682"/>
        <v>1.3228687629021013E-2</v>
      </c>
      <c r="AJ560" s="384">
        <f t="shared" ca="1" si="684"/>
        <v>9.5392740969812984E-3</v>
      </c>
      <c r="AU560" s="1"/>
    </row>
    <row r="561" spans="3:47" x14ac:dyDescent="0.25">
      <c r="C561" s="10">
        <f t="shared" si="709"/>
        <v>39</v>
      </c>
      <c r="D561" s="91">
        <f t="shared" si="692"/>
        <v>3</v>
      </c>
      <c r="E561" s="278"/>
      <c r="F561" s="76">
        <f t="shared" ref="F561:Q561" ca="1" si="723">F489</f>
        <v>-0.82</v>
      </c>
      <c r="G561" s="46">
        <f t="shared" ca="1" si="723"/>
        <v>27.012600000000003</v>
      </c>
      <c r="H561" s="46">
        <f t="shared" ca="1" si="668"/>
        <v>28.517550000000004</v>
      </c>
      <c r="I561" s="45">
        <f t="shared" ca="1" si="669"/>
        <v>4.749388171975074E-2</v>
      </c>
      <c r="J561" s="45">
        <f t="shared" ca="1" si="670"/>
        <v>0.27952512346894071</v>
      </c>
      <c r="K561" s="45">
        <f t="shared" ca="1" si="686"/>
        <v>0.90345467800480783</v>
      </c>
      <c r="L561" s="358">
        <f t="shared" ca="1" si="671"/>
        <v>0.33399301288143546</v>
      </c>
      <c r="M561" s="76">
        <f t="shared" ca="1" si="723"/>
        <v>0.25347808785320641</v>
      </c>
      <c r="N561" s="45">
        <f t="shared" ca="1" si="723"/>
        <v>0.25</v>
      </c>
      <c r="O561" s="45">
        <f t="shared" ca="1" si="723"/>
        <v>0</v>
      </c>
      <c r="P561" s="46" t="str">
        <f t="shared" ca="1" si="723"/>
        <v/>
      </c>
      <c r="Q561" s="243" t="str">
        <f t="shared" ca="1" si="723"/>
        <v/>
      </c>
      <c r="R561" s="45">
        <f t="shared" ca="1" si="687"/>
        <v>0.29064797954311594</v>
      </c>
      <c r="S561" s="45">
        <f t="shared" ca="1" si="711"/>
        <v>5.0695617570641283E-2</v>
      </c>
      <c r="T561" s="77">
        <f t="shared" ca="1" si="672"/>
        <v>1.1278666868164679E-2</v>
      </c>
      <c r="U561" s="45">
        <f t="shared" ca="1" si="688"/>
        <v>18.111155746858635</v>
      </c>
      <c r="V561" s="45">
        <f t="shared" ca="1" si="673"/>
        <v>0.20278247028256513</v>
      </c>
      <c r="W561" s="77">
        <f t="shared" ca="1" si="674"/>
        <v>2.1491465782183281E-2</v>
      </c>
      <c r="X561" s="45">
        <f t="shared" ca="1" si="689"/>
        <v>1.0387022370920436</v>
      </c>
      <c r="Y561" s="45">
        <f t="shared" ca="1" si="675"/>
        <v>3.1814717082663722E-3</v>
      </c>
      <c r="Z561" s="77">
        <f t="shared" ca="1" si="676"/>
        <v>2.7097194096247536E-3</v>
      </c>
      <c r="AA561" s="45">
        <f t="shared" ca="1" si="690"/>
        <v>39.147548596451308</v>
      </c>
      <c r="AB561" s="45">
        <f t="shared" ca="1" si="677"/>
        <v>0</v>
      </c>
      <c r="AC561" s="45" cm="1">
        <f t="array" aca="1" ref="AC561" ca="1">pHUM*(T561+W561+Z561+AD561)</f>
        <v>3.7429078920780848E-3</v>
      </c>
      <c r="AD561" s="77">
        <f t="shared" ca="1" si="678"/>
        <v>3.0986590966882591E-3</v>
      </c>
      <c r="AE561" s="45">
        <f t="shared" ca="1" si="691"/>
        <v>6.3847072090583081</v>
      </c>
      <c r="AF561" s="45">
        <f t="shared" ca="1" si="679"/>
        <v>0</v>
      </c>
      <c r="AG561" s="76">
        <f t="shared" ca="1" si="680"/>
        <v>64.972761769003412</v>
      </c>
      <c r="AH561" s="45">
        <f t="shared" ca="1" si="681"/>
        <v>3.1654131556316516E-2</v>
      </c>
      <c r="AI561" s="77">
        <f t="shared" ca="1" si="682"/>
        <v>1.3950968107703902E-2</v>
      </c>
      <c r="AJ561" s="384">
        <f t="shared" ca="1" si="684"/>
        <v>1.4859086439359404E-2</v>
      </c>
      <c r="AU561" s="1"/>
    </row>
    <row r="562" spans="3:47" x14ac:dyDescent="0.25">
      <c r="C562" s="10">
        <f t="shared" si="709"/>
        <v>39</v>
      </c>
      <c r="D562" s="91">
        <f t="shared" si="692"/>
        <v>4</v>
      </c>
      <c r="E562" s="278"/>
      <c r="F562" s="76">
        <f t="shared" ref="F562:Q562" ca="1" si="724">F490</f>
        <v>6.18</v>
      </c>
      <c r="G562" s="46">
        <f t="shared" ca="1" si="724"/>
        <v>27.012600000000003</v>
      </c>
      <c r="H562" s="46">
        <f t="shared" ca="1" si="668"/>
        <v>28.517550000000004</v>
      </c>
      <c r="I562" s="45">
        <f t="shared" ca="1" si="669"/>
        <v>0.26773980091806004</v>
      </c>
      <c r="J562" s="45">
        <f t="shared" ca="1" si="670"/>
        <v>0.27952512346894071</v>
      </c>
      <c r="K562" s="45">
        <f t="shared" ca="1" si="686"/>
        <v>0.90345467800480783</v>
      </c>
      <c r="L562" s="358">
        <f t="shared" ca="1" si="671"/>
        <v>0.58750950384279488</v>
      </c>
      <c r="M562" s="76">
        <f t="shared" ca="1" si="724"/>
        <v>0.25347808785320641</v>
      </c>
      <c r="N562" s="45">
        <f t="shared" ca="1" si="724"/>
        <v>0.25</v>
      </c>
      <c r="O562" s="45">
        <f t="shared" ca="1" si="724"/>
        <v>0</v>
      </c>
      <c r="P562" s="46" t="str">
        <f t="shared" ca="1" si="724"/>
        <v/>
      </c>
      <c r="Q562" s="243" t="str">
        <f t="shared" ca="1" si="724"/>
        <v/>
      </c>
      <c r="R562" s="45">
        <f t="shared" ca="1" si="687"/>
        <v>0.33006493024559252</v>
      </c>
      <c r="S562" s="45">
        <f t="shared" ca="1" si="711"/>
        <v>5.0695617570641283E-2</v>
      </c>
      <c r="T562" s="77">
        <f t="shared" ca="1" si="672"/>
        <v>6.6005843202412762E-2</v>
      </c>
      <c r="U562" s="45">
        <f t="shared" ca="1" si="688"/>
        <v>18.292446751359016</v>
      </c>
      <c r="V562" s="45">
        <f t="shared" ca="1" si="673"/>
        <v>0.20278247028256513</v>
      </c>
      <c r="W562" s="77">
        <f t="shared" ca="1" si="674"/>
        <v>0.12203153693197104</v>
      </c>
      <c r="X562" s="45">
        <f t="shared" ca="1" si="689"/>
        <v>1.0391739893906851</v>
      </c>
      <c r="Y562" s="45">
        <f t="shared" ca="1" si="675"/>
        <v>1.8200001395129603E-2</v>
      </c>
      <c r="Z562" s="77">
        <f t="shared" ca="1" si="676"/>
        <v>1.5190433737609721E-2</v>
      </c>
      <c r="AA562" s="45">
        <f t="shared" ca="1" si="690"/>
        <v>39.148192845246697</v>
      </c>
      <c r="AB562" s="45">
        <f t="shared" ca="1" si="677"/>
        <v>0</v>
      </c>
      <c r="AC562" s="45" cm="1">
        <f t="array" aca="1" ref="AC562" ca="1">pHUM*(T562+W562+Z562+AD562)</f>
        <v>2.1411766347211297E-2</v>
      </c>
      <c r="AD562" s="77">
        <f t="shared" ca="1" si="678"/>
        <v>1.7465318507251276E-2</v>
      </c>
      <c r="AE562" s="45">
        <f t="shared" ca="1" si="691"/>
        <v>6.3847072090583081</v>
      </c>
      <c r="AF562" s="45">
        <f t="shared" ca="1" si="679"/>
        <v>0</v>
      </c>
      <c r="AG562" s="76">
        <f t="shared" ca="1" si="680"/>
        <v>65.1945857253003</v>
      </c>
      <c r="AH562" s="45">
        <f t="shared" ca="1" si="681"/>
        <v>0.18108136463690394</v>
      </c>
      <c r="AI562" s="77">
        <f t="shared" ca="1" si="682"/>
        <v>1.4534409122742878E-2</v>
      </c>
      <c r="AJ562" s="384">
        <f t="shared" ca="1" si="684"/>
        <v>2.7230623778972118E-2</v>
      </c>
      <c r="AU562" s="1"/>
    </row>
    <row r="563" spans="3:47" x14ac:dyDescent="0.25">
      <c r="C563" s="10">
        <f t="shared" si="709"/>
        <v>39</v>
      </c>
      <c r="D563" s="91">
        <f t="shared" si="692"/>
        <v>5</v>
      </c>
      <c r="E563" s="278"/>
      <c r="F563" s="76">
        <f t="shared" ref="F563:Q563" ca="1" si="725">F491</f>
        <v>13.58</v>
      </c>
      <c r="G563" s="46">
        <f t="shared" ca="1" si="725"/>
        <v>27.012600000000003</v>
      </c>
      <c r="H563" s="46">
        <f t="shared" ca="1" si="668"/>
        <v>28.517550000000004</v>
      </c>
      <c r="I563" s="45">
        <f t="shared" ca="1" si="669"/>
        <v>0.71743035359667851</v>
      </c>
      <c r="J563" s="45">
        <f t="shared" ca="1" si="670"/>
        <v>0.27952512346894071</v>
      </c>
      <c r="K563" s="45">
        <f t="shared" ca="1" si="686"/>
        <v>0.90345467800480783</v>
      </c>
      <c r="L563" s="358">
        <f t="shared" ca="1" si="671"/>
        <v>0.81042644426030708</v>
      </c>
      <c r="M563" s="76">
        <f t="shared" ca="1" si="725"/>
        <v>0.25347808785320641</v>
      </c>
      <c r="N563" s="45">
        <f t="shared" ca="1" si="725"/>
        <v>0.25</v>
      </c>
      <c r="O563" s="45">
        <f t="shared" ca="1" si="725"/>
        <v>0</v>
      </c>
      <c r="P563" s="46" t="str">
        <f t="shared" ca="1" si="725"/>
        <v/>
      </c>
      <c r="Q563" s="243" t="str">
        <f t="shared" ca="1" si="725"/>
        <v/>
      </c>
      <c r="R563" s="45">
        <f t="shared" ca="1" si="687"/>
        <v>0.31475470461382105</v>
      </c>
      <c r="S563" s="45">
        <f t="shared" ca="1" si="711"/>
        <v>5.0695617570641283E-2</v>
      </c>
      <c r="T563" s="77">
        <f t="shared" ca="1" si="672"/>
        <v>0.14164336103755834</v>
      </c>
      <c r="U563" s="45">
        <f t="shared" ca="1" si="688"/>
        <v>18.373197684709609</v>
      </c>
      <c r="V563" s="45">
        <f t="shared" ca="1" si="673"/>
        <v>0.20278247028256513</v>
      </c>
      <c r="W563" s="77">
        <f t="shared" ca="1" si="674"/>
        <v>0.32659958181209242</v>
      </c>
      <c r="X563" s="45">
        <f t="shared" ca="1" si="689"/>
        <v>1.042183557048205</v>
      </c>
      <c r="Y563" s="45">
        <f t="shared" ca="1" si="675"/>
        <v>4.5798488958133925E-2</v>
      </c>
      <c r="Z563" s="77">
        <f t="shared" ca="1" si="676"/>
        <v>4.0322410496006662E-2</v>
      </c>
      <c r="AA563" s="45">
        <f t="shared" ca="1" si="690"/>
        <v>39.152139293086663</v>
      </c>
      <c r="AB563" s="45">
        <f t="shared" ca="1" si="677"/>
        <v>0</v>
      </c>
      <c r="AC563" s="45" cm="1">
        <f t="array" aca="1" ref="AC563" ca="1">pHUM*(T563+W563+Z563+AD563)</f>
        <v>5.3880575244863442E-2</v>
      </c>
      <c r="AD563" s="77">
        <f t="shared" ca="1" si="678"/>
        <v>4.6786911028982602E-2</v>
      </c>
      <c r="AE563" s="45">
        <f t="shared" ca="1" si="691"/>
        <v>6.3847072090583081</v>
      </c>
      <c r="AF563" s="45">
        <f t="shared" ca="1" si="679"/>
        <v>0</v>
      </c>
      <c r="AG563" s="76">
        <f t="shared" ca="1" si="680"/>
        <v>65.2669824485166</v>
      </c>
      <c r="AH563" s="45">
        <f t="shared" ca="1" si="681"/>
        <v>0.4556732001716427</v>
      </c>
      <c r="AI563" s="77">
        <f t="shared" ca="1" si="682"/>
        <v>1.4337068107319622E-2</v>
      </c>
      <c r="AJ563" s="384">
        <f t="shared" ca="1" si="684"/>
        <v>3.7052305867356639E-2</v>
      </c>
      <c r="AU563" s="1"/>
    </row>
    <row r="564" spans="3:47" x14ac:dyDescent="0.25">
      <c r="C564" s="10">
        <f t="shared" si="709"/>
        <v>39</v>
      </c>
      <c r="D564" s="91">
        <f t="shared" si="692"/>
        <v>6</v>
      </c>
      <c r="E564" s="278"/>
      <c r="F564" s="76">
        <f t="shared" ref="F564:Q564" ca="1" si="726">F492</f>
        <v>18.37</v>
      </c>
      <c r="G564" s="46">
        <f t="shared" ca="1" si="726"/>
        <v>27.012600000000003</v>
      </c>
      <c r="H564" s="46">
        <f t="shared" ca="1" si="668"/>
        <v>28.517550000000004</v>
      </c>
      <c r="I564" s="45">
        <f t="shared" ca="1" si="669"/>
        <v>1.0882596087882719</v>
      </c>
      <c r="J564" s="45">
        <f t="shared" ca="1" si="670"/>
        <v>0.27952512346894071</v>
      </c>
      <c r="K564" s="45">
        <f t="shared" ca="1" si="686"/>
        <v>0.90345467800480783</v>
      </c>
      <c r="L564" s="358">
        <f t="shared" ca="1" si="671"/>
        <v>0.89586760620832129</v>
      </c>
      <c r="M564" s="76">
        <f t="shared" ca="1" si="726"/>
        <v>0.25347808785320641</v>
      </c>
      <c r="N564" s="45">
        <f t="shared" ca="1" si="726"/>
        <v>0.25</v>
      </c>
      <c r="O564" s="45">
        <f t="shared" ca="1" si="726"/>
        <v>0</v>
      </c>
      <c r="P564" s="46" t="str">
        <f t="shared" ca="1" si="726"/>
        <v/>
      </c>
      <c r="Q564" s="243" t="str">
        <f t="shared" ca="1" si="726"/>
        <v/>
      </c>
      <c r="R564" s="45">
        <f t="shared" ca="1" si="687"/>
        <v>0.22380696114690399</v>
      </c>
      <c r="S564" s="45">
        <f t="shared" ca="1" si="711"/>
        <v>5.0695617570641283E-2</v>
      </c>
      <c r="T564" s="77">
        <f t="shared" ca="1" si="672"/>
        <v>0.1334379969187959</v>
      </c>
      <c r="U564" s="45">
        <f t="shared" ca="1" si="688"/>
        <v>18.24938057318008</v>
      </c>
      <c r="V564" s="45">
        <f t="shared" ca="1" si="673"/>
        <v>0.20278247028256513</v>
      </c>
      <c r="W564" s="77">
        <f t="shared" ca="1" si="674"/>
        <v>0.48980839802400356</v>
      </c>
      <c r="X564" s="45">
        <f t="shared" ca="1" si="689"/>
        <v>1.0476596355103323</v>
      </c>
      <c r="Y564" s="45">
        <f t="shared" ca="1" si="675"/>
        <v>6.2269104248253229E-2</v>
      </c>
      <c r="Z564" s="77">
        <f t="shared" ca="1" si="676"/>
        <v>6.0867161099557109E-2</v>
      </c>
      <c r="AA564" s="45">
        <f t="shared" ca="1" si="690"/>
        <v>39.159232957302542</v>
      </c>
      <c r="AB564" s="45">
        <f t="shared" ca="1" si="677"/>
        <v>0</v>
      </c>
      <c r="AC564" s="45" cm="1">
        <f t="array" aca="1" ref="AC564" ca="1">pHUM*(T564+W564+Z564+AD564)</f>
        <v>7.325776970382733E-2</v>
      </c>
      <c r="AD564" s="77">
        <f t="shared" ca="1" si="678"/>
        <v>7.0961312835085499E-2</v>
      </c>
      <c r="AE564" s="45">
        <f t="shared" ca="1" si="691"/>
        <v>6.3847072090583081</v>
      </c>
      <c r="AF564" s="45">
        <f t="shared" ca="1" si="679"/>
        <v>0</v>
      </c>
      <c r="AG564" s="76">
        <f t="shared" ca="1" si="680"/>
        <v>65.064787336198165</v>
      </c>
      <c r="AH564" s="45">
        <f t="shared" ca="1" si="681"/>
        <v>0.6195479949253615</v>
      </c>
      <c r="AI564" s="77">
        <f t="shared" ca="1" si="682"/>
        <v>1.304747679010731E-2</v>
      </c>
      <c r="AJ564" s="384">
        <f t="shared" ca="1" si="684"/>
        <v>3.7274477435532694E-2</v>
      </c>
      <c r="AU564" s="1"/>
    </row>
    <row r="565" spans="3:47" x14ac:dyDescent="0.25">
      <c r="C565" s="10">
        <f t="shared" si="709"/>
        <v>39</v>
      </c>
      <c r="D565" s="91">
        <f t="shared" si="692"/>
        <v>7</v>
      </c>
      <c r="E565" s="278"/>
      <c r="F565" s="76">
        <f t="shared" ref="F565:Q565" ca="1" si="727">F493</f>
        <v>22.71</v>
      </c>
      <c r="G565" s="46">
        <f t="shared" ca="1" si="727"/>
        <v>27.012600000000003</v>
      </c>
      <c r="H565" s="46">
        <f t="shared" ca="1" si="668"/>
        <v>28.517550000000004</v>
      </c>
      <c r="I565" s="45">
        <f t="shared" ca="1" si="669"/>
        <v>1.4513708414333564</v>
      </c>
      <c r="J565" s="45">
        <f t="shared" ca="1" si="670"/>
        <v>0.27952512346894071</v>
      </c>
      <c r="K565" s="45">
        <f t="shared" ca="1" si="686"/>
        <v>0.90345467800480783</v>
      </c>
      <c r="L565" s="358">
        <f t="shared" ca="1" si="671"/>
        <v>0.94004721434733285</v>
      </c>
      <c r="M565" s="76">
        <f t="shared" ca="1" si="727"/>
        <v>0.25347808785320641</v>
      </c>
      <c r="N565" s="45">
        <f t="shared" ca="1" si="727"/>
        <v>0.25</v>
      </c>
      <c r="O565" s="45">
        <f t="shared" ca="1" si="727"/>
        <v>0</v>
      </c>
      <c r="P565" s="46" t="str">
        <f t="shared" ca="1" si="727"/>
        <v/>
      </c>
      <c r="Q565" s="243" t="str">
        <f t="shared" ca="1" si="727"/>
        <v/>
      </c>
      <c r="R565" s="45">
        <f t="shared" ca="1" si="687"/>
        <v>0.14106458179874934</v>
      </c>
      <c r="S565" s="45">
        <f t="shared" ca="1" si="711"/>
        <v>5.0695617570641283E-2</v>
      </c>
      <c r="T565" s="77">
        <f t="shared" ca="1" si="672"/>
        <v>9.8977446831495092E-2</v>
      </c>
      <c r="U565" s="45">
        <f t="shared" ca="1" si="688"/>
        <v>17.962354645438641</v>
      </c>
      <c r="V565" s="45">
        <f t="shared" ca="1" si="673"/>
        <v>0.20278247028256513</v>
      </c>
      <c r="W565" s="77">
        <f t="shared" ca="1" si="674"/>
        <v>0.64006851281019062</v>
      </c>
      <c r="X565" s="45">
        <f t="shared" ca="1" si="689"/>
        <v>1.0490615786590285</v>
      </c>
      <c r="Y565" s="45">
        <f t="shared" ca="1" si="675"/>
        <v>7.5387452597554486E-2</v>
      </c>
      <c r="Z565" s="77">
        <f t="shared" ca="1" si="676"/>
        <v>8.048658499794073E-2</v>
      </c>
      <c r="AA565" s="45">
        <f t="shared" ca="1" si="690"/>
        <v>39.161529414171284</v>
      </c>
      <c r="AB565" s="45">
        <f t="shared" ca="1" si="677"/>
        <v>0</v>
      </c>
      <c r="AC565" s="45" cm="1">
        <f t="array" aca="1" ref="AC565" ca="1">pHUM*(T565+W565+Z565+AD565)</f>
        <v>8.8691120703005277E-2</v>
      </c>
      <c r="AD565" s="77">
        <f t="shared" ca="1" si="678"/>
        <v>9.4615355387370217E-2</v>
      </c>
      <c r="AE565" s="45">
        <f t="shared" ca="1" si="691"/>
        <v>6.3847072090583081</v>
      </c>
      <c r="AF565" s="45">
        <f t="shared" ca="1" si="679"/>
        <v>0</v>
      </c>
      <c r="AG565" s="76">
        <f t="shared" ca="1" si="680"/>
        <v>64.698717429126006</v>
      </c>
      <c r="AH565" s="45">
        <f t="shared" ca="1" si="681"/>
        <v>0.750069326726437</v>
      </c>
      <c r="AI565" s="77">
        <f t="shared" ca="1" si="682"/>
        <v>1.1825293513784377E-2</v>
      </c>
      <c r="AJ565" s="384">
        <f t="shared" ca="1" si="684"/>
        <v>3.5448963509093767E-2</v>
      </c>
      <c r="AU565" s="1"/>
    </row>
    <row r="566" spans="3:47" x14ac:dyDescent="0.25">
      <c r="C566" s="10">
        <f t="shared" si="709"/>
        <v>39</v>
      </c>
      <c r="D566" s="91">
        <f t="shared" si="692"/>
        <v>8</v>
      </c>
      <c r="E566" s="278"/>
      <c r="F566" s="76">
        <f t="shared" ref="F566:Q566" ca="1" si="728">F494</f>
        <v>19.329999999999998</v>
      </c>
      <c r="G566" s="46">
        <f t="shared" ca="1" si="728"/>
        <v>27.012600000000003</v>
      </c>
      <c r="H566" s="46">
        <f t="shared" ca="1" si="668"/>
        <v>28.517550000000004</v>
      </c>
      <c r="I566" s="45">
        <f t="shared" ca="1" si="669"/>
        <v>1.1670427279291871</v>
      </c>
      <c r="J566" s="45">
        <f t="shared" ca="1" si="670"/>
        <v>0.27952512346894071</v>
      </c>
      <c r="K566" s="45">
        <f t="shared" ca="1" si="686"/>
        <v>0.90345467800480783</v>
      </c>
      <c r="L566" s="358">
        <f t="shared" ca="1" si="671"/>
        <v>0.9079689727892073</v>
      </c>
      <c r="M566" s="76">
        <f t="shared" ca="1" si="728"/>
        <v>0.25347808785320641</v>
      </c>
      <c r="N566" s="45">
        <f t="shared" ca="1" si="728"/>
        <v>0.25</v>
      </c>
      <c r="O566" s="45">
        <f t="shared" ca="1" si="728"/>
        <v>0</v>
      </c>
      <c r="P566" s="46" t="str">
        <f t="shared" ca="1" si="728"/>
        <v/>
      </c>
      <c r="Q566" s="243" t="str">
        <f t="shared" ca="1" si="728"/>
        <v/>
      </c>
      <c r="R566" s="45">
        <f t="shared" ca="1" si="687"/>
        <v>9.278275253789553E-2</v>
      </c>
      <c r="S566" s="45">
        <f t="shared" ca="1" si="711"/>
        <v>5.0695617570641283E-2</v>
      </c>
      <c r="T566" s="77">
        <f t="shared" ca="1" si="672"/>
        <v>5.7699455138857644E-2</v>
      </c>
      <c r="U566" s="45">
        <f t="shared" ca="1" si="688"/>
        <v>17.525068602911013</v>
      </c>
      <c r="V566" s="45">
        <f t="shared" ca="1" si="673"/>
        <v>0.20278247028256513</v>
      </c>
      <c r="W566" s="77">
        <f t="shared" ca="1" si="674"/>
        <v>0.50392556696593382</v>
      </c>
      <c r="X566" s="45">
        <f t="shared" ca="1" si="689"/>
        <v>1.0439624462586421</v>
      </c>
      <c r="Y566" s="45">
        <f t="shared" ca="1" si="675"/>
        <v>5.7942900145205777E-2</v>
      </c>
      <c r="Z566" s="77">
        <f t="shared" ca="1" si="676"/>
        <v>6.4903896183979265E-2</v>
      </c>
      <c r="AA566" s="45">
        <f t="shared" ca="1" si="690"/>
        <v>39.155605179486919</v>
      </c>
      <c r="AB566" s="45">
        <f t="shared" ca="1" si="677"/>
        <v>0</v>
      </c>
      <c r="AC566" s="45" cm="1">
        <f t="array" aca="1" ref="AC566" ca="1">pHUM*(T566+W566+Z566+AD566)</f>
        <v>6.8168117817889159E-2</v>
      </c>
      <c r="AD566" s="77">
        <f t="shared" ca="1" si="678"/>
        <v>7.6086419730119592E-2</v>
      </c>
      <c r="AE566" s="45">
        <f t="shared" ca="1" si="691"/>
        <v>6.3847072090583081</v>
      </c>
      <c r="AF566" s="45">
        <f t="shared" ca="1" si="679"/>
        <v>0</v>
      </c>
      <c r="AG566" s="76">
        <f t="shared" ca="1" si="680"/>
        <v>64.202126190252784</v>
      </c>
      <c r="AH566" s="45">
        <f t="shared" ca="1" si="681"/>
        <v>0.57650432005579555</v>
      </c>
      <c r="AI566" s="77">
        <f t="shared" ca="1" si="682"/>
        <v>1.1036863341108542E-2</v>
      </c>
      <c r="AJ566" s="384">
        <f t="shared" ca="1" si="684"/>
        <v>3.195656195314367E-2</v>
      </c>
      <c r="AU566" s="1"/>
    </row>
    <row r="567" spans="3:47" x14ac:dyDescent="0.25">
      <c r="C567" s="10">
        <f t="shared" si="709"/>
        <v>39</v>
      </c>
      <c r="D567" s="91">
        <f t="shared" si="692"/>
        <v>9</v>
      </c>
      <c r="E567" s="278"/>
      <c r="F567" s="76">
        <f t="shared" ref="F567:Q567" ca="1" si="729">F495</f>
        <v>15.36</v>
      </c>
      <c r="G567" s="46">
        <f t="shared" ca="1" si="729"/>
        <v>27.012600000000003</v>
      </c>
      <c r="H567" s="46">
        <f t="shared" ca="1" si="668"/>
        <v>28.517550000000004</v>
      </c>
      <c r="I567" s="45">
        <f t="shared" ca="1" si="669"/>
        <v>0.85004563012661705</v>
      </c>
      <c r="J567" s="45">
        <f t="shared" ca="1" si="670"/>
        <v>0.27952512346894071</v>
      </c>
      <c r="K567" s="45">
        <f t="shared" ca="1" si="686"/>
        <v>0.90345467800480783</v>
      </c>
      <c r="L567" s="358">
        <f t="shared" ca="1" si="671"/>
        <v>0.84745728919304408</v>
      </c>
      <c r="M567" s="76">
        <f t="shared" ca="1" si="729"/>
        <v>0.25347808785320641</v>
      </c>
      <c r="N567" s="45">
        <f t="shared" ca="1" si="729"/>
        <v>0.25</v>
      </c>
      <c r="O567" s="45">
        <f t="shared" ca="1" si="729"/>
        <v>0</v>
      </c>
      <c r="P567" s="46" t="str">
        <f t="shared" ca="1" si="729"/>
        <v/>
      </c>
      <c r="Q567" s="243" t="str">
        <f t="shared" ca="1" si="729"/>
        <v/>
      </c>
      <c r="R567" s="45">
        <f t="shared" ca="1" si="687"/>
        <v>8.5778914969679168E-2</v>
      </c>
      <c r="S567" s="45">
        <f t="shared" ca="1" si="711"/>
        <v>5.0695617570641283E-2</v>
      </c>
      <c r="T567" s="77">
        <f t="shared" ca="1" si="672"/>
        <v>4.3537468977546526E-2</v>
      </c>
      <c r="U567" s="45">
        <f t="shared" ca="1" si="688"/>
        <v>17.223925506227644</v>
      </c>
      <c r="V567" s="45">
        <f t="shared" ca="1" si="673"/>
        <v>0.20278247028256513</v>
      </c>
      <c r="W567" s="77">
        <f t="shared" ca="1" si="674"/>
        <v>0.3621662129207634</v>
      </c>
      <c r="X567" s="45">
        <f t="shared" ca="1" si="689"/>
        <v>1.0370014502198688</v>
      </c>
      <c r="Y567" s="45">
        <f t="shared" ca="1" si="675"/>
        <v>4.1934137239339316E-2</v>
      </c>
      <c r="Z567" s="77">
        <f t="shared" ca="1" si="676"/>
        <v>4.7366540504663754E-2</v>
      </c>
      <c r="AA567" s="45">
        <f t="shared" ca="1" si="690"/>
        <v>39.147686877574692</v>
      </c>
      <c r="AB567" s="45">
        <f t="shared" ca="1" si="677"/>
        <v>0</v>
      </c>
      <c r="AC567" s="45" cm="1">
        <f t="array" aca="1" ref="AC567" ca="1">pHUM*(T567+W567+Z567+AD567)</f>
        <v>4.9334279105105079E-2</v>
      </c>
      <c r="AD567" s="77">
        <f t="shared" ca="1" si="678"/>
        <v>5.5422930979283552E-2</v>
      </c>
      <c r="AE567" s="45">
        <f t="shared" ca="1" si="691"/>
        <v>6.3847072090583081</v>
      </c>
      <c r="AF567" s="45">
        <f t="shared" ca="1" si="679"/>
        <v>0</v>
      </c>
      <c r="AG567" s="76">
        <f t="shared" ca="1" si="680"/>
        <v>63.87909995805019</v>
      </c>
      <c r="AH567" s="45">
        <f t="shared" ca="1" si="681"/>
        <v>0.41722473703781282</v>
      </c>
      <c r="AI567" s="77">
        <f t="shared" ca="1" si="682"/>
        <v>1.0859524929343455E-2</v>
      </c>
      <c r="AJ567" s="384">
        <f t="shared" ca="1" si="684"/>
        <v>2.934763381548966E-2</v>
      </c>
      <c r="AU567" s="1"/>
    </row>
    <row r="568" spans="3:47" x14ac:dyDescent="0.25">
      <c r="C568" s="10">
        <f t="shared" si="709"/>
        <v>39</v>
      </c>
      <c r="D568" s="91">
        <f t="shared" si="692"/>
        <v>10</v>
      </c>
      <c r="E568" s="278"/>
      <c r="F568" s="76">
        <f t="shared" ref="F568:Q568" ca="1" si="730">F496</f>
        <v>10.24</v>
      </c>
      <c r="G568" s="46">
        <f t="shared" ca="1" si="730"/>
        <v>27.012600000000003</v>
      </c>
      <c r="H568" s="46">
        <f t="shared" ca="1" si="668"/>
        <v>28.517550000000004</v>
      </c>
      <c r="I568" s="45">
        <f t="shared" ca="1" si="669"/>
        <v>0.49116850915432075</v>
      </c>
      <c r="J568" s="45">
        <f t="shared" ca="1" si="670"/>
        <v>0.27952512346894071</v>
      </c>
      <c r="K568" s="45">
        <f t="shared" ca="1" si="686"/>
        <v>0.90345467800480783</v>
      </c>
      <c r="L568" s="358">
        <f t="shared" ca="1" si="671"/>
        <v>0.72269796343841763</v>
      </c>
      <c r="M568" s="76">
        <f t="shared" ca="1" si="730"/>
        <v>0.25347808785320641</v>
      </c>
      <c r="N568" s="45">
        <f t="shared" ca="1" si="730"/>
        <v>0.25</v>
      </c>
      <c r="O568" s="45">
        <f t="shared" ca="1" si="730"/>
        <v>0</v>
      </c>
      <c r="P568" s="46" t="str">
        <f t="shared" ca="1" si="730"/>
        <v/>
      </c>
      <c r="Q568" s="243" t="str">
        <f t="shared" ca="1" si="730"/>
        <v/>
      </c>
      <c r="R568" s="45">
        <f t="shared" ca="1" si="687"/>
        <v>9.2937063562773911E-2</v>
      </c>
      <c r="S568" s="45">
        <f t="shared" ca="1" si="711"/>
        <v>5.0695617570641283E-2</v>
      </c>
      <c r="T568" s="77">
        <f t="shared" ca="1" si="672"/>
        <v>3.1216606232968552E-2</v>
      </c>
      <c r="U568" s="45">
        <f t="shared" ca="1" si="688"/>
        <v>17.064541763589446</v>
      </c>
      <c r="V568" s="45">
        <f t="shared" ca="1" si="673"/>
        <v>0.20278247028256513</v>
      </c>
      <c r="W568" s="77">
        <f t="shared" ca="1" si="674"/>
        <v>0.20825790016856219</v>
      </c>
      <c r="X568" s="45">
        <f t="shared" ca="1" si="689"/>
        <v>1.0315690469545444</v>
      </c>
      <c r="Y568" s="45">
        <f t="shared" ca="1" si="675"/>
        <v>2.4657547575489571E-2</v>
      </c>
      <c r="Z568" s="77">
        <f t="shared" ca="1" si="676"/>
        <v>2.7494044940625968E-2</v>
      </c>
      <c r="AA568" s="45">
        <f t="shared" ca="1" si="690"/>
        <v>39.141598225700513</v>
      </c>
      <c r="AB568" s="45">
        <f t="shared" ca="1" si="677"/>
        <v>0</v>
      </c>
      <c r="AC568" s="45" cm="1">
        <f t="array" aca="1" ref="AC568" ca="1">pHUM*(T568+W568+Z568+AD568)</f>
        <v>2.9008879500575964E-2</v>
      </c>
      <c r="AD568" s="77">
        <f t="shared" ca="1" si="678"/>
        <v>3.2028756025153891E-2</v>
      </c>
      <c r="AE568" s="45">
        <f t="shared" ca="1" si="691"/>
        <v>6.3847072090583081</v>
      </c>
      <c r="AF568" s="45">
        <f t="shared" ca="1" si="679"/>
        <v>0</v>
      </c>
      <c r="AG568" s="76">
        <f t="shared" ca="1" si="680"/>
        <v>63.715353308865588</v>
      </c>
      <c r="AH568" s="45">
        <f t="shared" ca="1" si="681"/>
        <v>0.24533088029124506</v>
      </c>
      <c r="AI568" s="77">
        <f t="shared" ca="1" si="682"/>
        <v>1.0919698874388806E-2</v>
      </c>
      <c r="AJ568" s="384">
        <f t="shared" ca="1" si="684"/>
        <v>2.5165968686912121E-2</v>
      </c>
      <c r="AU568" s="1"/>
    </row>
    <row r="569" spans="3:47" x14ac:dyDescent="0.25">
      <c r="C569" s="10">
        <f t="shared" si="709"/>
        <v>39</v>
      </c>
      <c r="D569" s="91">
        <f t="shared" si="692"/>
        <v>11</v>
      </c>
      <c r="E569" s="278"/>
      <c r="F569" s="76">
        <f t="shared" ref="F569:Q569" ca="1" si="731">F497</f>
        <v>1.6</v>
      </c>
      <c r="G569" s="46">
        <f t="shared" ca="1" si="731"/>
        <v>27.012600000000003</v>
      </c>
      <c r="H569" s="46">
        <f t="shared" ca="1" si="668"/>
        <v>28.517550000000004</v>
      </c>
      <c r="I569" s="45">
        <f t="shared" ca="1" si="669"/>
        <v>9.9319080037688343E-2</v>
      </c>
      <c r="J569" s="45">
        <f t="shared" ca="1" si="670"/>
        <v>0.27952512346894071</v>
      </c>
      <c r="K569" s="45">
        <f t="shared" ca="1" si="686"/>
        <v>0.90345467800480783</v>
      </c>
      <c r="L569" s="358">
        <f t="shared" ca="1" si="671"/>
        <v>0.41844375967031366</v>
      </c>
      <c r="M569" s="76">
        <f t="shared" ca="1" si="731"/>
        <v>0.25347808785320641</v>
      </c>
      <c r="N569" s="45">
        <f t="shared" ca="1" si="731"/>
        <v>0.25</v>
      </c>
      <c r="O569" s="45">
        <f t="shared" ca="1" si="731"/>
        <v>0</v>
      </c>
      <c r="P569" s="46" t="str">
        <f t="shared" ca="1" si="731"/>
        <v/>
      </c>
      <c r="Q569" s="243" t="str">
        <f t="shared" ca="1" si="731"/>
        <v/>
      </c>
      <c r="R569" s="45">
        <f t="shared" ca="1" si="687"/>
        <v>0.11241607490044665</v>
      </c>
      <c r="S569" s="45">
        <f t="shared" ca="1" si="711"/>
        <v>5.0695617570641283E-2</v>
      </c>
      <c r="T569" s="77">
        <f t="shared" ca="1" si="672"/>
        <v>8.9295880519691829E-3</v>
      </c>
      <c r="U569" s="45">
        <f t="shared" ca="1" si="688"/>
        <v>17.059066333703448</v>
      </c>
      <c r="V569" s="45">
        <f t="shared" ca="1" si="673"/>
        <v>0.20278247028256513</v>
      </c>
      <c r="W569" s="77">
        <f t="shared" ca="1" si="674"/>
        <v>4.2304726797631018E-2</v>
      </c>
      <c r="X569" s="45">
        <f t="shared" ca="1" si="689"/>
        <v>1.028732549589408</v>
      </c>
      <c r="Y569" s="45">
        <f t="shared" ca="1" si="675"/>
        <v>5.2215622730823691E-3</v>
      </c>
      <c r="Z569" s="77">
        <f t="shared" ca="1" si="676"/>
        <v>5.6041818780025324E-3</v>
      </c>
      <c r="AA569" s="45">
        <f t="shared" ca="1" si="690"/>
        <v>39.13857834917593</v>
      </c>
      <c r="AB569" s="45">
        <f t="shared" ca="1" si="677"/>
        <v>0</v>
      </c>
      <c r="AC569" s="45" cm="1">
        <f t="array" aca="1" ref="AC569" ca="1">pHUM*(T569+W569+Z569+AD569)</f>
        <v>6.1430144389204343E-3</v>
      </c>
      <c r="AD569" s="77">
        <f t="shared" ca="1" si="678"/>
        <v>6.4781431418983156E-3</v>
      </c>
      <c r="AE569" s="45">
        <f t="shared" ca="1" si="691"/>
        <v>6.3847072090583081</v>
      </c>
      <c r="AF569" s="45">
        <f t="shared" ca="1" si="679"/>
        <v>0</v>
      </c>
      <c r="AG569" s="76">
        <f t="shared" ca="1" si="680"/>
        <v>63.723500516427535</v>
      </c>
      <c r="AH569" s="45">
        <f t="shared" ca="1" si="681"/>
        <v>5.195206315749825E-2</v>
      </c>
      <c r="AI569" s="77">
        <f t="shared" ca="1" si="682"/>
        <v>1.1196049617943904E-2</v>
      </c>
      <c r="AJ569" s="384">
        <f t="shared" ca="1" si="684"/>
        <v>1.4940057142159846E-2</v>
      </c>
      <c r="AU569" s="1"/>
    </row>
    <row r="570" spans="3:47" x14ac:dyDescent="0.25">
      <c r="C570" s="10">
        <f t="shared" si="709"/>
        <v>39</v>
      </c>
      <c r="D570" s="91">
        <f t="shared" si="692"/>
        <v>12</v>
      </c>
      <c r="E570" s="278"/>
      <c r="F570" s="76">
        <f t="shared" ref="F570:Q570" ca="1" si="732">F498</f>
        <v>-3.59</v>
      </c>
      <c r="G570" s="46">
        <f t="shared" ca="1" si="732"/>
        <v>27.012600000000003</v>
      </c>
      <c r="H570" s="46">
        <f t="shared" ca="1" si="668"/>
        <v>28.517550000000004</v>
      </c>
      <c r="I570" s="45">
        <f t="shared" ca="1" si="669"/>
        <v>1.5109209527995384E-2</v>
      </c>
      <c r="J570" s="45">
        <f t="shared" ca="1" si="670"/>
        <v>0.27952512346894071</v>
      </c>
      <c r="K570" s="45">
        <f t="shared" ca="1" si="686"/>
        <v>0.90345467800480783</v>
      </c>
      <c r="L570" s="358">
        <f t="shared" ca="1" si="671"/>
        <v>0.24908644075501707</v>
      </c>
      <c r="M570" s="76">
        <f t="shared" ca="1" si="732"/>
        <v>0.25347808785320641</v>
      </c>
      <c r="N570" s="45">
        <f t="shared" ca="1" si="732"/>
        <v>0.25</v>
      </c>
      <c r="O570" s="45">
        <f t="shared" ca="1" si="732"/>
        <v>0</v>
      </c>
      <c r="P570" s="46" t="str">
        <f t="shared" ca="1" si="732"/>
        <v/>
      </c>
      <c r="Q570" s="243" t="str">
        <f t="shared" ca="1" si="732"/>
        <v/>
      </c>
      <c r="R570" s="45">
        <f t="shared" ca="1" si="687"/>
        <v>0.15418210441911873</v>
      </c>
      <c r="S570" s="45">
        <f t="shared" ca="1" si="711"/>
        <v>5.0695617570641283E-2</v>
      </c>
      <c r="T570" s="77">
        <f t="shared" ca="1" si="672"/>
        <v>1.9291377207575763E-3</v>
      </c>
      <c r="U570" s="45">
        <f t="shared" ca="1" si="688"/>
        <v>17.219544077188381</v>
      </c>
      <c r="V570" s="45">
        <f t="shared" ca="1" si="673"/>
        <v>0.20278247028256513</v>
      </c>
      <c r="W570" s="77">
        <f t="shared" ca="1" si="674"/>
        <v>6.5031141972104424E-3</v>
      </c>
      <c r="X570" s="45">
        <f t="shared" ca="1" si="689"/>
        <v>1.0283499299844878</v>
      </c>
      <c r="Y570" s="45">
        <f t="shared" ca="1" si="675"/>
        <v>8.4710818325028979E-4</v>
      </c>
      <c r="Z570" s="77">
        <f t="shared" ca="1" si="676"/>
        <v>8.5421052439576552E-4</v>
      </c>
      <c r="AA570" s="45">
        <f t="shared" ca="1" si="690"/>
        <v>39.138243220472951</v>
      </c>
      <c r="AB570" s="45">
        <f t="shared" ca="1" si="677"/>
        <v>0</v>
      </c>
      <c r="AC570" s="45" cm="1">
        <f t="array" aca="1" ref="AC570" ca="1">pHUM*(T570+W570+Z570+AD570)</f>
        <v>9.965978626473998E-4</v>
      </c>
      <c r="AD570" s="77">
        <f t="shared" ca="1" si="678"/>
        <v>9.8556745295406132E-4</v>
      </c>
      <c r="AE570" s="45">
        <f t="shared" ca="1" si="691"/>
        <v>6.3847072090583081</v>
      </c>
      <c r="AF570" s="45">
        <f t="shared" ca="1" si="679"/>
        <v>0</v>
      </c>
      <c r="AG570" s="76">
        <f t="shared" ca="1" si="680"/>
        <v>63.925026541123245</v>
      </c>
      <c r="AH570" s="45">
        <f t="shared" ca="1" si="681"/>
        <v>8.4283238494201572E-3</v>
      </c>
      <c r="AI570" s="77">
        <f t="shared" ca="1" si="682"/>
        <v>1.1831066430715499E-2</v>
      </c>
      <c r="AJ570" s="384">
        <f t="shared" ca="1" si="684"/>
        <v>9.3978086746626666E-3</v>
      </c>
      <c r="AU570" s="1"/>
    </row>
    <row r="571" spans="3:47" x14ac:dyDescent="0.25">
      <c r="C571" s="10">
        <f t="shared" si="709"/>
        <v>40</v>
      </c>
      <c r="D571" s="91">
        <f t="shared" si="692"/>
        <v>1</v>
      </c>
      <c r="E571" s="278"/>
      <c r="F571" s="76">
        <f t="shared" ref="F571:Q571" ca="1" si="733">F499</f>
        <v>-7.32</v>
      </c>
      <c r="G571" s="46">
        <f t="shared" ca="1" si="733"/>
        <v>27.012600000000003</v>
      </c>
      <c r="H571" s="46">
        <f t="shared" ca="1" si="668"/>
        <v>28.517550000000004</v>
      </c>
      <c r="I571" s="45">
        <f t="shared" ca="1" si="669"/>
        <v>1.2903599790233234E-3</v>
      </c>
      <c r="J571" s="45">
        <f t="shared" ca="1" si="670"/>
        <v>0.27952512346894071</v>
      </c>
      <c r="K571" s="45">
        <f t="shared" ca="1" si="686"/>
        <v>0.90345467800480783</v>
      </c>
      <c r="L571" s="358">
        <f t="shared" ca="1" si="671"/>
        <v>0.15974615302556239</v>
      </c>
      <c r="M571" s="76">
        <f t="shared" ca="1" si="733"/>
        <v>0.25347808785320641</v>
      </c>
      <c r="N571" s="45">
        <f t="shared" ca="1" si="733"/>
        <v>0.25</v>
      </c>
      <c r="O571" s="45">
        <f t="shared" ca="1" si="733"/>
        <v>0</v>
      </c>
      <c r="P571" s="46" t="str">
        <f t="shared" ca="1" si="733"/>
        <v/>
      </c>
      <c r="Q571" s="243" t="str">
        <f t="shared" ca="1" si="733"/>
        <v/>
      </c>
      <c r="R571" s="45">
        <f t="shared" ca="1" si="687"/>
        <v>0.20294858426900242</v>
      </c>
      <c r="S571" s="45">
        <f t="shared" ca="1" si="711"/>
        <v>5.0695617570641283E-2</v>
      </c>
      <c r="T571" s="77">
        <f t="shared" ca="1" si="672"/>
        <v>2.1811331947600471E-4</v>
      </c>
      <c r="U571" s="45">
        <f t="shared" ca="1" si="688"/>
        <v>17.415823433273733</v>
      </c>
      <c r="V571" s="45">
        <f t="shared" ca="1" si="673"/>
        <v>0.20278247028256513</v>
      </c>
      <c r="W571" s="77">
        <f t="shared" ca="1" si="674"/>
        <v>5.6180797727064212E-4</v>
      </c>
      <c r="X571" s="45">
        <f t="shared" ca="1" si="689"/>
        <v>1.0283428276433424</v>
      </c>
      <c r="Y571" s="45">
        <f t="shared" ca="1" si="675"/>
        <v>7.7277831714043135E-5</v>
      </c>
      <c r="Z571" s="77">
        <f t="shared" ca="1" si="676"/>
        <v>7.2978693950608015E-5</v>
      </c>
      <c r="AA571" s="45">
        <f t="shared" ca="1" si="690"/>
        <v>39.138254250882639</v>
      </c>
      <c r="AB571" s="45">
        <f t="shared" ca="1" si="677"/>
        <v>0</v>
      </c>
      <c r="AC571" s="45" cm="1">
        <f t="array" aca="1" ref="AC571" ca="1">pHUM*(T571+W571+Z571+AD571)</f>
        <v>9.0915096134168395E-5</v>
      </c>
      <c r="AD571" s="77">
        <f t="shared" ca="1" si="678"/>
        <v>8.4170637715566703E-5</v>
      </c>
      <c r="AE571" s="45">
        <f t="shared" ca="1" si="691"/>
        <v>6.3847072090583081</v>
      </c>
      <c r="AF571" s="45">
        <f t="shared" ca="1" si="679"/>
        <v>0</v>
      </c>
      <c r="AG571" s="76">
        <f t="shared" ca="1" si="680"/>
        <v>64.170076305127026</v>
      </c>
      <c r="AH571" s="45">
        <f t="shared" ca="1" si="681"/>
        <v>7.6887770056461007E-4</v>
      </c>
      <c r="AI571" s="77">
        <f t="shared" ca="1" si="682"/>
        <v>1.2569075817796921E-2</v>
      </c>
      <c r="AJ571" s="384">
        <f t="shared" ca="1" si="684"/>
        <v>6.4030604308074057E-3</v>
      </c>
      <c r="AU571" s="1"/>
    </row>
    <row r="572" spans="3:47" x14ac:dyDescent="0.25">
      <c r="C572" s="10">
        <f t="shared" si="709"/>
        <v>40</v>
      </c>
      <c r="D572" s="91">
        <f t="shared" si="692"/>
        <v>2</v>
      </c>
      <c r="E572" s="278"/>
      <c r="F572" s="76">
        <f t="shared" ref="F572:Q572" ca="1" si="734">F500</f>
        <v>-7.56</v>
      </c>
      <c r="G572" s="46">
        <f t="shared" ca="1" si="734"/>
        <v>27.012600000000003</v>
      </c>
      <c r="H572" s="46">
        <f t="shared" ca="1" si="668"/>
        <v>28.517550000000004</v>
      </c>
      <c r="I572" s="45">
        <f t="shared" ca="1" si="669"/>
        <v>1.0386103497602255E-3</v>
      </c>
      <c r="J572" s="45">
        <f t="shared" ca="1" si="670"/>
        <v>0.27952512346894071</v>
      </c>
      <c r="K572" s="45">
        <f t="shared" ca="1" si="686"/>
        <v>0.90345467800480783</v>
      </c>
      <c r="L572" s="358">
        <f t="shared" ca="1" si="671"/>
        <v>0.15499691161362872</v>
      </c>
      <c r="M572" s="76">
        <f t="shared" ca="1" si="734"/>
        <v>0.25347808785320641</v>
      </c>
      <c r="N572" s="45">
        <f t="shared" ca="1" si="734"/>
        <v>0.25</v>
      </c>
      <c r="O572" s="45">
        <f t="shared" ca="1" si="734"/>
        <v>0</v>
      </c>
      <c r="P572" s="46" t="str">
        <f t="shared" ca="1" si="734"/>
        <v/>
      </c>
      <c r="Q572" s="243" t="str">
        <f t="shared" ca="1" si="734"/>
        <v/>
      </c>
      <c r="R572" s="45">
        <f t="shared" ca="1" si="687"/>
        <v>0.25342608852016768</v>
      </c>
      <c r="S572" s="45">
        <f t="shared" ca="1" si="711"/>
        <v>5.0695617570641283E-2</v>
      </c>
      <c r="T572" s="77">
        <f t="shared" ca="1" si="672"/>
        <v>2.1924757134496564E-4</v>
      </c>
      <c r="U572" s="45">
        <f t="shared" ca="1" si="688"/>
        <v>17.618044095579027</v>
      </c>
      <c r="V572" s="45">
        <f t="shared" ca="1" si="673"/>
        <v>0.20278247028256513</v>
      </c>
      <c r="W572" s="77">
        <f t="shared" ca="1" si="674"/>
        <v>4.5745113456152273E-4</v>
      </c>
      <c r="X572" s="45">
        <f t="shared" ca="1" si="689"/>
        <v>1.0283471267811057</v>
      </c>
      <c r="Y572" s="45">
        <f t="shared" ca="1" si="675"/>
        <v>6.6236940488745484E-5</v>
      </c>
      <c r="Z572" s="77">
        <f t="shared" ca="1" si="676"/>
        <v>5.8741180527226589E-5</v>
      </c>
      <c r="AA572" s="45">
        <f t="shared" ca="1" si="690"/>
        <v>39.138260995341064</v>
      </c>
      <c r="AB572" s="45">
        <f t="shared" ca="1" si="677"/>
        <v>0</v>
      </c>
      <c r="AC572" s="45" cm="1">
        <f t="array" aca="1" ref="AC572" ca="1">pHUM*(T572+W572+Z572+AD572)</f>
        <v>7.7925812339700576E-5</v>
      </c>
      <c r="AD572" s="77">
        <f t="shared" ca="1" si="678"/>
        <v>6.774894626553517E-5</v>
      </c>
      <c r="AE572" s="45">
        <f t="shared" ca="1" si="691"/>
        <v>6.3847072090583081</v>
      </c>
      <c r="AF572" s="45">
        <f t="shared" ca="1" si="679"/>
        <v>0</v>
      </c>
      <c r="AG572" s="76">
        <f t="shared" ca="1" si="680"/>
        <v>64.422785515279671</v>
      </c>
      <c r="AH572" s="45">
        <f t="shared" ca="1" si="681"/>
        <v>6.5902607987080415E-4</v>
      </c>
      <c r="AI572" s="77">
        <f t="shared" ca="1" si="682"/>
        <v>1.3326234414138141E-2</v>
      </c>
      <c r="AJ572" s="384">
        <f t="shared" ca="1" si="684"/>
        <v>6.5869484424785352E-3</v>
      </c>
      <c r="AU572" s="1"/>
    </row>
    <row r="573" spans="3:47" x14ac:dyDescent="0.25">
      <c r="C573" s="10">
        <f t="shared" si="709"/>
        <v>40</v>
      </c>
      <c r="D573" s="91">
        <f t="shared" si="692"/>
        <v>3</v>
      </c>
      <c r="E573" s="278"/>
      <c r="F573" s="76">
        <f t="shared" ref="F573:Q573" ca="1" si="735">F501</f>
        <v>-3.72</v>
      </c>
      <c r="G573" s="46">
        <f t="shared" ca="1" si="735"/>
        <v>27.012600000000003</v>
      </c>
      <c r="H573" s="46">
        <f t="shared" ca="1" si="668"/>
        <v>28.517550000000004</v>
      </c>
      <c r="I573" s="45">
        <f t="shared" ca="1" si="669"/>
        <v>1.416534540335657E-2</v>
      </c>
      <c r="J573" s="45">
        <f t="shared" ca="1" si="670"/>
        <v>0.27952512346894071</v>
      </c>
      <c r="K573" s="45">
        <f t="shared" ca="1" si="686"/>
        <v>0.90345467800480783</v>
      </c>
      <c r="L573" s="358">
        <f t="shared" ca="1" si="671"/>
        <v>0.24547574864616473</v>
      </c>
      <c r="M573" s="76">
        <f t="shared" ca="1" si="735"/>
        <v>0.25347808785320641</v>
      </c>
      <c r="N573" s="45">
        <f t="shared" ca="1" si="735"/>
        <v>0.25</v>
      </c>
      <c r="O573" s="45">
        <f t="shared" ca="1" si="735"/>
        <v>0</v>
      </c>
      <c r="P573" s="46" t="str">
        <f t="shared" ca="1" si="735"/>
        <v/>
      </c>
      <c r="Q573" s="243" t="str">
        <f t="shared" ca="1" si="735"/>
        <v/>
      </c>
      <c r="R573" s="45">
        <f t="shared" ca="1" si="687"/>
        <v>0.30390245851946401</v>
      </c>
      <c r="S573" s="45">
        <f t="shared" ca="1" si="711"/>
        <v>5.0695617570641283E-2</v>
      </c>
      <c r="T573" s="77">
        <f t="shared" ca="1" si="672"/>
        <v>3.5663121478739478E-3</v>
      </c>
      <c r="U573" s="45">
        <f t="shared" ca="1" si="688"/>
        <v>17.820369114727029</v>
      </c>
      <c r="V573" s="45">
        <f t="shared" ca="1" si="673"/>
        <v>0.20278247028256513</v>
      </c>
      <c r="W573" s="77">
        <f t="shared" ca="1" si="674"/>
        <v>6.3096747931586728E-3</v>
      </c>
      <c r="X573" s="45">
        <f t="shared" ca="1" si="689"/>
        <v>1.0283546225410671</v>
      </c>
      <c r="Y573" s="45">
        <f t="shared" ca="1" si="675"/>
        <v>9.5669348964637021E-4</v>
      </c>
      <c r="Z573" s="77">
        <f t="shared" ca="1" si="676"/>
        <v>8.0087289525617106E-4</v>
      </c>
      <c r="AA573" s="45">
        <f t="shared" ca="1" si="690"/>
        <v>39.138271172207141</v>
      </c>
      <c r="AB573" s="45">
        <f t="shared" ca="1" si="677"/>
        <v>0</v>
      </c>
      <c r="AC573" s="45" cm="1">
        <f t="array" aca="1" ref="AC573" ca="1">pHUM*(T573+W573+Z573+AD573)</f>
        <v>1.1255217525251414E-3</v>
      </c>
      <c r="AD573" s="77">
        <f t="shared" ca="1" si="678"/>
        <v>9.2400097536965604E-4</v>
      </c>
      <c r="AE573" s="45">
        <f t="shared" ca="1" si="691"/>
        <v>6.3847072090583081</v>
      </c>
      <c r="AF573" s="45">
        <f t="shared" ca="1" si="679"/>
        <v>0</v>
      </c>
      <c r="AG573" s="76">
        <f t="shared" ca="1" si="680"/>
        <v>64.675604577053008</v>
      </c>
      <c r="AH573" s="45">
        <f t="shared" ca="1" si="681"/>
        <v>9.518645569486936E-3</v>
      </c>
      <c r="AI573" s="77">
        <f t="shared" ca="1" si="682"/>
        <v>1.4076833088494643E-2</v>
      </c>
      <c r="AJ573" s="384">
        <f t="shared" ca="1" si="684"/>
        <v>1.1019591850461863E-2</v>
      </c>
      <c r="AU573" s="1"/>
    </row>
    <row r="574" spans="3:47" x14ac:dyDescent="0.25">
      <c r="C574" s="10">
        <f t="shared" si="709"/>
        <v>40</v>
      </c>
      <c r="D574" s="91">
        <f t="shared" si="692"/>
        <v>4</v>
      </c>
      <c r="E574" s="278"/>
      <c r="F574" s="76">
        <f t="shared" ref="F574:Q574" ca="1" si="736">F502</f>
        <v>5.88</v>
      </c>
      <c r="G574" s="46">
        <f t="shared" ca="1" si="736"/>
        <v>27.012600000000003</v>
      </c>
      <c r="H574" s="46">
        <f t="shared" ca="1" si="668"/>
        <v>28.517550000000004</v>
      </c>
      <c r="I574" s="45">
        <f t="shared" ca="1" si="669"/>
        <v>0.2538659245156123</v>
      </c>
      <c r="J574" s="45">
        <f t="shared" ca="1" si="670"/>
        <v>0.27952512346894071</v>
      </c>
      <c r="K574" s="45">
        <f t="shared" ca="1" si="686"/>
        <v>0.90345467800480783</v>
      </c>
      <c r="L574" s="358">
        <f t="shared" ca="1" si="671"/>
        <v>0.57663575359475594</v>
      </c>
      <c r="M574" s="76">
        <f t="shared" ca="1" si="736"/>
        <v>0.25347808785320641</v>
      </c>
      <c r="N574" s="45">
        <f t="shared" ca="1" si="736"/>
        <v>0.25</v>
      </c>
      <c r="O574" s="45">
        <f t="shared" ca="1" si="736"/>
        <v>0</v>
      </c>
      <c r="P574" s="46" t="str">
        <f t="shared" ca="1" si="736"/>
        <v/>
      </c>
      <c r="Q574" s="243" t="str">
        <f t="shared" ca="1" si="736"/>
        <v/>
      </c>
      <c r="R574" s="45">
        <f t="shared" ca="1" si="687"/>
        <v>0.35103176394223135</v>
      </c>
      <c r="S574" s="45">
        <f t="shared" ca="1" si="711"/>
        <v>5.0695617570641283E-2</v>
      </c>
      <c r="T574" s="77">
        <f t="shared" ca="1" si="672"/>
        <v>6.6933045521027232E-2</v>
      </c>
      <c r="U574" s="45">
        <f t="shared" ca="1" si="688"/>
        <v>18.016841910216435</v>
      </c>
      <c r="V574" s="45">
        <f t="shared" ca="1" si="673"/>
        <v>0.20278247028256513</v>
      </c>
      <c r="W574" s="77">
        <f t="shared" ca="1" si="674"/>
        <v>0.11398446346270734</v>
      </c>
      <c r="X574" s="45">
        <f t="shared" ca="1" si="689"/>
        <v>1.0285104431354573</v>
      </c>
      <c r="Y574" s="45">
        <f t="shared" ca="1" si="675"/>
        <v>1.746123011891371E-2</v>
      </c>
      <c r="Z574" s="77">
        <f t="shared" ca="1" si="676"/>
        <v>1.4260914903561604E-2</v>
      </c>
      <c r="AA574" s="45">
        <f t="shared" ca="1" si="690"/>
        <v>39.138472692984301</v>
      </c>
      <c r="AB574" s="45">
        <f t="shared" ca="1" si="677"/>
        <v>0</v>
      </c>
      <c r="AC574" s="45" cm="1">
        <f t="array" aca="1" ref="AC574" ca="1">pHUM*(T574+W574+Z574+AD574)</f>
        <v>2.0542623669310249E-2</v>
      </c>
      <c r="AD574" s="77">
        <f t="shared" ca="1" si="678"/>
        <v>1.6556371428110388E-2</v>
      </c>
      <c r="AE574" s="45">
        <f t="shared" ca="1" si="691"/>
        <v>6.3847072090583081</v>
      </c>
      <c r="AF574" s="45">
        <f t="shared" ca="1" si="679"/>
        <v>0</v>
      </c>
      <c r="AG574" s="76">
        <f t="shared" ca="1" si="680"/>
        <v>64.919564019336732</v>
      </c>
      <c r="AH574" s="45">
        <f t="shared" ca="1" si="681"/>
        <v>0.17373094152718263</v>
      </c>
      <c r="AI574" s="77">
        <f t="shared" ca="1" si="682"/>
        <v>1.4773186901339032E-2</v>
      </c>
      <c r="AJ574" s="384">
        <f t="shared" ca="1" si="684"/>
        <v>2.7165712394128239E-2</v>
      </c>
      <c r="AU574" s="1"/>
    </row>
    <row r="575" spans="3:47" x14ac:dyDescent="0.25">
      <c r="C575" s="10">
        <f t="shared" si="709"/>
        <v>40</v>
      </c>
      <c r="D575" s="91">
        <f t="shared" si="692"/>
        <v>5</v>
      </c>
      <c r="E575" s="278"/>
      <c r="F575" s="76">
        <f t="shared" ref="F575:Q575" ca="1" si="737">F503</f>
        <v>13.3</v>
      </c>
      <c r="G575" s="46">
        <f t="shared" ca="1" si="737"/>
        <v>27.012600000000003</v>
      </c>
      <c r="H575" s="46">
        <f t="shared" ca="1" si="668"/>
        <v>28.517550000000004</v>
      </c>
      <c r="I575" s="45">
        <f t="shared" ca="1" si="669"/>
        <v>0.69725265541392489</v>
      </c>
      <c r="J575" s="45">
        <f t="shared" ca="1" si="670"/>
        <v>0.27952512346894071</v>
      </c>
      <c r="K575" s="45">
        <f t="shared" ca="1" si="686"/>
        <v>0.90345467800480783</v>
      </c>
      <c r="L575" s="358">
        <f t="shared" ca="1" si="671"/>
        <v>0.80399103068855049</v>
      </c>
      <c r="M575" s="76">
        <f t="shared" ca="1" si="737"/>
        <v>0.25347808785320641</v>
      </c>
      <c r="N575" s="45">
        <f t="shared" ca="1" si="737"/>
        <v>0.25</v>
      </c>
      <c r="O575" s="45">
        <f t="shared" ca="1" si="737"/>
        <v>0</v>
      </c>
      <c r="P575" s="46" t="str">
        <f t="shared" ca="1" si="737"/>
        <v/>
      </c>
      <c r="Q575" s="243" t="str">
        <f t="shared" ca="1" si="737"/>
        <v/>
      </c>
      <c r="R575" s="45">
        <f t="shared" ca="1" si="687"/>
        <v>0.33479433599184538</v>
      </c>
      <c r="S575" s="45">
        <f t="shared" ca="1" si="711"/>
        <v>5.0695617570641283E-2</v>
      </c>
      <c r="T575" s="77">
        <f t="shared" ca="1" si="672"/>
        <v>0.14753910809057297</v>
      </c>
      <c r="U575" s="45">
        <f t="shared" ca="1" si="688"/>
        <v>18.105639917036292</v>
      </c>
      <c r="V575" s="45">
        <f t="shared" ca="1" si="673"/>
        <v>0.20278247028256513</v>
      </c>
      <c r="W575" s="77">
        <f t="shared" ca="1" si="674"/>
        <v>0.31287034465208258</v>
      </c>
      <c r="X575" s="45">
        <f t="shared" ca="1" si="689"/>
        <v>1.0317107583508094</v>
      </c>
      <c r="Y575" s="45">
        <f t="shared" ca="1" si="675"/>
        <v>4.4918864558995117E-2</v>
      </c>
      <c r="Z575" s="77">
        <f t="shared" ca="1" si="676"/>
        <v>3.8815937547441129E-2</v>
      </c>
      <c r="AA575" s="45">
        <f t="shared" ca="1" si="690"/>
        <v>39.142458945225499</v>
      </c>
      <c r="AB575" s="45">
        <f t="shared" ca="1" si="677"/>
        <v>0</v>
      </c>
      <c r="AC575" s="45" cm="1">
        <f t="array" aca="1" ref="AC575" ca="1">pHUM*(T575+W575+Z575+AD575)</f>
        <v>5.284572301058249E-2</v>
      </c>
      <c r="AD575" s="77">
        <f t="shared" ca="1" si="678"/>
        <v>4.546055270639749E-2</v>
      </c>
      <c r="AE575" s="45">
        <f t="shared" ca="1" si="691"/>
        <v>6.3847072090583081</v>
      </c>
      <c r="AF575" s="45">
        <f t="shared" ca="1" si="679"/>
        <v>0</v>
      </c>
      <c r="AG575" s="76">
        <f t="shared" ca="1" si="680"/>
        <v>64.999311165662746</v>
      </c>
      <c r="AH575" s="45">
        <f t="shared" ca="1" si="681"/>
        <v>0.44692135542691663</v>
      </c>
      <c r="AI575" s="77">
        <f t="shared" ca="1" si="682"/>
        <v>1.4563227311674091E-2</v>
      </c>
      <c r="AJ575" s="384">
        <f t="shared" ca="1" si="684"/>
        <v>3.7337909919309409E-2</v>
      </c>
      <c r="AU575" s="1"/>
    </row>
    <row r="576" spans="3:47" x14ac:dyDescent="0.25">
      <c r="C576" s="10">
        <f t="shared" si="709"/>
        <v>40</v>
      </c>
      <c r="D576" s="91">
        <f t="shared" si="692"/>
        <v>6</v>
      </c>
      <c r="E576" s="278"/>
      <c r="F576" s="76">
        <f t="shared" ref="F576:Q576" ca="1" si="738">F504</f>
        <v>18.579999999999998</v>
      </c>
      <c r="G576" s="46">
        <f t="shared" ca="1" si="738"/>
        <v>27.012600000000003</v>
      </c>
      <c r="H576" s="46">
        <f t="shared" ca="1" si="668"/>
        <v>28.517550000000004</v>
      </c>
      <c r="I576" s="45">
        <f t="shared" ca="1" si="669"/>
        <v>1.1053966357180092</v>
      </c>
      <c r="J576" s="45">
        <f t="shared" ca="1" si="670"/>
        <v>0.27952512346894071</v>
      </c>
      <c r="K576" s="45">
        <f t="shared" ca="1" si="686"/>
        <v>0.90345467800480783</v>
      </c>
      <c r="L576" s="358">
        <f t="shared" ca="1" si="671"/>
        <v>0.89864190578209513</v>
      </c>
      <c r="M576" s="76">
        <f t="shared" ca="1" si="738"/>
        <v>0.25347808785320641</v>
      </c>
      <c r="N576" s="45">
        <f t="shared" ca="1" si="738"/>
        <v>0.25</v>
      </c>
      <c r="O576" s="45">
        <f t="shared" ca="1" si="738"/>
        <v>0</v>
      </c>
      <c r="P576" s="46" t="str">
        <f t="shared" ca="1" si="738"/>
        <v/>
      </c>
      <c r="Q576" s="243" t="str">
        <f t="shared" ca="1" si="738"/>
        <v/>
      </c>
      <c r="R576" s="45">
        <f t="shared" ca="1" si="687"/>
        <v>0.2379508454719137</v>
      </c>
      <c r="S576" s="45">
        <f t="shared" ca="1" si="711"/>
        <v>5.0695617570641283E-2</v>
      </c>
      <c r="T576" s="77">
        <f t="shared" ca="1" si="672"/>
        <v>0.14323320525148991</v>
      </c>
      <c r="U576" s="45">
        <f t="shared" ca="1" si="688"/>
        <v>17.995552042666773</v>
      </c>
      <c r="V576" s="45">
        <f t="shared" ca="1" si="673"/>
        <v>0.20278247028256513</v>
      </c>
      <c r="W576" s="77">
        <f t="shared" ca="1" si="674"/>
        <v>0.49049693124795707</v>
      </c>
      <c r="X576" s="45">
        <f t="shared" ca="1" si="689"/>
        <v>1.0378136853623634</v>
      </c>
      <c r="Y576" s="45">
        <f t="shared" ca="1" si="675"/>
        <v>6.3253085558735142E-2</v>
      </c>
      <c r="Z576" s="77">
        <f t="shared" ca="1" si="676"/>
        <v>6.121604174660842E-2</v>
      </c>
      <c r="AA576" s="45">
        <f t="shared" ca="1" si="690"/>
        <v>39.149844115529689</v>
      </c>
      <c r="AB576" s="45">
        <f t="shared" ca="1" si="677"/>
        <v>0</v>
      </c>
      <c r="AC576" s="45" cm="1">
        <f t="array" aca="1" ref="AC576" ca="1">pHUM*(T576+W576+Z576+AD576)</f>
        <v>7.4415394774982518E-2</v>
      </c>
      <c r="AD576" s="77">
        <f t="shared" ca="1" si="678"/>
        <v>7.206044343174621E-2</v>
      </c>
      <c r="AE576" s="45">
        <f t="shared" ca="1" si="691"/>
        <v>6.3847072090583081</v>
      </c>
      <c r="AF576" s="45">
        <f t="shared" ca="1" si="679"/>
        <v>0</v>
      </c>
      <c r="AG576" s="76">
        <f t="shared" ca="1" si="680"/>
        <v>64.805867898089048</v>
      </c>
      <c r="AH576" s="45">
        <f t="shared" ca="1" si="681"/>
        <v>0.62933814134408406</v>
      </c>
      <c r="AI576" s="77">
        <f t="shared" ca="1" si="682"/>
        <v>1.3188896901280086E-2</v>
      </c>
      <c r="AJ576" s="384">
        <f t="shared" ca="1" si="684"/>
        <v>3.7795154448923007E-2</v>
      </c>
      <c r="AU576" s="1"/>
    </row>
    <row r="577" spans="3:47" x14ac:dyDescent="0.25">
      <c r="C577" s="10">
        <f t="shared" si="709"/>
        <v>40</v>
      </c>
      <c r="D577" s="91">
        <f t="shared" si="692"/>
        <v>7</v>
      </c>
      <c r="E577" s="278"/>
      <c r="F577" s="76">
        <f t="shared" ref="F577:Q577" ca="1" si="739">F505</f>
        <v>20.88</v>
      </c>
      <c r="G577" s="46">
        <f t="shared" ca="1" si="739"/>
        <v>27.012600000000003</v>
      </c>
      <c r="H577" s="46">
        <f t="shared" ca="1" si="668"/>
        <v>28.517550000000004</v>
      </c>
      <c r="I577" s="45">
        <f t="shared" ca="1" si="669"/>
        <v>1.2963209464812457</v>
      </c>
      <c r="J577" s="45">
        <f t="shared" ca="1" si="670"/>
        <v>0.27952512346894071</v>
      </c>
      <c r="K577" s="45">
        <f t="shared" ca="1" si="686"/>
        <v>0.90345467800480783</v>
      </c>
      <c r="L577" s="358">
        <f t="shared" ca="1" si="671"/>
        <v>0.92456370800230281</v>
      </c>
      <c r="M577" s="76">
        <f t="shared" ca="1" si="739"/>
        <v>0.25347808785320641</v>
      </c>
      <c r="N577" s="45">
        <f t="shared" ca="1" si="739"/>
        <v>0.25</v>
      </c>
      <c r="O577" s="45">
        <f t="shared" ca="1" si="739"/>
        <v>0</v>
      </c>
      <c r="P577" s="46" t="str">
        <f t="shared" ca="1" si="739"/>
        <v/>
      </c>
      <c r="Q577" s="243" t="str">
        <f t="shared" ca="1" si="739"/>
        <v/>
      </c>
      <c r="R577" s="45">
        <f t="shared" ca="1" si="687"/>
        <v>0.14541325779106506</v>
      </c>
      <c r="S577" s="45">
        <f t="shared" ca="1" si="711"/>
        <v>5.0695617570641283E-2</v>
      </c>
      <c r="T577" s="77">
        <f t="shared" ca="1" si="672"/>
        <v>9.6044771709889135E-2</v>
      </c>
      <c r="U577" s="45">
        <f t="shared" ca="1" si="688"/>
        <v>17.70783758170138</v>
      </c>
      <c r="V577" s="45">
        <f t="shared" ca="1" si="673"/>
        <v>0.20278247028256513</v>
      </c>
      <c r="W577" s="77">
        <f t="shared" ca="1" si="674"/>
        <v>0.56467657198737509</v>
      </c>
      <c r="X577" s="45">
        <f t="shared" ca="1" si="689"/>
        <v>1.0398507291744903</v>
      </c>
      <c r="Y577" s="45">
        <f t="shared" ca="1" si="675"/>
        <v>6.7357553565822181E-2</v>
      </c>
      <c r="Z577" s="77">
        <f t="shared" ca="1" si="676"/>
        <v>7.1557658769097726E-2</v>
      </c>
      <c r="AA577" s="45">
        <f t="shared" ca="1" si="690"/>
        <v>39.152199066872925</v>
      </c>
      <c r="AB577" s="45">
        <f t="shared" ca="1" si="677"/>
        <v>0</v>
      </c>
      <c r="AC577" s="45" cm="1">
        <f t="array" aca="1" ref="AC577" ca="1">pHUM*(T577+W577+Z577+AD577)</f>
        <v>7.9244180665673153E-2</v>
      </c>
      <c r="AD577" s="77">
        <f t="shared" ca="1" si="678"/>
        <v>8.4498379200328377E-2</v>
      </c>
      <c r="AE577" s="45">
        <f t="shared" ca="1" si="691"/>
        <v>6.3847072090583081</v>
      </c>
      <c r="AF577" s="45">
        <f t="shared" ca="1" si="679"/>
        <v>0</v>
      </c>
      <c r="AG577" s="76">
        <f t="shared" ca="1" si="680"/>
        <v>64.430007844598165</v>
      </c>
      <c r="AH577" s="45">
        <f t="shared" ca="1" si="681"/>
        <v>0.67017564743519509</v>
      </c>
      <c r="AI577" s="77">
        <f t="shared" ca="1" si="682"/>
        <v>1.1823853129709794E-2</v>
      </c>
      <c r="AJ577" s="384">
        <f t="shared" ca="1" si="684"/>
        <v>3.4860856646645733E-2</v>
      </c>
      <c r="AU577" s="1"/>
    </row>
    <row r="578" spans="3:47" x14ac:dyDescent="0.25">
      <c r="C578" s="10">
        <f t="shared" si="709"/>
        <v>40</v>
      </c>
      <c r="D578" s="91">
        <f t="shared" si="692"/>
        <v>8</v>
      </c>
      <c r="E578" s="278"/>
      <c r="F578" s="76">
        <f t="shared" ref="F578:Q578" ca="1" si="740">F506</f>
        <v>19.38</v>
      </c>
      <c r="G578" s="46">
        <f t="shared" ca="1" si="740"/>
        <v>27.012600000000003</v>
      </c>
      <c r="H578" s="46">
        <f t="shared" ca="1" si="668"/>
        <v>28.517550000000004</v>
      </c>
      <c r="I578" s="45">
        <f t="shared" ca="1" si="669"/>
        <v>1.1711755949831784</v>
      </c>
      <c r="J578" s="45">
        <f t="shared" ca="1" si="670"/>
        <v>0.27952512346894071</v>
      </c>
      <c r="K578" s="45">
        <f t="shared" ca="1" si="686"/>
        <v>0.90345467800480783</v>
      </c>
      <c r="L578" s="358">
        <f t="shared" ca="1" si="671"/>
        <v>0.9085593811553081</v>
      </c>
      <c r="M578" s="76">
        <f t="shared" ca="1" si="740"/>
        <v>0.25347808785320641</v>
      </c>
      <c r="N578" s="45">
        <f t="shared" ca="1" si="740"/>
        <v>0.25</v>
      </c>
      <c r="O578" s="45">
        <f t="shared" ca="1" si="740"/>
        <v>0</v>
      </c>
      <c r="P578" s="46" t="str">
        <f t="shared" ca="1" si="740"/>
        <v/>
      </c>
      <c r="Q578" s="243" t="str">
        <f t="shared" ca="1" si="740"/>
        <v/>
      </c>
      <c r="R578" s="45">
        <f t="shared" ca="1" si="687"/>
        <v>0.10006410365181721</v>
      </c>
      <c r="S578" s="45">
        <f t="shared" ca="1" si="711"/>
        <v>5.0695617570641283E-2</v>
      </c>
      <c r="T578" s="77">
        <f t="shared" ca="1" si="672"/>
        <v>6.2357646589744672E-2</v>
      </c>
      <c r="U578" s="45">
        <f t="shared" ca="1" si="688"/>
        <v>17.345943479996571</v>
      </c>
      <c r="V578" s="45">
        <f t="shared" ca="1" si="673"/>
        <v>0.20278247028256513</v>
      </c>
      <c r="W578" s="77">
        <f t="shared" ca="1" si="674"/>
        <v>0.50051549136108386</v>
      </c>
      <c r="X578" s="45">
        <f t="shared" ca="1" si="689"/>
        <v>1.0356506239712147</v>
      </c>
      <c r="Y578" s="45">
        <f t="shared" ca="1" si="675"/>
        <v>5.8042224735456394E-2</v>
      </c>
      <c r="Z578" s="77">
        <f t="shared" ca="1" si="676"/>
        <v>6.4607894779744143E-2</v>
      </c>
      <c r="AA578" s="45">
        <f t="shared" ca="1" si="690"/>
        <v>39.146944868338274</v>
      </c>
      <c r="AB578" s="45">
        <f t="shared" ca="1" si="677"/>
        <v>0</v>
      </c>
      <c r="AC578" s="45" cm="1">
        <f t="array" aca="1" ref="AC578" ca="1">pHUM*(T578+W578+Z578+AD578)</f>
        <v>6.8284970277007528E-2</v>
      </c>
      <c r="AD578" s="77">
        <f t="shared" ca="1" si="678"/>
        <v>7.6338714808338981E-2</v>
      </c>
      <c r="AE578" s="45">
        <f t="shared" ca="1" si="691"/>
        <v>6.3847072090583081</v>
      </c>
      <c r="AF578" s="45">
        <f t="shared" ca="1" si="679"/>
        <v>0</v>
      </c>
      <c r="AG578" s="76">
        <f t="shared" ca="1" si="680"/>
        <v>64.013310285016189</v>
      </c>
      <c r="AH578" s="45">
        <f t="shared" ca="1" si="681"/>
        <v>0.57749255252644782</v>
      </c>
      <c r="AI578" s="77">
        <f t="shared" ca="1" si="682"/>
        <v>1.109242630144708E-2</v>
      </c>
      <c r="AJ578" s="384">
        <f t="shared" ca="1" si="684"/>
        <v>3.2138320011957378E-2</v>
      </c>
      <c r="AU578" s="1"/>
    </row>
    <row r="579" spans="3:47" x14ac:dyDescent="0.25">
      <c r="C579" s="10">
        <f t="shared" si="709"/>
        <v>40</v>
      </c>
      <c r="D579" s="91">
        <f t="shared" si="692"/>
        <v>9</v>
      </c>
      <c r="E579" s="278"/>
      <c r="F579" s="76">
        <f t="shared" ref="F579:Q579" ca="1" si="741">F507</f>
        <v>16.57</v>
      </c>
      <c r="G579" s="46">
        <f t="shared" ca="1" si="741"/>
        <v>27.012600000000003</v>
      </c>
      <c r="H579" s="46">
        <f t="shared" ca="1" si="668"/>
        <v>28.517550000000004</v>
      </c>
      <c r="I579" s="45">
        <f t="shared" ca="1" si="669"/>
        <v>0.9439672665218134</v>
      </c>
      <c r="J579" s="45">
        <f t="shared" ca="1" si="670"/>
        <v>0.27952512346894071</v>
      </c>
      <c r="K579" s="45">
        <f t="shared" ca="1" si="686"/>
        <v>0.90345467800480783</v>
      </c>
      <c r="L579" s="358">
        <f t="shared" ca="1" si="671"/>
        <v>0.86895066774150642</v>
      </c>
      <c r="M579" s="76">
        <f t="shared" ca="1" si="741"/>
        <v>0.25347808785320641</v>
      </c>
      <c r="N579" s="45">
        <f t="shared" ca="1" si="741"/>
        <v>0.25</v>
      </c>
      <c r="O579" s="45">
        <f t="shared" ca="1" si="741"/>
        <v>0</v>
      </c>
      <c r="P579" s="46" t="str">
        <f t="shared" ca="1" si="741"/>
        <v/>
      </c>
      <c r="Q579" s="243" t="str">
        <f t="shared" ca="1" si="741"/>
        <v/>
      </c>
      <c r="R579" s="45">
        <f t="shared" ca="1" si="687"/>
        <v>8.8402074632713837E-2</v>
      </c>
      <c r="S579" s="45">
        <f t="shared" ca="1" si="711"/>
        <v>5.0695617570641283E-2</v>
      </c>
      <c r="T579" s="77">
        <f t="shared" ca="1" si="672"/>
        <v>4.8146195874830794E-2</v>
      </c>
      <c r="U579" s="45">
        <f t="shared" ca="1" si="688"/>
        <v>17.048210458918049</v>
      </c>
      <c r="V579" s="45">
        <f t="shared" ca="1" si="673"/>
        <v>0.20278247028256513</v>
      </c>
      <c r="W579" s="77">
        <f t="shared" ca="1" si="674"/>
        <v>0.39761368374725803</v>
      </c>
      <c r="X579" s="45">
        <f t="shared" ca="1" si="689"/>
        <v>1.0290849539269269</v>
      </c>
      <c r="Y579" s="45">
        <f t="shared" ca="1" si="675"/>
        <v>4.6128405993797507E-2</v>
      </c>
      <c r="Z579" s="77">
        <f t="shared" ca="1" si="676"/>
        <v>5.2064983432042189E-2</v>
      </c>
      <c r="AA579" s="45">
        <f t="shared" ca="1" si="690"/>
        <v>39.138891123806943</v>
      </c>
      <c r="AB579" s="45">
        <f t="shared" ca="1" si="677"/>
        <v>0</v>
      </c>
      <c r="AC579" s="45" cm="1">
        <f t="array" aca="1" ref="AC579" ca="1">pHUM*(T579+W579+Z579+AD579)</f>
        <v>5.4268712933879422E-2</v>
      </c>
      <c r="AD579" s="77">
        <f t="shared" ca="1" si="678"/>
        <v>6.1527973762517466E-2</v>
      </c>
      <c r="AE579" s="45">
        <f t="shared" ca="1" si="691"/>
        <v>6.3847072090583081</v>
      </c>
      <c r="AF579" s="45">
        <f t="shared" ca="1" si="679"/>
        <v>0</v>
      </c>
      <c r="AG579" s="76">
        <f t="shared" ca="1" si="680"/>
        <v>63.689295820342934</v>
      </c>
      <c r="AH579" s="45">
        <f t="shared" ca="1" si="681"/>
        <v>0.4589557178889716</v>
      </c>
      <c r="AI579" s="77">
        <f t="shared" ca="1" si="682"/>
        <v>1.084912796233058E-2</v>
      </c>
      <c r="AJ579" s="384">
        <f t="shared" ca="1" si="684"/>
        <v>3.006312378937892E-2</v>
      </c>
      <c r="AU579" s="1"/>
    </row>
    <row r="580" spans="3:47" x14ac:dyDescent="0.25">
      <c r="C580" s="10">
        <f t="shared" si="709"/>
        <v>40</v>
      </c>
      <c r="D580" s="91">
        <f t="shared" si="692"/>
        <v>10</v>
      </c>
      <c r="E580" s="278"/>
      <c r="F580" s="76">
        <f t="shared" ref="F580:Q580" ca="1" si="742">F508</f>
        <v>10.87</v>
      </c>
      <c r="G580" s="46">
        <f t="shared" ca="1" si="742"/>
        <v>27.012600000000003</v>
      </c>
      <c r="H580" s="46">
        <f t="shared" ca="1" si="668"/>
        <v>28.517550000000004</v>
      </c>
      <c r="I580" s="45">
        <f t="shared" ca="1" si="669"/>
        <v>0.53125146958099567</v>
      </c>
      <c r="J580" s="45">
        <f t="shared" ca="1" si="670"/>
        <v>0.27952512346894071</v>
      </c>
      <c r="K580" s="45">
        <f t="shared" ca="1" si="686"/>
        <v>0.90345467800480783</v>
      </c>
      <c r="L580" s="358">
        <f t="shared" ca="1" si="671"/>
        <v>0.74105246316705919</v>
      </c>
      <c r="M580" s="76">
        <f t="shared" ca="1" si="742"/>
        <v>0.25347808785320641</v>
      </c>
      <c r="N580" s="45">
        <f t="shared" ca="1" si="742"/>
        <v>0.25</v>
      </c>
      <c r="O580" s="45">
        <f t="shared" ca="1" si="742"/>
        <v>0</v>
      </c>
      <c r="P580" s="46" t="str">
        <f t="shared" ca="1" si="742"/>
        <v/>
      </c>
      <c r="Q580" s="243" t="str">
        <f t="shared" ca="1" si="742"/>
        <v/>
      </c>
      <c r="R580" s="45">
        <f t="shared" ca="1" si="687"/>
        <v>9.0951496328524312E-2</v>
      </c>
      <c r="S580" s="45">
        <f t="shared" ca="1" si="711"/>
        <v>5.0695617570641283E-2</v>
      </c>
      <c r="T580" s="77">
        <f t="shared" ca="1" si="672"/>
        <v>3.2533920585815154E-2</v>
      </c>
      <c r="U580" s="45">
        <f t="shared" ca="1" si="688"/>
        <v>16.853379245453354</v>
      </c>
      <c r="V580" s="45">
        <f t="shared" ca="1" si="673"/>
        <v>0.20278247028256513</v>
      </c>
      <c r="W580" s="77">
        <f t="shared" ca="1" si="674"/>
        <v>0.22235471545473232</v>
      </c>
      <c r="X580" s="45">
        <f t="shared" ca="1" si="689"/>
        <v>1.0231483764886822</v>
      </c>
      <c r="Y580" s="45">
        <f t="shared" ca="1" si="675"/>
        <v>2.6305788349501123E-2</v>
      </c>
      <c r="Z580" s="77">
        <f t="shared" ca="1" si="676"/>
        <v>2.9462670834016248E-2</v>
      </c>
      <c r="AA580" s="45">
        <f t="shared" ca="1" si="690"/>
        <v>39.131631862978303</v>
      </c>
      <c r="AB580" s="45">
        <f t="shared" ca="1" si="677"/>
        <v>0</v>
      </c>
      <c r="AC580" s="45" cm="1">
        <f t="array" aca="1" ref="AC580" ca="1">pHUM*(T580+W580+Z580+AD580)</f>
        <v>3.0947986293530735E-2</v>
      </c>
      <c r="AD580" s="77">
        <f t="shared" ca="1" si="678"/>
        <v>3.4632560462414926E-2</v>
      </c>
      <c r="AE580" s="45">
        <f t="shared" ca="1" si="691"/>
        <v>6.3847072090583081</v>
      </c>
      <c r="AF580" s="45">
        <f t="shared" ca="1" si="679"/>
        <v>0</v>
      </c>
      <c r="AG580" s="76">
        <f t="shared" ca="1" si="680"/>
        <v>63.483818190307169</v>
      </c>
      <c r="AH580" s="45">
        <f t="shared" ca="1" si="681"/>
        <v>0.26173009269394681</v>
      </c>
      <c r="AI580" s="77">
        <f t="shared" ca="1" si="682"/>
        <v>1.0834143146147487E-2</v>
      </c>
      <c r="AJ580" s="384">
        <f t="shared" ca="1" si="684"/>
        <v>2.5602920298972709E-2</v>
      </c>
      <c r="AU580" s="1"/>
    </row>
    <row r="581" spans="3:47" x14ac:dyDescent="0.25">
      <c r="C581" s="10">
        <f t="shared" si="709"/>
        <v>40</v>
      </c>
      <c r="D581" s="91">
        <f t="shared" si="692"/>
        <v>11</v>
      </c>
      <c r="E581" s="278"/>
      <c r="F581" s="76">
        <f t="shared" ref="F581:Q581" ca="1" si="743">F509</f>
        <v>1.4</v>
      </c>
      <c r="G581" s="46">
        <f t="shared" ca="1" si="743"/>
        <v>28.536243189942063</v>
      </c>
      <c r="H581" s="46">
        <f t="shared" ca="1" si="668"/>
        <v>26.993906810057943</v>
      </c>
      <c r="I581" s="45">
        <f t="shared" ca="1" si="669"/>
        <v>9.940372096718314E-2</v>
      </c>
      <c r="J581" s="45">
        <f t="shared" ca="1" si="670"/>
        <v>0.28648639837560558</v>
      </c>
      <c r="K581" s="45">
        <f t="shared" ca="1" si="686"/>
        <v>0.92595425264501963</v>
      </c>
      <c r="L581" s="358">
        <f t="shared" ca="1" si="671"/>
        <v>0.41120226021724715</v>
      </c>
      <c r="M581" s="76">
        <f t="shared" ca="1" si="743"/>
        <v>0.25347808785320641</v>
      </c>
      <c r="N581" s="45">
        <f t="shared" ca="1" si="743"/>
        <v>0.25</v>
      </c>
      <c r="O581" s="45">
        <f t="shared" ca="1" si="743"/>
        <v>0</v>
      </c>
      <c r="P581" s="46" t="str">
        <f t="shared" ca="1" si="743"/>
        <v/>
      </c>
      <c r="Q581" s="243" t="str">
        <f t="shared" ca="1" si="743"/>
        <v/>
      </c>
      <c r="R581" s="45">
        <f t="shared" ca="1" si="687"/>
        <v>0.10911319331335044</v>
      </c>
      <c r="S581" s="45">
        <f t="shared" ca="1" si="711"/>
        <v>5.0695617570641283E-2</v>
      </c>
      <c r="T581" s="77">
        <f t="shared" ca="1" si="672"/>
        <v>8.6743136422450483E-3</v>
      </c>
      <c r="U581" s="45">
        <f t="shared" ca="1" si="688"/>
        <v>16.833807000281187</v>
      </c>
      <c r="V581" s="45">
        <f t="shared" ca="1" si="673"/>
        <v>0.20278247028256513</v>
      </c>
      <c r="W581" s="77">
        <f t="shared" ca="1" si="674"/>
        <v>4.1781639214183167E-2</v>
      </c>
      <c r="X581" s="45">
        <f t="shared" ca="1" si="689"/>
        <v>1.019991494004167</v>
      </c>
      <c r="Y581" s="45">
        <f t="shared" ca="1" si="675"/>
        <v>5.1541452372797824E-3</v>
      </c>
      <c r="Z581" s="77">
        <f t="shared" ca="1" si="676"/>
        <v>5.5612860453852289E-3</v>
      </c>
      <c r="AA581" s="45">
        <f t="shared" ca="1" si="690"/>
        <v>39.127947288809423</v>
      </c>
      <c r="AB581" s="45">
        <f t="shared" ca="1" si="677"/>
        <v>0</v>
      </c>
      <c r="AC581" s="45" cm="1">
        <f t="array" aca="1" ref="AC581" ca="1">pHUM*(T581+W581+Z581+AD581)</f>
        <v>6.0637002791526853E-3</v>
      </c>
      <c r="AD581" s="77">
        <f t="shared" ca="1" si="678"/>
        <v>6.4819023046941964E-3</v>
      </c>
      <c r="AE581" s="45">
        <f t="shared" ca="1" si="691"/>
        <v>6.3847072090583081</v>
      </c>
      <c r="AF581" s="45">
        <f t="shared" ca="1" si="679"/>
        <v>0</v>
      </c>
      <c r="AG581" s="76">
        <f t="shared" ca="1" si="680"/>
        <v>63.475566185466434</v>
      </c>
      <c r="AH581" s="45">
        <f t="shared" ca="1" si="681"/>
        <v>5.1281295690075182E-2</v>
      </c>
      <c r="AI581" s="77">
        <f t="shared" ca="1" si="682"/>
        <v>1.1089088955811278E-2</v>
      </c>
      <c r="AJ581" s="384">
        <f t="shared" ca="1" si="684"/>
        <v>1.4903383729577557E-2</v>
      </c>
      <c r="AU581" s="1"/>
    </row>
    <row r="582" spans="3:47" x14ac:dyDescent="0.25">
      <c r="C582" s="10">
        <f t="shared" si="709"/>
        <v>40</v>
      </c>
      <c r="D582" s="91">
        <f t="shared" si="692"/>
        <v>12</v>
      </c>
      <c r="E582" s="278"/>
      <c r="F582" s="76">
        <f t="shared" ref="F582:Q582" ca="1" si="744">F510</f>
        <v>-1.78</v>
      </c>
      <c r="G582" s="46">
        <f t="shared" ca="1" si="744"/>
        <v>32.216243189942062</v>
      </c>
      <c r="H582" s="46">
        <f t="shared" ca="1" si="668"/>
        <v>23.313906810057944</v>
      </c>
      <c r="I582" s="45">
        <f t="shared" ca="1" si="669"/>
        <v>3.9789790397057247E-2</v>
      </c>
      <c r="J582" s="45">
        <f t="shared" ca="1" si="670"/>
        <v>0.29882189650486002</v>
      </c>
      <c r="K582" s="45">
        <f t="shared" ca="1" si="686"/>
        <v>0.96582388351071458</v>
      </c>
      <c r="L582" s="358">
        <f t="shared" ca="1" si="671"/>
        <v>0.30292377267304249</v>
      </c>
      <c r="M582" s="76">
        <f t="shared" ca="1" si="744"/>
        <v>0.25347808785320641</v>
      </c>
      <c r="N582" s="45">
        <f t="shared" ca="1" si="744"/>
        <v>0.25</v>
      </c>
      <c r="O582" s="45">
        <f t="shared" ca="1" si="744"/>
        <v>0</v>
      </c>
      <c r="P582" s="46" t="str">
        <f t="shared" ca="1" si="744"/>
        <v/>
      </c>
      <c r="Q582" s="243" t="str">
        <f t="shared" ca="1" si="744"/>
        <v/>
      </c>
      <c r="R582" s="45">
        <f t="shared" ca="1" si="687"/>
        <v>0.15113449724174668</v>
      </c>
      <c r="S582" s="45">
        <f t="shared" ca="1" si="711"/>
        <v>5.0695617570641283E-2</v>
      </c>
      <c r="T582" s="77">
        <f t="shared" ca="1" si="672"/>
        <v>4.9291689443774654E-3</v>
      </c>
      <c r="U582" s="45">
        <f t="shared" ca="1" si="688"/>
        <v>16.994807831349569</v>
      </c>
      <c r="V582" s="45">
        <f t="shared" ca="1" si="673"/>
        <v>0.20278247028256513</v>
      </c>
      <c r="W582" s="77">
        <f t="shared" ca="1" si="674"/>
        <v>1.6897090496747338E-2</v>
      </c>
      <c r="X582" s="45">
        <f t="shared" ca="1" si="689"/>
        <v>1.0195843531960616</v>
      </c>
      <c r="Y582" s="45">
        <f t="shared" ca="1" si="675"/>
        <v>2.1977432890614786E-3</v>
      </c>
      <c r="Z582" s="77">
        <f t="shared" ca="1" si="676"/>
        <v>2.228857875108623E-3</v>
      </c>
      <c r="AA582" s="45">
        <f t="shared" ca="1" si="690"/>
        <v>39.127529086783881</v>
      </c>
      <c r="AB582" s="45">
        <f t="shared" ca="1" si="677"/>
        <v>0</v>
      </c>
      <c r="AC582" s="45" cm="1">
        <f t="array" aca="1" ref="AC582" ca="1">pHUM*(T582+W582+Z582+AD582)</f>
        <v>2.585580340072328E-3</v>
      </c>
      <c r="AD582" s="77">
        <f t="shared" ca="1" si="678"/>
        <v>2.594707598518345E-3</v>
      </c>
      <c r="AE582" s="45">
        <f t="shared" ca="1" si="691"/>
        <v>6.3847072090583081</v>
      </c>
      <c r="AF582" s="45">
        <f t="shared" ca="1" si="679"/>
        <v>0</v>
      </c>
      <c r="AG582" s="76">
        <f t="shared" ca="1" si="680"/>
        <v>63.677762977629563</v>
      </c>
      <c r="AH582" s="45">
        <f t="shared" ca="1" si="681"/>
        <v>2.1866501285617967E-2</v>
      </c>
      <c r="AI582" s="77">
        <f t="shared" ca="1" si="682"/>
        <v>1.1731008043461853E-2</v>
      </c>
      <c r="AJ582" s="384">
        <f t="shared" ca="1" si="684"/>
        <v>1.2114674933781933E-2</v>
      </c>
      <c r="AU582" s="1"/>
    </row>
    <row r="583" spans="3:47" x14ac:dyDescent="0.25">
      <c r="C583" s="10">
        <f t="shared" si="709"/>
        <v>41</v>
      </c>
      <c r="D583" s="91">
        <f t="shared" si="692"/>
        <v>1</v>
      </c>
      <c r="E583" s="278"/>
      <c r="F583" s="76">
        <f t="shared" ref="F583:Q583" ca="1" si="745">F511</f>
        <v>-8.2799999999999994</v>
      </c>
      <c r="G583" s="46">
        <f t="shared" ca="1" si="745"/>
        <v>27.676243189942063</v>
      </c>
      <c r="H583" s="46">
        <f t="shared" ca="1" si="668"/>
        <v>27.853906810057943</v>
      </c>
      <c r="I583" s="45">
        <f t="shared" ca="1" si="669"/>
        <v>5.2124139735228647E-4</v>
      </c>
      <c r="J583" s="45">
        <f t="shared" ca="1" si="670"/>
        <v>0.28271042830183513</v>
      </c>
      <c r="K583" s="45">
        <f t="shared" ca="1" si="686"/>
        <v>0.91374991914963299</v>
      </c>
      <c r="L583" s="358">
        <f t="shared" ca="1" si="671"/>
        <v>0.14143923467074027</v>
      </c>
      <c r="M583" s="76">
        <f t="shared" ca="1" si="745"/>
        <v>0.25347808785320641</v>
      </c>
      <c r="N583" s="45">
        <f t="shared" ca="1" si="745"/>
        <v>0.25</v>
      </c>
      <c r="O583" s="45">
        <f t="shared" ca="1" si="745"/>
        <v>0</v>
      </c>
      <c r="P583" s="46" t="str">
        <f t="shared" ca="1" si="745"/>
        <v/>
      </c>
      <c r="Q583" s="243" t="str">
        <f t="shared" ca="1" si="745"/>
        <v/>
      </c>
      <c r="R583" s="45">
        <f t="shared" ca="1" si="687"/>
        <v>0.19690094586801049</v>
      </c>
      <c r="S583" s="45">
        <f t="shared" ca="1" si="711"/>
        <v>5.0695617570641283E-2</v>
      </c>
      <c r="T583" s="77">
        <f t="shared" ca="1" si="672"/>
        <v>8.5508864309104358E-5</v>
      </c>
      <c r="U583" s="45">
        <f t="shared" ca="1" si="688"/>
        <v>17.180693211135385</v>
      </c>
      <c r="V583" s="45">
        <f t="shared" ca="1" si="673"/>
        <v>0.20278247028256513</v>
      </c>
      <c r="W583" s="77">
        <f t="shared" ca="1" si="674"/>
        <v>2.2388075471929404E-4</v>
      </c>
      <c r="X583" s="45">
        <f t="shared" ca="1" si="689"/>
        <v>1.0195532386100143</v>
      </c>
      <c r="Y583" s="45">
        <f t="shared" ca="1" si="675"/>
        <v>3.0728157224636449E-5</v>
      </c>
      <c r="Z583" s="77">
        <f t="shared" ca="1" si="676"/>
        <v>2.9228415546097158E-5</v>
      </c>
      <c r="AA583" s="45">
        <f t="shared" ca="1" si="690"/>
        <v>39.127519959525436</v>
      </c>
      <c r="AB583" s="45">
        <f t="shared" ca="1" si="677"/>
        <v>0</v>
      </c>
      <c r="AC583" s="45" cm="1">
        <f t="array" aca="1" ref="AC583" ca="1">pHUM*(T583+W583+Z583+AD583)</f>
        <v>3.6150773205454644E-5</v>
      </c>
      <c r="AD583" s="77">
        <f t="shared" ca="1" si="678"/>
        <v>3.3991457200691681E-5</v>
      </c>
      <c r="AE583" s="45">
        <f t="shared" ca="1" si="691"/>
        <v>6.3847072090583081</v>
      </c>
      <c r="AF583" s="45">
        <f t="shared" ca="1" si="679"/>
        <v>0</v>
      </c>
      <c r="AG583" s="76">
        <f t="shared" ca="1" si="680"/>
        <v>63.909374564197151</v>
      </c>
      <c r="AH583" s="45">
        <f t="shared" ca="1" si="681"/>
        <v>3.0573056134509615E-4</v>
      </c>
      <c r="AI583" s="77">
        <f t="shared" ca="1" si="682"/>
        <v>1.242752798223045E-2</v>
      </c>
      <c r="AJ583" s="384">
        <f t="shared" ca="1" si="684"/>
        <v>5.6693043851718805E-3</v>
      </c>
      <c r="AU583" s="1"/>
    </row>
    <row r="584" spans="3:47" x14ac:dyDescent="0.25">
      <c r="C584" s="10">
        <f t="shared" si="709"/>
        <v>41</v>
      </c>
      <c r="D584" s="91">
        <f t="shared" si="692"/>
        <v>2</v>
      </c>
      <c r="E584" s="278"/>
      <c r="F584" s="76">
        <f t="shared" ref="F584:Q584" ca="1" si="746">F512</f>
        <v>-13.02</v>
      </c>
      <c r="G584" s="46">
        <f t="shared" ca="1" si="746"/>
        <v>27.012600000000003</v>
      </c>
      <c r="H584" s="46">
        <f t="shared" ca="1" si="668"/>
        <v>28.517550000000004</v>
      </c>
      <c r="I584" s="45">
        <f t="shared" ca="1" si="669"/>
        <v>3.4968020066039631E-8</v>
      </c>
      <c r="J584" s="45">
        <f t="shared" ca="1" si="670"/>
        <v>0.27952512346894071</v>
      </c>
      <c r="K584" s="45">
        <f t="shared" ca="1" si="686"/>
        <v>0.90345467800480783</v>
      </c>
      <c r="L584" s="358">
        <f t="shared" ca="1" si="671"/>
        <v>7.5103934893711255E-2</v>
      </c>
      <c r="M584" s="76">
        <f t="shared" ca="1" si="746"/>
        <v>0.25347808785320641</v>
      </c>
      <c r="N584" s="45">
        <f t="shared" ca="1" si="746"/>
        <v>0.25</v>
      </c>
      <c r="O584" s="45">
        <f t="shared" ca="1" si="746"/>
        <v>0</v>
      </c>
      <c r="P584" s="46" t="str">
        <f t="shared" ca="1" si="746"/>
        <v/>
      </c>
      <c r="Q584" s="243" t="str">
        <f t="shared" ca="1" si="746"/>
        <v/>
      </c>
      <c r="R584" s="45">
        <f t="shared" ca="1" si="687"/>
        <v>0.24751105457434266</v>
      </c>
      <c r="S584" s="45">
        <f t="shared" ca="1" si="711"/>
        <v>5.0695617570641283E-2</v>
      </c>
      <c r="T584" s="77">
        <f t="shared" ca="1" si="672"/>
        <v>7.2124761619648606E-9</v>
      </c>
      <c r="U584" s="45">
        <f t="shared" ca="1" si="688"/>
        <v>17.383251800663228</v>
      </c>
      <c r="V584" s="45">
        <f t="shared" ca="1" si="673"/>
        <v>0.20278247028256513</v>
      </c>
      <c r="W584" s="77">
        <f t="shared" ca="1" si="674"/>
        <v>1.5196447238030455E-8</v>
      </c>
      <c r="X584" s="45">
        <f t="shared" ca="1" si="689"/>
        <v>1.019554738351693</v>
      </c>
      <c r="Y584" s="45">
        <f t="shared" ca="1" si="675"/>
        <v>2.1977681884570182E-9</v>
      </c>
      <c r="Z584" s="77">
        <f t="shared" ca="1" si="676"/>
        <v>1.9608495988412624E-9</v>
      </c>
      <c r="AA584" s="45">
        <f t="shared" ca="1" si="690"/>
        <v>39.127522118841441</v>
      </c>
      <c r="AB584" s="45">
        <f t="shared" ca="1" si="677"/>
        <v>0</v>
      </c>
      <c r="AC584" s="45" cm="1">
        <f t="array" aca="1" ref="AC584" ca="1">pHUM*(T584+W584+Z584+AD584)</f>
        <v>2.5856096334788449E-9</v>
      </c>
      <c r="AD584" s="77">
        <f t="shared" ca="1" si="678"/>
        <v>2.2803538458698453E-9</v>
      </c>
      <c r="AE584" s="45">
        <f t="shared" ca="1" si="691"/>
        <v>6.3847072090583081</v>
      </c>
      <c r="AF584" s="45">
        <f t="shared" ca="1" si="679"/>
        <v>0</v>
      </c>
      <c r="AG584" s="76">
        <f t="shared" ca="1" si="680"/>
        <v>64.16254692148901</v>
      </c>
      <c r="AH584" s="45">
        <f t="shared" ca="1" si="681"/>
        <v>2.1866749022770561E-8</v>
      </c>
      <c r="AI584" s="77">
        <f t="shared" ca="1" si="682"/>
        <v>1.3190672382857812E-2</v>
      </c>
      <c r="AJ584" s="384">
        <f t="shared" ca="1" si="684"/>
        <v>3.1592558669257809E-3</v>
      </c>
      <c r="AU584" s="1"/>
    </row>
    <row r="585" spans="3:47" x14ac:dyDescent="0.25">
      <c r="C585" s="10">
        <f t="shared" si="709"/>
        <v>41</v>
      </c>
      <c r="D585" s="91">
        <f t="shared" si="692"/>
        <v>3</v>
      </c>
      <c r="E585" s="278"/>
      <c r="F585" s="76">
        <f t="shared" ref="F585:Q585" ca="1" si="747">F513</f>
        <v>-3.52</v>
      </c>
      <c r="G585" s="46">
        <f t="shared" ca="1" si="747"/>
        <v>29.742600000000003</v>
      </c>
      <c r="H585" s="46">
        <f t="shared" ca="1" si="668"/>
        <v>25.787550000000003</v>
      </c>
      <c r="I585" s="45">
        <f t="shared" ca="1" si="669"/>
        <v>1.7216068766348798E-2</v>
      </c>
      <c r="J585" s="45">
        <f t="shared" ca="1" si="670"/>
        <v>0.2911707845539237</v>
      </c>
      <c r="K585" s="45">
        <f t="shared" ca="1" si="686"/>
        <v>0.94109468279262609</v>
      </c>
      <c r="L585" s="358">
        <f t="shared" ca="1" si="671"/>
        <v>0.2510452916114092</v>
      </c>
      <c r="M585" s="76">
        <f t="shared" ca="1" si="747"/>
        <v>0.25347808785320641</v>
      </c>
      <c r="N585" s="45">
        <f t="shared" ca="1" si="747"/>
        <v>0.25</v>
      </c>
      <c r="O585" s="45">
        <f t="shared" ca="1" si="747"/>
        <v>0</v>
      </c>
      <c r="P585" s="46" t="str">
        <f t="shared" ca="1" si="747"/>
        <v/>
      </c>
      <c r="Q585" s="243" t="str">
        <f t="shared" ca="1" si="747"/>
        <v/>
      </c>
      <c r="R585" s="45">
        <f t="shared" ca="1" si="687"/>
        <v>0.2982066649325078</v>
      </c>
      <c r="S585" s="45">
        <f t="shared" ca="1" si="711"/>
        <v>5.0695617570641283E-2</v>
      </c>
      <c r="T585" s="77">
        <f t="shared" ca="1" si="672"/>
        <v>4.2477452355207971E-3</v>
      </c>
      <c r="U585" s="45">
        <f t="shared" ca="1" si="688"/>
        <v>17.586034255749343</v>
      </c>
      <c r="V585" s="45">
        <f t="shared" ca="1" si="673"/>
        <v>0.20278247028256513</v>
      </c>
      <c r="W585" s="77">
        <f t="shared" ca="1" si="674"/>
        <v>7.5674307424388231E-3</v>
      </c>
      <c r="X585" s="45">
        <f t="shared" ca="1" si="689"/>
        <v>1.0195547385886115</v>
      </c>
      <c r="Y585" s="45">
        <f t="shared" ca="1" si="675"/>
        <v>1.146529081819682E-3</v>
      </c>
      <c r="Z585" s="77">
        <f t="shared" ca="1" si="676"/>
        <v>9.6494293048072556E-4</v>
      </c>
      <c r="AA585" s="45">
        <f t="shared" ca="1" si="690"/>
        <v>39.127522119146697</v>
      </c>
      <c r="AB585" s="45">
        <f t="shared" ca="1" si="677"/>
        <v>0</v>
      </c>
      <c r="AC585" s="45" cm="1">
        <f t="array" aca="1" ref="AC585" ca="1">pHUM*(T585+W585+Z585+AD585)</f>
        <v>1.3488577433172729E-3</v>
      </c>
      <c r="AD585" s="77">
        <f t="shared" ca="1" si="678"/>
        <v>1.1226874121348419E-3</v>
      </c>
      <c r="AE585" s="45">
        <f t="shared" ca="1" si="691"/>
        <v>6.3847072090583081</v>
      </c>
      <c r="AF585" s="45">
        <f t="shared" ca="1" si="679"/>
        <v>0</v>
      </c>
      <c r="AG585" s="76">
        <f t="shared" ca="1" si="680"/>
        <v>64.416024987475467</v>
      </c>
      <c r="AH585" s="45">
        <f t="shared" ca="1" si="681"/>
        <v>1.1407419495438234E-2</v>
      </c>
      <c r="AI585" s="77">
        <f t="shared" ca="1" si="682"/>
        <v>1.3948407325205029E-2</v>
      </c>
      <c r="AJ585" s="384">
        <f t="shared" ca="1" si="684"/>
        <v>1.1632025736341145E-2</v>
      </c>
      <c r="AU585" s="1"/>
    </row>
    <row r="586" spans="3:47" x14ac:dyDescent="0.25">
      <c r="C586" s="10">
        <f t="shared" si="709"/>
        <v>41</v>
      </c>
      <c r="D586" s="91">
        <f t="shared" si="692"/>
        <v>4</v>
      </c>
      <c r="E586" s="278"/>
      <c r="F586" s="76">
        <f t="shared" ref="F586:Q586" ca="1" si="748">F514</f>
        <v>6.08</v>
      </c>
      <c r="G586" s="46">
        <f t="shared" ca="1" si="748"/>
        <v>27.012600000000003</v>
      </c>
      <c r="H586" s="46">
        <f t="shared" ca="1" si="668"/>
        <v>28.517550000000004</v>
      </c>
      <c r="I586" s="45">
        <f t="shared" ca="1" si="669"/>
        <v>0.26307228538649535</v>
      </c>
      <c r="J586" s="45">
        <f t="shared" ca="1" si="670"/>
        <v>0.27952512346894071</v>
      </c>
      <c r="K586" s="45">
        <f t="shared" ca="1" si="686"/>
        <v>0.90345467800480783</v>
      </c>
      <c r="L586" s="358">
        <f t="shared" ca="1" si="671"/>
        <v>0.58389398806465831</v>
      </c>
      <c r="M586" s="76">
        <f t="shared" ca="1" si="748"/>
        <v>0.25347808785320641</v>
      </c>
      <c r="N586" s="45">
        <f t="shared" ca="1" si="748"/>
        <v>0.25</v>
      </c>
      <c r="O586" s="45">
        <f t="shared" ca="1" si="748"/>
        <v>0</v>
      </c>
      <c r="P586" s="46" t="str">
        <f t="shared" ca="1" si="748"/>
        <v/>
      </c>
      <c r="Q586" s="243" t="str">
        <f t="shared" ca="1" si="748"/>
        <v/>
      </c>
      <c r="R586" s="45">
        <f t="shared" ca="1" si="687"/>
        <v>0.34465453726762829</v>
      </c>
      <c r="S586" s="45">
        <f t="shared" ca="1" si="711"/>
        <v>5.0695617570641283E-2</v>
      </c>
      <c r="T586" s="77">
        <f t="shared" ca="1" si="672"/>
        <v>6.7848877793297319E-2</v>
      </c>
      <c r="U586" s="45">
        <f t="shared" ca="1" si="688"/>
        <v>17.78124929528947</v>
      </c>
      <c r="V586" s="45">
        <f t="shared" ca="1" si="673"/>
        <v>0.20278247028256513</v>
      </c>
      <c r="W586" s="77">
        <f t="shared" ca="1" si="674"/>
        <v>0.11656013033556993</v>
      </c>
      <c r="X586" s="45">
        <f t="shared" ca="1" si="689"/>
        <v>1.0197363247399505</v>
      </c>
      <c r="Y586" s="45">
        <f t="shared" ca="1" si="675"/>
        <v>1.7830228624025696E-2</v>
      </c>
      <c r="Z586" s="77">
        <f t="shared" ca="1" si="676"/>
        <v>1.4648311514957553E-2</v>
      </c>
      <c r="AA586" s="45">
        <f t="shared" ca="1" si="690"/>
        <v>39.127748289477879</v>
      </c>
      <c r="AB586" s="45">
        <f t="shared" ca="1" si="677"/>
        <v>0</v>
      </c>
      <c r="AC586" s="45" cm="1">
        <f t="array" aca="1" ref="AC586" ca="1">pHUM*(T586+W586+Z586+AD586)</f>
        <v>2.0976739557677287E-2</v>
      </c>
      <c r="AD586" s="77">
        <f t="shared" ca="1" si="678"/>
        <v>1.7151949830590089E-2</v>
      </c>
      <c r="AE586" s="45">
        <f t="shared" ca="1" si="691"/>
        <v>6.3847072090583081</v>
      </c>
      <c r="AF586" s="45">
        <f t="shared" ca="1" si="679"/>
        <v>0</v>
      </c>
      <c r="AG586" s="76">
        <f t="shared" ca="1" si="680"/>
        <v>64.658095655833236</v>
      </c>
      <c r="AH586" s="45">
        <f t="shared" ca="1" si="681"/>
        <v>0.17740230129271192</v>
      </c>
      <c r="AI586" s="77">
        <f t="shared" ca="1" si="682"/>
        <v>1.4638616033587305E-2</v>
      </c>
      <c r="AJ586" s="384">
        <f t="shared" ca="1" si="684"/>
        <v>2.7257079767777359E-2</v>
      </c>
      <c r="AU586" s="1"/>
    </row>
    <row r="587" spans="3:47" x14ac:dyDescent="0.25">
      <c r="C587" s="10">
        <f t="shared" si="709"/>
        <v>41</v>
      </c>
      <c r="D587" s="91">
        <f t="shared" si="692"/>
        <v>5</v>
      </c>
      <c r="E587" s="278"/>
      <c r="F587" s="76">
        <f t="shared" ref="F587:Q587" ca="1" si="749">F515</f>
        <v>16.079999999999998</v>
      </c>
      <c r="G587" s="46">
        <f t="shared" ca="1" si="749"/>
        <v>27.012600000000003</v>
      </c>
      <c r="H587" s="46">
        <f t="shared" ca="1" si="668"/>
        <v>28.517550000000004</v>
      </c>
      <c r="I587" s="45">
        <f t="shared" ca="1" si="669"/>
        <v>0.90560233354751607</v>
      </c>
      <c r="J587" s="45">
        <f t="shared" ca="1" si="670"/>
        <v>0.27952512346894071</v>
      </c>
      <c r="K587" s="45">
        <f t="shared" ca="1" si="686"/>
        <v>0.90345467800480783</v>
      </c>
      <c r="L587" s="358">
        <f t="shared" ca="1" si="671"/>
        <v>0.86059167822175908</v>
      </c>
      <c r="M587" s="76">
        <f t="shared" ca="1" si="749"/>
        <v>0.25347808785320641</v>
      </c>
      <c r="N587" s="45">
        <f t="shared" ca="1" si="749"/>
        <v>0.25</v>
      </c>
      <c r="O587" s="45">
        <f t="shared" ca="1" si="749"/>
        <v>0</v>
      </c>
      <c r="P587" s="46" t="str">
        <f t="shared" ca="1" si="749"/>
        <v/>
      </c>
      <c r="Q587" s="243" t="str">
        <f t="shared" ca="1" si="749"/>
        <v/>
      </c>
      <c r="R587" s="45">
        <f t="shared" ca="1" si="687"/>
        <v>0.32750127704497223</v>
      </c>
      <c r="S587" s="45">
        <f t="shared" ca="1" si="711"/>
        <v>5.0695617570641283E-2</v>
      </c>
      <c r="T587" s="77">
        <f t="shared" ca="1" si="672"/>
        <v>0.17352118168479536</v>
      </c>
      <c r="U587" s="45">
        <f t="shared" ca="1" si="688"/>
        <v>17.867471635236463</v>
      </c>
      <c r="V587" s="45">
        <f t="shared" ca="1" si="673"/>
        <v>0.20278247028256513</v>
      </c>
      <c r="W587" s="77">
        <f t="shared" ca="1" si="674"/>
        <v>0.39997577815009921</v>
      </c>
      <c r="X587" s="45">
        <f t="shared" ca="1" si="689"/>
        <v>1.0229182418490186</v>
      </c>
      <c r="Y587" s="45">
        <f t="shared" ca="1" si="675"/>
        <v>5.6260680123610136E-2</v>
      </c>
      <c r="Z587" s="77">
        <f t="shared" ca="1" si="676"/>
        <v>4.9701596568610514E-2</v>
      </c>
      <c r="AA587" s="45">
        <f t="shared" ca="1" si="690"/>
        <v>39.131573079204962</v>
      </c>
      <c r="AB587" s="45">
        <f t="shared" ca="1" si="677"/>
        <v>0</v>
      </c>
      <c r="AC587" s="45" cm="1">
        <f t="array" aca="1" ref="AC587" ca="1">pHUM*(T587+W587+Z587+AD587)</f>
        <v>6.6189035439541341E-2</v>
      </c>
      <c r="AD587" s="77">
        <f t="shared" ca="1" si="678"/>
        <v>5.9018189447344507E-2</v>
      </c>
      <c r="AE587" s="45">
        <f t="shared" ca="1" si="691"/>
        <v>6.3847072090583081</v>
      </c>
      <c r="AF587" s="45">
        <f t="shared" ca="1" si="679"/>
        <v>0</v>
      </c>
      <c r="AG587" s="76">
        <f t="shared" ca="1" si="680"/>
        <v>64.73417144239373</v>
      </c>
      <c r="AH587" s="45">
        <f t="shared" ca="1" si="681"/>
        <v>0.55976703028769814</v>
      </c>
      <c r="AI587" s="77">
        <f t="shared" ca="1" si="682"/>
        <v>1.441460216593116E-2</v>
      </c>
      <c r="AJ587" s="384">
        <f t="shared" ca="1" si="684"/>
        <v>3.9558522685700925E-2</v>
      </c>
      <c r="AU587" s="1"/>
    </row>
    <row r="588" spans="3:47" x14ac:dyDescent="0.25">
      <c r="C588" s="10">
        <f t="shared" si="709"/>
        <v>41</v>
      </c>
      <c r="D588" s="91">
        <f t="shared" si="692"/>
        <v>6</v>
      </c>
      <c r="E588" s="278"/>
      <c r="F588" s="76">
        <f t="shared" ref="F588:Q588" ca="1" si="750">F516</f>
        <v>17.399999999999999</v>
      </c>
      <c r="G588" s="46">
        <f t="shared" ca="1" si="750"/>
        <v>27.012600000000003</v>
      </c>
      <c r="H588" s="46">
        <f t="shared" ca="1" si="668"/>
        <v>28.517550000000004</v>
      </c>
      <c r="I588" s="45">
        <f t="shared" ca="1" si="669"/>
        <v>1.0098878501236044</v>
      </c>
      <c r="J588" s="45">
        <f t="shared" ca="1" si="670"/>
        <v>0.27952512346894071</v>
      </c>
      <c r="K588" s="45">
        <f t="shared" ca="1" si="686"/>
        <v>0.90345467800480783</v>
      </c>
      <c r="L588" s="358">
        <f t="shared" ca="1" si="671"/>
        <v>0.88208077264421947</v>
      </c>
      <c r="M588" s="76">
        <f t="shared" ca="1" si="750"/>
        <v>0.25347808785320641</v>
      </c>
      <c r="N588" s="45">
        <f t="shared" ca="1" si="750"/>
        <v>0.25</v>
      </c>
      <c r="O588" s="45">
        <f t="shared" ca="1" si="750"/>
        <v>0</v>
      </c>
      <c r="P588" s="46" t="str">
        <f t="shared" ca="1" si="750"/>
        <v/>
      </c>
      <c r="Q588" s="243" t="str">
        <f t="shared" ca="1" si="750"/>
        <v/>
      </c>
      <c r="R588" s="45">
        <f t="shared" ca="1" si="687"/>
        <v>0.20467571293081815</v>
      </c>
      <c r="S588" s="45">
        <f t="shared" ca="1" si="711"/>
        <v>5.0695617570641283E-2</v>
      </c>
      <c r="T588" s="77">
        <f t="shared" ca="1" si="672"/>
        <v>0.11645395421434461</v>
      </c>
      <c r="U588" s="45">
        <f t="shared" ca="1" si="688"/>
        <v>17.670278327368926</v>
      </c>
      <c r="V588" s="45">
        <f t="shared" ca="1" si="673"/>
        <v>0.20278247028256513</v>
      </c>
      <c r="W588" s="77">
        <f t="shared" ca="1" si="674"/>
        <v>0.44054037951247516</v>
      </c>
      <c r="X588" s="45">
        <f t="shared" ca="1" si="689"/>
        <v>1.0294773254040182</v>
      </c>
      <c r="Y588" s="45">
        <f t="shared" ca="1" si="675"/>
        <v>5.5948994377248637E-2</v>
      </c>
      <c r="Z588" s="77">
        <f t="shared" ca="1" si="676"/>
        <v>5.5622084197335768E-2</v>
      </c>
      <c r="AA588" s="45">
        <f t="shared" ca="1" si="690"/>
        <v>39.138743925197161</v>
      </c>
      <c r="AB588" s="45">
        <f t="shared" ca="1" si="677"/>
        <v>0</v>
      </c>
      <c r="AC588" s="45" cm="1">
        <f t="array" aca="1" ref="AC588" ca="1">pHUM*(T588+W588+Z588+AD588)</f>
        <v>6.5822346326174869E-2</v>
      </c>
      <c r="AD588" s="77">
        <f t="shared" ca="1" si="678"/>
        <v>6.5820828014079319E-2</v>
      </c>
      <c r="AE588" s="45">
        <f t="shared" ca="1" si="691"/>
        <v>6.3847072090583081</v>
      </c>
      <c r="AF588" s="45">
        <f t="shared" ca="1" si="679"/>
        <v>0</v>
      </c>
      <c r="AG588" s="76">
        <f t="shared" ca="1" si="680"/>
        <v>64.427882499959225</v>
      </c>
      <c r="AH588" s="45">
        <f t="shared" ca="1" si="681"/>
        <v>0.5566659052348113</v>
      </c>
      <c r="AI588" s="77">
        <f t="shared" ca="1" si="682"/>
        <v>1.2648731593098763E-2</v>
      </c>
      <c r="AJ588" s="384">
        <f t="shared" ca="1" si="684"/>
        <v>3.5579285677901362E-2</v>
      </c>
      <c r="AU588" s="1"/>
    </row>
    <row r="589" spans="3:47" x14ac:dyDescent="0.25">
      <c r="C589" s="10">
        <f t="shared" si="709"/>
        <v>41</v>
      </c>
      <c r="D589" s="91">
        <f t="shared" si="692"/>
        <v>7</v>
      </c>
      <c r="E589" s="278"/>
      <c r="F589" s="76">
        <f t="shared" ref="F589:Q589" ca="1" si="751">F517</f>
        <v>21.29</v>
      </c>
      <c r="G589" s="46">
        <f t="shared" ca="1" si="751"/>
        <v>27.012600000000003</v>
      </c>
      <c r="H589" s="46">
        <f t="shared" ca="1" si="668"/>
        <v>28.517550000000004</v>
      </c>
      <c r="I589" s="45">
        <f t="shared" ca="1" si="669"/>
        <v>1.3308669995183955</v>
      </c>
      <c r="J589" s="45">
        <f t="shared" ca="1" si="670"/>
        <v>0.27952512346894071</v>
      </c>
      <c r="K589" s="45">
        <f t="shared" ca="1" si="686"/>
        <v>0.90345467800480783</v>
      </c>
      <c r="L589" s="358">
        <f t="shared" ca="1" si="671"/>
        <v>0.92839591561968593</v>
      </c>
      <c r="M589" s="76">
        <f t="shared" ca="1" si="751"/>
        <v>0.25347808785320641</v>
      </c>
      <c r="N589" s="45">
        <f t="shared" ca="1" si="751"/>
        <v>0.25</v>
      </c>
      <c r="O589" s="45">
        <f t="shared" ca="1" si="751"/>
        <v>0</v>
      </c>
      <c r="P589" s="46" t="str">
        <f t="shared" ca="1" si="751"/>
        <v/>
      </c>
      <c r="Q589" s="243" t="str">
        <f t="shared" ca="1" si="751"/>
        <v/>
      </c>
      <c r="R589" s="45">
        <f t="shared" ca="1" si="687"/>
        <v>0.13891737628711481</v>
      </c>
      <c r="S589" s="45">
        <f t="shared" ca="1" si="711"/>
        <v>5.0695617570641283E-2</v>
      </c>
      <c r="T589" s="77">
        <f t="shared" ca="1" si="672"/>
        <v>9.3092664317525969E-2</v>
      </c>
      <c r="U589" s="45">
        <f t="shared" ca="1" si="688"/>
        <v>17.432520418139013</v>
      </c>
      <c r="V589" s="45">
        <f t="shared" ca="1" si="673"/>
        <v>0.20278247028256513</v>
      </c>
      <c r="W589" s="77">
        <f t="shared" ca="1" si="674"/>
        <v>0.57046634343181635</v>
      </c>
      <c r="X589" s="45">
        <f t="shared" ca="1" si="689"/>
        <v>1.029804235583931</v>
      </c>
      <c r="Y589" s="45">
        <f t="shared" ca="1" si="675"/>
        <v>6.7867706597652427E-2</v>
      </c>
      <c r="Z589" s="77">
        <f t="shared" ca="1" si="676"/>
        <v>7.2686589900465892E-2</v>
      </c>
      <c r="AA589" s="45">
        <f t="shared" ca="1" si="690"/>
        <v>39.138745443509251</v>
      </c>
      <c r="AB589" s="45">
        <f t="shared" ca="1" si="677"/>
        <v>0</v>
      </c>
      <c r="AC589" s="45" cm="1">
        <f t="array" aca="1" ref="AC589" ca="1">pHUM*(T589+W589+Z589+AD589)</f>
        <v>7.9844360703120509E-2</v>
      </c>
      <c r="AD589" s="77">
        <f t="shared" ca="1" si="678"/>
        <v>8.6717897311220482E-2</v>
      </c>
      <c r="AE589" s="45">
        <f t="shared" ca="1" si="691"/>
        <v>6.3847072090583081</v>
      </c>
      <c r="AF589" s="45">
        <f t="shared" ca="1" si="679"/>
        <v>0</v>
      </c>
      <c r="AG589" s="76">
        <f t="shared" ca="1" si="680"/>
        <v>64.124694682577612</v>
      </c>
      <c r="AH589" s="45">
        <f t="shared" ca="1" si="681"/>
        <v>0.6752514276602557</v>
      </c>
      <c r="AI589" s="77">
        <f t="shared" ca="1" si="682"/>
        <v>1.1663458818112128E-2</v>
      </c>
      <c r="AJ589" s="384">
        <f t="shared" ca="1" si="684"/>
        <v>3.4530502884075887E-2</v>
      </c>
      <c r="AU589" s="1"/>
    </row>
    <row r="590" spans="3:47" x14ac:dyDescent="0.25">
      <c r="C590" s="10">
        <f t="shared" si="709"/>
        <v>41</v>
      </c>
      <c r="D590" s="91">
        <f t="shared" si="692"/>
        <v>8</v>
      </c>
      <c r="E590" s="278"/>
      <c r="F590" s="76">
        <f t="shared" ref="F590:Q590" ca="1" si="752">F518</f>
        <v>21.81</v>
      </c>
      <c r="G590" s="46">
        <f t="shared" ca="1" si="752"/>
        <v>27.012600000000003</v>
      </c>
      <c r="H590" s="46">
        <f t="shared" ca="1" si="668"/>
        <v>28.517550000000004</v>
      </c>
      <c r="I590" s="45">
        <f t="shared" ca="1" si="669"/>
        <v>1.3748539373542934</v>
      </c>
      <c r="J590" s="45">
        <f t="shared" ca="1" si="670"/>
        <v>0.27952512346894071</v>
      </c>
      <c r="K590" s="45">
        <f t="shared" ca="1" si="686"/>
        <v>0.90345467800480783</v>
      </c>
      <c r="L590" s="358">
        <f t="shared" ca="1" si="671"/>
        <v>0.93294591915671865</v>
      </c>
      <c r="M590" s="76">
        <f t="shared" ca="1" si="752"/>
        <v>0.25347808785320641</v>
      </c>
      <c r="N590" s="45">
        <f t="shared" ca="1" si="752"/>
        <v>0.25</v>
      </c>
      <c r="O590" s="45">
        <f t="shared" ca="1" si="752"/>
        <v>0</v>
      </c>
      <c r="P590" s="46" t="str">
        <f t="shared" ca="1" si="752"/>
        <v/>
      </c>
      <c r="Q590" s="243" t="str">
        <f t="shared" ca="1" si="752"/>
        <v/>
      </c>
      <c r="R590" s="45">
        <f t="shared" ca="1" si="687"/>
        <v>9.6520329540230126E-2</v>
      </c>
      <c r="S590" s="45">
        <f t="shared" ca="1" si="711"/>
        <v>5.0695617570641283E-2</v>
      </c>
      <c r="T590" s="77">
        <f t="shared" ca="1" si="672"/>
        <v>6.5827101645662786E-2</v>
      </c>
      <c r="U590" s="45">
        <f t="shared" ca="1" si="688"/>
        <v>17.06483654498976</v>
      </c>
      <c r="V590" s="45">
        <f t="shared" ca="1" si="673"/>
        <v>0.20278247028256513</v>
      </c>
      <c r="W590" s="77">
        <f t="shared" ca="1" si="674"/>
        <v>0.57657583610067997</v>
      </c>
      <c r="X590" s="45">
        <f t="shared" ca="1" si="689"/>
        <v>1.0249853522811176</v>
      </c>
      <c r="Y590" s="45">
        <f t="shared" ca="1" si="675"/>
        <v>6.6519598159791971E-2</v>
      </c>
      <c r="Z590" s="77">
        <f t="shared" ca="1" si="676"/>
        <v>7.4648375159518346E-2</v>
      </c>
      <c r="AA590" s="45">
        <f t="shared" ca="1" si="690"/>
        <v>39.131871906901154</v>
      </c>
      <c r="AB590" s="45">
        <f t="shared" ca="1" si="677"/>
        <v>0</v>
      </c>
      <c r="AC590" s="45" cm="1">
        <f t="array" aca="1" ref="AC590" ca="1">pHUM*(T590+W590+Z590+AD590)</f>
        <v>7.8258350776225852E-2</v>
      </c>
      <c r="AD590" s="77">
        <f t="shared" ca="1" si="678"/>
        <v>8.9565025399567871E-2</v>
      </c>
      <c r="AE590" s="45">
        <f t="shared" ca="1" si="691"/>
        <v>6.3847072090583081</v>
      </c>
      <c r="AF590" s="45">
        <f t="shared" ca="1" si="679"/>
        <v>0</v>
      </c>
      <c r="AG590" s="76">
        <f t="shared" ca="1" si="680"/>
        <v>63.702921342770566</v>
      </c>
      <c r="AH590" s="45">
        <f t="shared" ca="1" si="681"/>
        <v>0.66183838936941131</v>
      </c>
      <c r="AI590" s="77">
        <f t="shared" ca="1" si="682"/>
        <v>1.0967691718297159E-2</v>
      </c>
      <c r="AJ590" s="384">
        <f t="shared" ca="1" si="684"/>
        <v>3.262982951431681E-2</v>
      </c>
      <c r="AU590" s="1"/>
    </row>
    <row r="591" spans="3:47" x14ac:dyDescent="0.25">
      <c r="C591" s="10">
        <f t="shared" si="709"/>
        <v>41</v>
      </c>
      <c r="D591" s="91">
        <f t="shared" si="692"/>
        <v>9</v>
      </c>
      <c r="E591" s="278"/>
      <c r="F591" s="76">
        <f t="shared" ref="F591:Q591" ca="1" si="753">F519</f>
        <v>19.09</v>
      </c>
      <c r="G591" s="46">
        <f t="shared" ca="1" si="753"/>
        <v>27.012600000000003</v>
      </c>
      <c r="H591" s="46">
        <f t="shared" ca="1" si="668"/>
        <v>28.517550000000004</v>
      </c>
      <c r="I591" s="45">
        <f t="shared" ca="1" si="669"/>
        <v>1.1472439462064867</v>
      </c>
      <c r="J591" s="45">
        <f t="shared" ca="1" si="670"/>
        <v>0.27952512346894071</v>
      </c>
      <c r="K591" s="45">
        <f t="shared" ca="1" si="686"/>
        <v>0.90345467800480783</v>
      </c>
      <c r="L591" s="358">
        <f t="shared" ca="1" si="671"/>
        <v>0.90508116523032656</v>
      </c>
      <c r="M591" s="76">
        <f t="shared" ca="1" si="753"/>
        <v>0.25347808785320641</v>
      </c>
      <c r="N591" s="45">
        <f t="shared" ca="1" si="753"/>
        <v>0.25</v>
      </c>
      <c r="O591" s="45">
        <f t="shared" ca="1" si="753"/>
        <v>0</v>
      </c>
      <c r="P591" s="46" t="str">
        <f t="shared" ca="1" si="753"/>
        <v/>
      </c>
      <c r="Q591" s="243" t="str">
        <f t="shared" ca="1" si="753"/>
        <v/>
      </c>
      <c r="R591" s="45">
        <f t="shared" ca="1" si="687"/>
        <v>8.1388845465208623E-2</v>
      </c>
      <c r="S591" s="45">
        <f t="shared" ca="1" si="711"/>
        <v>5.0695617570641283E-2</v>
      </c>
      <c r="T591" s="77">
        <f t="shared" ca="1" si="672"/>
        <v>5.0101878867953413E-2</v>
      </c>
      <c r="U591" s="45">
        <f t="shared" ca="1" si="688"/>
        <v>16.691043179171643</v>
      </c>
      <c r="V591" s="45">
        <f t="shared" ca="1" si="673"/>
        <v>0.20278247028256513</v>
      </c>
      <c r="W591" s="77">
        <f t="shared" ca="1" si="674"/>
        <v>0.47191754946508474</v>
      </c>
      <c r="X591" s="45">
        <f t="shared" ca="1" si="689"/>
        <v>1.0168565752813912</v>
      </c>
      <c r="Y591" s="45">
        <f t="shared" ca="1" si="675"/>
        <v>5.4340202113873179E-2</v>
      </c>
      <c r="Z591" s="77">
        <f t="shared" ca="1" si="676"/>
        <v>6.217969134102605E-2</v>
      </c>
      <c r="AA591" s="45">
        <f t="shared" ca="1" si="690"/>
        <v>39.120565232277812</v>
      </c>
      <c r="AB591" s="45">
        <f t="shared" ca="1" si="677"/>
        <v>0</v>
      </c>
      <c r="AC591" s="45" cm="1">
        <f t="array" aca="1" ref="AC591" ca="1">pHUM*(T591+W591+Z591+AD591)</f>
        <v>6.3929649545733158E-2</v>
      </c>
      <c r="AD591" s="77">
        <f t="shared" ca="1" si="678"/>
        <v>7.4729918751239369E-2</v>
      </c>
      <c r="AE591" s="45">
        <f t="shared" ca="1" si="691"/>
        <v>6.3847072090583081</v>
      </c>
      <c r="AF591" s="45">
        <f t="shared" ca="1" si="679"/>
        <v>0</v>
      </c>
      <c r="AG591" s="76">
        <f t="shared" ca="1" si="680"/>
        <v>63.294561041254362</v>
      </c>
      <c r="AH591" s="45">
        <f t="shared" ca="1" si="681"/>
        <v>0.54065918676569735</v>
      </c>
      <c r="AI591" s="77">
        <f t="shared" ca="1" si="682"/>
        <v>1.0652428889533916E-2</v>
      </c>
      <c r="AJ591" s="384">
        <f t="shared" ca="1" si="684"/>
        <v>3.0745392645356029E-2</v>
      </c>
      <c r="AU591" s="1"/>
    </row>
    <row r="592" spans="3:47" x14ac:dyDescent="0.25">
      <c r="C592" s="10">
        <f t="shared" si="709"/>
        <v>41</v>
      </c>
      <c r="D592" s="91">
        <f t="shared" si="692"/>
        <v>10</v>
      </c>
      <c r="E592" s="278"/>
      <c r="F592" s="76">
        <f t="shared" ref="F592:Q592" ca="1" si="754">F520</f>
        <v>9.02</v>
      </c>
      <c r="G592" s="46">
        <f t="shared" ca="1" si="754"/>
        <v>27.012600000000003</v>
      </c>
      <c r="H592" s="46">
        <f t="shared" ca="1" si="668"/>
        <v>28.517550000000004</v>
      </c>
      <c r="I592" s="45">
        <f t="shared" ca="1" si="669"/>
        <v>0.41742778729268759</v>
      </c>
      <c r="J592" s="45">
        <f t="shared" ca="1" si="670"/>
        <v>0.27952512346894071</v>
      </c>
      <c r="K592" s="45">
        <f t="shared" ca="1" si="686"/>
        <v>0.90345467800480783</v>
      </c>
      <c r="L592" s="358">
        <f t="shared" ca="1" si="671"/>
        <v>0.68492882381082199</v>
      </c>
      <c r="M592" s="76">
        <f t="shared" ca="1" si="754"/>
        <v>0.25347808785320641</v>
      </c>
      <c r="N592" s="45">
        <f t="shared" ca="1" si="754"/>
        <v>0.25</v>
      </c>
      <c r="O592" s="45">
        <f t="shared" ca="1" si="754"/>
        <v>0</v>
      </c>
      <c r="P592" s="46" t="str">
        <f t="shared" ca="1" si="754"/>
        <v/>
      </c>
      <c r="Q592" s="243" t="str">
        <f t="shared" ca="1" si="754"/>
        <v/>
      </c>
      <c r="R592" s="45">
        <f t="shared" ca="1" si="687"/>
        <v>8.1982584167896499E-2</v>
      </c>
      <c r="S592" s="45">
        <f t="shared" ca="1" si="711"/>
        <v>5.0695617570641283E-2</v>
      </c>
      <c r="T592" s="77">
        <f t="shared" ca="1" si="672"/>
        <v>2.4086465507844296E-2</v>
      </c>
      <c r="U592" s="45">
        <f t="shared" ca="1" si="688"/>
        <v>16.421908099989121</v>
      </c>
      <c r="V592" s="45">
        <f t="shared" ca="1" si="673"/>
        <v>0.20278247028256513</v>
      </c>
      <c r="W592" s="77">
        <f t="shared" ca="1" si="674"/>
        <v>0.17048291800953619</v>
      </c>
      <c r="X592" s="45">
        <f t="shared" ca="1" si="689"/>
        <v>1.0090170860542385</v>
      </c>
      <c r="Y592" s="45">
        <f t="shared" ca="1" si="675"/>
        <v>2.0177373656951977E-2</v>
      </c>
      <c r="Z592" s="77">
        <f t="shared" ca="1" si="676"/>
        <v>2.2901647332640589E-2</v>
      </c>
      <c r="AA592" s="45">
        <f t="shared" ca="1" si="690"/>
        <v>39.109764963072308</v>
      </c>
      <c r="AB592" s="45">
        <f t="shared" ca="1" si="677"/>
        <v>0</v>
      </c>
      <c r="AC592" s="45" cm="1">
        <f t="array" aca="1" ref="AC592" ca="1">pHUM*(T592+W592+Z592+AD592)</f>
        <v>2.3738086655237623E-2</v>
      </c>
      <c r="AD592" s="77">
        <f t="shared" ca="1" si="678"/>
        <v>2.7199708391286583E-2</v>
      </c>
      <c r="AE592" s="45">
        <f t="shared" ca="1" si="691"/>
        <v>6.3847072090583081</v>
      </c>
      <c r="AF592" s="45">
        <f t="shared" ca="1" si="679"/>
        <v>0</v>
      </c>
      <c r="AG592" s="76">
        <f t="shared" ca="1" si="680"/>
        <v>63.007379942341871</v>
      </c>
      <c r="AH592" s="45">
        <f t="shared" ca="1" si="681"/>
        <v>0.20075527892911807</v>
      </c>
      <c r="AI592" s="77">
        <f t="shared" ca="1" si="682"/>
        <v>1.0588433484972612E-2</v>
      </c>
      <c r="AJ592" s="384">
        <f t="shared" ca="1" si="684"/>
        <v>2.312725824264894E-2</v>
      </c>
      <c r="AU592" s="1"/>
    </row>
    <row r="593" spans="3:47" x14ac:dyDescent="0.25">
      <c r="C593" s="10">
        <f t="shared" si="709"/>
        <v>41</v>
      </c>
      <c r="D593" s="91">
        <f t="shared" si="692"/>
        <v>11</v>
      </c>
      <c r="E593" s="278"/>
      <c r="F593" s="76">
        <f t="shared" ref="F593:Q593" ca="1" si="755">F521</f>
        <v>5.62</v>
      </c>
      <c r="G593" s="46">
        <f t="shared" ca="1" si="755"/>
        <v>27.012600000000003</v>
      </c>
      <c r="H593" s="46">
        <f t="shared" ca="1" si="668"/>
        <v>28.517550000000004</v>
      </c>
      <c r="I593" s="45">
        <f t="shared" ca="1" si="669"/>
        <v>0.24215575259059691</v>
      </c>
      <c r="J593" s="45">
        <f t="shared" ca="1" si="670"/>
        <v>0.27952512346894071</v>
      </c>
      <c r="K593" s="45">
        <f t="shared" ca="1" si="686"/>
        <v>0.90345467800480783</v>
      </c>
      <c r="L593" s="358">
        <f t="shared" ca="1" si="671"/>
        <v>0.5671500175141555</v>
      </c>
      <c r="M593" s="76">
        <f t="shared" ca="1" si="755"/>
        <v>0.25347808785320641</v>
      </c>
      <c r="N593" s="45">
        <f t="shared" ca="1" si="755"/>
        <v>0.25</v>
      </c>
      <c r="O593" s="45">
        <f t="shared" ca="1" si="755"/>
        <v>0</v>
      </c>
      <c r="P593" s="46" t="str">
        <f t="shared" ca="1" si="755"/>
        <v/>
      </c>
      <c r="Q593" s="243" t="str">
        <f t="shared" ca="1" si="755"/>
        <v/>
      </c>
      <c r="R593" s="45">
        <f t="shared" ca="1" si="687"/>
        <v>0.10859173623069349</v>
      </c>
      <c r="S593" s="45">
        <f t="shared" ca="1" si="711"/>
        <v>5.0695617570641283E-2</v>
      </c>
      <c r="T593" s="77">
        <f t="shared" ca="1" si="672"/>
        <v>1.9843917491017132E-2</v>
      </c>
      <c r="U593" s="45">
        <f t="shared" ca="1" si="688"/>
        <v>16.454207652262149</v>
      </c>
      <c r="V593" s="45">
        <f t="shared" ca="1" si="673"/>
        <v>0.20278247028256513</v>
      </c>
      <c r="W593" s="77">
        <f t="shared" ca="1" si="674"/>
        <v>9.931111315660214E-2</v>
      </c>
      <c r="X593" s="45">
        <f t="shared" ca="1" si="689"/>
        <v>1.0062928123785497</v>
      </c>
      <c r="Y593" s="45">
        <f t="shared" ca="1" si="675"/>
        <v>1.2225668185340032E-2</v>
      </c>
      <c r="Z593" s="77">
        <f t="shared" ca="1" si="676"/>
        <v>1.3313522316359037E-2</v>
      </c>
      <c r="AA593" s="45">
        <f t="shared" ca="1" si="690"/>
        <v>39.106303341336258</v>
      </c>
      <c r="AB593" s="45">
        <f t="shared" ca="1" si="677"/>
        <v>0</v>
      </c>
      <c r="AC593" s="45" cm="1">
        <f t="array" aca="1" ref="AC593" ca="1">pHUM*(T593+W593+Z593+AD593)</f>
        <v>1.4383139041576508E-2</v>
      </c>
      <c r="AD593" s="77">
        <f t="shared" ca="1" si="678"/>
        <v>1.5779842663837314E-2</v>
      </c>
      <c r="AE593" s="45">
        <f t="shared" ca="1" si="691"/>
        <v>6.3847072090583081</v>
      </c>
      <c r="AF593" s="45">
        <f t="shared" ca="1" si="679"/>
        <v>0</v>
      </c>
      <c r="AG593" s="76">
        <f t="shared" ca="1" si="680"/>
        <v>63.060102751265958</v>
      </c>
      <c r="AH593" s="45">
        <f t="shared" ca="1" si="681"/>
        <v>0.12163958840089908</v>
      </c>
      <c r="AI593" s="77">
        <f t="shared" ca="1" si="682"/>
        <v>1.0981336359355725E-2</v>
      </c>
      <c r="AJ593" s="384">
        <f t="shared" ca="1" si="684"/>
        <v>1.9861016690733146E-2</v>
      </c>
      <c r="AU593" s="1"/>
    </row>
    <row r="594" spans="3:47" x14ac:dyDescent="0.25">
      <c r="C594" s="10">
        <f t="shared" si="709"/>
        <v>41</v>
      </c>
      <c r="D594" s="91">
        <f t="shared" si="692"/>
        <v>12</v>
      </c>
      <c r="E594" s="278"/>
      <c r="F594" s="76">
        <f t="shared" ref="F594:Q594" ca="1" si="756">F522</f>
        <v>3.68</v>
      </c>
      <c r="G594" s="46">
        <f t="shared" ca="1" si="756"/>
        <v>27.012600000000003</v>
      </c>
      <c r="H594" s="46">
        <f t="shared" ref="H594:H657" ca="1" si="757">FC-G594</f>
        <v>28.517550000000004</v>
      </c>
      <c r="I594" s="45">
        <f t="shared" ref="I594:I657" ca="1" si="758">PRODUCT(47.91/(1+EXP(106.06/(F594+18.27))), IF(IF(H594&lt;=0,1-((1-RM_PWP)*(G594-FC)/(WSAT-FC)),IF(H594&lt;=Wat1bar,1,1-((1-RM_PWP)*(H594-Wat1bar)/(FC-Wat1bar))))&lt;=RM_PWP,RM_PWP,IF(H594&lt;=0,1-((1-RM_PWP)*(G594-FC)/(WSAT-FC)),IF(H594&lt;=Wat1bar,1,1-((1-RM_PWP)*(H594-Wat1bar)/(FC-Wat1bar))))),0.56+(ATAN(3.14*0.45*(SoilpH-5)))/3.14,EXP(-0.09*SoilSal))</f>
        <v>0.16418562454767627</v>
      </c>
      <c r="J594" s="45">
        <f t="shared" ref="J594:J657" ca="1" si="759">POWER(((G594/150)-$J$9),$M$9)*POWER(($L$9-(G594/150)),$N$9)</f>
        <v>0.27952512346894071</v>
      </c>
      <c r="K594" s="45">
        <f t="shared" ca="1" si="686"/>
        <v>0.90345467800480783</v>
      </c>
      <c r="L594" s="358">
        <f t="shared" ref="L594:L657" ca="1" si="760">1/(1+EXP(-(F594-3.8)/6.7))+1/(1+EXP((F594-62.2)/7.1))-1</f>
        <v>0.49525928680467546</v>
      </c>
      <c r="M594" s="76">
        <f t="shared" ca="1" si="756"/>
        <v>0.25347808785320641</v>
      </c>
      <c r="N594" s="45">
        <f t="shared" ca="1" si="756"/>
        <v>0.25</v>
      </c>
      <c r="O594" s="45">
        <f t="shared" ca="1" si="756"/>
        <v>0</v>
      </c>
      <c r="P594" s="46" t="str">
        <f t="shared" ca="1" si="756"/>
        <v/>
      </c>
      <c r="Q594" s="243" t="str">
        <f t="shared" ca="1" si="756"/>
        <v/>
      </c>
      <c r="R594" s="45">
        <f t="shared" ca="1" si="687"/>
        <v>0.13944343631031764</v>
      </c>
      <c r="S594" s="45">
        <f t="shared" ca="1" si="711"/>
        <v>5.0695617570641283E-2</v>
      </c>
      <c r="T594" s="77">
        <f t="shared" ref="T594:T657" ca="1" si="761">R594*(1-EXP(-kDPM*I594))</f>
        <v>1.7831187991366577E-2</v>
      </c>
      <c r="U594" s="45">
        <f t="shared" ca="1" si="688"/>
        <v>16.55767900938811</v>
      </c>
      <c r="V594" s="45">
        <f t="shared" ref="V594:V657" ca="1" si="762">M594*1/(1+N594)</f>
        <v>0.20278247028256513</v>
      </c>
      <c r="W594" s="77">
        <f t="shared" ref="W594:W657" ca="1" si="763">U594*(1-EXP(-kRPM*I594))</f>
        <v>6.7824029871278738E-2</v>
      </c>
      <c r="X594" s="45">
        <f t="shared" ca="1" si="689"/>
        <v>1.0052049582475309</v>
      </c>
      <c r="Y594" s="45">
        <f t="shared" ref="Y594:Y657" ca="1" si="764">pBIO*(T594+W594+Z594+AD594)</f>
        <v>8.6913175447033281E-3</v>
      </c>
      <c r="Z594" s="77">
        <f t="shared" ref="Z594:Z657" ca="1" si="765">X594*(1-EXP(-kBIO*I594))</f>
        <v>9.0363497423509628E-3</v>
      </c>
      <c r="AA594" s="45">
        <f t="shared" ca="1" si="690"/>
        <v>39.104906637713995</v>
      </c>
      <c r="AB594" s="45">
        <f t="shared" ref="AB594:AB657" ca="1" si="766">IF(O594&gt;0,O594*(1-Q594)/(1+P594),0)</f>
        <v>0</v>
      </c>
      <c r="AC594" s="45" cm="1">
        <f t="array" aca="1" ref="AC594" ca="1">pHUM*(T594+W594+Z594+AD594)</f>
        <v>1.0225079464356857E-2</v>
      </c>
      <c r="AD594" s="77">
        <f t="shared" ref="AD594:AD657" ca="1" si="767">AA594*(1-EXP(-kHUM*I594))</f>
        <v>1.0699308571340709E-2</v>
      </c>
      <c r="AE594" s="45">
        <f t="shared" ca="1" si="691"/>
        <v>6.3847072090583081</v>
      </c>
      <c r="AF594" s="45">
        <f t="shared" ref="AF594:AF657" ca="1" si="768">IF(O594&gt;0,O594*Q594,0)</f>
        <v>0</v>
      </c>
      <c r="AG594" s="76">
        <f t="shared" ref="AG594:AG657" ca="1" si="769">R594+U594+X594+AA594+AE594</f>
        <v>63.191941250718259</v>
      </c>
      <c r="AH594" s="45">
        <f t="shared" ref="AH594:AH657" ca="1" si="770">p_CO2*(T594+W594+Z594+AD594)</f>
        <v>8.6474479167276824E-2</v>
      </c>
      <c r="AI594" s="77">
        <f t="shared" ref="AI594:AI657" ca="1" si="771">((kRPM*U594)+(kDPM*R594)+(kBIO*X594)+(kHUM*AA594))/(U594+R594+AA594+X594)</f>
        <v>1.1452871573527278E-2</v>
      </c>
      <c r="AJ594" s="384">
        <f t="shared" ca="1" si="684"/>
        <v>1.8088230240081993E-2</v>
      </c>
      <c r="AU594" s="1"/>
    </row>
    <row r="595" spans="3:47" x14ac:dyDescent="0.25">
      <c r="C595" s="10">
        <f t="shared" si="709"/>
        <v>42</v>
      </c>
      <c r="D595" s="91">
        <f t="shared" si="692"/>
        <v>1</v>
      </c>
      <c r="E595" s="278"/>
      <c r="F595" s="76">
        <f t="shared" ref="F595:Q595" si="772">F523</f>
        <v>0.85587096774193583</v>
      </c>
      <c r="G595" s="46">
        <f t="shared" si="772"/>
        <v>78.439554282868485</v>
      </c>
      <c r="H595" s="46">
        <f t="shared" si="757"/>
        <v>-22.909404282868479</v>
      </c>
      <c r="I595" s="45">
        <f t="shared" si="758"/>
        <v>0</v>
      </c>
      <c r="J595" s="45">
        <f t="shared" si="759"/>
        <v>0.23072180944359474</v>
      </c>
      <c r="K595" s="45">
        <f t="shared" ca="1" si="686"/>
        <v>0.74571722023659515</v>
      </c>
      <c r="L595" s="358">
        <f t="shared" si="760"/>
        <v>0.39170179323548027</v>
      </c>
      <c r="M595" s="76">
        <f t="shared" ca="1" si="772"/>
        <v>0.25347808785320641</v>
      </c>
      <c r="N595" s="45">
        <f t="shared" ca="1" si="772"/>
        <v>0.25</v>
      </c>
      <c r="O595" s="45">
        <f t="shared" ca="1" si="772"/>
        <v>0</v>
      </c>
      <c r="P595" s="46" t="str">
        <f t="shared" ca="1" si="772"/>
        <v/>
      </c>
      <c r="Q595" s="243" t="str">
        <f t="shared" ca="1" si="772"/>
        <v/>
      </c>
      <c r="R595" s="45">
        <f t="shared" ca="1" si="687"/>
        <v>0.17230786588959235</v>
      </c>
      <c r="S595" s="45">
        <f t="shared" ca="1" si="711"/>
        <v>5.0695617570641283E-2</v>
      </c>
      <c r="T595" s="77">
        <f t="shared" ca="1" si="761"/>
        <v>0</v>
      </c>
      <c r="U595" s="45">
        <f t="shared" ca="1" si="688"/>
        <v>16.692637449799395</v>
      </c>
      <c r="V595" s="45">
        <f t="shared" ca="1" si="762"/>
        <v>0.20278247028256513</v>
      </c>
      <c r="W595" s="77">
        <f t="shared" ca="1" si="763"/>
        <v>0</v>
      </c>
      <c r="X595" s="45">
        <f t="shared" ca="1" si="689"/>
        <v>1.0048599260498834</v>
      </c>
      <c r="Y595" s="45">
        <f t="shared" ca="1" si="764"/>
        <v>0</v>
      </c>
      <c r="Z595" s="77">
        <f t="shared" ca="1" si="765"/>
        <v>0</v>
      </c>
      <c r="AA595" s="45">
        <f t="shared" ca="1" si="690"/>
        <v>39.104432408607011</v>
      </c>
      <c r="AB595" s="45">
        <f t="shared" ca="1" si="766"/>
        <v>0</v>
      </c>
      <c r="AC595" s="45" cm="1">
        <f t="array" aca="1" ref="AC595" ca="1">pHUM*(T595+W595+Z595+AD595)</f>
        <v>0</v>
      </c>
      <c r="AD595" s="77">
        <f t="shared" ca="1" si="767"/>
        <v>0</v>
      </c>
      <c r="AE595" s="45">
        <f t="shared" ca="1" si="691"/>
        <v>6.3847072090583081</v>
      </c>
      <c r="AF595" s="45">
        <f t="shared" ca="1" si="768"/>
        <v>0</v>
      </c>
      <c r="AG595" s="76">
        <f t="shared" ca="1" si="769"/>
        <v>63.35894485940419</v>
      </c>
      <c r="AH595" s="45">
        <f t="shared" ca="1" si="770"/>
        <v>0</v>
      </c>
      <c r="AI595" s="77">
        <f t="shared" ca="1" si="771"/>
        <v>1.1958864260981722E-2</v>
      </c>
      <c r="AJ595" s="384">
        <f t="shared" ref="AJ595:AJ658" ca="1" si="773">(530)*(1-EXP((-$AJ$9*L595*K595*AI595)))</f>
        <v>1.2330046521723537E-2</v>
      </c>
      <c r="AU595" s="1"/>
    </row>
    <row r="596" spans="3:47" x14ac:dyDescent="0.25">
      <c r="C596" s="10">
        <f t="shared" si="709"/>
        <v>42</v>
      </c>
      <c r="D596" s="91">
        <f t="shared" si="692"/>
        <v>2</v>
      </c>
      <c r="E596" s="278"/>
      <c r="F596" s="76">
        <f t="shared" ref="F596:Q596" si="774">F524</f>
        <v>0.91042857142857181</v>
      </c>
      <c r="G596" s="46">
        <f t="shared" si="774"/>
        <v>77.312634079068317</v>
      </c>
      <c r="H596" s="46">
        <f t="shared" si="757"/>
        <v>-21.782484079068311</v>
      </c>
      <c r="I596" s="45">
        <f t="shared" si="758"/>
        <v>0</v>
      </c>
      <c r="J596" s="45">
        <f t="shared" si="759"/>
        <v>0.23463537609132465</v>
      </c>
      <c r="K596" s="45">
        <f t="shared" ref="K596:K659" ca="1" si="775">J596/$I$15</f>
        <v>0.75836628037006848</v>
      </c>
      <c r="L596" s="358">
        <f t="shared" si="760"/>
        <v>0.39364266736760256</v>
      </c>
      <c r="M596" s="76">
        <f t="shared" ca="1" si="774"/>
        <v>0.25347808785320641</v>
      </c>
      <c r="N596" s="45">
        <f t="shared" ca="1" si="774"/>
        <v>0.25</v>
      </c>
      <c r="O596" s="45">
        <f t="shared" ca="1" si="774"/>
        <v>0</v>
      </c>
      <c r="P596" s="46" t="str">
        <f t="shared" ca="1" si="774"/>
        <v/>
      </c>
      <c r="Q596" s="243" t="str">
        <f t="shared" ca="1" si="774"/>
        <v/>
      </c>
      <c r="R596" s="45">
        <f t="shared" ref="R596:R659" ca="1" si="776">R595+S596-T595</f>
        <v>0.22300348346023363</v>
      </c>
      <c r="S596" s="45">
        <f t="shared" ca="1" si="711"/>
        <v>5.0695617570641283E-2</v>
      </c>
      <c r="T596" s="77">
        <f t="shared" ca="1" si="761"/>
        <v>0</v>
      </c>
      <c r="U596" s="45">
        <f t="shared" ref="U596:U659" ca="1" si="777">U595+V596-W595</f>
        <v>16.895419920081959</v>
      </c>
      <c r="V596" s="45">
        <f t="shared" ca="1" si="762"/>
        <v>0.20278247028256513</v>
      </c>
      <c r="W596" s="77">
        <f t="shared" ca="1" si="763"/>
        <v>0</v>
      </c>
      <c r="X596" s="45">
        <f t="shared" ref="X596:X659" ca="1" si="778">X595+Y595-Z595</f>
        <v>1.0048599260498834</v>
      </c>
      <c r="Y596" s="45">
        <f t="shared" ca="1" si="764"/>
        <v>0</v>
      </c>
      <c r="Z596" s="77">
        <f t="shared" ca="1" si="765"/>
        <v>0</v>
      </c>
      <c r="AA596" s="45">
        <f t="shared" ref="AA596:AA659" ca="1" si="779">AA595+AC595+AB596-AD595</f>
        <v>39.104432408607011</v>
      </c>
      <c r="AB596" s="45">
        <f t="shared" ca="1" si="766"/>
        <v>0</v>
      </c>
      <c r="AC596" s="45" cm="1">
        <f t="array" aca="1" ref="AC596" ca="1">pHUM*(T596+W596+Z596+AD596)</f>
        <v>0</v>
      </c>
      <c r="AD596" s="77">
        <f t="shared" ca="1" si="767"/>
        <v>0</v>
      </c>
      <c r="AE596" s="45">
        <f t="shared" ref="AE596:AE659" ca="1" si="780">AE595+AF596</f>
        <v>6.3847072090583081</v>
      </c>
      <c r="AF596" s="45">
        <f t="shared" ca="1" si="768"/>
        <v>0</v>
      </c>
      <c r="AG596" s="76">
        <f t="shared" ca="1" si="769"/>
        <v>63.612422947257386</v>
      </c>
      <c r="AH596" s="45">
        <f t="shared" ca="1" si="770"/>
        <v>0</v>
      </c>
      <c r="AI596" s="77">
        <f t="shared" ca="1" si="771"/>
        <v>1.273269559629866E-2</v>
      </c>
      <c r="AJ596" s="384">
        <f t="shared" ca="1" si="773"/>
        <v>1.3416713273015635E-2</v>
      </c>
      <c r="AU596" s="1"/>
    </row>
    <row r="597" spans="3:47" x14ac:dyDescent="0.25">
      <c r="C597" s="10">
        <f t="shared" si="709"/>
        <v>42</v>
      </c>
      <c r="D597" s="91">
        <f t="shared" ref="D597:D660" si="781">IF(D596+1&lt;13,D596+1,1)</f>
        <v>3</v>
      </c>
      <c r="E597" s="278"/>
      <c r="F597" s="76">
        <f t="shared" ref="F597:Q597" si="782">F525</f>
        <v>1.7499333333333336</v>
      </c>
      <c r="G597" s="46">
        <f t="shared" si="782"/>
        <v>89.127050621045186</v>
      </c>
      <c r="H597" s="46">
        <f t="shared" si="757"/>
        <v>-33.596900621045179</v>
      </c>
      <c r="I597" s="45">
        <f t="shared" si="758"/>
        <v>0</v>
      </c>
      <c r="J597" s="45">
        <f t="shared" si="759"/>
        <v>0.19161115755788954</v>
      </c>
      <c r="K597" s="45">
        <f t="shared" ca="1" si="775"/>
        <v>0.61930746869995335</v>
      </c>
      <c r="L597" s="358">
        <f t="shared" si="760"/>
        <v>0.42389567243620196</v>
      </c>
      <c r="M597" s="76">
        <f t="shared" ca="1" si="782"/>
        <v>0.25347808785320641</v>
      </c>
      <c r="N597" s="45">
        <f t="shared" ca="1" si="782"/>
        <v>0.25</v>
      </c>
      <c r="O597" s="45">
        <f t="shared" ca="1" si="782"/>
        <v>0</v>
      </c>
      <c r="P597" s="46" t="str">
        <f t="shared" ca="1" si="782"/>
        <v/>
      </c>
      <c r="Q597" s="243" t="str">
        <f t="shared" ca="1" si="782"/>
        <v/>
      </c>
      <c r="R597" s="45">
        <f t="shared" ca="1" si="776"/>
        <v>0.27369910103087491</v>
      </c>
      <c r="S597" s="45">
        <f t="shared" ca="1" si="711"/>
        <v>5.0695617570641283E-2</v>
      </c>
      <c r="T597" s="77">
        <f t="shared" ca="1" si="761"/>
        <v>0</v>
      </c>
      <c r="U597" s="45">
        <f t="shared" ca="1" si="777"/>
        <v>17.098202390364523</v>
      </c>
      <c r="V597" s="45">
        <f t="shared" ca="1" si="762"/>
        <v>0.20278247028256513</v>
      </c>
      <c r="W597" s="77">
        <f t="shared" ca="1" si="763"/>
        <v>0</v>
      </c>
      <c r="X597" s="45">
        <f t="shared" ca="1" si="778"/>
        <v>1.0048599260498834</v>
      </c>
      <c r="Y597" s="45">
        <f t="shared" ca="1" si="764"/>
        <v>0</v>
      </c>
      <c r="Z597" s="77">
        <f t="shared" ca="1" si="765"/>
        <v>0</v>
      </c>
      <c r="AA597" s="45">
        <f t="shared" ca="1" si="779"/>
        <v>39.104432408607011</v>
      </c>
      <c r="AB597" s="45">
        <f t="shared" ca="1" si="766"/>
        <v>0</v>
      </c>
      <c r="AC597" s="45" cm="1">
        <f t="array" aca="1" ref="AC597" ca="1">pHUM*(T597+W597+Z597+AD597)</f>
        <v>0</v>
      </c>
      <c r="AD597" s="77">
        <f t="shared" ca="1" si="767"/>
        <v>0</v>
      </c>
      <c r="AE597" s="45">
        <f t="shared" ca="1" si="780"/>
        <v>6.3847072090583081</v>
      </c>
      <c r="AF597" s="45">
        <f t="shared" ca="1" si="768"/>
        <v>0</v>
      </c>
      <c r="AG597" s="76">
        <f t="shared" ca="1" si="769"/>
        <v>63.865901035110596</v>
      </c>
      <c r="AH597" s="45">
        <f t="shared" ca="1" si="770"/>
        <v>0</v>
      </c>
      <c r="AI597" s="77">
        <f t="shared" ca="1" si="771"/>
        <v>1.3499702115562173E-2</v>
      </c>
      <c r="AJ597" s="384">
        <f t="shared" ca="1" si="773"/>
        <v>1.2509341805398977E-2</v>
      </c>
      <c r="AU597" s="1"/>
    </row>
    <row r="598" spans="3:47" x14ac:dyDescent="0.25">
      <c r="C598" s="10">
        <f t="shared" si="709"/>
        <v>42</v>
      </c>
      <c r="D598" s="91">
        <f t="shared" si="781"/>
        <v>4</v>
      </c>
      <c r="E598" s="278"/>
      <c r="F598" s="76">
        <f t="shared" ref="F598:Q598" si="783">F526</f>
        <v>5.3144</v>
      </c>
      <c r="G598" s="46">
        <f t="shared" si="783"/>
        <v>88.517400984298064</v>
      </c>
      <c r="H598" s="46">
        <f t="shared" si="757"/>
        <v>-32.987250984298058</v>
      </c>
      <c r="I598" s="45">
        <f t="shared" si="758"/>
        <v>0</v>
      </c>
      <c r="J598" s="45">
        <f t="shared" si="759"/>
        <v>0.19391725365845511</v>
      </c>
      <c r="K598" s="45">
        <f t="shared" ca="1" si="775"/>
        <v>0.62676101449980381</v>
      </c>
      <c r="L598" s="358">
        <f t="shared" si="760"/>
        <v>0.55593677468735669</v>
      </c>
      <c r="M598" s="76">
        <f t="shared" ca="1" si="783"/>
        <v>0.25347808785320641</v>
      </c>
      <c r="N598" s="45">
        <f t="shared" ca="1" si="783"/>
        <v>0.25</v>
      </c>
      <c r="O598" s="45">
        <f t="shared" ca="1" si="783"/>
        <v>0</v>
      </c>
      <c r="P598" s="46" t="str">
        <f t="shared" ca="1" si="783"/>
        <v/>
      </c>
      <c r="Q598" s="243" t="str">
        <f t="shared" ca="1" si="783"/>
        <v/>
      </c>
      <c r="R598" s="45">
        <f t="shared" ca="1" si="776"/>
        <v>0.3243947186015162</v>
      </c>
      <c r="S598" s="45">
        <f t="shared" ca="1" si="711"/>
        <v>5.0695617570641283E-2</v>
      </c>
      <c r="T598" s="77">
        <f t="shared" ca="1" si="761"/>
        <v>0</v>
      </c>
      <c r="U598" s="45">
        <f t="shared" ca="1" si="777"/>
        <v>17.300984860647088</v>
      </c>
      <c r="V598" s="45">
        <f t="shared" ca="1" si="762"/>
        <v>0.20278247028256513</v>
      </c>
      <c r="W598" s="77">
        <f t="shared" ca="1" si="763"/>
        <v>0</v>
      </c>
      <c r="X598" s="45">
        <f t="shared" ca="1" si="778"/>
        <v>1.0048599260498834</v>
      </c>
      <c r="Y598" s="45">
        <f t="shared" ca="1" si="764"/>
        <v>0</v>
      </c>
      <c r="Z598" s="77">
        <f t="shared" ca="1" si="765"/>
        <v>0</v>
      </c>
      <c r="AA598" s="45">
        <f t="shared" ca="1" si="779"/>
        <v>39.104432408607011</v>
      </c>
      <c r="AB598" s="45">
        <f t="shared" ca="1" si="766"/>
        <v>0</v>
      </c>
      <c r="AC598" s="45" cm="1">
        <f t="array" aca="1" ref="AC598" ca="1">pHUM*(T598+W598+Z598+AD598)</f>
        <v>0</v>
      </c>
      <c r="AD598" s="77">
        <f t="shared" ca="1" si="767"/>
        <v>0</v>
      </c>
      <c r="AE598" s="45">
        <f t="shared" ca="1" si="780"/>
        <v>6.3847072090583081</v>
      </c>
      <c r="AF598" s="45">
        <f t="shared" ca="1" si="768"/>
        <v>0</v>
      </c>
      <c r="AG598" s="76">
        <f t="shared" ca="1" si="769"/>
        <v>64.119379122963807</v>
      </c>
      <c r="AH598" s="45">
        <f t="shared" ca="1" si="770"/>
        <v>0</v>
      </c>
      <c r="AI598" s="77">
        <f t="shared" ca="1" si="771"/>
        <v>1.4259973709712969E-2</v>
      </c>
      <c r="AJ598" s="384">
        <f t="shared" ca="1" si="773"/>
        <v>1.7538361433112604E-2</v>
      </c>
      <c r="AU598" s="1"/>
    </row>
    <row r="599" spans="3:47" x14ac:dyDescent="0.25">
      <c r="C599" s="10">
        <f t="shared" si="709"/>
        <v>42</v>
      </c>
      <c r="D599" s="91">
        <f t="shared" si="781"/>
        <v>5</v>
      </c>
      <c r="E599" s="278"/>
      <c r="F599" s="76">
        <f t="shared" ref="F599:Q599" si="784">F527</f>
        <v>12.662516129032257</v>
      </c>
      <c r="G599" s="46">
        <f t="shared" si="784"/>
        <v>89.413014608233681</v>
      </c>
      <c r="H599" s="46">
        <f t="shared" si="757"/>
        <v>-33.882864608233675</v>
      </c>
      <c r="I599" s="45">
        <f t="shared" si="758"/>
        <v>0</v>
      </c>
      <c r="J599" s="45">
        <f t="shared" si="759"/>
        <v>0.19052718077467024</v>
      </c>
      <c r="K599" s="45">
        <f t="shared" ca="1" si="775"/>
        <v>0.6158039414194908</v>
      </c>
      <c r="L599" s="358">
        <f t="shared" si="760"/>
        <v>0.78870900469063665</v>
      </c>
      <c r="M599" s="76">
        <f t="shared" ca="1" si="784"/>
        <v>0.25347808785320641</v>
      </c>
      <c r="N599" s="45">
        <f t="shared" ca="1" si="784"/>
        <v>0.25</v>
      </c>
      <c r="O599" s="45">
        <f t="shared" ca="1" si="784"/>
        <v>0</v>
      </c>
      <c r="P599" s="46" t="str">
        <f t="shared" ca="1" si="784"/>
        <v/>
      </c>
      <c r="Q599" s="243" t="str">
        <f t="shared" ca="1" si="784"/>
        <v/>
      </c>
      <c r="R599" s="45">
        <f t="shared" ca="1" si="776"/>
        <v>0.37509033617215748</v>
      </c>
      <c r="S599" s="45">
        <f t="shared" ca="1" si="711"/>
        <v>5.0695617570641283E-2</v>
      </c>
      <c r="T599" s="77">
        <f t="shared" ca="1" si="761"/>
        <v>0</v>
      </c>
      <c r="U599" s="45">
        <f t="shared" ca="1" si="777"/>
        <v>17.503767330929652</v>
      </c>
      <c r="V599" s="45">
        <f t="shared" ca="1" si="762"/>
        <v>0.20278247028256513</v>
      </c>
      <c r="W599" s="77">
        <f t="shared" ca="1" si="763"/>
        <v>0</v>
      </c>
      <c r="X599" s="45">
        <f t="shared" ca="1" si="778"/>
        <v>1.0048599260498834</v>
      </c>
      <c r="Y599" s="45">
        <f t="shared" ca="1" si="764"/>
        <v>0</v>
      </c>
      <c r="Z599" s="77">
        <f t="shared" ca="1" si="765"/>
        <v>0</v>
      </c>
      <c r="AA599" s="45">
        <f t="shared" ca="1" si="779"/>
        <v>39.104432408607011</v>
      </c>
      <c r="AB599" s="45">
        <f t="shared" ca="1" si="766"/>
        <v>0</v>
      </c>
      <c r="AC599" s="45" cm="1">
        <f t="array" aca="1" ref="AC599" ca="1">pHUM*(T599+W599+Z599+AD599)</f>
        <v>0</v>
      </c>
      <c r="AD599" s="77">
        <f t="shared" ca="1" si="767"/>
        <v>0</v>
      </c>
      <c r="AE599" s="45">
        <f t="shared" ca="1" si="780"/>
        <v>6.3847072090583081</v>
      </c>
      <c r="AF599" s="45">
        <f t="shared" ca="1" si="768"/>
        <v>0</v>
      </c>
      <c r="AG599" s="76">
        <f t="shared" ca="1" si="769"/>
        <v>64.372857210817003</v>
      </c>
      <c r="AH599" s="45">
        <f t="shared" ca="1" si="770"/>
        <v>0</v>
      </c>
      <c r="AI599" s="77">
        <f t="shared" ca="1" si="771"/>
        <v>1.5013598697964842E-2</v>
      </c>
      <c r="AJ599" s="384">
        <f t="shared" ca="1" si="773"/>
        <v>2.5738522915493833E-2</v>
      </c>
      <c r="AU599" s="1"/>
    </row>
    <row r="600" spans="3:47" x14ac:dyDescent="0.25">
      <c r="C600" s="10">
        <f t="shared" si="709"/>
        <v>42</v>
      </c>
      <c r="D600" s="91">
        <f t="shared" si="781"/>
        <v>6</v>
      </c>
      <c r="E600" s="278"/>
      <c r="F600" s="76">
        <f t="shared" ref="F600:Q600" si="785">F528</f>
        <v>17.952400000000004</v>
      </c>
      <c r="G600" s="46">
        <f t="shared" si="785"/>
        <v>83.948488098886401</v>
      </c>
      <c r="H600" s="46">
        <f t="shared" si="757"/>
        <v>-28.418338098886395</v>
      </c>
      <c r="I600" s="45">
        <f t="shared" si="758"/>
        <v>0</v>
      </c>
      <c r="J600" s="45">
        <f t="shared" si="759"/>
        <v>0.21095121603234232</v>
      </c>
      <c r="K600" s="45">
        <f t="shared" ca="1" si="775"/>
        <v>0.68181657730811884</v>
      </c>
      <c r="L600" s="358">
        <f t="shared" si="760"/>
        <v>0.89013124354981255</v>
      </c>
      <c r="M600" s="76">
        <f t="shared" ca="1" si="785"/>
        <v>0.25347808785320641</v>
      </c>
      <c r="N600" s="45">
        <f t="shared" ca="1" si="785"/>
        <v>0.25</v>
      </c>
      <c r="O600" s="45">
        <f t="shared" ca="1" si="785"/>
        <v>0</v>
      </c>
      <c r="P600" s="46" t="str">
        <f t="shared" ca="1" si="785"/>
        <v/>
      </c>
      <c r="Q600" s="243" t="str">
        <f t="shared" ca="1" si="785"/>
        <v/>
      </c>
      <c r="R600" s="45">
        <f t="shared" ca="1" si="776"/>
        <v>0.42578595374279876</v>
      </c>
      <c r="S600" s="45">
        <f t="shared" ca="1" si="711"/>
        <v>5.0695617570641283E-2</v>
      </c>
      <c r="T600" s="77">
        <f t="shared" ca="1" si="761"/>
        <v>0</v>
      </c>
      <c r="U600" s="45">
        <f t="shared" ca="1" si="777"/>
        <v>17.706549801212216</v>
      </c>
      <c r="V600" s="45">
        <f t="shared" ca="1" si="762"/>
        <v>0.20278247028256513</v>
      </c>
      <c r="W600" s="77">
        <f t="shared" ca="1" si="763"/>
        <v>0</v>
      </c>
      <c r="X600" s="45">
        <f t="shared" ca="1" si="778"/>
        <v>1.0048599260498834</v>
      </c>
      <c r="Y600" s="45">
        <f t="shared" ca="1" si="764"/>
        <v>0</v>
      </c>
      <c r="Z600" s="77">
        <f t="shared" ca="1" si="765"/>
        <v>0</v>
      </c>
      <c r="AA600" s="45">
        <f t="shared" ca="1" si="779"/>
        <v>39.104432408607011</v>
      </c>
      <c r="AB600" s="45">
        <f t="shared" ca="1" si="766"/>
        <v>0</v>
      </c>
      <c r="AC600" s="45" cm="1">
        <f t="array" aca="1" ref="AC600" ca="1">pHUM*(T600+W600+Z600+AD600)</f>
        <v>0</v>
      </c>
      <c r="AD600" s="77">
        <f t="shared" ca="1" si="767"/>
        <v>0</v>
      </c>
      <c r="AE600" s="45">
        <f t="shared" ca="1" si="780"/>
        <v>6.3847072090583081</v>
      </c>
      <c r="AF600" s="45">
        <f t="shared" ca="1" si="768"/>
        <v>0</v>
      </c>
      <c r="AG600" s="76">
        <f t="shared" ca="1" si="769"/>
        <v>64.626335298670213</v>
      </c>
      <c r="AH600" s="45">
        <f t="shared" ca="1" si="770"/>
        <v>0</v>
      </c>
      <c r="AI600" s="77">
        <f t="shared" ca="1" si="771"/>
        <v>1.5760663862006911E-2</v>
      </c>
      <c r="AJ600" s="384">
        <f t="shared" ca="1" si="773"/>
        <v>3.3762327125005376E-2</v>
      </c>
      <c r="AU600" s="1"/>
    </row>
    <row r="601" spans="3:47" x14ac:dyDescent="0.25">
      <c r="C601" s="10">
        <f t="shared" si="709"/>
        <v>42</v>
      </c>
      <c r="D601" s="91">
        <f t="shared" si="781"/>
        <v>7</v>
      </c>
      <c r="E601" s="278"/>
      <c r="F601" s="76">
        <f t="shared" ref="F601:Q601" si="786">F529</f>
        <v>21.363032258064525</v>
      </c>
      <c r="G601" s="46">
        <f t="shared" si="786"/>
        <v>73.679575814389409</v>
      </c>
      <c r="H601" s="46">
        <f t="shared" si="757"/>
        <v>-18.149425814389403</v>
      </c>
      <c r="I601" s="45">
        <f t="shared" si="758"/>
        <v>0</v>
      </c>
      <c r="J601" s="45">
        <f t="shared" si="759"/>
        <v>0.2468878570948656</v>
      </c>
      <c r="K601" s="45">
        <f t="shared" ca="1" si="775"/>
        <v>0.79796759113040194</v>
      </c>
      <c r="L601" s="358">
        <f t="shared" si="760"/>
        <v>0.92905557700722019</v>
      </c>
      <c r="M601" s="76">
        <f t="shared" ca="1" si="786"/>
        <v>0.25347808785320641</v>
      </c>
      <c r="N601" s="45">
        <f t="shared" ca="1" si="786"/>
        <v>0.25</v>
      </c>
      <c r="O601" s="45">
        <f t="shared" ca="1" si="786"/>
        <v>0</v>
      </c>
      <c r="P601" s="46" t="str">
        <f t="shared" ca="1" si="786"/>
        <v/>
      </c>
      <c r="Q601" s="243" t="str">
        <f t="shared" ca="1" si="786"/>
        <v/>
      </c>
      <c r="R601" s="45">
        <f t="shared" ca="1" si="776"/>
        <v>0.47648157131344004</v>
      </c>
      <c r="S601" s="45">
        <f t="shared" ca="1" si="711"/>
        <v>5.0695617570641283E-2</v>
      </c>
      <c r="T601" s="77">
        <f t="shared" ca="1" si="761"/>
        <v>0</v>
      </c>
      <c r="U601" s="45">
        <f t="shared" ca="1" si="777"/>
        <v>17.90933227149478</v>
      </c>
      <c r="V601" s="45">
        <f t="shared" ca="1" si="762"/>
        <v>0.20278247028256513</v>
      </c>
      <c r="W601" s="77">
        <f t="shared" ca="1" si="763"/>
        <v>0</v>
      </c>
      <c r="X601" s="45">
        <f t="shared" ca="1" si="778"/>
        <v>1.0048599260498834</v>
      </c>
      <c r="Y601" s="45">
        <f t="shared" ca="1" si="764"/>
        <v>0</v>
      </c>
      <c r="Z601" s="77">
        <f t="shared" ca="1" si="765"/>
        <v>0</v>
      </c>
      <c r="AA601" s="45">
        <f t="shared" ca="1" si="779"/>
        <v>39.104432408607011</v>
      </c>
      <c r="AB601" s="45">
        <f t="shared" ca="1" si="766"/>
        <v>0</v>
      </c>
      <c r="AC601" s="45" cm="1">
        <f t="array" aca="1" ref="AC601" ca="1">pHUM*(T601+W601+Z601+AD601)</f>
        <v>0</v>
      </c>
      <c r="AD601" s="77">
        <f t="shared" ca="1" si="767"/>
        <v>0</v>
      </c>
      <c r="AE601" s="45">
        <f t="shared" ca="1" si="780"/>
        <v>6.3847072090583081</v>
      </c>
      <c r="AF601" s="45">
        <f t="shared" ca="1" si="768"/>
        <v>0</v>
      </c>
      <c r="AG601" s="76">
        <f t="shared" ca="1" si="769"/>
        <v>64.879813386523423</v>
      </c>
      <c r="AH601" s="45">
        <f t="shared" ca="1" si="770"/>
        <v>0</v>
      </c>
      <c r="AI601" s="77">
        <f t="shared" ca="1" si="771"/>
        <v>1.6501254479316517E-2</v>
      </c>
      <c r="AJ601" s="384">
        <f t="shared" ca="1" si="773"/>
        <v>4.3179371522829024E-2</v>
      </c>
      <c r="AU601" s="1"/>
    </row>
    <row r="602" spans="3:47" x14ac:dyDescent="0.25">
      <c r="C602" s="10">
        <f t="shared" si="709"/>
        <v>42</v>
      </c>
      <c r="D602" s="91">
        <f t="shared" si="781"/>
        <v>8</v>
      </c>
      <c r="E602" s="278"/>
      <c r="F602" s="76">
        <f t="shared" ref="F602:Q602" si="787">F530</f>
        <v>21.84690322580645</v>
      </c>
      <c r="G602" s="46">
        <f t="shared" si="787"/>
        <v>71.917724933598876</v>
      </c>
      <c r="H602" s="46">
        <f t="shared" si="757"/>
        <v>-16.38757493359887</v>
      </c>
      <c r="I602" s="45">
        <f t="shared" si="758"/>
        <v>0</v>
      </c>
      <c r="J602" s="45">
        <f t="shared" si="759"/>
        <v>0.25260629061506468</v>
      </c>
      <c r="K602" s="45">
        <f t="shared" ca="1" si="775"/>
        <v>0.81645017133846476</v>
      </c>
      <c r="L602" s="358">
        <f t="shared" si="760"/>
        <v>0.93325603418156189</v>
      </c>
      <c r="M602" s="76">
        <f t="shared" ca="1" si="787"/>
        <v>0.25347808785320641</v>
      </c>
      <c r="N602" s="45">
        <f t="shared" ca="1" si="787"/>
        <v>0.25</v>
      </c>
      <c r="O602" s="45">
        <f t="shared" ca="1" si="787"/>
        <v>0</v>
      </c>
      <c r="P602" s="46" t="str">
        <f t="shared" ca="1" si="787"/>
        <v/>
      </c>
      <c r="Q602" s="243" t="str">
        <f t="shared" ca="1" si="787"/>
        <v/>
      </c>
      <c r="R602" s="45">
        <f t="shared" ca="1" si="776"/>
        <v>0.52717718888408127</v>
      </c>
      <c r="S602" s="45">
        <f t="shared" ca="1" si="711"/>
        <v>5.0695617570641283E-2</v>
      </c>
      <c r="T602" s="77">
        <f t="shared" ca="1" si="761"/>
        <v>0</v>
      </c>
      <c r="U602" s="45">
        <f t="shared" ca="1" si="777"/>
        <v>18.112114741777344</v>
      </c>
      <c r="V602" s="45">
        <f t="shared" ca="1" si="762"/>
        <v>0.20278247028256513</v>
      </c>
      <c r="W602" s="77">
        <f t="shared" ca="1" si="763"/>
        <v>0</v>
      </c>
      <c r="X602" s="45">
        <f t="shared" ca="1" si="778"/>
        <v>1.0048599260498834</v>
      </c>
      <c r="Y602" s="45">
        <f t="shared" ca="1" si="764"/>
        <v>0</v>
      </c>
      <c r="Z602" s="77">
        <f t="shared" ca="1" si="765"/>
        <v>0</v>
      </c>
      <c r="AA602" s="45">
        <f t="shared" ca="1" si="779"/>
        <v>39.104432408607011</v>
      </c>
      <c r="AB602" s="45">
        <f t="shared" ca="1" si="766"/>
        <v>0</v>
      </c>
      <c r="AC602" s="45" cm="1">
        <f t="array" aca="1" ref="AC602" ca="1">pHUM*(T602+W602+Z602+AD602)</f>
        <v>0</v>
      </c>
      <c r="AD602" s="77">
        <f t="shared" ca="1" si="767"/>
        <v>0</v>
      </c>
      <c r="AE602" s="45">
        <f t="shared" ca="1" si="780"/>
        <v>6.3847072090583081</v>
      </c>
      <c r="AF602" s="45">
        <f t="shared" ca="1" si="768"/>
        <v>0</v>
      </c>
      <c r="AG602" s="76">
        <f t="shared" ca="1" si="769"/>
        <v>65.13329147437662</v>
      </c>
      <c r="AH602" s="45">
        <f t="shared" ca="1" si="770"/>
        <v>0</v>
      </c>
      <c r="AI602" s="77">
        <f t="shared" ca="1" si="771"/>
        <v>1.7235454355609799E-2</v>
      </c>
      <c r="AJ602" s="384">
        <f t="shared" ca="1" si="773"/>
        <v>4.6353692369563992E-2</v>
      </c>
      <c r="AU602" s="1"/>
    </row>
    <row r="603" spans="3:47" x14ac:dyDescent="0.25">
      <c r="C603" s="10">
        <f t="shared" si="709"/>
        <v>42</v>
      </c>
      <c r="D603" s="91">
        <f t="shared" si="781"/>
        <v>9</v>
      </c>
      <c r="E603" s="278"/>
      <c r="F603" s="76">
        <f t="shared" ref="F603:Q603" si="788">F531</f>
        <v>19.915099999999999</v>
      </c>
      <c r="G603" s="46">
        <f t="shared" si="788"/>
        <v>90.121120170480822</v>
      </c>
      <c r="H603" s="46">
        <f t="shared" si="757"/>
        <v>-34.590970170480816</v>
      </c>
      <c r="I603" s="45">
        <f t="shared" si="758"/>
        <v>0</v>
      </c>
      <c r="J603" s="45">
        <f t="shared" si="759"/>
        <v>0.18783711693191202</v>
      </c>
      <c r="K603" s="45">
        <f t="shared" ca="1" si="775"/>
        <v>0.60710937138331467</v>
      </c>
      <c r="L603" s="358">
        <f t="shared" si="760"/>
        <v>0.91464137695305081</v>
      </c>
      <c r="M603" s="76">
        <f t="shared" ca="1" si="788"/>
        <v>0.25347808785320641</v>
      </c>
      <c r="N603" s="45">
        <f t="shared" ca="1" si="788"/>
        <v>0.25</v>
      </c>
      <c r="O603" s="45">
        <f t="shared" ca="1" si="788"/>
        <v>0</v>
      </c>
      <c r="P603" s="46" t="str">
        <f t="shared" ca="1" si="788"/>
        <v/>
      </c>
      <c r="Q603" s="243" t="str">
        <f t="shared" ca="1" si="788"/>
        <v/>
      </c>
      <c r="R603" s="45">
        <f t="shared" ca="1" si="776"/>
        <v>0.5778728064547225</v>
      </c>
      <c r="S603" s="45">
        <f t="shared" ca="1" si="711"/>
        <v>5.0695617570641283E-2</v>
      </c>
      <c r="T603" s="77">
        <f t="shared" ca="1" si="761"/>
        <v>0</v>
      </c>
      <c r="U603" s="45">
        <f t="shared" ca="1" si="777"/>
        <v>18.314897212059908</v>
      </c>
      <c r="V603" s="45">
        <f t="shared" ca="1" si="762"/>
        <v>0.20278247028256513</v>
      </c>
      <c r="W603" s="77">
        <f t="shared" ca="1" si="763"/>
        <v>0</v>
      </c>
      <c r="X603" s="45">
        <f t="shared" ca="1" si="778"/>
        <v>1.0048599260498834</v>
      </c>
      <c r="Y603" s="45">
        <f t="shared" ca="1" si="764"/>
        <v>0</v>
      </c>
      <c r="Z603" s="77">
        <f t="shared" ca="1" si="765"/>
        <v>0</v>
      </c>
      <c r="AA603" s="45">
        <f t="shared" ca="1" si="779"/>
        <v>39.104432408607011</v>
      </c>
      <c r="AB603" s="45">
        <f t="shared" ca="1" si="766"/>
        <v>0</v>
      </c>
      <c r="AC603" s="45" cm="1">
        <f t="array" aca="1" ref="AC603" ca="1">pHUM*(T603+W603+Z603+AD603)</f>
        <v>0</v>
      </c>
      <c r="AD603" s="77">
        <f t="shared" ca="1" si="767"/>
        <v>0</v>
      </c>
      <c r="AE603" s="45">
        <f t="shared" ca="1" si="780"/>
        <v>6.3847072090583081</v>
      </c>
      <c r="AF603" s="45">
        <f t="shared" ca="1" si="768"/>
        <v>0</v>
      </c>
      <c r="AG603" s="76">
        <f t="shared" ca="1" si="769"/>
        <v>65.38676956222983</v>
      </c>
      <c r="AH603" s="45">
        <f t="shared" ca="1" si="770"/>
        <v>0</v>
      </c>
      <c r="AI603" s="77">
        <f t="shared" ca="1" si="771"/>
        <v>1.7963345856455766E-2</v>
      </c>
      <c r="AJ603" s="384">
        <f t="shared" ca="1" si="773"/>
        <v>3.5207945713713329E-2</v>
      </c>
      <c r="AU603" s="1"/>
    </row>
    <row r="604" spans="3:47" x14ac:dyDescent="0.25">
      <c r="C604" s="10">
        <f t="shared" si="709"/>
        <v>42</v>
      </c>
      <c r="D604" s="91">
        <f t="shared" si="781"/>
        <v>10</v>
      </c>
      <c r="E604" s="278"/>
      <c r="F604" s="76">
        <f t="shared" ref="F604:Q604" si="789">F532</f>
        <v>16.404967741935486</v>
      </c>
      <c r="G604" s="46">
        <f t="shared" si="789"/>
        <v>93.270963763991602</v>
      </c>
      <c r="H604" s="46">
        <f t="shared" si="757"/>
        <v>-37.740813763991596</v>
      </c>
      <c r="I604" s="45">
        <f t="shared" si="758"/>
        <v>0</v>
      </c>
      <c r="J604" s="45">
        <f t="shared" si="759"/>
        <v>0.1757835150476853</v>
      </c>
      <c r="K604" s="45">
        <f t="shared" ca="1" si="775"/>
        <v>0.56815085891056294</v>
      </c>
      <c r="L604" s="358">
        <f t="shared" si="760"/>
        <v>0.86618676922472848</v>
      </c>
      <c r="M604" s="76">
        <f t="shared" ca="1" si="789"/>
        <v>0.25347808785320641</v>
      </c>
      <c r="N604" s="45">
        <f t="shared" ca="1" si="789"/>
        <v>0.25</v>
      </c>
      <c r="O604" s="45">
        <f t="shared" ca="1" si="789"/>
        <v>0</v>
      </c>
      <c r="P604" s="46" t="str">
        <f t="shared" ca="1" si="789"/>
        <v/>
      </c>
      <c r="Q604" s="243" t="str">
        <f t="shared" ca="1" si="789"/>
        <v/>
      </c>
      <c r="R604" s="45">
        <f t="shared" ca="1" si="776"/>
        <v>0.62856842402536373</v>
      </c>
      <c r="S604" s="45">
        <f t="shared" ca="1" si="711"/>
        <v>5.0695617570641283E-2</v>
      </c>
      <c r="T604" s="77">
        <f t="shared" ca="1" si="761"/>
        <v>0</v>
      </c>
      <c r="U604" s="45">
        <f t="shared" ca="1" si="777"/>
        <v>18.517679682342472</v>
      </c>
      <c r="V604" s="45">
        <f t="shared" ca="1" si="762"/>
        <v>0.20278247028256513</v>
      </c>
      <c r="W604" s="77">
        <f t="shared" ca="1" si="763"/>
        <v>0</v>
      </c>
      <c r="X604" s="45">
        <f t="shared" ca="1" si="778"/>
        <v>1.0048599260498834</v>
      </c>
      <c r="Y604" s="45">
        <f t="shared" ca="1" si="764"/>
        <v>0</v>
      </c>
      <c r="Z604" s="77">
        <f t="shared" ca="1" si="765"/>
        <v>0</v>
      </c>
      <c r="AA604" s="45">
        <f t="shared" ca="1" si="779"/>
        <v>39.104432408607011</v>
      </c>
      <c r="AB604" s="45">
        <f t="shared" ca="1" si="766"/>
        <v>0</v>
      </c>
      <c r="AC604" s="45" cm="1">
        <f t="array" aca="1" ref="AC604" ca="1">pHUM*(T604+W604+Z604+AD604)</f>
        <v>0</v>
      </c>
      <c r="AD604" s="77">
        <f t="shared" ca="1" si="767"/>
        <v>0</v>
      </c>
      <c r="AE604" s="45">
        <f t="shared" ca="1" si="780"/>
        <v>6.3847072090583081</v>
      </c>
      <c r="AF604" s="45">
        <f t="shared" ca="1" si="768"/>
        <v>0</v>
      </c>
      <c r="AG604" s="76">
        <f t="shared" ca="1" si="769"/>
        <v>65.64024765008304</v>
      </c>
      <c r="AH604" s="45">
        <f t="shared" ca="1" si="770"/>
        <v>0</v>
      </c>
      <c r="AI604" s="77">
        <f t="shared" ca="1" si="771"/>
        <v>1.8685009938078961E-2</v>
      </c>
      <c r="AJ604" s="384">
        <f t="shared" ca="1" si="773"/>
        <v>3.2456773661924121E-2</v>
      </c>
      <c r="AU604" s="1"/>
    </row>
    <row r="605" spans="3:47" x14ac:dyDescent="0.25">
      <c r="C605" s="10">
        <f t="shared" si="709"/>
        <v>42</v>
      </c>
      <c r="D605" s="91">
        <f t="shared" si="781"/>
        <v>11</v>
      </c>
      <c r="E605" s="278"/>
      <c r="F605" s="76">
        <f t="shared" ref="F605:Q605" si="790">F533</f>
        <v>8.5982333333333347</v>
      </c>
      <c r="G605" s="46">
        <f t="shared" si="790"/>
        <v>93.768190396309464</v>
      </c>
      <c r="H605" s="46">
        <f t="shared" si="757"/>
        <v>-38.238040396309458</v>
      </c>
      <c r="I605" s="45">
        <f t="shared" si="758"/>
        <v>0</v>
      </c>
      <c r="J605" s="45">
        <f t="shared" si="759"/>
        <v>0.17386998013358751</v>
      </c>
      <c r="K605" s="45">
        <f t="shared" ca="1" si="775"/>
        <v>0.56196611226520721</v>
      </c>
      <c r="L605" s="358">
        <f t="shared" si="760"/>
        <v>0.6712335176859634</v>
      </c>
      <c r="M605" s="76">
        <f t="shared" ca="1" si="790"/>
        <v>0.25347808785320641</v>
      </c>
      <c r="N605" s="45">
        <f t="shared" ca="1" si="790"/>
        <v>0.25</v>
      </c>
      <c r="O605" s="45">
        <f t="shared" ca="1" si="790"/>
        <v>0</v>
      </c>
      <c r="P605" s="46" t="str">
        <f t="shared" ca="1" si="790"/>
        <v/>
      </c>
      <c r="Q605" s="243" t="str">
        <f t="shared" ca="1" si="790"/>
        <v/>
      </c>
      <c r="R605" s="45">
        <f t="shared" ca="1" si="776"/>
        <v>0.67926404159600495</v>
      </c>
      <c r="S605" s="45">
        <f t="shared" ca="1" si="711"/>
        <v>5.0695617570641283E-2</v>
      </c>
      <c r="T605" s="77">
        <f t="shared" ca="1" si="761"/>
        <v>0</v>
      </c>
      <c r="U605" s="45">
        <f t="shared" ca="1" si="777"/>
        <v>18.720462152625036</v>
      </c>
      <c r="V605" s="45">
        <f t="shared" ca="1" si="762"/>
        <v>0.20278247028256513</v>
      </c>
      <c r="W605" s="77">
        <f t="shared" ca="1" si="763"/>
        <v>0</v>
      </c>
      <c r="X605" s="45">
        <f t="shared" ca="1" si="778"/>
        <v>1.0048599260498834</v>
      </c>
      <c r="Y605" s="45">
        <f t="shared" ca="1" si="764"/>
        <v>0</v>
      </c>
      <c r="Z605" s="77">
        <f t="shared" ca="1" si="765"/>
        <v>0</v>
      </c>
      <c r="AA605" s="45">
        <f t="shared" ca="1" si="779"/>
        <v>39.104432408607011</v>
      </c>
      <c r="AB605" s="45">
        <f t="shared" ca="1" si="766"/>
        <v>0</v>
      </c>
      <c r="AC605" s="45" cm="1">
        <f t="array" aca="1" ref="AC605" ca="1">pHUM*(T605+W605+Z605+AD605)</f>
        <v>0</v>
      </c>
      <c r="AD605" s="77">
        <f t="shared" ca="1" si="767"/>
        <v>0</v>
      </c>
      <c r="AE605" s="45">
        <f t="shared" ca="1" si="780"/>
        <v>6.3847072090583081</v>
      </c>
      <c r="AF605" s="45">
        <f t="shared" ca="1" si="768"/>
        <v>0</v>
      </c>
      <c r="AG605" s="76">
        <f t="shared" ca="1" si="769"/>
        <v>65.893725737936236</v>
      </c>
      <c r="AH605" s="45">
        <f t="shared" ca="1" si="770"/>
        <v>0</v>
      </c>
      <c r="AI605" s="77">
        <f t="shared" ca="1" si="771"/>
        <v>1.9400526177374915E-2</v>
      </c>
      <c r="AJ605" s="384">
        <f t="shared" ca="1" si="773"/>
        <v>2.5830736337429938E-2</v>
      </c>
      <c r="AU605" s="1"/>
    </row>
    <row r="606" spans="3:47" x14ac:dyDescent="0.25">
      <c r="C606" s="10">
        <f t="shared" si="709"/>
        <v>42</v>
      </c>
      <c r="D606" s="91">
        <f t="shared" si="781"/>
        <v>12</v>
      </c>
      <c r="E606" s="278"/>
      <c r="F606" s="76">
        <f t="shared" ref="F606:Q606" si="791">F534</f>
        <v>5.8543548387096775</v>
      </c>
      <c r="G606" s="46">
        <f t="shared" si="791"/>
        <v>92.353978821555827</v>
      </c>
      <c r="H606" s="46">
        <f t="shared" si="757"/>
        <v>-36.823828821555821</v>
      </c>
      <c r="I606" s="45">
        <f t="shared" si="758"/>
        <v>0</v>
      </c>
      <c r="J606" s="45">
        <f t="shared" si="759"/>
        <v>0.17930557122010893</v>
      </c>
      <c r="K606" s="45">
        <f t="shared" ca="1" si="775"/>
        <v>0.57953451589882432</v>
      </c>
      <c r="L606" s="358">
        <f t="shared" si="760"/>
        <v>0.57570255434605899</v>
      </c>
      <c r="M606" s="76">
        <f t="shared" ca="1" si="791"/>
        <v>0.25347808785320641</v>
      </c>
      <c r="N606" s="45">
        <f t="shared" ca="1" si="791"/>
        <v>0.25</v>
      </c>
      <c r="O606" s="45">
        <f t="shared" ca="1" si="791"/>
        <v>0</v>
      </c>
      <c r="P606" s="46" t="str">
        <f t="shared" ca="1" si="791"/>
        <v/>
      </c>
      <c r="Q606" s="243" t="str">
        <f t="shared" ca="1" si="791"/>
        <v/>
      </c>
      <c r="R606" s="45">
        <f t="shared" ca="1" si="776"/>
        <v>0.72995965916664618</v>
      </c>
      <c r="S606" s="45">
        <f t="shared" ca="1" si="711"/>
        <v>5.0695617570641283E-2</v>
      </c>
      <c r="T606" s="77">
        <f t="shared" ca="1" si="761"/>
        <v>0</v>
      </c>
      <c r="U606" s="45">
        <f t="shared" ca="1" si="777"/>
        <v>18.9232446229076</v>
      </c>
      <c r="V606" s="45">
        <f t="shared" ca="1" si="762"/>
        <v>0.20278247028256513</v>
      </c>
      <c r="W606" s="77">
        <f t="shared" ca="1" si="763"/>
        <v>0</v>
      </c>
      <c r="X606" s="45">
        <f t="shared" ca="1" si="778"/>
        <v>1.0048599260498834</v>
      </c>
      <c r="Y606" s="45">
        <f t="shared" ca="1" si="764"/>
        <v>0</v>
      </c>
      <c r="Z606" s="77">
        <f t="shared" ca="1" si="765"/>
        <v>0</v>
      </c>
      <c r="AA606" s="45">
        <f t="shared" ca="1" si="779"/>
        <v>39.104432408607011</v>
      </c>
      <c r="AB606" s="45">
        <f t="shared" ca="1" si="766"/>
        <v>0</v>
      </c>
      <c r="AC606" s="45" cm="1">
        <f t="array" aca="1" ref="AC606" ca="1">pHUM*(T606+W606+Z606+AD606)</f>
        <v>0</v>
      </c>
      <c r="AD606" s="77">
        <f t="shared" ca="1" si="767"/>
        <v>0</v>
      </c>
      <c r="AE606" s="45">
        <f t="shared" ca="1" si="780"/>
        <v>6.3847072090583081</v>
      </c>
      <c r="AF606" s="45">
        <f t="shared" ca="1" si="768"/>
        <v>0</v>
      </c>
      <c r="AG606" s="76">
        <f t="shared" ca="1" si="769"/>
        <v>66.147203825789447</v>
      </c>
      <c r="AH606" s="45">
        <f t="shared" ca="1" si="770"/>
        <v>0</v>
      </c>
      <c r="AI606" s="77">
        <f t="shared" ca="1" si="771"/>
        <v>2.0109972801161745E-2</v>
      </c>
      <c r="AJ606" s="384">
        <f t="shared" ca="1" si="773"/>
        <v>2.3682597934646665E-2</v>
      </c>
      <c r="AU606" s="1"/>
    </row>
    <row r="607" spans="3:47" x14ac:dyDescent="0.25">
      <c r="C607" s="10">
        <f t="shared" si="709"/>
        <v>43</v>
      </c>
      <c r="D607" s="91">
        <f t="shared" si="781"/>
        <v>1</v>
      </c>
      <c r="E607" s="278"/>
      <c r="F607" s="76">
        <f t="shared" ref="F607:Q607" si="792">F535</f>
        <v>2.2624333333333326</v>
      </c>
      <c r="G607" s="46">
        <f t="shared" si="792"/>
        <v>87.461548542671366</v>
      </c>
      <c r="H607" s="46">
        <f t="shared" si="757"/>
        <v>-31.93139854267136</v>
      </c>
      <c r="I607" s="45">
        <f t="shared" si="758"/>
        <v>0</v>
      </c>
      <c r="J607" s="45">
        <f t="shared" si="759"/>
        <v>0.19789456043296222</v>
      </c>
      <c r="K607" s="45">
        <f t="shared" ca="1" si="775"/>
        <v>0.63961608944510806</v>
      </c>
      <c r="L607" s="358">
        <f t="shared" si="760"/>
        <v>0.44266298791276926</v>
      </c>
      <c r="M607" s="76">
        <f t="shared" ca="1" si="792"/>
        <v>0.25347808785320641</v>
      </c>
      <c r="N607" s="45">
        <f t="shared" ca="1" si="792"/>
        <v>0.25</v>
      </c>
      <c r="O607" s="45">
        <f t="shared" ca="1" si="792"/>
        <v>0</v>
      </c>
      <c r="P607" s="46" t="str">
        <f t="shared" ca="1" si="792"/>
        <v/>
      </c>
      <c r="Q607" s="243" t="str">
        <f t="shared" ca="1" si="792"/>
        <v/>
      </c>
      <c r="R607" s="45">
        <f t="shared" ca="1" si="776"/>
        <v>0.78065527673728741</v>
      </c>
      <c r="S607" s="45">
        <f t="shared" ca="1" si="711"/>
        <v>5.0695617570641283E-2</v>
      </c>
      <c r="T607" s="77">
        <f t="shared" ca="1" si="761"/>
        <v>0</v>
      </c>
      <c r="U607" s="45">
        <f t="shared" ca="1" si="777"/>
        <v>19.126027093190164</v>
      </c>
      <c r="V607" s="45">
        <f t="shared" ca="1" si="762"/>
        <v>0.20278247028256513</v>
      </c>
      <c r="W607" s="77">
        <f t="shared" ca="1" si="763"/>
        <v>0</v>
      </c>
      <c r="X607" s="45">
        <f t="shared" ca="1" si="778"/>
        <v>1.0048599260498834</v>
      </c>
      <c r="Y607" s="45">
        <f t="shared" ca="1" si="764"/>
        <v>0</v>
      </c>
      <c r="Z607" s="77">
        <f t="shared" ca="1" si="765"/>
        <v>0</v>
      </c>
      <c r="AA607" s="45">
        <f t="shared" ca="1" si="779"/>
        <v>39.104432408607011</v>
      </c>
      <c r="AB607" s="45">
        <f t="shared" ca="1" si="766"/>
        <v>0</v>
      </c>
      <c r="AC607" s="45" cm="1">
        <f t="array" aca="1" ref="AC607" ca="1">pHUM*(T607+W607+Z607+AD607)</f>
        <v>0</v>
      </c>
      <c r="AD607" s="77">
        <f t="shared" ca="1" si="767"/>
        <v>0</v>
      </c>
      <c r="AE607" s="45">
        <f t="shared" ca="1" si="780"/>
        <v>6.3847072090583081</v>
      </c>
      <c r="AF607" s="45">
        <f t="shared" ca="1" si="768"/>
        <v>0</v>
      </c>
      <c r="AG607" s="76">
        <f t="shared" ca="1" si="769"/>
        <v>66.400681913642657</v>
      </c>
      <c r="AH607" s="45">
        <f t="shared" ca="1" si="770"/>
        <v>0</v>
      </c>
      <c r="AI607" s="77">
        <f t="shared" ca="1" si="771"/>
        <v>2.0813426714690452E-2</v>
      </c>
      <c r="AJ607" s="384">
        <f t="shared" ca="1" si="773"/>
        <v>2.0800690663653754E-2</v>
      </c>
      <c r="AU607" s="1"/>
    </row>
    <row r="608" spans="3:47" x14ac:dyDescent="0.25">
      <c r="C608" s="10">
        <f t="shared" si="709"/>
        <v>43</v>
      </c>
      <c r="D608" s="91">
        <f t="shared" si="781"/>
        <v>2</v>
      </c>
      <c r="E608" s="278"/>
      <c r="F608" s="76">
        <f t="shared" ref="F608:Q608" si="793">F536</f>
        <v>1.5363448275862068</v>
      </c>
      <c r="G608" s="46">
        <f t="shared" si="793"/>
        <v>89.651029216467379</v>
      </c>
      <c r="H608" s="46">
        <f t="shared" si="757"/>
        <v>-34.120879216467372</v>
      </c>
      <c r="I608" s="45">
        <f t="shared" si="758"/>
        <v>0</v>
      </c>
      <c r="J608" s="45">
        <f t="shared" si="759"/>
        <v>0.18962389606700991</v>
      </c>
      <c r="K608" s="45">
        <f t="shared" ca="1" si="775"/>
        <v>0.61288442998317227</v>
      </c>
      <c r="L608" s="358">
        <f t="shared" si="760"/>
        <v>0.41613501220093307</v>
      </c>
      <c r="M608" s="76">
        <f t="shared" ca="1" si="793"/>
        <v>0.25347808785320641</v>
      </c>
      <c r="N608" s="45">
        <f t="shared" ca="1" si="793"/>
        <v>0.25</v>
      </c>
      <c r="O608" s="45">
        <f t="shared" ca="1" si="793"/>
        <v>0</v>
      </c>
      <c r="P608" s="46" t="str">
        <f t="shared" ca="1" si="793"/>
        <v/>
      </c>
      <c r="Q608" s="243" t="str">
        <f t="shared" ca="1" si="793"/>
        <v/>
      </c>
      <c r="R608" s="45">
        <f t="shared" ca="1" si="776"/>
        <v>0.83135089430792863</v>
      </c>
      <c r="S608" s="45">
        <f t="shared" ca="1" si="711"/>
        <v>5.0695617570641283E-2</v>
      </c>
      <c r="T608" s="77">
        <f t="shared" ca="1" si="761"/>
        <v>0</v>
      </c>
      <c r="U608" s="45">
        <f t="shared" ca="1" si="777"/>
        <v>19.328809563472728</v>
      </c>
      <c r="V608" s="45">
        <f t="shared" ca="1" si="762"/>
        <v>0.20278247028256513</v>
      </c>
      <c r="W608" s="77">
        <f t="shared" ca="1" si="763"/>
        <v>0</v>
      </c>
      <c r="X608" s="45">
        <f t="shared" ca="1" si="778"/>
        <v>1.0048599260498834</v>
      </c>
      <c r="Y608" s="45">
        <f t="shared" ca="1" si="764"/>
        <v>0</v>
      </c>
      <c r="Z608" s="77">
        <f t="shared" ca="1" si="765"/>
        <v>0</v>
      </c>
      <c r="AA608" s="45">
        <f t="shared" ca="1" si="779"/>
        <v>39.104432408607011</v>
      </c>
      <c r="AB608" s="45">
        <f t="shared" ca="1" si="766"/>
        <v>0</v>
      </c>
      <c r="AC608" s="45" cm="1">
        <f t="array" aca="1" ref="AC608" ca="1">pHUM*(T608+W608+Z608+AD608)</f>
        <v>0</v>
      </c>
      <c r="AD608" s="77">
        <f t="shared" ca="1" si="767"/>
        <v>0</v>
      </c>
      <c r="AE608" s="45">
        <f t="shared" ca="1" si="780"/>
        <v>6.3847072090583081</v>
      </c>
      <c r="AF608" s="45">
        <f t="shared" ca="1" si="768"/>
        <v>0</v>
      </c>
      <c r="AG608" s="76">
        <f t="shared" ca="1" si="769"/>
        <v>66.654160001495853</v>
      </c>
      <c r="AH608" s="45">
        <f t="shared" ca="1" si="770"/>
        <v>0</v>
      </c>
      <c r="AI608" s="77">
        <f t="shared" ca="1" si="771"/>
        <v>2.1510963529435868E-2</v>
      </c>
      <c r="AJ608" s="384">
        <f t="shared" ca="1" si="773"/>
        <v>1.9364882869322697E-2</v>
      </c>
      <c r="AU608" s="1"/>
    </row>
    <row r="609" spans="3:47" x14ac:dyDescent="0.25">
      <c r="C609" s="10">
        <f t="shared" si="709"/>
        <v>43</v>
      </c>
      <c r="D609" s="91">
        <f t="shared" si="781"/>
        <v>3</v>
      </c>
      <c r="E609" s="278"/>
      <c r="F609" s="76">
        <f t="shared" ref="F609:Q609" ca="1" si="794">F537</f>
        <v>-0.57999999999999996</v>
      </c>
      <c r="G609" s="46">
        <f t="shared" ca="1" si="794"/>
        <v>55.530150000000006</v>
      </c>
      <c r="H609" s="46">
        <f t="shared" ca="1" si="757"/>
        <v>0</v>
      </c>
      <c r="I609" s="45">
        <f t="shared" ca="1" si="758"/>
        <v>8.1834107856600266E-2</v>
      </c>
      <c r="J609" s="45">
        <f t="shared" ca="1" si="759"/>
        <v>0.29595601705647312</v>
      </c>
      <c r="K609" s="45">
        <f t="shared" ca="1" si="775"/>
        <v>0.95656105889548582</v>
      </c>
      <c r="L609" s="358">
        <f t="shared" ca="1" si="760"/>
        <v>0.34200470507454295</v>
      </c>
      <c r="M609" s="76">
        <f t="shared" ca="1" si="794"/>
        <v>0.25347808785320641</v>
      </c>
      <c r="N609" s="45">
        <f t="shared" ca="1" si="794"/>
        <v>0.25</v>
      </c>
      <c r="O609" s="45">
        <f t="shared" ca="1" si="794"/>
        <v>0</v>
      </c>
      <c r="P609" s="46" t="str">
        <f t="shared" ca="1" si="794"/>
        <v/>
      </c>
      <c r="Q609" s="243" t="str">
        <f t="shared" ca="1" si="794"/>
        <v/>
      </c>
      <c r="R609" s="45">
        <f t="shared" ca="1" si="776"/>
        <v>0.88204651187856986</v>
      </c>
      <c r="S609" s="45">
        <f t="shared" ca="1" si="711"/>
        <v>5.0695617570641283E-2</v>
      </c>
      <c r="T609" s="77">
        <f t="shared" ca="1" si="761"/>
        <v>5.8146070292331417E-2</v>
      </c>
      <c r="U609" s="45">
        <f t="shared" ca="1" si="777"/>
        <v>19.531592033755292</v>
      </c>
      <c r="V609" s="45">
        <f t="shared" ca="1" si="762"/>
        <v>0.20278247028256513</v>
      </c>
      <c r="W609" s="77">
        <f t="shared" ca="1" si="763"/>
        <v>3.9917913219259166E-2</v>
      </c>
      <c r="X609" s="45">
        <f t="shared" ca="1" si="778"/>
        <v>1.0048599260498834</v>
      </c>
      <c r="Y609" s="45">
        <f t="shared" ca="1" si="764"/>
        <v>8.8990358448718127E-3</v>
      </c>
      <c r="Z609" s="77">
        <f t="shared" ca="1" si="765"/>
        <v>4.5125869413720548E-3</v>
      </c>
      <c r="AA609" s="45">
        <f t="shared" ca="1" si="779"/>
        <v>39.104432408607011</v>
      </c>
      <c r="AB609" s="45">
        <f t="shared" ca="1" si="766"/>
        <v>0</v>
      </c>
      <c r="AC609" s="45" cm="1">
        <f t="array" aca="1" ref="AC609" ca="1">pHUM*(T609+W609+Z609+AD609)</f>
        <v>1.0469453935143308E-2</v>
      </c>
      <c r="AD609" s="77">
        <f t="shared" ca="1" si="767"/>
        <v>5.3330968663762917E-3</v>
      </c>
      <c r="AE609" s="45">
        <f t="shared" ca="1" si="780"/>
        <v>6.3847072090583081</v>
      </c>
      <c r="AF609" s="45">
        <f t="shared" ca="1" si="768"/>
        <v>0</v>
      </c>
      <c r="AG609" s="76">
        <f t="shared" ca="1" si="769"/>
        <v>66.907638089349064</v>
      </c>
      <c r="AH609" s="45">
        <f t="shared" ca="1" si="770"/>
        <v>8.8541177539323807E-2</v>
      </c>
      <c r="AI609" s="77">
        <f t="shared" ca="1" si="771"/>
        <v>2.2202657590189124E-2</v>
      </c>
      <c r="AJ609" s="384">
        <f t="shared" ca="1" si="773"/>
        <v>2.5638306395571187E-2</v>
      </c>
      <c r="AU609" s="1"/>
    </row>
    <row r="610" spans="3:47" x14ac:dyDescent="0.25">
      <c r="C610" s="10">
        <f t="shared" si="709"/>
        <v>43</v>
      </c>
      <c r="D610" s="91">
        <f t="shared" si="781"/>
        <v>4</v>
      </c>
      <c r="E610" s="278"/>
      <c r="F610" s="76">
        <f t="shared" ref="F610:Q610" ca="1" si="795">F538</f>
        <v>7.18</v>
      </c>
      <c r="G610" s="46">
        <f t="shared" ca="1" si="795"/>
        <v>29.828585295978598</v>
      </c>
      <c r="H610" s="46">
        <f t="shared" ca="1" si="757"/>
        <v>25.701564704021408</v>
      </c>
      <c r="I610" s="45">
        <f t="shared" ca="1" si="758"/>
        <v>0.34975431431902781</v>
      </c>
      <c r="J610" s="45">
        <f t="shared" ca="1" si="759"/>
        <v>0.29147915612483932</v>
      </c>
      <c r="K610" s="45">
        <f t="shared" ca="1" si="775"/>
        <v>0.94209137223094908</v>
      </c>
      <c r="L610" s="358">
        <f t="shared" ca="1" si="760"/>
        <v>0.62308014794471589</v>
      </c>
      <c r="M610" s="76">
        <f t="shared" ca="1" si="795"/>
        <v>0.25347808785320641</v>
      </c>
      <c r="N610" s="45">
        <f t="shared" ca="1" si="795"/>
        <v>0.25</v>
      </c>
      <c r="O610" s="45">
        <f t="shared" ca="1" si="795"/>
        <v>0</v>
      </c>
      <c r="P610" s="46" t="str">
        <f t="shared" ca="1" si="795"/>
        <v/>
      </c>
      <c r="Q610" s="243" t="str">
        <f t="shared" ca="1" si="795"/>
        <v/>
      </c>
      <c r="R610" s="45">
        <f t="shared" ca="1" si="776"/>
        <v>0.87459605915687966</v>
      </c>
      <c r="S610" s="45">
        <f t="shared" ca="1" si="711"/>
        <v>5.0695617570641283E-2</v>
      </c>
      <c r="T610" s="77">
        <f t="shared" ca="1" si="761"/>
        <v>0.22112372029543051</v>
      </c>
      <c r="U610" s="45">
        <f t="shared" ca="1" si="777"/>
        <v>19.694456590818596</v>
      </c>
      <c r="V610" s="45">
        <f t="shared" ca="1" si="762"/>
        <v>0.20278247028256513</v>
      </c>
      <c r="W610" s="77">
        <f t="shared" ca="1" si="763"/>
        <v>0.17145484822817811</v>
      </c>
      <c r="X610" s="45">
        <f t="shared" ca="1" si="778"/>
        <v>1.0092463749533831</v>
      </c>
      <c r="Y610" s="45">
        <f t="shared" ca="1" si="764"/>
        <v>3.5840244675343289E-2</v>
      </c>
      <c r="Z610" s="77">
        <f t="shared" ca="1" si="765"/>
        <v>1.9228814684371143E-2</v>
      </c>
      <c r="AA610" s="45">
        <f t="shared" ca="1" si="779"/>
        <v>39.109568765675782</v>
      </c>
      <c r="AB610" s="45">
        <f t="shared" ca="1" si="766"/>
        <v>0</v>
      </c>
      <c r="AC610" s="45" cm="1">
        <f t="array" aca="1" ref="AC610" ca="1">pHUM*(T610+W610+Z610+AD610)</f>
        <v>4.2164993735697986E-2</v>
      </c>
      <c r="AD610" s="77">
        <f t="shared" ca="1" si="767"/>
        <v>2.2791257249087902E-2</v>
      </c>
      <c r="AE610" s="45">
        <f t="shared" ca="1" si="780"/>
        <v>6.3847072090583081</v>
      </c>
      <c r="AF610" s="45">
        <f t="shared" ca="1" si="768"/>
        <v>0</v>
      </c>
      <c r="AG610" s="76">
        <f t="shared" ca="1" si="769"/>
        <v>67.072574999662947</v>
      </c>
      <c r="AH610" s="45">
        <f t="shared" ca="1" si="770"/>
        <v>0.35659340204602646</v>
      </c>
      <c r="AI610" s="77">
        <f t="shared" ca="1" si="771"/>
        <v>2.2111217252346816E-2</v>
      </c>
      <c r="AJ610" s="384">
        <f t="shared" ca="1" si="773"/>
        <v>4.5812176040008756E-2</v>
      </c>
      <c r="AU610" s="1"/>
    </row>
    <row r="611" spans="3:47" x14ac:dyDescent="0.25">
      <c r="C611" s="10">
        <f t="shared" si="709"/>
        <v>43</v>
      </c>
      <c r="D611" s="91">
        <f t="shared" si="781"/>
        <v>5</v>
      </c>
      <c r="E611" s="278"/>
      <c r="F611" s="76">
        <f t="shared" ref="F611:Q611" ca="1" si="796">F539</f>
        <v>14.05</v>
      </c>
      <c r="G611" s="46">
        <f t="shared" ca="1" si="796"/>
        <v>27.012600000000003</v>
      </c>
      <c r="H611" s="46">
        <f t="shared" ca="1" si="757"/>
        <v>28.517550000000004</v>
      </c>
      <c r="I611" s="45">
        <f t="shared" ca="1" si="758"/>
        <v>0.75173784437395219</v>
      </c>
      <c r="J611" s="45">
        <f t="shared" ca="1" si="759"/>
        <v>0.27952512346894071</v>
      </c>
      <c r="K611" s="45">
        <f t="shared" ca="1" si="775"/>
        <v>0.90345467800480783</v>
      </c>
      <c r="L611" s="358">
        <f t="shared" ca="1" si="760"/>
        <v>0.82085140481213359</v>
      </c>
      <c r="M611" s="76">
        <f t="shared" ca="1" si="796"/>
        <v>0.25347808785320641</v>
      </c>
      <c r="N611" s="45">
        <f t="shared" ca="1" si="796"/>
        <v>0.25</v>
      </c>
      <c r="O611" s="45">
        <f t="shared" ca="1" si="796"/>
        <v>0</v>
      </c>
      <c r="P611" s="46" t="str">
        <f t="shared" ca="1" si="796"/>
        <v/>
      </c>
      <c r="Q611" s="243" t="str">
        <f t="shared" ca="1" si="796"/>
        <v/>
      </c>
      <c r="R611" s="45">
        <f t="shared" ca="1" si="776"/>
        <v>0.70416795643209051</v>
      </c>
      <c r="S611" s="45">
        <f t="shared" ca="1" si="711"/>
        <v>5.0695617570641283E-2</v>
      </c>
      <c r="T611" s="77">
        <f t="shared" ca="1" si="761"/>
        <v>0.32779946324687731</v>
      </c>
      <c r="U611" s="45">
        <f t="shared" ca="1" si="777"/>
        <v>19.725784212872984</v>
      </c>
      <c r="V611" s="45">
        <f t="shared" ca="1" si="762"/>
        <v>0.20278247028256513</v>
      </c>
      <c r="W611" s="77">
        <f t="shared" ca="1" si="763"/>
        <v>0.36725367227928524</v>
      </c>
      <c r="X611" s="45">
        <f t="shared" ca="1" si="778"/>
        <v>1.0258578049443552</v>
      </c>
      <c r="Y611" s="45">
        <f t="shared" ca="1" si="764"/>
        <v>6.4786167521947699E-2</v>
      </c>
      <c r="Z611" s="77">
        <f t="shared" ca="1" si="765"/>
        <v>4.1549817929586397E-2</v>
      </c>
      <c r="AA611" s="45">
        <f t="shared" ca="1" si="779"/>
        <v>39.128942502162388</v>
      </c>
      <c r="AB611" s="45">
        <f t="shared" ca="1" si="766"/>
        <v>0</v>
      </c>
      <c r="AC611" s="45" cm="1">
        <f t="array" aca="1" ref="AC611" ca="1">pHUM*(T611+W611+Z611+AD611)</f>
        <v>7.621902061405611E-2</v>
      </c>
      <c r="AD611" s="77">
        <f t="shared" ca="1" si="767"/>
        <v>4.8993812986879028E-2</v>
      </c>
      <c r="AE611" s="45">
        <f t="shared" ca="1" si="780"/>
        <v>6.3847072090583081</v>
      </c>
      <c r="AF611" s="45">
        <f t="shared" ca="1" si="768"/>
        <v>0</v>
      </c>
      <c r="AG611" s="76">
        <f t="shared" ca="1" si="769"/>
        <v>66.969459685470127</v>
      </c>
      <c r="AH611" s="45">
        <f t="shared" ca="1" si="770"/>
        <v>0.64459157830662428</v>
      </c>
      <c r="AI611" s="77">
        <f t="shared" ca="1" si="771"/>
        <v>1.9833180297170298E-2</v>
      </c>
      <c r="AJ611" s="384">
        <f t="shared" ca="1" si="773"/>
        <v>5.1914909877794901E-2</v>
      </c>
      <c r="AU611" s="1"/>
    </row>
    <row r="612" spans="3:47" x14ac:dyDescent="0.25">
      <c r="C612" s="10">
        <f t="shared" si="709"/>
        <v>43</v>
      </c>
      <c r="D612" s="91">
        <f t="shared" si="781"/>
        <v>6</v>
      </c>
      <c r="E612" s="278"/>
      <c r="F612" s="76">
        <f t="shared" ref="F612:Q612" ca="1" si="797">F540</f>
        <v>17.96</v>
      </c>
      <c r="G612" s="46">
        <f t="shared" ca="1" si="797"/>
        <v>27.012600000000003</v>
      </c>
      <c r="H612" s="46">
        <f t="shared" ca="1" si="757"/>
        <v>28.517550000000004</v>
      </c>
      <c r="I612" s="45">
        <f t="shared" ca="1" si="758"/>
        <v>1.0549705763362276</v>
      </c>
      <c r="J612" s="45">
        <f t="shared" ca="1" si="759"/>
        <v>0.27952512346894071</v>
      </c>
      <c r="K612" s="45">
        <f t="shared" ca="1" si="775"/>
        <v>0.90345467800480783</v>
      </c>
      <c r="L612" s="358">
        <f t="shared" ca="1" si="760"/>
        <v>0.89023829243059249</v>
      </c>
      <c r="M612" s="76">
        <f t="shared" ca="1" si="797"/>
        <v>0.25347808785320641</v>
      </c>
      <c r="N612" s="45">
        <f t="shared" ca="1" si="797"/>
        <v>0.25</v>
      </c>
      <c r="O612" s="45">
        <f t="shared" ca="1" si="797"/>
        <v>0</v>
      </c>
      <c r="P612" s="46" t="str">
        <f t="shared" ca="1" si="797"/>
        <v/>
      </c>
      <c r="Q612" s="243" t="str">
        <f t="shared" ca="1" si="797"/>
        <v/>
      </c>
      <c r="R612" s="45">
        <f t="shared" ca="1" si="776"/>
        <v>0.42706411075585454</v>
      </c>
      <c r="S612" s="45">
        <f t="shared" ca="1" si="711"/>
        <v>5.0695617570641283E-2</v>
      </c>
      <c r="T612" s="77">
        <f t="shared" ca="1" si="761"/>
        <v>0.24977319108169391</v>
      </c>
      <c r="U612" s="45">
        <f t="shared" ca="1" si="777"/>
        <v>19.561313010876262</v>
      </c>
      <c r="V612" s="45">
        <f t="shared" ca="1" si="762"/>
        <v>0.20278247028256513</v>
      </c>
      <c r="W612" s="77">
        <f t="shared" ca="1" si="763"/>
        <v>0.50917121865595472</v>
      </c>
      <c r="X612" s="45">
        <f t="shared" ca="1" si="778"/>
        <v>1.0490941545367165</v>
      </c>
      <c r="Y612" s="45">
        <f t="shared" ca="1" si="764"/>
        <v>7.3138016704576952E-2</v>
      </c>
      <c r="Z612" s="77">
        <f t="shared" ca="1" si="765"/>
        <v>5.9139657840062573E-2</v>
      </c>
      <c r="AA612" s="45">
        <f t="shared" ca="1" si="779"/>
        <v>39.156167709789564</v>
      </c>
      <c r="AB612" s="45">
        <f t="shared" ca="1" si="766"/>
        <v>0</v>
      </c>
      <c r="AC612" s="45" cm="1">
        <f t="array" aca="1" ref="AC612" ca="1">pHUM*(T612+W612+Z612+AD612)</f>
        <v>8.6044725534796418E-2</v>
      </c>
      <c r="AD612" s="77">
        <f t="shared" ca="1" si="767"/>
        <v>6.8787183259557141E-2</v>
      </c>
      <c r="AE612" s="45">
        <f t="shared" ca="1" si="780"/>
        <v>6.3847072090583081</v>
      </c>
      <c r="AF612" s="45">
        <f t="shared" ca="1" si="768"/>
        <v>0</v>
      </c>
      <c r="AG612" s="76">
        <f t="shared" ca="1" si="769"/>
        <v>66.578346195016707</v>
      </c>
      <c r="AH612" s="45">
        <f t="shared" ca="1" si="770"/>
        <v>0.72768850859789502</v>
      </c>
      <c r="AI612" s="77">
        <f t="shared" ca="1" si="771"/>
        <v>1.6079440594657105E-2</v>
      </c>
      <c r="AJ612" s="384">
        <f t="shared" ca="1" si="773"/>
        <v>4.5647287266163961E-2</v>
      </c>
      <c r="AU612" s="1"/>
    </row>
    <row r="613" spans="3:47" x14ac:dyDescent="0.25">
      <c r="C613" s="10">
        <f t="shared" ref="C613:C676" si="798">IF(D613=1,C612+1,C612)</f>
        <v>43</v>
      </c>
      <c r="D613" s="91">
        <f t="shared" si="781"/>
        <v>7</v>
      </c>
      <c r="E613" s="278"/>
      <c r="F613" s="76">
        <f t="shared" ref="F613:Q613" ca="1" si="799">F541</f>
        <v>21.89</v>
      </c>
      <c r="G613" s="46">
        <f t="shared" ca="1" si="799"/>
        <v>27.012600000000003</v>
      </c>
      <c r="H613" s="46">
        <f t="shared" ca="1" si="757"/>
        <v>28.517550000000004</v>
      </c>
      <c r="I613" s="45">
        <f t="shared" ca="1" si="758"/>
        <v>1.3816368002949853</v>
      </c>
      <c r="J613" s="45">
        <f t="shared" ca="1" si="759"/>
        <v>0.27952512346894071</v>
      </c>
      <c r="K613" s="45">
        <f t="shared" ca="1" si="775"/>
        <v>0.90345467800480783</v>
      </c>
      <c r="L613" s="358">
        <f t="shared" ca="1" si="760"/>
        <v>0.9336160920992449</v>
      </c>
      <c r="M613" s="76">
        <f t="shared" ca="1" si="799"/>
        <v>0.25347808785320641</v>
      </c>
      <c r="N613" s="45">
        <f t="shared" ca="1" si="799"/>
        <v>0.25</v>
      </c>
      <c r="O613" s="45">
        <f t="shared" ca="1" si="799"/>
        <v>0</v>
      </c>
      <c r="P613" s="46" t="str">
        <f t="shared" ca="1" si="799"/>
        <v/>
      </c>
      <c r="Q613" s="243" t="str">
        <f t="shared" ca="1" si="799"/>
        <v/>
      </c>
      <c r="R613" s="45">
        <f t="shared" ca="1" si="776"/>
        <v>0.22798653724480192</v>
      </c>
      <c r="S613" s="45">
        <f t="shared" ref="S613:S676" ca="1" si="800">M613*N613/(1+N613) +   IF(O613&gt;0,O613*P613*(1-Q613)/(1+P613),0)</f>
        <v>5.0695617570641283E-2</v>
      </c>
      <c r="T613" s="77">
        <f t="shared" ca="1" si="761"/>
        <v>0.15589601521205412</v>
      </c>
      <c r="U613" s="45">
        <f t="shared" ca="1" si="777"/>
        <v>19.254924262502872</v>
      </c>
      <c r="V613" s="45">
        <f t="shared" ca="1" si="762"/>
        <v>0.20278247028256513</v>
      </c>
      <c r="W613" s="77">
        <f t="shared" ca="1" si="763"/>
        <v>0.65372762762937553</v>
      </c>
      <c r="X613" s="45">
        <f t="shared" ca="1" si="778"/>
        <v>1.063092513401231</v>
      </c>
      <c r="Y613" s="45">
        <f t="shared" ca="1" si="764"/>
        <v>8.0613334498405145E-2</v>
      </c>
      <c r="Z613" s="77">
        <f t="shared" ca="1" si="765"/>
        <v>7.7791313609268012E-2</v>
      </c>
      <c r="AA613" s="45">
        <f t="shared" ca="1" si="779"/>
        <v>39.173425252064803</v>
      </c>
      <c r="AB613" s="45">
        <f t="shared" ca="1" si="766"/>
        <v>0</v>
      </c>
      <c r="AC613" s="45" cm="1">
        <f t="array" aca="1" ref="AC613" ca="1">pHUM*(T613+W613+Z613+AD613)</f>
        <v>9.4839217056947228E-2</v>
      </c>
      <c r="AD613" s="77">
        <f t="shared" ca="1" si="767"/>
        <v>9.0101963232053855E-2</v>
      </c>
      <c r="AE613" s="45">
        <f t="shared" ca="1" si="780"/>
        <v>6.3847072090583081</v>
      </c>
      <c r="AF613" s="45">
        <f t="shared" ca="1" si="768"/>
        <v>0</v>
      </c>
      <c r="AG613" s="76">
        <f t="shared" ca="1" si="769"/>
        <v>66.104135774272009</v>
      </c>
      <c r="AH613" s="45">
        <f t="shared" ca="1" si="770"/>
        <v>0.80206436812739923</v>
      </c>
      <c r="AI613" s="77">
        <f t="shared" ca="1" si="771"/>
        <v>1.3314277062371347E-2</v>
      </c>
      <c r="AJ613" s="384">
        <f t="shared" ca="1" si="773"/>
        <v>3.9639315592410185E-2</v>
      </c>
      <c r="AU613" s="1"/>
    </row>
    <row r="614" spans="3:47" x14ac:dyDescent="0.25">
      <c r="C614" s="10">
        <f t="shared" si="798"/>
        <v>43</v>
      </c>
      <c r="D614" s="91">
        <f t="shared" si="781"/>
        <v>8</v>
      </c>
      <c r="E614" s="278"/>
      <c r="F614" s="76">
        <f t="shared" ref="F614:Q614" ca="1" si="801">F542</f>
        <v>20.350000000000001</v>
      </c>
      <c r="G614" s="46">
        <f t="shared" ca="1" si="801"/>
        <v>27.012600000000003</v>
      </c>
      <c r="H614" s="46">
        <f t="shared" ca="1" si="757"/>
        <v>28.517550000000004</v>
      </c>
      <c r="I614" s="45">
        <f t="shared" ca="1" si="758"/>
        <v>1.2518642054104028</v>
      </c>
      <c r="J614" s="45">
        <f t="shared" ca="1" si="759"/>
        <v>0.27952512346894071</v>
      </c>
      <c r="K614" s="45">
        <f t="shared" ca="1" si="775"/>
        <v>0.90345467800480783</v>
      </c>
      <c r="L614" s="358">
        <f t="shared" ca="1" si="760"/>
        <v>0.91927514332007565</v>
      </c>
      <c r="M614" s="76">
        <f t="shared" ca="1" si="801"/>
        <v>0.25347808785320641</v>
      </c>
      <c r="N614" s="45">
        <f t="shared" ca="1" si="801"/>
        <v>0.25</v>
      </c>
      <c r="O614" s="45">
        <f t="shared" ca="1" si="801"/>
        <v>0</v>
      </c>
      <c r="P614" s="46" t="str">
        <f t="shared" ca="1" si="801"/>
        <v/>
      </c>
      <c r="Q614" s="243" t="str">
        <f t="shared" ca="1" si="801"/>
        <v/>
      </c>
      <c r="R614" s="45">
        <f t="shared" ca="1" si="776"/>
        <v>0.12278613960338911</v>
      </c>
      <c r="S614" s="45">
        <f t="shared" ca="1" si="800"/>
        <v>5.0695617570641283E-2</v>
      </c>
      <c r="T614" s="77">
        <f t="shared" ca="1" si="761"/>
        <v>7.9526332198068456E-2</v>
      </c>
      <c r="U614" s="45">
        <f t="shared" ca="1" si="777"/>
        <v>18.80397910515606</v>
      </c>
      <c r="V614" s="45">
        <f t="shared" ca="1" si="762"/>
        <v>0.20278247028256513</v>
      </c>
      <c r="W614" s="77">
        <f t="shared" ca="1" si="763"/>
        <v>0.57938699541296157</v>
      </c>
      <c r="X614" s="45">
        <f t="shared" ca="1" si="778"/>
        <v>1.0659145342903682</v>
      </c>
      <c r="Y614" s="45">
        <f t="shared" ca="1" si="764"/>
        <v>6.6921710531404582E-2</v>
      </c>
      <c r="Z614" s="77">
        <f t="shared" ca="1" si="765"/>
        <v>7.0921341217464781E-2</v>
      </c>
      <c r="AA614" s="45">
        <f t="shared" ca="1" si="779"/>
        <v>39.178162505889702</v>
      </c>
      <c r="AB614" s="45">
        <f t="shared" ca="1" si="766"/>
        <v>0</v>
      </c>
      <c r="AC614" s="45" cm="1">
        <f t="array" aca="1" ref="AC614" ca="1">pHUM*(T614+W614+Z614+AD614)</f>
        <v>7.8731424154593638E-2</v>
      </c>
      <c r="AD614" s="77">
        <f t="shared" ca="1" si="767"/>
        <v>8.165768222731698E-2</v>
      </c>
      <c r="AE614" s="45">
        <f t="shared" ca="1" si="780"/>
        <v>6.3847072090583081</v>
      </c>
      <c r="AF614" s="45">
        <f t="shared" ca="1" si="768"/>
        <v>0</v>
      </c>
      <c r="AG614" s="76">
        <f t="shared" ca="1" si="769"/>
        <v>65.55554949399783</v>
      </c>
      <c r="AH614" s="45">
        <f t="shared" ca="1" si="770"/>
        <v>0.66583921636981358</v>
      </c>
      <c r="AI614" s="77">
        <f t="shared" ca="1" si="771"/>
        <v>1.1768355335796008E-2</v>
      </c>
      <c r="AJ614" s="384">
        <f t="shared" ca="1" si="773"/>
        <v>3.4498771098532277E-2</v>
      </c>
      <c r="AU614" s="1"/>
    </row>
    <row r="615" spans="3:47" x14ac:dyDescent="0.25">
      <c r="C615" s="10">
        <f t="shared" si="798"/>
        <v>43</v>
      </c>
      <c r="D615" s="91">
        <f t="shared" si="781"/>
        <v>9</v>
      </c>
      <c r="E615" s="278"/>
      <c r="F615" s="76">
        <f t="shared" ref="F615:Q615" ca="1" si="802">F543</f>
        <v>17.38</v>
      </c>
      <c r="G615" s="46">
        <f t="shared" ca="1" si="802"/>
        <v>27.012600000000003</v>
      </c>
      <c r="H615" s="46">
        <f t="shared" ca="1" si="757"/>
        <v>28.517550000000004</v>
      </c>
      <c r="I615" s="45">
        <f t="shared" ca="1" si="758"/>
        <v>1.0082864185928893</v>
      </c>
      <c r="J615" s="45">
        <f t="shared" ca="1" si="759"/>
        <v>0.27952512346894071</v>
      </c>
      <c r="K615" s="45">
        <f t="shared" ca="1" si="775"/>
        <v>0.90345467800480783</v>
      </c>
      <c r="L615" s="358">
        <f t="shared" ca="1" si="760"/>
        <v>0.88177917719725518</v>
      </c>
      <c r="M615" s="76">
        <f t="shared" ca="1" si="802"/>
        <v>0.25347808785320641</v>
      </c>
      <c r="N615" s="45">
        <f t="shared" ca="1" si="802"/>
        <v>0.25</v>
      </c>
      <c r="O615" s="45">
        <f t="shared" ca="1" si="802"/>
        <v>0</v>
      </c>
      <c r="P615" s="46" t="str">
        <f t="shared" ca="1" si="802"/>
        <v/>
      </c>
      <c r="Q615" s="243" t="str">
        <f t="shared" ca="1" si="802"/>
        <v/>
      </c>
      <c r="R615" s="45">
        <f t="shared" ca="1" si="776"/>
        <v>9.3955424975961932E-2</v>
      </c>
      <c r="S615" s="45">
        <f t="shared" ca="1" si="800"/>
        <v>5.0695617570641283E-2</v>
      </c>
      <c r="T615" s="77">
        <f t="shared" ca="1" si="761"/>
        <v>5.340355944267039E-2</v>
      </c>
      <c r="U615" s="45">
        <f t="shared" ca="1" si="777"/>
        <v>18.427374580025663</v>
      </c>
      <c r="V615" s="45">
        <f t="shared" ca="1" si="762"/>
        <v>0.20278247028256513</v>
      </c>
      <c r="W615" s="77">
        <f t="shared" ca="1" si="763"/>
        <v>0.4586962848092343</v>
      </c>
      <c r="X615" s="45">
        <f t="shared" ca="1" si="778"/>
        <v>1.0619149036043081</v>
      </c>
      <c r="Y615" s="45">
        <f t="shared" ca="1" si="764"/>
        <v>5.2380346911482294E-2</v>
      </c>
      <c r="Z615" s="77">
        <f t="shared" ca="1" si="765"/>
        <v>5.7286185879056456E-2</v>
      </c>
      <c r="AA615" s="45">
        <f t="shared" ca="1" si="779"/>
        <v>39.175236247816983</v>
      </c>
      <c r="AB615" s="45">
        <f t="shared" ca="1" si="766"/>
        <v>0</v>
      </c>
      <c r="AC615" s="45" cm="1">
        <f t="array" aca="1" ref="AC615" ca="1">pHUM*(T615+W615+Z615+AD615)</f>
        <v>6.1623937542920344E-2</v>
      </c>
      <c r="AD615" s="77">
        <f t="shared" ca="1" si="767"/>
        <v>6.5777813213579991E-2</v>
      </c>
      <c r="AE615" s="45">
        <f t="shared" ca="1" si="780"/>
        <v>6.3847072090583081</v>
      </c>
      <c r="AF615" s="45">
        <f t="shared" ca="1" si="768"/>
        <v>0</v>
      </c>
      <c r="AG615" s="76">
        <f t="shared" ca="1" si="769"/>
        <v>65.143188365481222</v>
      </c>
      <c r="AH615" s="45">
        <f t="shared" ca="1" si="770"/>
        <v>0.52115955889013854</v>
      </c>
      <c r="AI615" s="77">
        <f t="shared" ca="1" si="771"/>
        <v>1.1277996283255482E-2</v>
      </c>
      <c r="AJ615" s="384">
        <f t="shared" ca="1" si="773"/>
        <v>3.1712849196979809E-2</v>
      </c>
      <c r="AU615" s="1"/>
    </row>
    <row r="616" spans="3:47" x14ac:dyDescent="0.25">
      <c r="C616" s="10">
        <f t="shared" si="798"/>
        <v>43</v>
      </c>
      <c r="D616" s="91">
        <f t="shared" si="781"/>
        <v>10</v>
      </c>
      <c r="E616" s="278"/>
      <c r="F616" s="76">
        <f t="shared" ref="F616:Q616" ca="1" si="803">F544</f>
        <v>9.61</v>
      </c>
      <c r="G616" s="46">
        <f t="shared" ca="1" si="803"/>
        <v>27.012600000000003</v>
      </c>
      <c r="H616" s="46">
        <f t="shared" ca="1" si="757"/>
        <v>28.517550000000004</v>
      </c>
      <c r="I616" s="45">
        <f t="shared" ca="1" si="758"/>
        <v>0.45243046736638293</v>
      </c>
      <c r="J616" s="45">
        <f t="shared" ca="1" si="759"/>
        <v>0.27952512346894071</v>
      </c>
      <c r="K616" s="45">
        <f t="shared" ca="1" si="775"/>
        <v>0.90345467800480783</v>
      </c>
      <c r="L616" s="358">
        <f t="shared" ca="1" si="760"/>
        <v>0.70354868513849667</v>
      </c>
      <c r="M616" s="76">
        <f t="shared" ca="1" si="803"/>
        <v>0.25347808785320641</v>
      </c>
      <c r="N616" s="45">
        <f t="shared" ca="1" si="803"/>
        <v>0.25</v>
      </c>
      <c r="O616" s="45">
        <f t="shared" ca="1" si="803"/>
        <v>0</v>
      </c>
      <c r="P616" s="46" t="str">
        <f t="shared" ca="1" si="803"/>
        <v/>
      </c>
      <c r="Q616" s="243" t="str">
        <f t="shared" ca="1" si="803"/>
        <v/>
      </c>
      <c r="R616" s="45">
        <f t="shared" ca="1" si="776"/>
        <v>9.1247483103932825E-2</v>
      </c>
      <c r="S616" s="45">
        <f t="shared" ca="1" si="800"/>
        <v>5.0695617570641283E-2</v>
      </c>
      <c r="T616" s="77">
        <f t="shared" ca="1" si="761"/>
        <v>2.8660956799418685E-2</v>
      </c>
      <c r="U616" s="45">
        <f t="shared" ca="1" si="777"/>
        <v>18.171460765498992</v>
      </c>
      <c r="V616" s="45">
        <f t="shared" ca="1" si="762"/>
        <v>0.20278247028256513</v>
      </c>
      <c r="W616" s="77">
        <f t="shared" ca="1" si="763"/>
        <v>0.20437506448675158</v>
      </c>
      <c r="X616" s="45">
        <f t="shared" ca="1" si="778"/>
        <v>1.0570090646367338</v>
      </c>
      <c r="Y616" s="45">
        <f t="shared" ca="1" si="764"/>
        <v>2.379512645285161E-2</v>
      </c>
      <c r="Z616" s="77">
        <f t="shared" ca="1" si="765"/>
        <v>2.5977719773920608E-2</v>
      </c>
      <c r="AA616" s="45">
        <f t="shared" ca="1" si="779"/>
        <v>39.171082372146323</v>
      </c>
      <c r="AB616" s="45">
        <f t="shared" ca="1" si="766"/>
        <v>0</v>
      </c>
      <c r="AC616" s="45" cm="1">
        <f t="array" aca="1" ref="AC616" ca="1">pHUM*(T616+W616+Z616+AD616)</f>
        <v>2.799426641511954E-2</v>
      </c>
      <c r="AD616" s="77">
        <f t="shared" ca="1" si="767"/>
        <v>2.9525851780014746E-2</v>
      </c>
      <c r="AE616" s="45">
        <f t="shared" ca="1" si="780"/>
        <v>6.3847072090583081</v>
      </c>
      <c r="AF616" s="45">
        <f t="shared" ca="1" si="768"/>
        <v>0</v>
      </c>
      <c r="AG616" s="76">
        <f t="shared" ca="1" si="769"/>
        <v>64.875506894444285</v>
      </c>
      <c r="AH616" s="45">
        <f t="shared" ca="1" si="770"/>
        <v>0.23675019997213453</v>
      </c>
      <c r="AI616" s="77">
        <f t="shared" ca="1" si="771"/>
        <v>1.1176915476435564E-2</v>
      </c>
      <c r="AJ616" s="384">
        <f t="shared" ca="1" si="773"/>
        <v>2.5076234235089645E-2</v>
      </c>
      <c r="AU616" s="1"/>
    </row>
    <row r="617" spans="3:47" x14ac:dyDescent="0.25">
      <c r="C617" s="10">
        <f t="shared" si="798"/>
        <v>43</v>
      </c>
      <c r="D617" s="91">
        <f t="shared" si="781"/>
        <v>11</v>
      </c>
      <c r="E617" s="278"/>
      <c r="F617" s="76">
        <f t="shared" ref="F617:Q617" ca="1" si="804">F545</f>
        <v>5.71</v>
      </c>
      <c r="G617" s="46">
        <f t="shared" ca="1" si="804"/>
        <v>27.012600000000003</v>
      </c>
      <c r="H617" s="46">
        <f t="shared" ca="1" si="757"/>
        <v>28.517550000000004</v>
      </c>
      <c r="I617" s="45">
        <f t="shared" ca="1" si="758"/>
        <v>0.24617612464957264</v>
      </c>
      <c r="J617" s="45">
        <f t="shared" ca="1" si="759"/>
        <v>0.27952512346894071</v>
      </c>
      <c r="K617" s="45">
        <f t="shared" ca="1" si="775"/>
        <v>0.90345467800480783</v>
      </c>
      <c r="L617" s="358">
        <f t="shared" ca="1" si="760"/>
        <v>0.57043958344737544</v>
      </c>
      <c r="M617" s="76">
        <f t="shared" ca="1" si="804"/>
        <v>0.25347808785320641</v>
      </c>
      <c r="N617" s="45">
        <f t="shared" ca="1" si="804"/>
        <v>0.25</v>
      </c>
      <c r="O617" s="45">
        <f t="shared" ca="1" si="804"/>
        <v>0</v>
      </c>
      <c r="P617" s="46" t="str">
        <f t="shared" ca="1" si="804"/>
        <v/>
      </c>
      <c r="Q617" s="243" t="str">
        <f t="shared" ca="1" si="804"/>
        <v/>
      </c>
      <c r="R617" s="45">
        <f t="shared" ca="1" si="776"/>
        <v>0.11328214387515542</v>
      </c>
      <c r="S617" s="45">
        <f t="shared" ca="1" si="800"/>
        <v>5.0695617570641283E-2</v>
      </c>
      <c r="T617" s="77">
        <f t="shared" ca="1" si="761"/>
        <v>2.1010693094592452E-2</v>
      </c>
      <c r="U617" s="45">
        <f t="shared" ca="1" si="777"/>
        <v>18.169868171294805</v>
      </c>
      <c r="V617" s="45">
        <f t="shared" ca="1" si="762"/>
        <v>0.20278247028256513</v>
      </c>
      <c r="W617" s="77">
        <f t="shared" ca="1" si="763"/>
        <v>0.11148129101447436</v>
      </c>
      <c r="X617" s="45">
        <f t="shared" ca="1" si="778"/>
        <v>1.0548264713156648</v>
      </c>
      <c r="Y617" s="45">
        <f t="shared" ca="1" si="764"/>
        <v>1.3421204984788644E-2</v>
      </c>
      <c r="Z617" s="77">
        <f t="shared" ca="1" si="765"/>
        <v>1.4185767966433394E-2</v>
      </c>
      <c r="AA617" s="45">
        <f t="shared" ca="1" si="779"/>
        <v>39.169550786781429</v>
      </c>
      <c r="AB617" s="45">
        <f t="shared" ca="1" si="766"/>
        <v>0</v>
      </c>
      <c r="AC617" s="45" cm="1">
        <f t="array" aca="1" ref="AC617" ca="1">pHUM*(T617+W617+Z617+AD617)</f>
        <v>1.5789652923280759E-2</v>
      </c>
      <c r="AD617" s="77">
        <f t="shared" ca="1" si="767"/>
        <v>1.6067717229220586E-2</v>
      </c>
      <c r="AE617" s="45">
        <f t="shared" ca="1" si="780"/>
        <v>6.3847072090583081</v>
      </c>
      <c r="AF617" s="45">
        <f t="shared" ca="1" si="768"/>
        <v>0</v>
      </c>
      <c r="AG617" s="76">
        <f t="shared" ca="1" si="769"/>
        <v>64.89223478232536</v>
      </c>
      <c r="AH617" s="45">
        <f t="shared" ca="1" si="770"/>
        <v>0.13353461139665143</v>
      </c>
      <c r="AI617" s="77">
        <f t="shared" ca="1" si="771"/>
        <v>1.1484787672330545E-2</v>
      </c>
      <c r="AJ617" s="384">
        <f t="shared" ca="1" si="773"/>
        <v>2.0892024884350269E-2</v>
      </c>
      <c r="AU617" s="1"/>
    </row>
    <row r="618" spans="3:47" x14ac:dyDescent="0.25">
      <c r="C618" s="10">
        <f t="shared" si="798"/>
        <v>43</v>
      </c>
      <c r="D618" s="91">
        <f t="shared" si="781"/>
        <v>12</v>
      </c>
      <c r="E618" s="278"/>
      <c r="F618" s="76">
        <f t="shared" ref="F618:Q618" ca="1" si="805">F546</f>
        <v>-0.46</v>
      </c>
      <c r="G618" s="46">
        <f t="shared" ca="1" si="805"/>
        <v>27.012600000000003</v>
      </c>
      <c r="H618" s="46">
        <f t="shared" ca="1" si="757"/>
        <v>28.517550000000004</v>
      </c>
      <c r="I618" s="45">
        <f t="shared" ca="1" si="758"/>
        <v>5.3686278337302371E-2</v>
      </c>
      <c r="J618" s="45">
        <f t="shared" ca="1" si="759"/>
        <v>0.27952512346894071</v>
      </c>
      <c r="K618" s="45">
        <f t="shared" ca="1" si="775"/>
        <v>0.90345467800480783</v>
      </c>
      <c r="L618" s="358">
        <f t="shared" ca="1" si="760"/>
        <v>0.34604490353891793</v>
      </c>
      <c r="M618" s="76">
        <f t="shared" ca="1" si="805"/>
        <v>0.25347808785320641</v>
      </c>
      <c r="N618" s="45">
        <f t="shared" ca="1" si="805"/>
        <v>0.25</v>
      </c>
      <c r="O618" s="45">
        <f t="shared" ca="1" si="805"/>
        <v>0</v>
      </c>
      <c r="P618" s="46" t="str">
        <f t="shared" ca="1" si="805"/>
        <v/>
      </c>
      <c r="Q618" s="243" t="str">
        <f t="shared" ca="1" si="805"/>
        <v/>
      </c>
      <c r="R618" s="45">
        <f t="shared" ca="1" si="776"/>
        <v>0.14296706835120426</v>
      </c>
      <c r="S618" s="45">
        <f t="shared" ca="1" si="800"/>
        <v>5.0695617570641283E-2</v>
      </c>
      <c r="T618" s="77">
        <f t="shared" ca="1" si="761"/>
        <v>6.255174458432983E-3</v>
      </c>
      <c r="U618" s="45">
        <f t="shared" ca="1" si="777"/>
        <v>18.261169350562895</v>
      </c>
      <c r="V618" s="45">
        <f t="shared" ca="1" si="762"/>
        <v>0.20278247028256513</v>
      </c>
      <c r="W618" s="77">
        <f t="shared" ca="1" si="763"/>
        <v>2.4492915167946754E-2</v>
      </c>
      <c r="X618" s="45">
        <f t="shared" ca="1" si="778"/>
        <v>1.0540619083340199</v>
      </c>
      <c r="Y618" s="45">
        <f t="shared" ca="1" si="764"/>
        <v>3.0810231833024292E-3</v>
      </c>
      <c r="Z618" s="77">
        <f t="shared" ca="1" si="765"/>
        <v>3.1077858467281161E-3</v>
      </c>
      <c r="AA618" s="45">
        <f t="shared" ca="1" si="779"/>
        <v>39.16927272247549</v>
      </c>
      <c r="AB618" s="45">
        <f t="shared" ca="1" si="766"/>
        <v>0</v>
      </c>
      <c r="AC618" s="45" cm="1">
        <f t="array" aca="1" ref="AC618" ca="1">pHUM*(T618+W618+Z618+AD618)</f>
        <v>3.6247331568263872E-3</v>
      </c>
      <c r="AD618" s="77">
        <f t="shared" ca="1" si="767"/>
        <v>3.5045973364187257E-3</v>
      </c>
      <c r="AE618" s="45">
        <f t="shared" ca="1" si="780"/>
        <v>6.3847072090583081</v>
      </c>
      <c r="AF618" s="45">
        <f t="shared" ca="1" si="768"/>
        <v>0</v>
      </c>
      <c r="AG618" s="76">
        <f t="shared" ca="1" si="769"/>
        <v>65.012178258781915</v>
      </c>
      <c r="AH618" s="45">
        <f t="shared" ca="1" si="770"/>
        <v>3.0654716469397762E-2</v>
      </c>
      <c r="AI618" s="77">
        <f t="shared" ca="1" si="771"/>
        <v>1.1921441792360371E-2</v>
      </c>
      <c r="AJ618" s="384">
        <f t="shared" ca="1" si="773"/>
        <v>1.3155650272024255E-2</v>
      </c>
      <c r="AU618" s="1"/>
    </row>
    <row r="619" spans="3:47" x14ac:dyDescent="0.25">
      <c r="C619" s="10">
        <f t="shared" si="798"/>
        <v>44</v>
      </c>
      <c r="D619" s="91">
        <f t="shared" si="781"/>
        <v>1</v>
      </c>
      <c r="E619" s="278"/>
      <c r="F619" s="76">
        <f t="shared" ref="F619:Q619" ca="1" si="806">F547</f>
        <v>-3.44</v>
      </c>
      <c r="G619" s="46">
        <f t="shared" ca="1" si="806"/>
        <v>27.012600000000003</v>
      </c>
      <c r="H619" s="46">
        <f t="shared" ca="1" si="757"/>
        <v>28.517550000000004</v>
      </c>
      <c r="I619" s="45">
        <f t="shared" ca="1" si="758"/>
        <v>1.6253779081695344E-2</v>
      </c>
      <c r="J619" s="45">
        <f t="shared" ca="1" si="759"/>
        <v>0.27952512346894071</v>
      </c>
      <c r="K619" s="45">
        <f t="shared" ca="1" si="775"/>
        <v>0.90345467800480783</v>
      </c>
      <c r="L619" s="358">
        <f t="shared" ca="1" si="760"/>
        <v>0.25329647647379749</v>
      </c>
      <c r="M619" s="76">
        <f t="shared" ca="1" si="806"/>
        <v>0.25347808785320641</v>
      </c>
      <c r="N619" s="45">
        <f t="shared" ca="1" si="806"/>
        <v>0.25</v>
      </c>
      <c r="O619" s="45">
        <f t="shared" ca="1" si="806"/>
        <v>0</v>
      </c>
      <c r="P619" s="46" t="str">
        <f t="shared" ca="1" si="806"/>
        <v/>
      </c>
      <c r="Q619" s="243" t="str">
        <f t="shared" ca="1" si="806"/>
        <v/>
      </c>
      <c r="R619" s="45">
        <f t="shared" ca="1" si="776"/>
        <v>0.18740751146341256</v>
      </c>
      <c r="S619" s="45">
        <f t="shared" ca="1" si="800"/>
        <v>5.0695617570641283E-2</v>
      </c>
      <c r="T619" s="77">
        <f t="shared" ca="1" si="761"/>
        <v>2.5212865139021302E-3</v>
      </c>
      <c r="U619" s="45">
        <f t="shared" ca="1" si="777"/>
        <v>18.439458905677512</v>
      </c>
      <c r="V619" s="45">
        <f t="shared" ca="1" si="762"/>
        <v>0.20278247028256513</v>
      </c>
      <c r="W619" s="77">
        <f t="shared" ca="1" si="763"/>
        <v>7.4912501688292714E-3</v>
      </c>
      <c r="X619" s="45">
        <f t="shared" ca="1" si="778"/>
        <v>1.0540351456705943</v>
      </c>
      <c r="Y619" s="45">
        <f t="shared" ca="1" si="764"/>
        <v>9.9088349741323768E-4</v>
      </c>
      <c r="Z619" s="77">
        <f t="shared" ca="1" si="765"/>
        <v>9.4184194589010443E-4</v>
      </c>
      <c r="AA619" s="45">
        <f t="shared" ca="1" si="779"/>
        <v>39.1693928582959</v>
      </c>
      <c r="AB619" s="45">
        <f t="shared" ca="1" si="766"/>
        <v>0</v>
      </c>
      <c r="AC619" s="45" cm="1">
        <f t="array" aca="1" ref="AC619" ca="1">pHUM*(T619+W619+Z619+AD619)</f>
        <v>1.1657452910743972E-3</v>
      </c>
      <c r="AD619" s="77">
        <f t="shared" ca="1" si="767"/>
        <v>1.0610700584070983E-3</v>
      </c>
      <c r="AE619" s="45">
        <f t="shared" ca="1" si="780"/>
        <v>6.3847072090583081</v>
      </c>
      <c r="AF619" s="45">
        <f t="shared" ca="1" si="768"/>
        <v>0</v>
      </c>
      <c r="AG619" s="76">
        <f t="shared" ca="1" si="769"/>
        <v>65.235001630165726</v>
      </c>
      <c r="AH619" s="45">
        <f t="shared" ca="1" si="770"/>
        <v>9.8588198985409704E-3</v>
      </c>
      <c r="AI619" s="77">
        <f t="shared" ca="1" si="771"/>
        <v>1.2581307546326652E-2</v>
      </c>
      <c r="AJ619" s="384">
        <f t="shared" ca="1" si="773"/>
        <v>1.0162656185269681E-2</v>
      </c>
      <c r="AU619" s="1"/>
    </row>
    <row r="620" spans="3:47" x14ac:dyDescent="0.25">
      <c r="C620" s="10">
        <f t="shared" si="798"/>
        <v>44</v>
      </c>
      <c r="D620" s="91">
        <f t="shared" si="781"/>
        <v>2</v>
      </c>
      <c r="E620" s="278"/>
      <c r="F620" s="76">
        <f t="shared" ref="F620:Q620" ca="1" si="807">F548</f>
        <v>-1.65</v>
      </c>
      <c r="G620" s="46">
        <f t="shared" ca="1" si="807"/>
        <v>27.012600000000003</v>
      </c>
      <c r="H620" s="46">
        <f t="shared" ca="1" si="757"/>
        <v>28.517550000000004</v>
      </c>
      <c r="I620" s="45">
        <f t="shared" ca="1" si="758"/>
        <v>3.508132091145684E-2</v>
      </c>
      <c r="J620" s="45">
        <f t="shared" ca="1" si="759"/>
        <v>0.27952512346894071</v>
      </c>
      <c r="K620" s="45">
        <f t="shared" ca="1" si="775"/>
        <v>0.90345467800480783</v>
      </c>
      <c r="L620" s="358">
        <f t="shared" ca="1" si="760"/>
        <v>0.30703519550320224</v>
      </c>
      <c r="M620" s="76">
        <f t="shared" ca="1" si="807"/>
        <v>0.25347808785320641</v>
      </c>
      <c r="N620" s="45">
        <f t="shared" ca="1" si="807"/>
        <v>0.25</v>
      </c>
      <c r="O620" s="45">
        <f t="shared" ca="1" si="807"/>
        <v>0</v>
      </c>
      <c r="P620" s="46" t="str">
        <f t="shared" ca="1" si="807"/>
        <v/>
      </c>
      <c r="Q620" s="243" t="str">
        <f t="shared" ca="1" si="807"/>
        <v/>
      </c>
      <c r="R620" s="45">
        <f t="shared" ca="1" si="776"/>
        <v>0.23558184252015171</v>
      </c>
      <c r="S620" s="45">
        <f t="shared" ca="1" si="800"/>
        <v>5.0695617570641283E-2</v>
      </c>
      <c r="T620" s="77">
        <f t="shared" ca="1" si="761"/>
        <v>6.7874054706907241E-3</v>
      </c>
      <c r="U620" s="45">
        <f t="shared" ca="1" si="777"/>
        <v>18.634750125791246</v>
      </c>
      <c r="V620" s="45">
        <f t="shared" ca="1" si="762"/>
        <v>0.20278247028256513</v>
      </c>
      <c r="W620" s="77">
        <f t="shared" ca="1" si="763"/>
        <v>1.6336126523351827E-2</v>
      </c>
      <c r="X620" s="45">
        <f t="shared" ca="1" si="778"/>
        <v>1.0540841872221174</v>
      </c>
      <c r="Y620" s="45">
        <f t="shared" ca="1" si="764"/>
        <v>2.2633628162015101E-3</v>
      </c>
      <c r="Z620" s="77">
        <f t="shared" ca="1" si="765"/>
        <v>2.0318657651050465E-3</v>
      </c>
      <c r="AA620" s="45">
        <f t="shared" ca="1" si="779"/>
        <v>39.16949753352857</v>
      </c>
      <c r="AB620" s="45">
        <f t="shared" ca="1" si="766"/>
        <v>0</v>
      </c>
      <c r="AC620" s="45" cm="1">
        <f t="array" aca="1" ref="AC620" ca="1">pHUM*(T620+W620+Z620+AD620)</f>
        <v>2.6627797837664828E-3</v>
      </c>
      <c r="AD620" s="77">
        <f t="shared" ca="1" si="767"/>
        <v>2.2901292369047698E-3</v>
      </c>
      <c r="AE620" s="45">
        <f t="shared" ca="1" si="780"/>
        <v>6.3847072090583081</v>
      </c>
      <c r="AF620" s="45">
        <f t="shared" ca="1" si="768"/>
        <v>0</v>
      </c>
      <c r="AG620" s="76">
        <f t="shared" ca="1" si="769"/>
        <v>65.478620898120397</v>
      </c>
      <c r="AH620" s="45">
        <f t="shared" ca="1" si="770"/>
        <v>2.2519384396084377E-2</v>
      </c>
      <c r="AI620" s="77">
        <f t="shared" ca="1" si="771"/>
        <v>1.3291454777629988E-2</v>
      </c>
      <c r="AJ620" s="384">
        <f t="shared" ca="1" si="773"/>
        <v>1.3014030411286903E-2</v>
      </c>
      <c r="AU620" s="1"/>
    </row>
    <row r="621" spans="3:47" x14ac:dyDescent="0.25">
      <c r="C621" s="10">
        <f t="shared" si="798"/>
        <v>44</v>
      </c>
      <c r="D621" s="91">
        <f t="shared" si="781"/>
        <v>3</v>
      </c>
      <c r="E621" s="278"/>
      <c r="F621" s="76">
        <f t="shared" ref="F621:Q621" ca="1" si="808">F549</f>
        <v>4.68</v>
      </c>
      <c r="G621" s="46">
        <f t="shared" ca="1" si="808"/>
        <v>27.012600000000003</v>
      </c>
      <c r="H621" s="46">
        <f t="shared" ca="1" si="757"/>
        <v>28.517550000000004</v>
      </c>
      <c r="I621" s="45">
        <f t="shared" ca="1" si="758"/>
        <v>0.20228669449817699</v>
      </c>
      <c r="J621" s="45">
        <f t="shared" ca="1" si="759"/>
        <v>0.27952512346894071</v>
      </c>
      <c r="K621" s="45">
        <f t="shared" ca="1" si="775"/>
        <v>0.90345467800480783</v>
      </c>
      <c r="L621" s="358">
        <f t="shared" ca="1" si="760"/>
        <v>0.53248567772813127</v>
      </c>
      <c r="M621" s="76">
        <f t="shared" ca="1" si="808"/>
        <v>0.25347808785320641</v>
      </c>
      <c r="N621" s="45">
        <f t="shared" ca="1" si="808"/>
        <v>0.25</v>
      </c>
      <c r="O621" s="45">
        <f t="shared" ca="1" si="808"/>
        <v>0</v>
      </c>
      <c r="P621" s="46" t="str">
        <f t="shared" ca="1" si="808"/>
        <v/>
      </c>
      <c r="Q621" s="243" t="str">
        <f t="shared" ca="1" si="808"/>
        <v/>
      </c>
      <c r="R621" s="45">
        <f t="shared" ca="1" si="776"/>
        <v>0.27949005462010229</v>
      </c>
      <c r="S621" s="45">
        <f t="shared" ca="1" si="800"/>
        <v>5.0695617570641283E-2</v>
      </c>
      <c r="T621" s="77">
        <f t="shared" ca="1" si="761"/>
        <v>4.3357229787122406E-2</v>
      </c>
      <c r="U621" s="45">
        <f t="shared" ca="1" si="777"/>
        <v>18.821196469550458</v>
      </c>
      <c r="V621" s="45">
        <f t="shared" ca="1" si="762"/>
        <v>0.20278247028256513</v>
      </c>
      <c r="W621" s="77">
        <f t="shared" ca="1" si="763"/>
        <v>9.4941670206313486E-2</v>
      </c>
      <c r="X621" s="45">
        <f t="shared" ca="1" si="778"/>
        <v>1.0543156842732138</v>
      </c>
      <c r="Y621" s="45">
        <f t="shared" ca="1" si="764"/>
        <v>1.3456020348070955E-2</v>
      </c>
      <c r="Z621" s="77">
        <f t="shared" ca="1" si="765"/>
        <v>1.1665060204693673E-2</v>
      </c>
      <c r="AA621" s="45">
        <f t="shared" ca="1" si="779"/>
        <v>39.169870184075435</v>
      </c>
      <c r="AB621" s="45">
        <f t="shared" ca="1" si="766"/>
        <v>0</v>
      </c>
      <c r="AC621" s="45" cm="1">
        <f t="array" aca="1" ref="AC621" ca="1">pHUM*(T621+W621+Z621+AD621)</f>
        <v>1.5830612174201123E-2</v>
      </c>
      <c r="AD621" s="77">
        <f t="shared" ca="1" si="767"/>
        <v>1.32036800400369E-2</v>
      </c>
      <c r="AE621" s="45">
        <f t="shared" ca="1" si="780"/>
        <v>6.3847072090583081</v>
      </c>
      <c r="AF621" s="45">
        <f t="shared" ca="1" si="768"/>
        <v>0</v>
      </c>
      <c r="AG621" s="76">
        <f t="shared" ca="1" si="769"/>
        <v>65.709579601577516</v>
      </c>
      <c r="AH621" s="45">
        <f t="shared" ca="1" si="770"/>
        <v>0.13388100771589442</v>
      </c>
      <c r="AI621" s="77">
        <f t="shared" ca="1" si="771"/>
        <v>1.3935281052565392E-2</v>
      </c>
      <c r="AJ621" s="384">
        <f t="shared" ca="1" si="773"/>
        <v>2.3663034545572392E-2</v>
      </c>
      <c r="AU621" s="1"/>
    </row>
    <row r="622" spans="3:47" x14ac:dyDescent="0.25">
      <c r="C622" s="10">
        <f t="shared" si="798"/>
        <v>44</v>
      </c>
      <c r="D622" s="91">
        <f t="shared" si="781"/>
        <v>4</v>
      </c>
      <c r="E622" s="278"/>
      <c r="F622" s="76">
        <f t="shared" ref="F622:Q622" ca="1" si="809">F550</f>
        <v>7.69</v>
      </c>
      <c r="G622" s="46">
        <f t="shared" ca="1" si="809"/>
        <v>27.012600000000003</v>
      </c>
      <c r="H622" s="46">
        <f t="shared" ca="1" si="757"/>
        <v>28.517550000000004</v>
      </c>
      <c r="I622" s="45">
        <f t="shared" ca="1" si="758"/>
        <v>0.3433111911106958</v>
      </c>
      <c r="J622" s="45">
        <f t="shared" ca="1" si="759"/>
        <v>0.27952512346894071</v>
      </c>
      <c r="K622" s="45">
        <f t="shared" ca="1" si="775"/>
        <v>0.90345467800480783</v>
      </c>
      <c r="L622" s="358">
        <f t="shared" ca="1" si="760"/>
        <v>0.64074183470648283</v>
      </c>
      <c r="M622" s="76">
        <f t="shared" ca="1" si="809"/>
        <v>0.25347808785320641</v>
      </c>
      <c r="N622" s="45">
        <f t="shared" ca="1" si="809"/>
        <v>0.25</v>
      </c>
      <c r="O622" s="45">
        <f t="shared" ca="1" si="809"/>
        <v>0</v>
      </c>
      <c r="P622" s="46" t="str">
        <f t="shared" ca="1" si="809"/>
        <v/>
      </c>
      <c r="Q622" s="243" t="str">
        <f t="shared" ca="1" si="809"/>
        <v/>
      </c>
      <c r="R622" s="45">
        <f t="shared" ca="1" si="776"/>
        <v>0.28682844240362115</v>
      </c>
      <c r="S622" s="45">
        <f t="shared" ca="1" si="800"/>
        <v>5.0695617570641283E-2</v>
      </c>
      <c r="T622" s="77">
        <f t="shared" ca="1" si="761"/>
        <v>7.1364922050609986E-2</v>
      </c>
      <c r="U622" s="45">
        <f t="shared" ca="1" si="777"/>
        <v>18.929037269626708</v>
      </c>
      <c r="V622" s="45">
        <f t="shared" ca="1" si="762"/>
        <v>0.20278247028256513</v>
      </c>
      <c r="W622" s="77">
        <f t="shared" ca="1" si="763"/>
        <v>0.16176855331285975</v>
      </c>
      <c r="X622" s="45">
        <f t="shared" ca="1" si="778"/>
        <v>1.056106644416591</v>
      </c>
      <c r="Y622" s="45">
        <f t="shared" ca="1" si="764"/>
        <v>2.2702914007722216E-2</v>
      </c>
      <c r="Z622" s="77">
        <f t="shared" ca="1" si="765"/>
        <v>1.975443793801928E-2</v>
      </c>
      <c r="AA622" s="45">
        <f t="shared" ca="1" si="779"/>
        <v>39.172497116209598</v>
      </c>
      <c r="AB622" s="45">
        <f t="shared" ca="1" si="766"/>
        <v>0</v>
      </c>
      <c r="AC622" s="45" cm="1">
        <f t="array" aca="1" ref="AC622" ca="1">pHUM*(T622+W622+Z622+AD622)</f>
        <v>2.6709310597320252E-2</v>
      </c>
      <c r="AD622" s="77">
        <f t="shared" ca="1" si="767"/>
        <v>2.2407516502249824E-2</v>
      </c>
      <c r="AE622" s="45">
        <f t="shared" ca="1" si="780"/>
        <v>6.3847072090583081</v>
      </c>
      <c r="AF622" s="45">
        <f t="shared" ca="1" si="768"/>
        <v>0</v>
      </c>
      <c r="AG622" s="76">
        <f t="shared" ca="1" si="769"/>
        <v>65.829176681714827</v>
      </c>
      <c r="AH622" s="45">
        <f t="shared" ca="1" si="770"/>
        <v>0.2258832051986964</v>
      </c>
      <c r="AI622" s="77">
        <f t="shared" ca="1" si="771"/>
        <v>1.4057203332677622E-2</v>
      </c>
      <c r="AJ622" s="384">
        <f t="shared" ca="1" si="773"/>
        <v>2.8722795666233925E-2</v>
      </c>
      <c r="AU622" s="1"/>
    </row>
    <row r="623" spans="3:47" x14ac:dyDescent="0.25">
      <c r="C623" s="10">
        <f t="shared" si="798"/>
        <v>44</v>
      </c>
      <c r="D623" s="91">
        <f t="shared" si="781"/>
        <v>5</v>
      </c>
      <c r="E623" s="278"/>
      <c r="F623" s="76">
        <f t="shared" ref="F623:Q623" ca="1" si="810">F551</f>
        <v>15.52</v>
      </c>
      <c r="G623" s="46">
        <f t="shared" ca="1" si="810"/>
        <v>27.012600000000003</v>
      </c>
      <c r="H623" s="46">
        <f t="shared" ca="1" si="757"/>
        <v>28.517550000000004</v>
      </c>
      <c r="I623" s="45">
        <f t="shared" ca="1" si="758"/>
        <v>0.86230369296737164</v>
      </c>
      <c r="J623" s="45">
        <f t="shared" ca="1" si="759"/>
        <v>0.27952512346894071</v>
      </c>
      <c r="K623" s="45">
        <f t="shared" ca="1" si="775"/>
        <v>0.90345467800480783</v>
      </c>
      <c r="L623" s="358">
        <f t="shared" ca="1" si="760"/>
        <v>0.85046529796407655</v>
      </c>
      <c r="M623" s="76">
        <f t="shared" ca="1" si="810"/>
        <v>0.25347808785320641</v>
      </c>
      <c r="N623" s="45">
        <f t="shared" ca="1" si="810"/>
        <v>0.25</v>
      </c>
      <c r="O623" s="45">
        <f t="shared" ca="1" si="810"/>
        <v>0</v>
      </c>
      <c r="P623" s="46" t="str">
        <f t="shared" ca="1" si="810"/>
        <v/>
      </c>
      <c r="Q623" s="243" t="str">
        <f t="shared" ca="1" si="810"/>
        <v/>
      </c>
      <c r="R623" s="45">
        <f t="shared" ca="1" si="776"/>
        <v>0.26615913792365242</v>
      </c>
      <c r="S623" s="45">
        <f t="shared" ca="1" si="800"/>
        <v>5.0695617570641283E-2</v>
      </c>
      <c r="T623" s="77">
        <f t="shared" ca="1" si="761"/>
        <v>0.13642231208113587</v>
      </c>
      <c r="U623" s="45">
        <f t="shared" ca="1" si="777"/>
        <v>18.970051186596411</v>
      </c>
      <c r="V623" s="45">
        <f t="shared" ca="1" si="762"/>
        <v>0.20278247028256513</v>
      </c>
      <c r="W623" s="77">
        <f t="shared" ca="1" si="763"/>
        <v>0.40457216105288279</v>
      </c>
      <c r="X623" s="45">
        <f t="shared" ca="1" si="778"/>
        <v>1.0590551204862939</v>
      </c>
      <c r="Y623" s="45">
        <f t="shared" ca="1" si="764"/>
        <v>5.3299781491459211E-2</v>
      </c>
      <c r="Z623" s="77">
        <f t="shared" ca="1" si="765"/>
        <v>4.9055038817192906E-2</v>
      </c>
      <c r="AA623" s="45">
        <f t="shared" ca="1" si="779"/>
        <v>39.176798910304669</v>
      </c>
      <c r="AB623" s="45">
        <f t="shared" ca="1" si="766"/>
        <v>0</v>
      </c>
      <c r="AC623" s="45" cm="1">
        <f t="array" aca="1" ref="AC623" ca="1">pHUM*(T623+W623+Z623+AD623)</f>
        <v>6.2705625284069658E-2</v>
      </c>
      <c r="AD623" s="77">
        <f t="shared" ca="1" si="767"/>
        <v>5.6263390839402155E-2</v>
      </c>
      <c r="AE623" s="45">
        <f t="shared" ca="1" si="780"/>
        <v>6.3847072090583081</v>
      </c>
      <c r="AF623" s="45">
        <f t="shared" ca="1" si="768"/>
        <v>0</v>
      </c>
      <c r="AG623" s="76">
        <f t="shared" ca="1" si="769"/>
        <v>65.856771564369339</v>
      </c>
      <c r="AH623" s="45">
        <f t="shared" ca="1" si="770"/>
        <v>0.53030749601508476</v>
      </c>
      <c r="AI623" s="77">
        <f t="shared" ca="1" si="771"/>
        <v>1.378114694066469E-2</v>
      </c>
      <c r="AJ623" s="384">
        <f t="shared" ca="1" si="773"/>
        <v>3.7375164875134148E-2</v>
      </c>
      <c r="AU623" s="1"/>
    </row>
    <row r="624" spans="3:47" x14ac:dyDescent="0.25">
      <c r="C624" s="10">
        <f t="shared" si="798"/>
        <v>44</v>
      </c>
      <c r="D624" s="91">
        <f t="shared" si="781"/>
        <v>6</v>
      </c>
      <c r="E624" s="278"/>
      <c r="F624" s="76">
        <f t="shared" ref="F624:Q624" ca="1" si="811">F552</f>
        <v>17.8</v>
      </c>
      <c r="G624" s="46">
        <f t="shared" ca="1" si="811"/>
        <v>27.012600000000003</v>
      </c>
      <c r="H624" s="46">
        <f t="shared" ca="1" si="757"/>
        <v>28.517550000000004</v>
      </c>
      <c r="I624" s="45">
        <f t="shared" ca="1" si="758"/>
        <v>1.0420430221807615</v>
      </c>
      <c r="J624" s="45">
        <f t="shared" ca="1" si="759"/>
        <v>0.27952512346894071</v>
      </c>
      <c r="K624" s="45">
        <f t="shared" ca="1" si="775"/>
        <v>0.90345467800480783</v>
      </c>
      <c r="L624" s="358">
        <f t="shared" ca="1" si="760"/>
        <v>0.88796358149435028</v>
      </c>
      <c r="M624" s="76">
        <f t="shared" ca="1" si="811"/>
        <v>0.25347808785320641</v>
      </c>
      <c r="N624" s="45">
        <f t="shared" ca="1" si="811"/>
        <v>0.25</v>
      </c>
      <c r="O624" s="45">
        <f t="shared" ca="1" si="811"/>
        <v>0</v>
      </c>
      <c r="P624" s="46" t="str">
        <f t="shared" ca="1" si="811"/>
        <v/>
      </c>
      <c r="Q624" s="243" t="str">
        <f t="shared" ca="1" si="811"/>
        <v/>
      </c>
      <c r="R624" s="45">
        <f t="shared" ca="1" si="776"/>
        <v>0.18043244341315784</v>
      </c>
      <c r="S624" s="45">
        <f t="shared" ca="1" si="800"/>
        <v>5.0695617570641283E-2</v>
      </c>
      <c r="T624" s="77">
        <f t="shared" ca="1" si="761"/>
        <v>0.10471661384205616</v>
      </c>
      <c r="U624" s="45">
        <f t="shared" ca="1" si="777"/>
        <v>18.768261495826092</v>
      </c>
      <c r="V624" s="45">
        <f t="shared" ca="1" si="762"/>
        <v>0.20278247028256513</v>
      </c>
      <c r="W624" s="77">
        <f t="shared" ca="1" si="763"/>
        <v>0.48261972263463476</v>
      </c>
      <c r="X624" s="45">
        <f t="shared" ca="1" si="778"/>
        <v>1.0632998631605604</v>
      </c>
      <c r="Y624" s="45">
        <f t="shared" ca="1" si="764"/>
        <v>5.8927543731470654E-2</v>
      </c>
      <c r="Z624" s="77">
        <f t="shared" ca="1" si="765"/>
        <v>5.9226805956421553E-2</v>
      </c>
      <c r="AA624" s="45">
        <f t="shared" ca="1" si="779"/>
        <v>39.183241144749331</v>
      </c>
      <c r="AB624" s="45">
        <f t="shared" ca="1" si="766"/>
        <v>0</v>
      </c>
      <c r="AC624" s="45" cm="1">
        <f t="array" aca="1" ref="AC624" ca="1">pHUM*(T624+W624+Z624+AD624)</f>
        <v>6.9326522037024302E-2</v>
      </c>
      <c r="AD624" s="77">
        <f t="shared" ca="1" si="767"/>
        <v>6.7991979139205544E-2</v>
      </c>
      <c r="AE624" s="45">
        <f t="shared" ca="1" si="780"/>
        <v>6.3847072090583081</v>
      </c>
      <c r="AF624" s="45">
        <f t="shared" ca="1" si="768"/>
        <v>0</v>
      </c>
      <c r="AG624" s="76">
        <f t="shared" ca="1" si="769"/>
        <v>65.579942156207451</v>
      </c>
      <c r="AH624" s="45">
        <f t="shared" ca="1" si="770"/>
        <v>0.58630105580382319</v>
      </c>
      <c r="AI624" s="77">
        <f t="shared" ca="1" si="771"/>
        <v>1.2557662824584561E-2</v>
      </c>
      <c r="AJ624" s="384">
        <f t="shared" ca="1" si="773"/>
        <v>3.5558699804518756E-2</v>
      </c>
      <c r="AU624" s="1"/>
    </row>
    <row r="625" spans="3:47" x14ac:dyDescent="0.25">
      <c r="C625" s="10">
        <f t="shared" si="798"/>
        <v>44</v>
      </c>
      <c r="D625" s="91">
        <f t="shared" si="781"/>
        <v>7</v>
      </c>
      <c r="E625" s="278"/>
      <c r="F625" s="76">
        <f t="shared" ref="F625:Q625" ca="1" si="812">F553</f>
        <v>22.99</v>
      </c>
      <c r="G625" s="46">
        <f t="shared" ca="1" si="812"/>
        <v>27.012600000000003</v>
      </c>
      <c r="H625" s="46">
        <f t="shared" ca="1" si="757"/>
        <v>28.517550000000004</v>
      </c>
      <c r="I625" s="45">
        <f t="shared" ca="1" si="758"/>
        <v>1.4752596357037575</v>
      </c>
      <c r="J625" s="45">
        <f t="shared" ca="1" si="759"/>
        <v>0.27952512346894071</v>
      </c>
      <c r="K625" s="45">
        <f t="shared" ca="1" si="775"/>
        <v>0.90345467800480783</v>
      </c>
      <c r="L625" s="358">
        <f t="shared" ca="1" si="760"/>
        <v>0.94206720469222516</v>
      </c>
      <c r="M625" s="76">
        <f t="shared" ca="1" si="812"/>
        <v>0.25347808785320641</v>
      </c>
      <c r="N625" s="45">
        <f t="shared" ca="1" si="812"/>
        <v>0.25</v>
      </c>
      <c r="O625" s="45">
        <f t="shared" ca="1" si="812"/>
        <v>0</v>
      </c>
      <c r="P625" s="46" t="str">
        <f t="shared" ca="1" si="812"/>
        <v/>
      </c>
      <c r="Q625" s="243" t="str">
        <f t="shared" ca="1" si="812"/>
        <v/>
      </c>
      <c r="R625" s="45">
        <f t="shared" ca="1" si="776"/>
        <v>0.12641144714174296</v>
      </c>
      <c r="S625" s="45">
        <f t="shared" ca="1" si="800"/>
        <v>5.0695617570641283E-2</v>
      </c>
      <c r="T625" s="77">
        <f t="shared" ca="1" si="761"/>
        <v>8.9439515862024505E-2</v>
      </c>
      <c r="U625" s="45">
        <f t="shared" ca="1" si="777"/>
        <v>18.488424243474022</v>
      </c>
      <c r="V625" s="45">
        <f t="shared" ca="1" si="762"/>
        <v>0.20278247028256513</v>
      </c>
      <c r="W625" s="77">
        <f t="shared" ca="1" si="763"/>
        <v>0.66945943533838448</v>
      </c>
      <c r="X625" s="45">
        <f t="shared" ca="1" si="778"/>
        <v>1.0630006009356094</v>
      </c>
      <c r="Y625" s="45">
        <f t="shared" ca="1" si="764"/>
        <v>7.7352081876659221E-2</v>
      </c>
      <c r="Z625" s="77">
        <f t="shared" ca="1" si="765"/>
        <v>8.2844678339707864E-2</v>
      </c>
      <c r="AA625" s="45">
        <f t="shared" ca="1" si="779"/>
        <v>39.184575687647147</v>
      </c>
      <c r="AB625" s="45">
        <f t="shared" ca="1" si="766"/>
        <v>0</v>
      </c>
      <c r="AC625" s="45" cm="1">
        <f t="array" aca="1" ref="AC625" ca="1">pHUM*(T625+W625+Z625+AD625)</f>
        <v>9.1002449266657917E-2</v>
      </c>
      <c r="AD625" s="77">
        <f t="shared" ca="1" si="767"/>
        <v>9.6227355999699088E-2</v>
      </c>
      <c r="AE625" s="45">
        <f t="shared" ca="1" si="780"/>
        <v>6.3847072090583081</v>
      </c>
      <c r="AF625" s="45">
        <f t="shared" ca="1" si="768"/>
        <v>0</v>
      </c>
      <c r="AG625" s="76">
        <f t="shared" ca="1" si="769"/>
        <v>65.247119188256832</v>
      </c>
      <c r="AH625" s="45">
        <f t="shared" ca="1" si="770"/>
        <v>0.76961645439649884</v>
      </c>
      <c r="AI625" s="77">
        <f t="shared" ca="1" si="771"/>
        <v>1.1744781001274898E-2</v>
      </c>
      <c r="AJ625" s="384">
        <f t="shared" ca="1" si="773"/>
        <v>3.5283269495176572E-2</v>
      </c>
      <c r="AU625" s="1"/>
    </row>
    <row r="626" spans="3:47" x14ac:dyDescent="0.25">
      <c r="C626" s="10">
        <f t="shared" si="798"/>
        <v>44</v>
      </c>
      <c r="D626" s="91">
        <f t="shared" si="781"/>
        <v>8</v>
      </c>
      <c r="E626" s="278"/>
      <c r="F626" s="76">
        <f t="shared" ref="F626:Q626" ca="1" si="813">F554</f>
        <v>21.76</v>
      </c>
      <c r="G626" s="46">
        <f t="shared" ca="1" si="813"/>
        <v>27.012600000000003</v>
      </c>
      <c r="H626" s="46">
        <f t="shared" ca="1" si="757"/>
        <v>28.517550000000004</v>
      </c>
      <c r="I626" s="45">
        <f t="shared" ca="1" si="758"/>
        <v>1.3706166748122235</v>
      </c>
      <c r="J626" s="45">
        <f t="shared" ca="1" si="759"/>
        <v>0.27952512346894071</v>
      </c>
      <c r="K626" s="45">
        <f t="shared" ca="1" si="775"/>
        <v>0.90345467800480783</v>
      </c>
      <c r="L626" s="358">
        <f t="shared" ca="1" si="760"/>
        <v>0.93252308258228611</v>
      </c>
      <c r="M626" s="76">
        <f t="shared" ca="1" si="813"/>
        <v>0.25347808785320641</v>
      </c>
      <c r="N626" s="45">
        <f t="shared" ca="1" si="813"/>
        <v>0.25</v>
      </c>
      <c r="O626" s="45">
        <f t="shared" ca="1" si="813"/>
        <v>0</v>
      </c>
      <c r="P626" s="46" t="str">
        <f t="shared" ca="1" si="813"/>
        <v/>
      </c>
      <c r="Q626" s="243" t="str">
        <f t="shared" ca="1" si="813"/>
        <v/>
      </c>
      <c r="R626" s="45">
        <f t="shared" ca="1" si="776"/>
        <v>8.7667548850359739E-2</v>
      </c>
      <c r="S626" s="45">
        <f t="shared" ca="1" si="800"/>
        <v>5.0695617570641283E-2</v>
      </c>
      <c r="T626" s="77">
        <f t="shared" ca="1" si="761"/>
        <v>5.9690870583984493E-2</v>
      </c>
      <c r="U626" s="45">
        <f t="shared" ca="1" si="777"/>
        <v>18.0217472784182</v>
      </c>
      <c r="V626" s="45">
        <f t="shared" ca="1" si="762"/>
        <v>0.20278247028256513</v>
      </c>
      <c r="W626" s="77">
        <f t="shared" ca="1" si="763"/>
        <v>0.60706265986215679</v>
      </c>
      <c r="X626" s="45">
        <f t="shared" ca="1" si="778"/>
        <v>1.0575080044725609</v>
      </c>
      <c r="Y626" s="45">
        <f t="shared" ca="1" si="764"/>
        <v>6.8690410448672773E-2</v>
      </c>
      <c r="Z626" s="77">
        <f t="shared" ca="1" si="765"/>
        <v>7.6788428897126004E-2</v>
      </c>
      <c r="AA626" s="45">
        <f t="shared" ca="1" si="779"/>
        <v>39.179350780914106</v>
      </c>
      <c r="AB626" s="45">
        <f t="shared" ca="1" si="766"/>
        <v>0</v>
      </c>
      <c r="AC626" s="45" cm="1">
        <f t="array" aca="1" ref="AC626" ca="1">pHUM*(T626+W626+Z626+AD626)</f>
        <v>8.0812247586673852E-2</v>
      </c>
      <c r="AD626" s="77">
        <f t="shared" ca="1" si="767"/>
        <v>8.9397638693815826E-2</v>
      </c>
      <c r="AE626" s="45">
        <f t="shared" ca="1" si="780"/>
        <v>6.3847072090583081</v>
      </c>
      <c r="AF626" s="45">
        <f t="shared" ca="1" si="768"/>
        <v>0</v>
      </c>
      <c r="AG626" s="76">
        <f t="shared" ca="1" si="769"/>
        <v>64.73098082171353</v>
      </c>
      <c r="AH626" s="45">
        <f t="shared" ca="1" si="770"/>
        <v>0.68343694000173649</v>
      </c>
      <c r="AI626" s="77">
        <f t="shared" ca="1" si="771"/>
        <v>1.1090028391169139E-2</v>
      </c>
      <c r="AJ626" s="384">
        <f t="shared" ca="1" si="773"/>
        <v>3.2978827129065413E-2</v>
      </c>
      <c r="AU626" s="1"/>
    </row>
    <row r="627" spans="3:47" x14ac:dyDescent="0.25">
      <c r="C627" s="10">
        <f t="shared" si="798"/>
        <v>44</v>
      </c>
      <c r="D627" s="91">
        <f t="shared" si="781"/>
        <v>9</v>
      </c>
      <c r="E627" s="278"/>
      <c r="F627" s="76">
        <f t="shared" ref="F627:Q627" ca="1" si="814">F555</f>
        <v>16.16</v>
      </c>
      <c r="G627" s="46">
        <f t="shared" ca="1" si="814"/>
        <v>27.012600000000003</v>
      </c>
      <c r="H627" s="46">
        <f t="shared" ca="1" si="757"/>
        <v>28.517550000000004</v>
      </c>
      <c r="I627" s="45">
        <f t="shared" ca="1" si="758"/>
        <v>0.91183635166446475</v>
      </c>
      <c r="J627" s="45">
        <f t="shared" ca="1" si="759"/>
        <v>0.27952512346894071</v>
      </c>
      <c r="K627" s="45">
        <f t="shared" ca="1" si="775"/>
        <v>0.90345467800480783</v>
      </c>
      <c r="L627" s="358">
        <f t="shared" ca="1" si="760"/>
        <v>0.86198800670670384</v>
      </c>
      <c r="M627" s="76">
        <f t="shared" ca="1" si="814"/>
        <v>0.25347808785320641</v>
      </c>
      <c r="N627" s="45">
        <f t="shared" ca="1" si="814"/>
        <v>0.25</v>
      </c>
      <c r="O627" s="45">
        <f t="shared" ca="1" si="814"/>
        <v>0</v>
      </c>
      <c r="P627" s="46" t="str">
        <f t="shared" ca="1" si="814"/>
        <v/>
      </c>
      <c r="Q627" s="243" t="str">
        <f t="shared" ca="1" si="814"/>
        <v/>
      </c>
      <c r="R627" s="45">
        <f t="shared" ca="1" si="776"/>
        <v>7.8672295837016529E-2</v>
      </c>
      <c r="S627" s="45">
        <f t="shared" ca="1" si="800"/>
        <v>5.0695617570641283E-2</v>
      </c>
      <c r="T627" s="77">
        <f t="shared" ca="1" si="761"/>
        <v>4.1874886484751211E-2</v>
      </c>
      <c r="U627" s="45">
        <f t="shared" ca="1" si="777"/>
        <v>17.617467088838609</v>
      </c>
      <c r="V627" s="45">
        <f t="shared" ca="1" si="762"/>
        <v>0.20278247028256513</v>
      </c>
      <c r="W627" s="77">
        <f t="shared" ca="1" si="763"/>
        <v>0.39706326940002912</v>
      </c>
      <c r="X627" s="45">
        <f t="shared" ca="1" si="778"/>
        <v>1.0494099860241075</v>
      </c>
      <c r="Y627" s="45">
        <f t="shared" ca="1" si="764"/>
        <v>4.5336721492342615E-2</v>
      </c>
      <c r="Z627" s="77">
        <f t="shared" ca="1" si="765"/>
        <v>5.1331049594377176E-2</v>
      </c>
      <c r="AA627" s="45">
        <f t="shared" ca="1" si="779"/>
        <v>39.170765389806959</v>
      </c>
      <c r="AB627" s="45">
        <f t="shared" ca="1" si="766"/>
        <v>0</v>
      </c>
      <c r="AC627" s="45" cm="1">
        <f t="array" aca="1" ref="AC627" ca="1">pHUM*(T627+W627+Z627+AD627)</f>
        <v>5.3337319402756017E-2</v>
      </c>
      <c r="AD627" s="77">
        <f t="shared" ca="1" si="767"/>
        <v>5.9483668750183842E-2</v>
      </c>
      <c r="AE627" s="45">
        <f t="shared" ca="1" si="780"/>
        <v>6.3847072090583081</v>
      </c>
      <c r="AF627" s="45">
        <f t="shared" ca="1" si="768"/>
        <v>0</v>
      </c>
      <c r="AG627" s="76">
        <f t="shared" ca="1" si="769"/>
        <v>64.301021969564999</v>
      </c>
      <c r="AH627" s="45">
        <f t="shared" ca="1" si="770"/>
        <v>0.45107883333424281</v>
      </c>
      <c r="AI627" s="77">
        <f t="shared" ca="1" si="771"/>
        <v>1.0860481792862036E-2</v>
      </c>
      <c r="AJ627" s="384">
        <f t="shared" ca="1" si="773"/>
        <v>2.9853451780025297E-2</v>
      </c>
      <c r="AU627" s="1"/>
    </row>
    <row r="628" spans="3:47" x14ac:dyDescent="0.25">
      <c r="C628" s="10">
        <f t="shared" si="798"/>
        <v>44</v>
      </c>
      <c r="D628" s="91">
        <f t="shared" si="781"/>
        <v>10</v>
      </c>
      <c r="E628" s="278"/>
      <c r="F628" s="76">
        <f t="shared" ref="F628:Q628" ca="1" si="815">F556</f>
        <v>11.21</v>
      </c>
      <c r="G628" s="46">
        <f t="shared" ca="1" si="815"/>
        <v>27.012600000000003</v>
      </c>
      <c r="H628" s="46">
        <f t="shared" ca="1" si="757"/>
        <v>28.517550000000004</v>
      </c>
      <c r="I628" s="45">
        <f t="shared" ca="1" si="758"/>
        <v>0.55341948356365211</v>
      </c>
      <c r="J628" s="45">
        <f t="shared" ca="1" si="759"/>
        <v>0.27952512346894071</v>
      </c>
      <c r="K628" s="45">
        <f t="shared" ca="1" si="775"/>
        <v>0.90345467800480783</v>
      </c>
      <c r="L628" s="358">
        <f t="shared" ca="1" si="760"/>
        <v>0.75061725573145499</v>
      </c>
      <c r="M628" s="76">
        <f t="shared" ca="1" si="815"/>
        <v>0.25347808785320641</v>
      </c>
      <c r="N628" s="45">
        <f t="shared" ca="1" si="815"/>
        <v>0.25</v>
      </c>
      <c r="O628" s="45">
        <f t="shared" ca="1" si="815"/>
        <v>0</v>
      </c>
      <c r="P628" s="46" t="str">
        <f t="shared" ca="1" si="815"/>
        <v/>
      </c>
      <c r="Q628" s="243" t="str">
        <f t="shared" ca="1" si="815"/>
        <v/>
      </c>
      <c r="R628" s="45">
        <f t="shared" ca="1" si="776"/>
        <v>8.7493026922906586E-2</v>
      </c>
      <c r="S628" s="45">
        <f t="shared" ca="1" si="800"/>
        <v>5.0695617570641283E-2</v>
      </c>
      <c r="T628" s="77">
        <f t="shared" ca="1" si="761"/>
        <v>3.2325406484756646E-2</v>
      </c>
      <c r="U628" s="45">
        <f t="shared" ca="1" si="777"/>
        <v>17.423186289721144</v>
      </c>
      <c r="V628" s="45">
        <f t="shared" ca="1" si="762"/>
        <v>0.20278247028256513</v>
      </c>
      <c r="W628" s="77">
        <f t="shared" ca="1" si="763"/>
        <v>0.23939835374151833</v>
      </c>
      <c r="X628" s="45">
        <f t="shared" ca="1" si="778"/>
        <v>1.0434156579220728</v>
      </c>
      <c r="Y628" s="45">
        <f t="shared" ca="1" si="764"/>
        <v>2.7965728058082204E-2</v>
      </c>
      <c r="Z628" s="77">
        <f t="shared" ca="1" si="765"/>
        <v>3.1281077599887075E-2</v>
      </c>
      <c r="AA628" s="45">
        <f t="shared" ca="1" si="779"/>
        <v>39.164619040459534</v>
      </c>
      <c r="AB628" s="45">
        <f t="shared" ca="1" si="766"/>
        <v>0</v>
      </c>
      <c r="AC628" s="45" cm="1">
        <f t="array" aca="1" ref="AC628" ca="1">pHUM*(T628+W628+Z628+AD628)</f>
        <v>3.2900856538920241E-2</v>
      </c>
      <c r="AD628" s="77">
        <f t="shared" ca="1" si="767"/>
        <v>3.610745070673381E-2</v>
      </c>
      <c r="AE628" s="45">
        <f t="shared" ca="1" si="780"/>
        <v>6.3847072090583081</v>
      </c>
      <c r="AF628" s="45">
        <f t="shared" ca="1" si="768"/>
        <v>0</v>
      </c>
      <c r="AG628" s="76">
        <f t="shared" ca="1" si="769"/>
        <v>64.103421224083959</v>
      </c>
      <c r="AH628" s="45">
        <f t="shared" ca="1" si="770"/>
        <v>0.27824570393589348</v>
      </c>
      <c r="AI628" s="77">
        <f t="shared" ca="1" si="771"/>
        <v>1.09349757706133E-2</v>
      </c>
      <c r="AJ628" s="384">
        <f t="shared" ca="1" si="773"/>
        <v>2.6174724218498424E-2</v>
      </c>
      <c r="AU628" s="1"/>
    </row>
    <row r="629" spans="3:47" x14ac:dyDescent="0.25">
      <c r="C629" s="10">
        <f t="shared" si="798"/>
        <v>44</v>
      </c>
      <c r="D629" s="91">
        <f t="shared" si="781"/>
        <v>11</v>
      </c>
      <c r="E629" s="278"/>
      <c r="F629" s="76">
        <f t="shared" ref="F629:Q629" ca="1" si="816">F557</f>
        <v>1.8</v>
      </c>
      <c r="G629" s="46">
        <f t="shared" ca="1" si="816"/>
        <v>27.012600000000003</v>
      </c>
      <c r="H629" s="46">
        <f t="shared" ca="1" si="757"/>
        <v>28.517550000000004</v>
      </c>
      <c r="I629" s="45">
        <f t="shared" ca="1" si="758"/>
        <v>0.10471759589279002</v>
      </c>
      <c r="J629" s="45">
        <f t="shared" ca="1" si="759"/>
        <v>0.27952512346894071</v>
      </c>
      <c r="K629" s="45">
        <f t="shared" ca="1" si="775"/>
        <v>0.90345467800480783</v>
      </c>
      <c r="L629" s="358">
        <f t="shared" ca="1" si="760"/>
        <v>0.42572038710161686</v>
      </c>
      <c r="M629" s="76">
        <f t="shared" ca="1" si="816"/>
        <v>0.25347808785320641</v>
      </c>
      <c r="N629" s="45">
        <f t="shared" ca="1" si="816"/>
        <v>0.25</v>
      </c>
      <c r="O629" s="45">
        <f t="shared" ca="1" si="816"/>
        <v>0</v>
      </c>
      <c r="P629" s="46" t="str">
        <f t="shared" ca="1" si="816"/>
        <v/>
      </c>
      <c r="Q629" s="243" t="str">
        <f t="shared" ca="1" si="816"/>
        <v/>
      </c>
      <c r="R629" s="45">
        <f t="shared" ca="1" si="776"/>
        <v>0.10586323800879122</v>
      </c>
      <c r="S629" s="45">
        <f t="shared" ca="1" si="800"/>
        <v>5.0695617570641283E-2</v>
      </c>
      <c r="T629" s="77">
        <f t="shared" ca="1" si="761"/>
        <v>8.8465126159825002E-3</v>
      </c>
      <c r="U629" s="45">
        <f t="shared" ca="1" si="777"/>
        <v>17.386570406262191</v>
      </c>
      <c r="V629" s="45">
        <f t="shared" ca="1" si="762"/>
        <v>0.20278247028256513</v>
      </c>
      <c r="W629" s="77">
        <f t="shared" ca="1" si="763"/>
        <v>4.5457467922353216E-2</v>
      </c>
      <c r="X629" s="45">
        <f t="shared" ca="1" si="778"/>
        <v>1.040100308380268</v>
      </c>
      <c r="Y629" s="45">
        <f t="shared" ca="1" si="764"/>
        <v>5.5345069464411796E-3</v>
      </c>
      <c r="Z629" s="77">
        <f t="shared" ca="1" si="765"/>
        <v>5.973206451258861E-3</v>
      </c>
      <c r="AA629" s="45">
        <f t="shared" ca="1" si="779"/>
        <v>39.16141244629172</v>
      </c>
      <c r="AB629" s="45">
        <f t="shared" ca="1" si="766"/>
        <v>0</v>
      </c>
      <c r="AC629" s="45" cm="1">
        <f t="array" aca="1" ref="AC629" ca="1">pHUM*(T629+W629+Z629+AD629)</f>
        <v>6.5111846428719759E-3</v>
      </c>
      <c r="AD629" s="77">
        <f t="shared" ca="1" si="767"/>
        <v>6.8342185354430436E-3</v>
      </c>
      <c r="AE629" s="45">
        <f t="shared" ca="1" si="780"/>
        <v>6.3847072090583081</v>
      </c>
      <c r="AF629" s="45">
        <f t="shared" ca="1" si="768"/>
        <v>0</v>
      </c>
      <c r="AG629" s="76">
        <f t="shared" ca="1" si="769"/>
        <v>64.078653608001275</v>
      </c>
      <c r="AH629" s="45">
        <f t="shared" ca="1" si="770"/>
        <v>5.5065713935724472E-2</v>
      </c>
      <c r="AI629" s="77">
        <f t="shared" ca="1" si="771"/>
        <v>1.1185890429579607E-2</v>
      </c>
      <c r="AJ629" s="384">
        <f t="shared" ca="1" si="773"/>
        <v>1.5186065091663536E-2</v>
      </c>
      <c r="AU629" s="1"/>
    </row>
    <row r="630" spans="3:47" x14ac:dyDescent="0.25">
      <c r="C630" s="10">
        <f t="shared" si="798"/>
        <v>44</v>
      </c>
      <c r="D630" s="91">
        <f t="shared" si="781"/>
        <v>12</v>
      </c>
      <c r="E630" s="278"/>
      <c r="F630" s="76">
        <f t="shared" ref="F630:Q630" ca="1" si="817">F558</f>
        <v>-0.63</v>
      </c>
      <c r="G630" s="46">
        <f t="shared" ca="1" si="817"/>
        <v>27.012600000000003</v>
      </c>
      <c r="H630" s="46">
        <f t="shared" ca="1" si="757"/>
        <v>28.517550000000004</v>
      </c>
      <c r="I630" s="45">
        <f t="shared" ca="1" si="758"/>
        <v>5.069926650983797E-2</v>
      </c>
      <c r="J630" s="45">
        <f t="shared" ca="1" si="759"/>
        <v>0.27952512346894071</v>
      </c>
      <c r="K630" s="45">
        <f t="shared" ca="1" si="775"/>
        <v>0.90345467800480783</v>
      </c>
      <c r="L630" s="358">
        <f t="shared" ca="1" si="760"/>
        <v>0.3403279781726225</v>
      </c>
      <c r="M630" s="76">
        <f t="shared" ca="1" si="817"/>
        <v>0.25347808785320641</v>
      </c>
      <c r="N630" s="45">
        <f t="shared" ca="1" si="817"/>
        <v>0.25</v>
      </c>
      <c r="O630" s="45">
        <f t="shared" ca="1" si="817"/>
        <v>0</v>
      </c>
      <c r="P630" s="46" t="str">
        <f t="shared" ca="1" si="817"/>
        <v/>
      </c>
      <c r="Q630" s="243" t="str">
        <f t="shared" ca="1" si="817"/>
        <v/>
      </c>
      <c r="R630" s="45">
        <f t="shared" ca="1" si="776"/>
        <v>0.14771234296345001</v>
      </c>
      <c r="S630" s="45">
        <f t="shared" ca="1" si="800"/>
        <v>5.0695617570641283E-2</v>
      </c>
      <c r="T630" s="77">
        <f t="shared" ca="1" si="761"/>
        <v>6.1107593251454049E-3</v>
      </c>
      <c r="U630" s="45">
        <f t="shared" ca="1" si="777"/>
        <v>17.543895408622401</v>
      </c>
      <c r="V630" s="45">
        <f t="shared" ca="1" si="762"/>
        <v>0.20278247028256513</v>
      </c>
      <c r="W630" s="77">
        <f t="shared" ca="1" si="763"/>
        <v>2.2222479455904262E-2</v>
      </c>
      <c r="X630" s="45">
        <f t="shared" ca="1" si="778"/>
        <v>1.0396616088754504</v>
      </c>
      <c r="Y630" s="45">
        <f t="shared" ca="1" si="764"/>
        <v>2.8481933573154946E-3</v>
      </c>
      <c r="Z630" s="77">
        <f t="shared" ca="1" si="765"/>
        <v>2.8950162604859634E-3</v>
      </c>
      <c r="AA630" s="45">
        <f t="shared" ca="1" si="779"/>
        <v>39.16108941239915</v>
      </c>
      <c r="AB630" s="45">
        <f t="shared" ca="1" si="766"/>
        <v>0</v>
      </c>
      <c r="AC630" s="45" cm="1">
        <f t="array" aca="1" ref="AC630" ca="1">pHUM*(T630+W630+Z630+AD630)</f>
        <v>3.3508157144888171E-3</v>
      </c>
      <c r="AD630" s="77">
        <f t="shared" ca="1" si="767"/>
        <v>3.3089243795562861E-3</v>
      </c>
      <c r="AE630" s="45">
        <f t="shared" ca="1" si="780"/>
        <v>6.3847072090583081</v>
      </c>
      <c r="AF630" s="45">
        <f t="shared" ca="1" si="768"/>
        <v>0</v>
      </c>
      <c r="AG630" s="76">
        <f t="shared" ca="1" si="769"/>
        <v>64.277065981918767</v>
      </c>
      <c r="AH630" s="45">
        <f t="shared" ca="1" si="770"/>
        <v>2.8338170349287605E-2</v>
      </c>
      <c r="AI630" s="77">
        <f t="shared" ca="1" si="771"/>
        <v>1.1817464164452693E-2</v>
      </c>
      <c r="AJ630" s="384">
        <f t="shared" ca="1" si="773"/>
        <v>1.282546626328096E-2</v>
      </c>
      <c r="AU630" s="1"/>
    </row>
    <row r="631" spans="3:47" x14ac:dyDescent="0.25">
      <c r="C631" s="10">
        <f t="shared" si="798"/>
        <v>45</v>
      </c>
      <c r="D631" s="91">
        <f t="shared" si="781"/>
        <v>1</v>
      </c>
      <c r="E631" s="278"/>
      <c r="F631" s="76">
        <f t="shared" ref="F631:Q631" ca="1" si="818">F559</f>
        <v>-5.04</v>
      </c>
      <c r="G631" s="46">
        <f t="shared" ca="1" si="818"/>
        <v>27.012600000000003</v>
      </c>
      <c r="H631" s="46">
        <f t="shared" ca="1" si="757"/>
        <v>28.517550000000004</v>
      </c>
      <c r="I631" s="45">
        <f t="shared" ca="1" si="758"/>
        <v>6.847402527399577E-3</v>
      </c>
      <c r="J631" s="45">
        <f t="shared" ca="1" si="759"/>
        <v>0.27952512346894071</v>
      </c>
      <c r="K631" s="45">
        <f t="shared" ca="1" si="775"/>
        <v>0.90345467800480783</v>
      </c>
      <c r="L631" s="358">
        <f t="shared" ca="1" si="760"/>
        <v>0.21084054547214914</v>
      </c>
      <c r="M631" s="76">
        <f t="shared" ca="1" si="818"/>
        <v>0.25347808785320641</v>
      </c>
      <c r="N631" s="45">
        <f t="shared" ca="1" si="818"/>
        <v>0.25</v>
      </c>
      <c r="O631" s="45">
        <f t="shared" ca="1" si="818"/>
        <v>0</v>
      </c>
      <c r="P631" s="46" t="str">
        <f t="shared" ca="1" si="818"/>
        <v/>
      </c>
      <c r="Q631" s="243" t="str">
        <f t="shared" ca="1" si="818"/>
        <v/>
      </c>
      <c r="R631" s="45">
        <f t="shared" ca="1" si="776"/>
        <v>0.19229720120894589</v>
      </c>
      <c r="S631" s="45">
        <f t="shared" ca="1" si="800"/>
        <v>5.0695617570641283E-2</v>
      </c>
      <c r="T631" s="77">
        <f t="shared" ca="1" si="761"/>
        <v>1.0941555975497383E-3</v>
      </c>
      <c r="U631" s="45">
        <f t="shared" ca="1" si="777"/>
        <v>17.724455399449059</v>
      </c>
      <c r="V631" s="45">
        <f t="shared" ca="1" si="762"/>
        <v>0.20278247028256513</v>
      </c>
      <c r="W631" s="77">
        <f t="shared" ca="1" si="763"/>
        <v>3.0339023306842454E-3</v>
      </c>
      <c r="X631" s="45">
        <f t="shared" ca="1" si="778"/>
        <v>1.03961478597228</v>
      </c>
      <c r="Y631" s="45">
        <f t="shared" ca="1" si="764"/>
        <v>4.0956869233349833E-4</v>
      </c>
      <c r="Z631" s="77">
        <f t="shared" ca="1" si="765"/>
        <v>3.9145263365937956E-4</v>
      </c>
      <c r="AA631" s="45">
        <f t="shared" ca="1" si="779"/>
        <v>39.161131303734088</v>
      </c>
      <c r="AB631" s="45">
        <f t="shared" ca="1" si="766"/>
        <v>0</v>
      </c>
      <c r="AC631" s="45" cm="1">
        <f t="array" aca="1" ref="AC631" ca="1">pHUM*(T631+W631+Z631+AD631)</f>
        <v>4.8184552039235096E-4</v>
      </c>
      <c r="AD631" s="77">
        <f t="shared" ca="1" si="767"/>
        <v>4.4691749891653403E-4</v>
      </c>
      <c r="AE631" s="45">
        <f t="shared" ca="1" si="780"/>
        <v>6.3847072090583081</v>
      </c>
      <c r="AF631" s="45">
        <f t="shared" ca="1" si="768"/>
        <v>0</v>
      </c>
      <c r="AG631" s="76">
        <f t="shared" ca="1" si="769"/>
        <v>64.502205899422677</v>
      </c>
      <c r="AH631" s="45">
        <f t="shared" ca="1" si="770"/>
        <v>4.075013848084048E-3</v>
      </c>
      <c r="AI631" s="77">
        <f t="shared" ca="1" si="771"/>
        <v>1.2488603852836651E-2</v>
      </c>
      <c r="AJ631" s="384">
        <f t="shared" ca="1" si="773"/>
        <v>8.3969400048722331E-3</v>
      </c>
      <c r="AU631" s="1"/>
    </row>
    <row r="632" spans="3:47" x14ac:dyDescent="0.25">
      <c r="C632" s="10">
        <f t="shared" si="798"/>
        <v>45</v>
      </c>
      <c r="D632" s="91">
        <f t="shared" si="781"/>
        <v>2</v>
      </c>
      <c r="E632" s="278"/>
      <c r="F632" s="76">
        <f t="shared" ref="F632:Q632" ca="1" si="819">F560</f>
        <v>-4.4400000000000004</v>
      </c>
      <c r="G632" s="46">
        <f t="shared" ca="1" si="819"/>
        <v>27.012600000000003</v>
      </c>
      <c r="H632" s="46">
        <f t="shared" ca="1" si="757"/>
        <v>28.517550000000004</v>
      </c>
      <c r="I632" s="45">
        <f t="shared" ca="1" si="758"/>
        <v>9.6941753008840392E-3</v>
      </c>
      <c r="J632" s="45">
        <f t="shared" ca="1" si="759"/>
        <v>0.27952512346894071</v>
      </c>
      <c r="K632" s="45">
        <f t="shared" ca="1" si="775"/>
        <v>0.90345467800480783</v>
      </c>
      <c r="L632" s="358">
        <f t="shared" ca="1" si="760"/>
        <v>0.22612365929309886</v>
      </c>
      <c r="M632" s="76">
        <f t="shared" ca="1" si="819"/>
        <v>0.25347808785320641</v>
      </c>
      <c r="N632" s="45">
        <f t="shared" ca="1" si="819"/>
        <v>0.25</v>
      </c>
      <c r="O632" s="45">
        <f t="shared" ca="1" si="819"/>
        <v>0</v>
      </c>
      <c r="P632" s="46" t="str">
        <f t="shared" ca="1" si="819"/>
        <v/>
      </c>
      <c r="Q632" s="243" t="str">
        <f t="shared" ca="1" si="819"/>
        <v/>
      </c>
      <c r="R632" s="45">
        <f t="shared" ca="1" si="776"/>
        <v>0.24189866318203743</v>
      </c>
      <c r="S632" s="45">
        <f t="shared" ca="1" si="800"/>
        <v>5.0695617570641283E-2</v>
      </c>
      <c r="T632" s="77">
        <f t="shared" ca="1" si="761"/>
        <v>1.9463012095627269E-3</v>
      </c>
      <c r="U632" s="45">
        <f t="shared" ca="1" si="777"/>
        <v>17.924203967400938</v>
      </c>
      <c r="V632" s="45">
        <f t="shared" ca="1" si="762"/>
        <v>0.20278247028256513</v>
      </c>
      <c r="W632" s="77">
        <f t="shared" ca="1" si="763"/>
        <v>4.3434830323864897E-3</v>
      </c>
      <c r="X632" s="45">
        <f t="shared" ca="1" si="778"/>
        <v>1.039632902030954</v>
      </c>
      <c r="Y632" s="45">
        <f t="shared" ca="1" si="764"/>
        <v>6.1658178260329938E-4</v>
      </c>
      <c r="Z632" s="77">
        <f t="shared" ca="1" si="765"/>
        <v>5.5416335061059772E-4</v>
      </c>
      <c r="AA632" s="45">
        <f t="shared" ca="1" si="779"/>
        <v>39.161166231755558</v>
      </c>
      <c r="AB632" s="45">
        <f t="shared" ca="1" si="766"/>
        <v>0</v>
      </c>
      <c r="AC632" s="45" cm="1">
        <f t="array" aca="1" ref="AC632" ca="1">pHUM*(T632+W632+Z632+AD632)</f>
        <v>7.2539033247446985E-4</v>
      </c>
      <c r="AD632" s="77">
        <f t="shared" ca="1" si="767"/>
        <v>6.3272023929623379E-4</v>
      </c>
      <c r="AE632" s="45">
        <f t="shared" ca="1" si="780"/>
        <v>6.3847072090583081</v>
      </c>
      <c r="AF632" s="45">
        <f t="shared" ca="1" si="768"/>
        <v>0</v>
      </c>
      <c r="AG632" s="76">
        <f t="shared" ca="1" si="769"/>
        <v>64.751608973427793</v>
      </c>
      <c r="AH632" s="45">
        <f t="shared" ca="1" si="770"/>
        <v>6.134695716778279E-3</v>
      </c>
      <c r="AI632" s="77">
        <f t="shared" ca="1" si="771"/>
        <v>1.3228999915371657E-2</v>
      </c>
      <c r="AJ632" s="384">
        <f t="shared" ca="1" si="773"/>
        <v>9.5394992862751771E-3</v>
      </c>
      <c r="AU632" s="1"/>
    </row>
    <row r="633" spans="3:47" x14ac:dyDescent="0.25">
      <c r="C633" s="10">
        <f t="shared" si="798"/>
        <v>45</v>
      </c>
      <c r="D633" s="91">
        <f t="shared" si="781"/>
        <v>3</v>
      </c>
      <c r="E633" s="278"/>
      <c r="F633" s="76">
        <f t="shared" ref="F633:Q633" ca="1" si="820">F561</f>
        <v>-0.82</v>
      </c>
      <c r="G633" s="46">
        <f t="shared" ca="1" si="820"/>
        <v>27.012600000000003</v>
      </c>
      <c r="H633" s="46">
        <f t="shared" ca="1" si="757"/>
        <v>28.517550000000004</v>
      </c>
      <c r="I633" s="45">
        <f t="shared" ca="1" si="758"/>
        <v>4.749388171975074E-2</v>
      </c>
      <c r="J633" s="45">
        <f t="shared" ca="1" si="759"/>
        <v>0.27952512346894071</v>
      </c>
      <c r="K633" s="45">
        <f t="shared" ca="1" si="775"/>
        <v>0.90345467800480783</v>
      </c>
      <c r="L633" s="358">
        <f t="shared" ca="1" si="760"/>
        <v>0.33399301288143546</v>
      </c>
      <c r="M633" s="76">
        <f t="shared" ca="1" si="820"/>
        <v>0.25347808785320641</v>
      </c>
      <c r="N633" s="45">
        <f t="shared" ca="1" si="820"/>
        <v>0.25</v>
      </c>
      <c r="O633" s="45">
        <f t="shared" ca="1" si="820"/>
        <v>0</v>
      </c>
      <c r="P633" s="46" t="str">
        <f t="shared" ca="1" si="820"/>
        <v/>
      </c>
      <c r="Q633" s="243" t="str">
        <f t="shared" ca="1" si="820"/>
        <v/>
      </c>
      <c r="R633" s="45">
        <f t="shared" ca="1" si="776"/>
        <v>0.29064797954311594</v>
      </c>
      <c r="S633" s="45">
        <f t="shared" ca="1" si="800"/>
        <v>5.0695617570641283E-2</v>
      </c>
      <c r="T633" s="77">
        <f t="shared" ca="1" si="761"/>
        <v>1.1278666868164679E-2</v>
      </c>
      <c r="U633" s="45">
        <f t="shared" ca="1" si="777"/>
        <v>18.122642954651116</v>
      </c>
      <c r="V633" s="45">
        <f t="shared" ca="1" si="762"/>
        <v>0.20278247028256513</v>
      </c>
      <c r="W633" s="77">
        <f t="shared" ca="1" si="763"/>
        <v>2.1505096990299181E-2</v>
      </c>
      <c r="X633" s="45">
        <f t="shared" ca="1" si="778"/>
        <v>1.0396953204629469</v>
      </c>
      <c r="Y633" s="45">
        <f t="shared" ca="1" si="764"/>
        <v>3.1828989837191686E-3</v>
      </c>
      <c r="Z633" s="77">
        <f t="shared" ca="1" si="765"/>
        <v>2.7123101205998703E-3</v>
      </c>
      <c r="AA633" s="45">
        <f t="shared" ca="1" si="779"/>
        <v>39.16125890184874</v>
      </c>
      <c r="AB633" s="45">
        <f t="shared" ca="1" si="766"/>
        <v>0</v>
      </c>
      <c r="AC633" s="45" cm="1">
        <f t="array" aca="1" ref="AC633" ca="1">pHUM*(T633+W633+Z633+AD633)</f>
        <v>3.7445870396696102E-3</v>
      </c>
      <c r="AD633" s="77">
        <f t="shared" ca="1" si="767"/>
        <v>3.099744313108221E-3</v>
      </c>
      <c r="AE633" s="45">
        <f t="shared" ca="1" si="780"/>
        <v>6.3847072090583081</v>
      </c>
      <c r="AF633" s="45">
        <f t="shared" ca="1" si="768"/>
        <v>0</v>
      </c>
      <c r="AG633" s="76">
        <f t="shared" ca="1" si="769"/>
        <v>64.998952365564222</v>
      </c>
      <c r="AH633" s="45">
        <f t="shared" ca="1" si="770"/>
        <v>3.1668332268783184E-2</v>
      </c>
      <c r="AI633" s="77">
        <f t="shared" ca="1" si="771"/>
        <v>1.3950955587059263E-2</v>
      </c>
      <c r="AJ633" s="384">
        <f t="shared" ca="1" si="773"/>
        <v>1.4859073103861142E-2</v>
      </c>
      <c r="AU633" s="1"/>
    </row>
    <row r="634" spans="3:47" x14ac:dyDescent="0.25">
      <c r="C634" s="10">
        <f t="shared" si="798"/>
        <v>45</v>
      </c>
      <c r="D634" s="91">
        <f t="shared" si="781"/>
        <v>4</v>
      </c>
      <c r="E634" s="278"/>
      <c r="F634" s="76">
        <f t="shared" ref="F634:Q634" ca="1" si="821">F562</f>
        <v>6.18</v>
      </c>
      <c r="G634" s="46">
        <f t="shared" ca="1" si="821"/>
        <v>27.012600000000003</v>
      </c>
      <c r="H634" s="46">
        <f t="shared" ca="1" si="757"/>
        <v>28.517550000000004</v>
      </c>
      <c r="I634" s="45">
        <f t="shared" ca="1" si="758"/>
        <v>0.26773980091806004</v>
      </c>
      <c r="J634" s="45">
        <f t="shared" ca="1" si="759"/>
        <v>0.27952512346894071</v>
      </c>
      <c r="K634" s="45">
        <f t="shared" ca="1" si="775"/>
        <v>0.90345467800480783</v>
      </c>
      <c r="L634" s="358">
        <f t="shared" ca="1" si="760"/>
        <v>0.58750950384279488</v>
      </c>
      <c r="M634" s="76">
        <f t="shared" ca="1" si="821"/>
        <v>0.25347808785320641</v>
      </c>
      <c r="N634" s="45">
        <f t="shared" ca="1" si="821"/>
        <v>0.25</v>
      </c>
      <c r="O634" s="45">
        <f t="shared" ca="1" si="821"/>
        <v>0</v>
      </c>
      <c r="P634" s="46" t="str">
        <f t="shared" ca="1" si="821"/>
        <v/>
      </c>
      <c r="Q634" s="243" t="str">
        <f t="shared" ca="1" si="821"/>
        <v/>
      </c>
      <c r="R634" s="45">
        <f t="shared" ca="1" si="776"/>
        <v>0.33006493024559252</v>
      </c>
      <c r="S634" s="45">
        <f t="shared" ca="1" si="800"/>
        <v>5.0695617570641283E-2</v>
      </c>
      <c r="T634" s="77">
        <f t="shared" ca="1" si="761"/>
        <v>6.6005843202412762E-2</v>
      </c>
      <c r="U634" s="45">
        <f t="shared" ca="1" si="777"/>
        <v>18.303920327943381</v>
      </c>
      <c r="V634" s="45">
        <f t="shared" ca="1" si="762"/>
        <v>0.20278247028256513</v>
      </c>
      <c r="W634" s="77">
        <f t="shared" ca="1" si="763"/>
        <v>0.1221080788076276</v>
      </c>
      <c r="X634" s="45">
        <f t="shared" ca="1" si="778"/>
        <v>1.0401659093260662</v>
      </c>
      <c r="Y634" s="45">
        <f t="shared" ca="1" si="764"/>
        <v>1.8208013805434235E-2</v>
      </c>
      <c r="Z634" s="77">
        <f t="shared" ca="1" si="765"/>
        <v>1.5204933421209632E-2</v>
      </c>
      <c r="AA634" s="45">
        <f t="shared" ca="1" si="779"/>
        <v>39.161903744575298</v>
      </c>
      <c r="AB634" s="45">
        <f t="shared" ca="1" si="766"/>
        <v>0</v>
      </c>
      <c r="AC634" s="45" cm="1">
        <f t="array" aca="1" ref="AC634" ca="1">pHUM*(T634+W634+Z634+AD634)</f>
        <v>2.142119271227557E-2</v>
      </c>
      <c r="AD634" s="77">
        <f t="shared" ca="1" si="767"/>
        <v>1.7471435398131566E-2</v>
      </c>
      <c r="AE634" s="45">
        <f t="shared" ca="1" si="780"/>
        <v>6.3847072090583081</v>
      </c>
      <c r="AF634" s="45">
        <f t="shared" ca="1" si="768"/>
        <v>0</v>
      </c>
      <c r="AG634" s="76">
        <f t="shared" ca="1" si="769"/>
        <v>65.220762121148638</v>
      </c>
      <c r="AH634" s="45">
        <f t="shared" ca="1" si="770"/>
        <v>0.18116108431167174</v>
      </c>
      <c r="AI634" s="77">
        <f t="shared" ca="1" si="771"/>
        <v>1.4534133578491875E-2</v>
      </c>
      <c r="AJ634" s="384">
        <f t="shared" ca="1" si="773"/>
        <v>2.7230107552386196E-2</v>
      </c>
      <c r="AU634" s="1"/>
    </row>
    <row r="635" spans="3:47" x14ac:dyDescent="0.25">
      <c r="C635" s="10">
        <f t="shared" si="798"/>
        <v>45</v>
      </c>
      <c r="D635" s="91">
        <f t="shared" si="781"/>
        <v>5</v>
      </c>
      <c r="E635" s="278"/>
      <c r="F635" s="76">
        <f t="shared" ref="F635:Q635" ca="1" si="822">F563</f>
        <v>13.58</v>
      </c>
      <c r="G635" s="46">
        <f t="shared" ca="1" si="822"/>
        <v>27.012600000000003</v>
      </c>
      <c r="H635" s="46">
        <f t="shared" ca="1" si="757"/>
        <v>28.517550000000004</v>
      </c>
      <c r="I635" s="45">
        <f t="shared" ca="1" si="758"/>
        <v>0.71743035359667851</v>
      </c>
      <c r="J635" s="45">
        <f t="shared" ca="1" si="759"/>
        <v>0.27952512346894071</v>
      </c>
      <c r="K635" s="45">
        <f t="shared" ca="1" si="775"/>
        <v>0.90345467800480783</v>
      </c>
      <c r="L635" s="358">
        <f t="shared" ca="1" si="760"/>
        <v>0.81042644426030708</v>
      </c>
      <c r="M635" s="76">
        <f t="shared" ca="1" si="822"/>
        <v>0.25347808785320641</v>
      </c>
      <c r="N635" s="45">
        <f t="shared" ca="1" si="822"/>
        <v>0.25</v>
      </c>
      <c r="O635" s="45">
        <f t="shared" ca="1" si="822"/>
        <v>0</v>
      </c>
      <c r="P635" s="46" t="str">
        <f t="shared" ca="1" si="822"/>
        <v/>
      </c>
      <c r="Q635" s="243" t="str">
        <f t="shared" ca="1" si="822"/>
        <v/>
      </c>
      <c r="R635" s="45">
        <f t="shared" ca="1" si="776"/>
        <v>0.31475470461382105</v>
      </c>
      <c r="S635" s="45">
        <f t="shared" ca="1" si="800"/>
        <v>5.0695617570641283E-2</v>
      </c>
      <c r="T635" s="77">
        <f t="shared" ca="1" si="761"/>
        <v>0.14164336103755834</v>
      </c>
      <c r="U635" s="45">
        <f t="shared" ca="1" si="777"/>
        <v>18.384594719418317</v>
      </c>
      <c r="V635" s="45">
        <f t="shared" ca="1" si="762"/>
        <v>0.20278247028256513</v>
      </c>
      <c r="W635" s="77">
        <f t="shared" ca="1" si="763"/>
        <v>0.32680217402459877</v>
      </c>
      <c r="X635" s="45">
        <f t="shared" ca="1" si="778"/>
        <v>1.0431689897102907</v>
      </c>
      <c r="Y635" s="45">
        <f t="shared" ca="1" si="764"/>
        <v>4.5819691953978801E-2</v>
      </c>
      <c r="Z635" s="77">
        <f t="shared" ca="1" si="765"/>
        <v>4.0360537196479015E-2</v>
      </c>
      <c r="AA635" s="45">
        <f t="shared" ca="1" si="779"/>
        <v>39.165853501889444</v>
      </c>
      <c r="AB635" s="45">
        <f t="shared" ca="1" si="766"/>
        <v>0</v>
      </c>
      <c r="AC635" s="45" cm="1">
        <f t="array" aca="1" ref="AC635" ca="1">pHUM*(T635+W635+Z635+AD635)</f>
        <v>5.3905519945857412E-2</v>
      </c>
      <c r="AD635" s="77">
        <f t="shared" ca="1" si="767"/>
        <v>4.6803299545132009E-2</v>
      </c>
      <c r="AE635" s="45">
        <f t="shared" ca="1" si="780"/>
        <v>6.3847072090583081</v>
      </c>
      <c r="AF635" s="45">
        <f t="shared" ca="1" si="768"/>
        <v>0</v>
      </c>
      <c r="AG635" s="76">
        <f t="shared" ca="1" si="769"/>
        <v>65.29307912469018</v>
      </c>
      <c r="AH635" s="45">
        <f t="shared" ca="1" si="770"/>
        <v>0.45588415990393194</v>
      </c>
      <c r="AI635" s="77">
        <f t="shared" ca="1" si="771"/>
        <v>1.4336861546783732E-2</v>
      </c>
      <c r="AJ635" s="384">
        <f t="shared" ca="1" si="773"/>
        <v>3.7051772056893029E-2</v>
      </c>
      <c r="AU635" s="1"/>
    </row>
    <row r="636" spans="3:47" x14ac:dyDescent="0.25">
      <c r="C636" s="10">
        <f t="shared" si="798"/>
        <v>45</v>
      </c>
      <c r="D636" s="91">
        <f t="shared" si="781"/>
        <v>6</v>
      </c>
      <c r="E636" s="278"/>
      <c r="F636" s="76">
        <f t="shared" ref="F636:Q636" ca="1" si="823">F564</f>
        <v>18.37</v>
      </c>
      <c r="G636" s="46">
        <f t="shared" ca="1" si="823"/>
        <v>27.012600000000003</v>
      </c>
      <c r="H636" s="46">
        <f t="shared" ca="1" si="757"/>
        <v>28.517550000000004</v>
      </c>
      <c r="I636" s="45">
        <f t="shared" ca="1" si="758"/>
        <v>1.0882596087882719</v>
      </c>
      <c r="J636" s="45">
        <f t="shared" ca="1" si="759"/>
        <v>0.27952512346894071</v>
      </c>
      <c r="K636" s="45">
        <f t="shared" ca="1" si="775"/>
        <v>0.90345467800480783</v>
      </c>
      <c r="L636" s="358">
        <f t="shared" ca="1" si="760"/>
        <v>0.89586760620832129</v>
      </c>
      <c r="M636" s="76">
        <f t="shared" ca="1" si="823"/>
        <v>0.25347808785320641</v>
      </c>
      <c r="N636" s="45">
        <f t="shared" ca="1" si="823"/>
        <v>0.25</v>
      </c>
      <c r="O636" s="45">
        <f t="shared" ca="1" si="823"/>
        <v>0</v>
      </c>
      <c r="P636" s="46" t="str">
        <f t="shared" ca="1" si="823"/>
        <v/>
      </c>
      <c r="Q636" s="243" t="str">
        <f t="shared" ca="1" si="823"/>
        <v/>
      </c>
      <c r="R636" s="45">
        <f t="shared" ca="1" si="776"/>
        <v>0.22380696114690399</v>
      </c>
      <c r="S636" s="45">
        <f t="shared" ca="1" si="800"/>
        <v>5.0695617570641283E-2</v>
      </c>
      <c r="T636" s="77">
        <f t="shared" ca="1" si="761"/>
        <v>0.1334379969187959</v>
      </c>
      <c r="U636" s="45">
        <f t="shared" ca="1" si="777"/>
        <v>18.260575015676281</v>
      </c>
      <c r="V636" s="45">
        <f t="shared" ca="1" si="762"/>
        <v>0.20278247028256513</v>
      </c>
      <c r="W636" s="77">
        <f t="shared" ca="1" si="763"/>
        <v>0.49010885380790531</v>
      </c>
      <c r="X636" s="45">
        <f t="shared" ca="1" si="778"/>
        <v>1.0486281444677905</v>
      </c>
      <c r="Y636" s="45">
        <f t="shared" ca="1" si="764"/>
        <v>6.2300573150098112E-2</v>
      </c>
      <c r="Z636" s="77">
        <f t="shared" ca="1" si="765"/>
        <v>6.0923429747066146E-2</v>
      </c>
      <c r="AA636" s="45">
        <f t="shared" ca="1" si="779"/>
        <v>39.172955722290169</v>
      </c>
      <c r="AB636" s="45">
        <f t="shared" ca="1" si="766"/>
        <v>0</v>
      </c>
      <c r="AC636" s="45" cm="1">
        <f t="array" aca="1" ref="AC636" ca="1">pHUM*(T636+W636+Z636+AD636)</f>
        <v>7.3294791941291904E-2</v>
      </c>
      <c r="AD636" s="77">
        <f t="shared" ca="1" si="767"/>
        <v>7.0986180161274226E-2</v>
      </c>
      <c r="AE636" s="45">
        <f t="shared" ca="1" si="780"/>
        <v>6.3847072090583081</v>
      </c>
      <c r="AF636" s="45">
        <f t="shared" ca="1" si="768"/>
        <v>0</v>
      </c>
      <c r="AG636" s="76">
        <f t="shared" ca="1" si="769"/>
        <v>65.090673052639445</v>
      </c>
      <c r="AH636" s="45">
        <f t="shared" ca="1" si="770"/>
        <v>0.61986109554365165</v>
      </c>
      <c r="AI636" s="77">
        <f t="shared" ca="1" si="771"/>
        <v>1.3047787781423424E-2</v>
      </c>
      <c r="AJ636" s="384">
        <f t="shared" ca="1" si="773"/>
        <v>3.7275365854931852E-2</v>
      </c>
      <c r="AU636" s="1"/>
    </row>
    <row r="637" spans="3:47" x14ac:dyDescent="0.25">
      <c r="C637" s="10">
        <f t="shared" si="798"/>
        <v>45</v>
      </c>
      <c r="D637" s="91">
        <f t="shared" si="781"/>
        <v>7</v>
      </c>
      <c r="E637" s="278"/>
      <c r="F637" s="76">
        <f t="shared" ref="F637:Q637" ca="1" si="824">F565</f>
        <v>22.71</v>
      </c>
      <c r="G637" s="46">
        <f t="shared" ca="1" si="824"/>
        <v>27.012600000000003</v>
      </c>
      <c r="H637" s="46">
        <f t="shared" ca="1" si="757"/>
        <v>28.517550000000004</v>
      </c>
      <c r="I637" s="45">
        <f t="shared" ca="1" si="758"/>
        <v>1.4513708414333564</v>
      </c>
      <c r="J637" s="45">
        <f t="shared" ca="1" si="759"/>
        <v>0.27952512346894071</v>
      </c>
      <c r="K637" s="45">
        <f t="shared" ca="1" si="775"/>
        <v>0.90345467800480783</v>
      </c>
      <c r="L637" s="358">
        <f t="shared" ca="1" si="760"/>
        <v>0.94004721434733285</v>
      </c>
      <c r="M637" s="76">
        <f t="shared" ca="1" si="824"/>
        <v>0.25347808785320641</v>
      </c>
      <c r="N637" s="45">
        <f t="shared" ca="1" si="824"/>
        <v>0.25</v>
      </c>
      <c r="O637" s="45">
        <f t="shared" ca="1" si="824"/>
        <v>0</v>
      </c>
      <c r="P637" s="46" t="str">
        <f t="shared" ca="1" si="824"/>
        <v/>
      </c>
      <c r="Q637" s="243" t="str">
        <f t="shared" ca="1" si="824"/>
        <v/>
      </c>
      <c r="R637" s="45">
        <f t="shared" ca="1" si="776"/>
        <v>0.14106458179874934</v>
      </c>
      <c r="S637" s="45">
        <f t="shared" ca="1" si="800"/>
        <v>5.0695617570641283E-2</v>
      </c>
      <c r="T637" s="77">
        <f t="shared" ca="1" si="761"/>
        <v>9.8977446831495092E-2</v>
      </c>
      <c r="U637" s="45">
        <f t="shared" ca="1" si="777"/>
        <v>17.973248632150941</v>
      </c>
      <c r="V637" s="45">
        <f t="shared" ca="1" si="762"/>
        <v>0.20278247028256513</v>
      </c>
      <c r="W637" s="77">
        <f t="shared" ca="1" si="763"/>
        <v>0.64045670789992992</v>
      </c>
      <c r="X637" s="45">
        <f t="shared" ca="1" si="778"/>
        <v>1.0500052878708224</v>
      </c>
      <c r="Y637" s="45">
        <f t="shared" ca="1" si="764"/>
        <v>7.5428173603947241E-2</v>
      </c>
      <c r="Z637" s="77">
        <f t="shared" ca="1" si="765"/>
        <v>8.0558988690186781E-2</v>
      </c>
      <c r="AA637" s="45">
        <f t="shared" ca="1" si="779"/>
        <v>39.175264334070185</v>
      </c>
      <c r="AB637" s="45">
        <f t="shared" ca="1" si="766"/>
        <v>0</v>
      </c>
      <c r="AC637" s="45" cm="1">
        <f t="array" aca="1" ref="AC637" ca="1">pHUM*(T637+W637+Z637+AD637)</f>
        <v>8.8739027769349707E-2</v>
      </c>
      <c r="AD637" s="77">
        <f t="shared" ca="1" si="767"/>
        <v>9.4648539339756435E-2</v>
      </c>
      <c r="AE637" s="45">
        <f t="shared" ca="1" si="780"/>
        <v>6.3847072090583081</v>
      </c>
      <c r="AF637" s="45">
        <f t="shared" ca="1" si="768"/>
        <v>0</v>
      </c>
      <c r="AG637" s="76">
        <f t="shared" ca="1" si="769"/>
        <v>64.724290044949001</v>
      </c>
      <c r="AH637" s="45">
        <f t="shared" ca="1" si="770"/>
        <v>0.75047448138807138</v>
      </c>
      <c r="AI637" s="77">
        <f t="shared" ca="1" si="771"/>
        <v>1.1826060429100255E-2</v>
      </c>
      <c r="AJ637" s="384">
        <f t="shared" ca="1" si="773"/>
        <v>3.5451262432475428E-2</v>
      </c>
      <c r="AU637" s="1"/>
    </row>
    <row r="638" spans="3:47" x14ac:dyDescent="0.25">
      <c r="C638" s="10">
        <f t="shared" si="798"/>
        <v>45</v>
      </c>
      <c r="D638" s="91">
        <f t="shared" si="781"/>
        <v>8</v>
      </c>
      <c r="E638" s="278"/>
      <c r="F638" s="76">
        <f t="shared" ref="F638:Q638" ca="1" si="825">F566</f>
        <v>19.329999999999998</v>
      </c>
      <c r="G638" s="46">
        <f t="shared" ca="1" si="825"/>
        <v>27.012600000000003</v>
      </c>
      <c r="H638" s="46">
        <f t="shared" ca="1" si="757"/>
        <v>28.517550000000004</v>
      </c>
      <c r="I638" s="45">
        <f t="shared" ca="1" si="758"/>
        <v>1.1670427279291871</v>
      </c>
      <c r="J638" s="45">
        <f t="shared" ca="1" si="759"/>
        <v>0.27952512346894071</v>
      </c>
      <c r="K638" s="45">
        <f t="shared" ca="1" si="775"/>
        <v>0.90345467800480783</v>
      </c>
      <c r="L638" s="358">
        <f t="shared" ca="1" si="760"/>
        <v>0.9079689727892073</v>
      </c>
      <c r="M638" s="76">
        <f t="shared" ca="1" si="825"/>
        <v>0.25347808785320641</v>
      </c>
      <c r="N638" s="45">
        <f t="shared" ca="1" si="825"/>
        <v>0.25</v>
      </c>
      <c r="O638" s="45">
        <f t="shared" ca="1" si="825"/>
        <v>0</v>
      </c>
      <c r="P638" s="46" t="str">
        <f t="shared" ca="1" si="825"/>
        <v/>
      </c>
      <c r="Q638" s="243" t="str">
        <f t="shared" ca="1" si="825"/>
        <v/>
      </c>
      <c r="R638" s="45">
        <f t="shared" ca="1" si="776"/>
        <v>9.278275253789553E-2</v>
      </c>
      <c r="S638" s="45">
        <f t="shared" ca="1" si="800"/>
        <v>5.0695617570641283E-2</v>
      </c>
      <c r="T638" s="77">
        <f t="shared" ca="1" si="761"/>
        <v>5.7699455138857644E-2</v>
      </c>
      <c r="U638" s="45">
        <f t="shared" ca="1" si="777"/>
        <v>17.535574394533576</v>
      </c>
      <c r="V638" s="45">
        <f t="shared" ca="1" si="762"/>
        <v>0.20278247028256513</v>
      </c>
      <c r="W638" s="77">
        <f t="shared" ca="1" si="763"/>
        <v>0.50422765633972078</v>
      </c>
      <c r="X638" s="45">
        <f t="shared" ca="1" si="778"/>
        <v>1.0448744727845829</v>
      </c>
      <c r="Y638" s="45">
        <f t="shared" ca="1" si="764"/>
        <v>5.797469207236422E-2</v>
      </c>
      <c r="Z638" s="77">
        <f t="shared" ca="1" si="765"/>
        <v>6.4960597529098371E-2</v>
      </c>
      <c r="AA638" s="45">
        <f t="shared" ca="1" si="779"/>
        <v>39.169354822499777</v>
      </c>
      <c r="AB638" s="45">
        <f t="shared" ca="1" si="766"/>
        <v>0</v>
      </c>
      <c r="AC638" s="45" cm="1">
        <f t="array" aca="1" ref="AC638" ca="1">pHUM*(T638+W638+Z638+AD638)</f>
        <v>6.8205520085134377E-2</v>
      </c>
      <c r="AD638" s="77">
        <f t="shared" ca="1" si="767"/>
        <v>7.6113137772265027E-2</v>
      </c>
      <c r="AE638" s="45">
        <f t="shared" ca="1" si="780"/>
        <v>6.3847072090583081</v>
      </c>
      <c r="AF638" s="45">
        <f t="shared" ca="1" si="768"/>
        <v>0</v>
      </c>
      <c r="AG638" s="76">
        <f t="shared" ca="1" si="769"/>
        <v>64.227293651414143</v>
      </c>
      <c r="AH638" s="45">
        <f t="shared" ca="1" si="770"/>
        <v>0.57682063462244326</v>
      </c>
      <c r="AI638" s="77">
        <f t="shared" ca="1" si="771"/>
        <v>1.1037865241183602E-2</v>
      </c>
      <c r="AJ638" s="384">
        <f t="shared" ca="1" si="773"/>
        <v>3.195946280598716E-2</v>
      </c>
      <c r="AU638" s="1"/>
    </row>
    <row r="639" spans="3:47" x14ac:dyDescent="0.25">
      <c r="C639" s="10">
        <f t="shared" si="798"/>
        <v>45</v>
      </c>
      <c r="D639" s="91">
        <f t="shared" si="781"/>
        <v>9</v>
      </c>
      <c r="E639" s="278"/>
      <c r="F639" s="76">
        <f t="shared" ref="F639:Q639" ca="1" si="826">F567</f>
        <v>15.36</v>
      </c>
      <c r="G639" s="46">
        <f t="shared" ca="1" si="826"/>
        <v>27.012600000000003</v>
      </c>
      <c r="H639" s="46">
        <f t="shared" ca="1" si="757"/>
        <v>28.517550000000004</v>
      </c>
      <c r="I639" s="45">
        <f t="shared" ca="1" si="758"/>
        <v>0.85004563012661705</v>
      </c>
      <c r="J639" s="45">
        <f t="shared" ca="1" si="759"/>
        <v>0.27952512346894071</v>
      </c>
      <c r="K639" s="45">
        <f t="shared" ca="1" si="775"/>
        <v>0.90345467800480783</v>
      </c>
      <c r="L639" s="358">
        <f t="shared" ca="1" si="760"/>
        <v>0.84745728919304408</v>
      </c>
      <c r="M639" s="76">
        <f t="shared" ca="1" si="826"/>
        <v>0.25347808785320641</v>
      </c>
      <c r="N639" s="45">
        <f t="shared" ca="1" si="826"/>
        <v>0.25</v>
      </c>
      <c r="O639" s="45">
        <f t="shared" ca="1" si="826"/>
        <v>0</v>
      </c>
      <c r="P639" s="46" t="str">
        <f t="shared" ca="1" si="826"/>
        <v/>
      </c>
      <c r="Q639" s="243" t="str">
        <f t="shared" ca="1" si="826"/>
        <v/>
      </c>
      <c r="R639" s="45">
        <f t="shared" ca="1" si="776"/>
        <v>8.5778914969679168E-2</v>
      </c>
      <c r="S639" s="45">
        <f t="shared" ca="1" si="800"/>
        <v>5.0695617570641283E-2</v>
      </c>
      <c r="T639" s="77">
        <f t="shared" ca="1" si="761"/>
        <v>4.3537468977546526E-2</v>
      </c>
      <c r="U639" s="45">
        <f t="shared" ca="1" si="777"/>
        <v>17.234129208476418</v>
      </c>
      <c r="V639" s="45">
        <f t="shared" ca="1" si="762"/>
        <v>0.20278247028256513</v>
      </c>
      <c r="W639" s="77">
        <f t="shared" ca="1" si="763"/>
        <v>0.36238076541635289</v>
      </c>
      <c r="X639" s="45">
        <f t="shared" ca="1" si="778"/>
        <v>1.0378885673278488</v>
      </c>
      <c r="Y639" s="45">
        <f t="shared" ca="1" si="764"/>
        <v>4.1956779000642361E-2</v>
      </c>
      <c r="Z639" s="77">
        <f t="shared" ca="1" si="765"/>
        <v>4.7407060861138287E-2</v>
      </c>
      <c r="AA639" s="45">
        <f t="shared" ca="1" si="779"/>
        <v>39.161447204812646</v>
      </c>
      <c r="AB639" s="45">
        <f t="shared" ca="1" si="766"/>
        <v>0</v>
      </c>
      <c r="AC639" s="45" cm="1">
        <f t="array" aca="1" ref="AC639" ca="1">pHUM*(T639+W639+Z639+AD639)</f>
        <v>4.9360916471343955E-2</v>
      </c>
      <c r="AD639" s="77">
        <f t="shared" ca="1" si="767"/>
        <v>5.5442412019610317E-2</v>
      </c>
      <c r="AE639" s="45">
        <f t="shared" ca="1" si="780"/>
        <v>6.3847072090583081</v>
      </c>
      <c r="AF639" s="45">
        <f t="shared" ca="1" si="768"/>
        <v>0</v>
      </c>
      <c r="AG639" s="76">
        <f t="shared" ca="1" si="769"/>
        <v>63.903951104644896</v>
      </c>
      <c r="AH639" s="45">
        <f t="shared" ca="1" si="770"/>
        <v>0.41745001180266178</v>
      </c>
      <c r="AI639" s="77">
        <f t="shared" ca="1" si="771"/>
        <v>1.0860514967217103E-2</v>
      </c>
      <c r="AJ639" s="384">
        <f t="shared" ca="1" si="773"/>
        <v>2.9350309297571098E-2</v>
      </c>
      <c r="AU639" s="1"/>
    </row>
    <row r="640" spans="3:47" x14ac:dyDescent="0.25">
      <c r="C640" s="10">
        <f t="shared" si="798"/>
        <v>45</v>
      </c>
      <c r="D640" s="91">
        <f t="shared" si="781"/>
        <v>10</v>
      </c>
      <c r="E640" s="278"/>
      <c r="F640" s="76">
        <f t="shared" ref="F640:Q640" ca="1" si="827">F568</f>
        <v>10.24</v>
      </c>
      <c r="G640" s="46">
        <f t="shared" ca="1" si="827"/>
        <v>27.012600000000003</v>
      </c>
      <c r="H640" s="46">
        <f t="shared" ca="1" si="757"/>
        <v>28.517550000000004</v>
      </c>
      <c r="I640" s="45">
        <f t="shared" ca="1" si="758"/>
        <v>0.49116850915432075</v>
      </c>
      <c r="J640" s="45">
        <f t="shared" ca="1" si="759"/>
        <v>0.27952512346894071</v>
      </c>
      <c r="K640" s="45">
        <f t="shared" ca="1" si="775"/>
        <v>0.90345467800480783</v>
      </c>
      <c r="L640" s="358">
        <f t="shared" ca="1" si="760"/>
        <v>0.72269796343841763</v>
      </c>
      <c r="M640" s="76">
        <f t="shared" ca="1" si="827"/>
        <v>0.25347808785320641</v>
      </c>
      <c r="N640" s="45">
        <f t="shared" ca="1" si="827"/>
        <v>0.25</v>
      </c>
      <c r="O640" s="45">
        <f t="shared" ca="1" si="827"/>
        <v>0</v>
      </c>
      <c r="P640" s="46" t="str">
        <f t="shared" ca="1" si="827"/>
        <v/>
      </c>
      <c r="Q640" s="243" t="str">
        <f t="shared" ca="1" si="827"/>
        <v/>
      </c>
      <c r="R640" s="45">
        <f t="shared" ca="1" si="776"/>
        <v>9.2937063562773911E-2</v>
      </c>
      <c r="S640" s="45">
        <f t="shared" ca="1" si="800"/>
        <v>5.0695617570641283E-2</v>
      </c>
      <c r="T640" s="77">
        <f t="shared" ca="1" si="761"/>
        <v>3.1216606232968552E-2</v>
      </c>
      <c r="U640" s="45">
        <f t="shared" ca="1" si="777"/>
        <v>17.074530913342628</v>
      </c>
      <c r="V640" s="45">
        <f t="shared" ca="1" si="762"/>
        <v>0.20278247028256513</v>
      </c>
      <c r="W640" s="77">
        <f t="shared" ca="1" si="763"/>
        <v>0.20837980905899051</v>
      </c>
      <c r="X640" s="45">
        <f t="shared" ca="1" si="778"/>
        <v>1.0324382854673528</v>
      </c>
      <c r="Y640" s="45">
        <f t="shared" ca="1" si="764"/>
        <v>2.4670440706159535E-2</v>
      </c>
      <c r="Z640" s="77">
        <f t="shared" ca="1" si="765"/>
        <v>2.7517212447256603E-2</v>
      </c>
      <c r="AA640" s="45">
        <f t="shared" ca="1" si="779"/>
        <v>39.15536570926438</v>
      </c>
      <c r="AB640" s="45">
        <f t="shared" ca="1" si="766"/>
        <v>0</v>
      </c>
      <c r="AC640" s="45" cm="1">
        <f t="array" aca="1" ref="AC640" ca="1">pHUM*(T640+W640+Z640+AD640)</f>
        <v>2.9024047889599454E-2</v>
      </c>
      <c r="AD640" s="77">
        <f t="shared" ca="1" si="767"/>
        <v>3.2040021670710947E-2</v>
      </c>
      <c r="AE640" s="45">
        <f t="shared" ca="1" si="780"/>
        <v>6.3847072090583081</v>
      </c>
      <c r="AF640" s="45">
        <f t="shared" ca="1" si="768"/>
        <v>0</v>
      </c>
      <c r="AG640" s="76">
        <f t="shared" ca="1" si="769"/>
        <v>63.739979180695443</v>
      </c>
      <c r="AH640" s="45">
        <f t="shared" ca="1" si="770"/>
        <v>0.24545916081416766</v>
      </c>
      <c r="AI640" s="77">
        <f t="shared" ca="1" si="771"/>
        <v>1.0920598104072485E-2</v>
      </c>
      <c r="AJ640" s="384">
        <f t="shared" ca="1" si="773"/>
        <v>2.5168041037864075E-2</v>
      </c>
      <c r="AU640" s="1"/>
    </row>
    <row r="641" spans="3:47" x14ac:dyDescent="0.25">
      <c r="C641" s="10">
        <f t="shared" si="798"/>
        <v>45</v>
      </c>
      <c r="D641" s="91">
        <f t="shared" si="781"/>
        <v>11</v>
      </c>
      <c r="E641" s="278"/>
      <c r="F641" s="76">
        <f t="shared" ref="F641:Q641" ca="1" si="828">F569</f>
        <v>1.6</v>
      </c>
      <c r="G641" s="46">
        <f t="shared" ca="1" si="828"/>
        <v>27.012600000000003</v>
      </c>
      <c r="H641" s="46">
        <f t="shared" ca="1" si="757"/>
        <v>28.517550000000004</v>
      </c>
      <c r="I641" s="45">
        <f t="shared" ca="1" si="758"/>
        <v>9.9319080037688343E-2</v>
      </c>
      <c r="J641" s="45">
        <f t="shared" ca="1" si="759"/>
        <v>0.27952512346894071</v>
      </c>
      <c r="K641" s="45">
        <f t="shared" ca="1" si="775"/>
        <v>0.90345467800480783</v>
      </c>
      <c r="L641" s="358">
        <f t="shared" ca="1" si="760"/>
        <v>0.41844375967031366</v>
      </c>
      <c r="M641" s="76">
        <f t="shared" ca="1" si="828"/>
        <v>0.25347808785320641</v>
      </c>
      <c r="N641" s="45">
        <f t="shared" ca="1" si="828"/>
        <v>0.25</v>
      </c>
      <c r="O641" s="45">
        <f t="shared" ca="1" si="828"/>
        <v>0</v>
      </c>
      <c r="P641" s="46" t="str">
        <f t="shared" ca="1" si="828"/>
        <v/>
      </c>
      <c r="Q641" s="243" t="str">
        <f t="shared" ca="1" si="828"/>
        <v/>
      </c>
      <c r="R641" s="45">
        <f t="shared" ca="1" si="776"/>
        <v>0.11241607490044665</v>
      </c>
      <c r="S641" s="45">
        <f t="shared" ca="1" si="800"/>
        <v>5.0695617570641283E-2</v>
      </c>
      <c r="T641" s="77">
        <f t="shared" ca="1" si="761"/>
        <v>8.9295880519691829E-3</v>
      </c>
      <c r="U641" s="45">
        <f t="shared" ca="1" si="777"/>
        <v>17.068933574566202</v>
      </c>
      <c r="V641" s="45">
        <f t="shared" ca="1" si="762"/>
        <v>0.20278247028256513</v>
      </c>
      <c r="W641" s="77">
        <f t="shared" ca="1" si="763"/>
        <v>4.2329196538282682E-2</v>
      </c>
      <c r="X641" s="45">
        <f t="shared" ca="1" si="778"/>
        <v>1.0295915137262557</v>
      </c>
      <c r="Y641" s="45">
        <f t="shared" ca="1" si="764"/>
        <v>5.2241541012384724E-3</v>
      </c>
      <c r="Z641" s="77">
        <f t="shared" ca="1" si="765"/>
        <v>5.6088612198309769E-3</v>
      </c>
      <c r="AA641" s="45">
        <f t="shared" ca="1" si="779"/>
        <v>39.15234973548327</v>
      </c>
      <c r="AB641" s="45">
        <f t="shared" ca="1" si="766"/>
        <v>0</v>
      </c>
      <c r="AC641" s="45" cm="1">
        <f t="array" aca="1" ref="AC641" ca="1">pHUM*(T641+W641+Z641+AD641)</f>
        <v>6.1460636485158497E-3</v>
      </c>
      <c r="AD641" s="77">
        <f t="shared" ca="1" si="767"/>
        <v>6.4804225556001982E-3</v>
      </c>
      <c r="AE641" s="45">
        <f t="shared" ca="1" si="780"/>
        <v>6.3847072090583081</v>
      </c>
      <c r="AF641" s="45">
        <f t="shared" ca="1" si="768"/>
        <v>0</v>
      </c>
      <c r="AG641" s="76">
        <f t="shared" ca="1" si="769"/>
        <v>63.747998107734482</v>
      </c>
      <c r="AH641" s="45">
        <f t="shared" ca="1" si="770"/>
        <v>5.1977850615928731E-2</v>
      </c>
      <c r="AI641" s="77">
        <f t="shared" ca="1" si="771"/>
        <v>1.1196792255110419E-2</v>
      </c>
      <c r="AJ641" s="384">
        <f t="shared" ca="1" si="773"/>
        <v>1.4941048106493771E-2</v>
      </c>
      <c r="AU641" s="1"/>
    </row>
    <row r="642" spans="3:47" x14ac:dyDescent="0.25">
      <c r="C642" s="10">
        <f t="shared" si="798"/>
        <v>45</v>
      </c>
      <c r="D642" s="91">
        <f t="shared" si="781"/>
        <v>12</v>
      </c>
      <c r="E642" s="278"/>
      <c r="F642" s="76">
        <f t="shared" ref="F642:Q642" ca="1" si="829">F570</f>
        <v>-3.59</v>
      </c>
      <c r="G642" s="46">
        <f t="shared" ca="1" si="829"/>
        <v>27.012600000000003</v>
      </c>
      <c r="H642" s="46">
        <f t="shared" ca="1" si="757"/>
        <v>28.517550000000004</v>
      </c>
      <c r="I642" s="45">
        <f t="shared" ca="1" si="758"/>
        <v>1.5109209527995384E-2</v>
      </c>
      <c r="J642" s="45">
        <f t="shared" ca="1" si="759"/>
        <v>0.27952512346894071</v>
      </c>
      <c r="K642" s="45">
        <f t="shared" ca="1" si="775"/>
        <v>0.90345467800480783</v>
      </c>
      <c r="L642" s="358">
        <f t="shared" ca="1" si="760"/>
        <v>0.24908644075501707</v>
      </c>
      <c r="M642" s="76">
        <f t="shared" ca="1" si="829"/>
        <v>0.25347808785320641</v>
      </c>
      <c r="N642" s="45">
        <f t="shared" ca="1" si="829"/>
        <v>0.25</v>
      </c>
      <c r="O642" s="45">
        <f t="shared" ca="1" si="829"/>
        <v>0</v>
      </c>
      <c r="P642" s="46" t="str">
        <f t="shared" ca="1" si="829"/>
        <v/>
      </c>
      <c r="Q642" s="243" t="str">
        <f t="shared" ca="1" si="829"/>
        <v/>
      </c>
      <c r="R642" s="45">
        <f t="shared" ca="1" si="776"/>
        <v>0.15418210441911873</v>
      </c>
      <c r="S642" s="45">
        <f t="shared" ca="1" si="800"/>
        <v>5.0695617570641283E-2</v>
      </c>
      <c r="T642" s="77">
        <f t="shared" ca="1" si="761"/>
        <v>1.9291377207575763E-3</v>
      </c>
      <c r="U642" s="45">
        <f t="shared" ca="1" si="777"/>
        <v>17.229386848310483</v>
      </c>
      <c r="V642" s="45">
        <f t="shared" ca="1" si="762"/>
        <v>0.20278247028256513</v>
      </c>
      <c r="W642" s="77">
        <f t="shared" ca="1" si="763"/>
        <v>6.5068314073953989E-3</v>
      </c>
      <c r="X642" s="45">
        <f t="shared" ca="1" si="778"/>
        <v>1.0292068066076632</v>
      </c>
      <c r="Y642" s="45">
        <f t="shared" ca="1" si="764"/>
        <v>8.4750203056845356E-4</v>
      </c>
      <c r="Z642" s="77">
        <f t="shared" ca="1" si="765"/>
        <v>8.5492229867442583E-4</v>
      </c>
      <c r="AA642" s="45">
        <f t="shared" ca="1" si="779"/>
        <v>39.152015376576188</v>
      </c>
      <c r="AB642" s="45">
        <f t="shared" ca="1" si="766"/>
        <v>0</v>
      </c>
      <c r="AC642" s="45" cm="1">
        <f t="array" aca="1" ref="AC642" ca="1">pHUM*(T642+W642+Z642+AD642)</f>
        <v>9.9706121243347471E-4</v>
      </c>
      <c r="AD642" s="77">
        <f t="shared" ca="1" si="767"/>
        <v>9.8591425924109588E-4</v>
      </c>
      <c r="AE642" s="45">
        <f t="shared" ca="1" si="780"/>
        <v>6.3847072090583081</v>
      </c>
      <c r="AF642" s="45">
        <f t="shared" ca="1" si="768"/>
        <v>0</v>
      </c>
      <c r="AG642" s="76">
        <f t="shared" ca="1" si="769"/>
        <v>63.949498344971758</v>
      </c>
      <c r="AH642" s="45">
        <f t="shared" ca="1" si="770"/>
        <v>8.4322424430665708E-3</v>
      </c>
      <c r="AI642" s="77">
        <f t="shared" ca="1" si="771"/>
        <v>1.1831528927813046E-2</v>
      </c>
      <c r="AJ642" s="384">
        <f t="shared" ca="1" si="773"/>
        <v>9.398176048213136E-3</v>
      </c>
      <c r="AU642" s="1"/>
    </row>
    <row r="643" spans="3:47" x14ac:dyDescent="0.25">
      <c r="C643" s="10">
        <f t="shared" si="798"/>
        <v>46</v>
      </c>
      <c r="D643" s="91">
        <f t="shared" si="781"/>
        <v>1</v>
      </c>
      <c r="E643" s="278"/>
      <c r="F643" s="76">
        <f t="shared" ref="F643:Q643" ca="1" si="830">F571</f>
        <v>-7.32</v>
      </c>
      <c r="G643" s="46">
        <f t="shared" ca="1" si="830"/>
        <v>27.012600000000003</v>
      </c>
      <c r="H643" s="46">
        <f t="shared" ca="1" si="757"/>
        <v>28.517550000000004</v>
      </c>
      <c r="I643" s="45">
        <f t="shared" ca="1" si="758"/>
        <v>1.2903599790233234E-3</v>
      </c>
      <c r="J643" s="45">
        <f t="shared" ca="1" si="759"/>
        <v>0.27952512346894071</v>
      </c>
      <c r="K643" s="45">
        <f t="shared" ca="1" si="775"/>
        <v>0.90345467800480783</v>
      </c>
      <c r="L643" s="358">
        <f t="shared" ca="1" si="760"/>
        <v>0.15974615302556239</v>
      </c>
      <c r="M643" s="76">
        <f t="shared" ca="1" si="830"/>
        <v>0.25347808785320641</v>
      </c>
      <c r="N643" s="45">
        <f t="shared" ca="1" si="830"/>
        <v>0.25</v>
      </c>
      <c r="O643" s="45">
        <f t="shared" ca="1" si="830"/>
        <v>0</v>
      </c>
      <c r="P643" s="46" t="str">
        <f t="shared" ca="1" si="830"/>
        <v/>
      </c>
      <c r="Q643" s="243" t="str">
        <f t="shared" ca="1" si="830"/>
        <v/>
      </c>
      <c r="R643" s="45">
        <f t="shared" ca="1" si="776"/>
        <v>0.20294858426900242</v>
      </c>
      <c r="S643" s="45">
        <f t="shared" ca="1" si="800"/>
        <v>5.0695617570641283E-2</v>
      </c>
      <c r="T643" s="77">
        <f t="shared" ca="1" si="761"/>
        <v>2.1811331947600471E-4</v>
      </c>
      <c r="U643" s="45">
        <f t="shared" ca="1" si="777"/>
        <v>17.425662487185651</v>
      </c>
      <c r="V643" s="45">
        <f t="shared" ca="1" si="762"/>
        <v>0.20278247028256513</v>
      </c>
      <c r="W643" s="77">
        <f t="shared" ca="1" si="763"/>
        <v>5.6212537018621048E-4</v>
      </c>
      <c r="X643" s="45">
        <f t="shared" ca="1" si="778"/>
        <v>1.0291993863395572</v>
      </c>
      <c r="Y643" s="45">
        <f t="shared" ca="1" si="764"/>
        <v>7.7311461874879711E-5</v>
      </c>
      <c r="Z643" s="77">
        <f t="shared" ca="1" si="765"/>
        <v>7.3039481591909557E-5</v>
      </c>
      <c r="AA643" s="45">
        <f t="shared" ca="1" si="779"/>
        <v>39.152026523529379</v>
      </c>
      <c r="AB643" s="45">
        <f t="shared" ca="1" si="766"/>
        <v>0</v>
      </c>
      <c r="AC643" s="45" cm="1">
        <f t="array" aca="1" ref="AC643" ca="1">pHUM*(T643+W643+Z643+AD643)</f>
        <v>9.0954661029270245E-5</v>
      </c>
      <c r="AD643" s="77">
        <f t="shared" ca="1" si="767"/>
        <v>8.4200256332790606E-5</v>
      </c>
      <c r="AE643" s="45">
        <f t="shared" ca="1" si="780"/>
        <v>6.3847072090583081</v>
      </c>
      <c r="AF643" s="45">
        <f t="shared" ca="1" si="768"/>
        <v>0</v>
      </c>
      <c r="AG643" s="76">
        <f t="shared" ca="1" si="769"/>
        <v>64.19454419038189</v>
      </c>
      <c r="AH643" s="45">
        <f t="shared" ca="1" si="770"/>
        <v>7.6921230468276547E-4</v>
      </c>
      <c r="AI643" s="77">
        <f t="shared" ca="1" si="771"/>
        <v>1.2569222888942747E-2</v>
      </c>
      <c r="AJ643" s="384">
        <f t="shared" ca="1" si="773"/>
        <v>6.4031353527438384E-3</v>
      </c>
      <c r="AU643" s="1"/>
    </row>
    <row r="644" spans="3:47" x14ac:dyDescent="0.25">
      <c r="C644" s="10">
        <f t="shared" si="798"/>
        <v>46</v>
      </c>
      <c r="D644" s="91">
        <f t="shared" si="781"/>
        <v>2</v>
      </c>
      <c r="E644" s="278"/>
      <c r="F644" s="76">
        <f t="shared" ref="F644:Q644" ca="1" si="831">F572</f>
        <v>-7.56</v>
      </c>
      <c r="G644" s="46">
        <f t="shared" ca="1" si="831"/>
        <v>27.012600000000003</v>
      </c>
      <c r="H644" s="46">
        <f t="shared" ca="1" si="757"/>
        <v>28.517550000000004</v>
      </c>
      <c r="I644" s="45">
        <f t="shared" ca="1" si="758"/>
        <v>1.0386103497602255E-3</v>
      </c>
      <c r="J644" s="45">
        <f t="shared" ca="1" si="759"/>
        <v>0.27952512346894071</v>
      </c>
      <c r="K644" s="45">
        <f t="shared" ca="1" si="775"/>
        <v>0.90345467800480783</v>
      </c>
      <c r="L644" s="358">
        <f t="shared" ca="1" si="760"/>
        <v>0.15499691161362872</v>
      </c>
      <c r="M644" s="76">
        <f t="shared" ca="1" si="831"/>
        <v>0.25347808785320641</v>
      </c>
      <c r="N644" s="45">
        <f t="shared" ca="1" si="831"/>
        <v>0.25</v>
      </c>
      <c r="O644" s="45">
        <f t="shared" ca="1" si="831"/>
        <v>0</v>
      </c>
      <c r="P644" s="46" t="str">
        <f t="shared" ca="1" si="831"/>
        <v/>
      </c>
      <c r="Q644" s="243" t="str">
        <f t="shared" ca="1" si="831"/>
        <v/>
      </c>
      <c r="R644" s="45">
        <f t="shared" ca="1" si="776"/>
        <v>0.25342608852016768</v>
      </c>
      <c r="S644" s="45">
        <f t="shared" ca="1" si="800"/>
        <v>5.0695617570641283E-2</v>
      </c>
      <c r="T644" s="77">
        <f t="shared" ca="1" si="761"/>
        <v>2.1924757134496564E-4</v>
      </c>
      <c r="U644" s="45">
        <f t="shared" ca="1" si="777"/>
        <v>17.627882832098027</v>
      </c>
      <c r="V644" s="45">
        <f t="shared" ca="1" si="762"/>
        <v>0.20278247028256513</v>
      </c>
      <c r="W644" s="77">
        <f t="shared" ca="1" si="763"/>
        <v>4.5770659658437001E-4</v>
      </c>
      <c r="X644" s="45">
        <f t="shared" ca="1" si="778"/>
        <v>1.0292036583198401</v>
      </c>
      <c r="Y644" s="45">
        <f t="shared" ca="1" si="764"/>
        <v>6.626400868335929E-5</v>
      </c>
      <c r="Z644" s="77">
        <f t="shared" ca="1" si="765"/>
        <v>5.8790107268434638E-5</v>
      </c>
      <c r="AA644" s="45">
        <f t="shared" ca="1" si="779"/>
        <v>39.152033277934073</v>
      </c>
      <c r="AB644" s="45">
        <f t="shared" ca="1" si="766"/>
        <v>0</v>
      </c>
      <c r="AC644" s="45" cm="1">
        <f t="array" aca="1" ref="AC644" ca="1">pHUM*(T644+W644+Z644+AD644)</f>
        <v>7.7957657274540349E-5</v>
      </c>
      <c r="AD644" s="77">
        <f t="shared" ca="1" si="767"/>
        <v>6.7772786303636461E-5</v>
      </c>
      <c r="AE644" s="45">
        <f t="shared" ca="1" si="780"/>
        <v>6.3847072090583081</v>
      </c>
      <c r="AF644" s="45">
        <f t="shared" ca="1" si="768"/>
        <v>0</v>
      </c>
      <c r="AG644" s="76">
        <f t="shared" ca="1" si="769"/>
        <v>64.447253065930411</v>
      </c>
      <c r="AH644" s="45">
        <f t="shared" ca="1" si="770"/>
        <v>6.5929539554350719E-4</v>
      </c>
      <c r="AI644" s="77">
        <f t="shared" ca="1" si="771"/>
        <v>1.332606168895986E-2</v>
      </c>
      <c r="AJ644" s="384">
        <f t="shared" ca="1" si="773"/>
        <v>6.5868630676457762E-3</v>
      </c>
      <c r="AU644" s="1"/>
    </row>
    <row r="645" spans="3:47" x14ac:dyDescent="0.25">
      <c r="C645" s="10">
        <f t="shared" si="798"/>
        <v>46</v>
      </c>
      <c r="D645" s="91">
        <f t="shared" si="781"/>
        <v>3</v>
      </c>
      <c r="E645" s="278"/>
      <c r="F645" s="76">
        <f t="shared" ref="F645:Q645" ca="1" si="832">F573</f>
        <v>-3.72</v>
      </c>
      <c r="G645" s="46">
        <f t="shared" ca="1" si="832"/>
        <v>27.012600000000003</v>
      </c>
      <c r="H645" s="46">
        <f t="shared" ca="1" si="757"/>
        <v>28.517550000000004</v>
      </c>
      <c r="I645" s="45">
        <f t="shared" ca="1" si="758"/>
        <v>1.416534540335657E-2</v>
      </c>
      <c r="J645" s="45">
        <f t="shared" ca="1" si="759"/>
        <v>0.27952512346894071</v>
      </c>
      <c r="K645" s="45">
        <f t="shared" ca="1" si="775"/>
        <v>0.90345467800480783</v>
      </c>
      <c r="L645" s="358">
        <f t="shared" ca="1" si="760"/>
        <v>0.24547574864616473</v>
      </c>
      <c r="M645" s="76">
        <f t="shared" ca="1" si="832"/>
        <v>0.25347808785320641</v>
      </c>
      <c r="N645" s="45">
        <f t="shared" ca="1" si="832"/>
        <v>0.25</v>
      </c>
      <c r="O645" s="45">
        <f t="shared" ca="1" si="832"/>
        <v>0</v>
      </c>
      <c r="P645" s="46" t="str">
        <f t="shared" ca="1" si="832"/>
        <v/>
      </c>
      <c r="Q645" s="243" t="str">
        <f t="shared" ca="1" si="832"/>
        <v/>
      </c>
      <c r="R645" s="45">
        <f t="shared" ca="1" si="776"/>
        <v>0.30390245851946401</v>
      </c>
      <c r="S645" s="45">
        <f t="shared" ca="1" si="800"/>
        <v>5.0695617570641283E-2</v>
      </c>
      <c r="T645" s="77">
        <f t="shared" ca="1" si="761"/>
        <v>3.5663121478739478E-3</v>
      </c>
      <c r="U645" s="45">
        <f t="shared" ca="1" si="777"/>
        <v>17.830207595784007</v>
      </c>
      <c r="V645" s="45">
        <f t="shared" ca="1" si="762"/>
        <v>0.20278247028256513</v>
      </c>
      <c r="W645" s="77">
        <f t="shared" ca="1" si="763"/>
        <v>6.3131583133668422E-3</v>
      </c>
      <c r="X645" s="45">
        <f t="shared" ca="1" si="778"/>
        <v>1.0292111322212549</v>
      </c>
      <c r="Y645" s="45">
        <f t="shared" ca="1" si="764"/>
        <v>9.570625898040905E-4</v>
      </c>
      <c r="Z645" s="77">
        <f t="shared" ca="1" si="765"/>
        <v>8.0153993692871396E-4</v>
      </c>
      <c r="AA645" s="45">
        <f t="shared" ca="1" si="779"/>
        <v>39.152043462805047</v>
      </c>
      <c r="AB645" s="45">
        <f t="shared" ca="1" si="766"/>
        <v>0</v>
      </c>
      <c r="AC645" s="45" cm="1">
        <f t="array" aca="1" ref="AC645" ca="1">pHUM*(T645+W645+Z645+AD645)</f>
        <v>1.1259559880048124E-3</v>
      </c>
      <c r="AD645" s="77">
        <f t="shared" ca="1" si="767"/>
        <v>9.2432612028700675E-4</v>
      </c>
      <c r="AE645" s="45">
        <f t="shared" ca="1" si="780"/>
        <v>6.3847072090583081</v>
      </c>
      <c r="AF645" s="45">
        <f t="shared" ca="1" si="768"/>
        <v>0</v>
      </c>
      <c r="AG645" s="76">
        <f t="shared" ca="1" si="769"/>
        <v>64.700071858388085</v>
      </c>
      <c r="AH645" s="45">
        <f t="shared" ca="1" si="770"/>
        <v>9.522317940647609E-3</v>
      </c>
      <c r="AI645" s="77">
        <f t="shared" ca="1" si="771"/>
        <v>1.4076346116336345E-2</v>
      </c>
      <c r="AJ645" s="384">
        <f t="shared" ca="1" si="773"/>
        <v>1.1019210644082067E-2</v>
      </c>
      <c r="AU645" s="1"/>
    </row>
    <row r="646" spans="3:47" x14ac:dyDescent="0.25">
      <c r="C646" s="10">
        <f t="shared" si="798"/>
        <v>46</v>
      </c>
      <c r="D646" s="91">
        <f t="shared" si="781"/>
        <v>4</v>
      </c>
      <c r="E646" s="278"/>
      <c r="F646" s="76">
        <f t="shared" ref="F646:Q646" ca="1" si="833">F574</f>
        <v>5.88</v>
      </c>
      <c r="G646" s="46">
        <f t="shared" ca="1" si="833"/>
        <v>27.012600000000003</v>
      </c>
      <c r="H646" s="46">
        <f t="shared" ca="1" si="757"/>
        <v>28.517550000000004</v>
      </c>
      <c r="I646" s="45">
        <f t="shared" ca="1" si="758"/>
        <v>0.2538659245156123</v>
      </c>
      <c r="J646" s="45">
        <f t="shared" ca="1" si="759"/>
        <v>0.27952512346894071</v>
      </c>
      <c r="K646" s="45">
        <f t="shared" ca="1" si="775"/>
        <v>0.90345467800480783</v>
      </c>
      <c r="L646" s="358">
        <f t="shared" ca="1" si="760"/>
        <v>0.57663575359475594</v>
      </c>
      <c r="M646" s="76">
        <f t="shared" ca="1" si="833"/>
        <v>0.25347808785320641</v>
      </c>
      <c r="N646" s="45">
        <f t="shared" ca="1" si="833"/>
        <v>0.25</v>
      </c>
      <c r="O646" s="45">
        <f t="shared" ca="1" si="833"/>
        <v>0</v>
      </c>
      <c r="P646" s="46" t="str">
        <f t="shared" ca="1" si="833"/>
        <v/>
      </c>
      <c r="Q646" s="243" t="str">
        <f t="shared" ca="1" si="833"/>
        <v/>
      </c>
      <c r="R646" s="45">
        <f t="shared" ca="1" si="776"/>
        <v>0.35103176394223135</v>
      </c>
      <c r="S646" s="45">
        <f t="shared" ca="1" si="800"/>
        <v>5.0695617570641283E-2</v>
      </c>
      <c r="T646" s="77">
        <f t="shared" ca="1" si="761"/>
        <v>6.6933045521027232E-2</v>
      </c>
      <c r="U646" s="45">
        <f t="shared" ca="1" si="777"/>
        <v>18.026676907753203</v>
      </c>
      <c r="V646" s="45">
        <f t="shared" ca="1" si="762"/>
        <v>0.20278247028256513</v>
      </c>
      <c r="W646" s="77">
        <f t="shared" ca="1" si="763"/>
        <v>0.11404668507307457</v>
      </c>
      <c r="X646" s="45">
        <f t="shared" ca="1" si="778"/>
        <v>1.0293666548741303</v>
      </c>
      <c r="Y646" s="45">
        <f t="shared" ca="1" si="764"/>
        <v>1.7467820877331654E-2</v>
      </c>
      <c r="Z646" s="77">
        <f t="shared" ca="1" si="765"/>
        <v>1.4272786793464269E-2</v>
      </c>
      <c r="AA646" s="45">
        <f t="shared" ca="1" si="779"/>
        <v>39.152245092672764</v>
      </c>
      <c r="AB646" s="45">
        <f t="shared" ca="1" si="766"/>
        <v>0</v>
      </c>
      <c r="AC646" s="45" cm="1">
        <f t="array" aca="1" ref="AC646" ca="1">pHUM*(T646+W646+Z646+AD646)</f>
        <v>2.0550377502743123E-2</v>
      </c>
      <c r="AD646" s="77">
        <f t="shared" ca="1" si="767"/>
        <v>1.656219743380272E-2</v>
      </c>
      <c r="AE646" s="45">
        <f t="shared" ca="1" si="780"/>
        <v>6.3847072090583081</v>
      </c>
      <c r="AF646" s="45">
        <f t="shared" ca="1" si="768"/>
        <v>0</v>
      </c>
      <c r="AG646" s="76">
        <f t="shared" ca="1" si="769"/>
        <v>64.944027628300631</v>
      </c>
      <c r="AH646" s="45">
        <f t="shared" ca="1" si="770"/>
        <v>0.17379651644129404</v>
      </c>
      <c r="AI646" s="77">
        <f t="shared" ca="1" si="771"/>
        <v>1.4772410169579638E-2</v>
      </c>
      <c r="AJ646" s="384">
        <f t="shared" ca="1" si="773"/>
        <v>2.7164284135567929E-2</v>
      </c>
      <c r="AU646" s="1"/>
    </row>
    <row r="647" spans="3:47" x14ac:dyDescent="0.25">
      <c r="C647" s="10">
        <f t="shared" si="798"/>
        <v>46</v>
      </c>
      <c r="D647" s="91">
        <f t="shared" si="781"/>
        <v>5</v>
      </c>
      <c r="E647" s="278"/>
      <c r="F647" s="76">
        <f t="shared" ref="F647:Q647" ca="1" si="834">F575</f>
        <v>13.3</v>
      </c>
      <c r="G647" s="46">
        <f t="shared" ca="1" si="834"/>
        <v>27.012600000000003</v>
      </c>
      <c r="H647" s="46">
        <f t="shared" ca="1" si="757"/>
        <v>28.517550000000004</v>
      </c>
      <c r="I647" s="45">
        <f t="shared" ca="1" si="758"/>
        <v>0.69725265541392489</v>
      </c>
      <c r="J647" s="45">
        <f t="shared" ca="1" si="759"/>
        <v>0.27952512346894071</v>
      </c>
      <c r="K647" s="45">
        <f t="shared" ca="1" si="775"/>
        <v>0.90345467800480783</v>
      </c>
      <c r="L647" s="358">
        <f t="shared" ca="1" si="760"/>
        <v>0.80399103068855049</v>
      </c>
      <c r="M647" s="76">
        <f t="shared" ca="1" si="834"/>
        <v>0.25347808785320641</v>
      </c>
      <c r="N647" s="45">
        <f t="shared" ca="1" si="834"/>
        <v>0.25</v>
      </c>
      <c r="O647" s="45">
        <f t="shared" ca="1" si="834"/>
        <v>0</v>
      </c>
      <c r="P647" s="46" t="str">
        <f t="shared" ca="1" si="834"/>
        <v/>
      </c>
      <c r="Q647" s="243" t="str">
        <f t="shared" ca="1" si="834"/>
        <v/>
      </c>
      <c r="R647" s="45">
        <f t="shared" ca="1" si="776"/>
        <v>0.33479433599184538</v>
      </c>
      <c r="S647" s="45">
        <f t="shared" ca="1" si="800"/>
        <v>5.0695617570641283E-2</v>
      </c>
      <c r="T647" s="77">
        <f t="shared" ca="1" si="761"/>
        <v>0.14753910809057297</v>
      </c>
      <c r="U647" s="45">
        <f t="shared" ca="1" si="777"/>
        <v>18.115412692962693</v>
      </c>
      <c r="V647" s="45">
        <f t="shared" ca="1" si="762"/>
        <v>0.20278247028256513</v>
      </c>
      <c r="W647" s="77">
        <f t="shared" ca="1" si="763"/>
        <v>0.31303922085785663</v>
      </c>
      <c r="X647" s="45">
        <f t="shared" ca="1" si="778"/>
        <v>1.0325616889579976</v>
      </c>
      <c r="Y647" s="45">
        <f t="shared" ca="1" si="764"/>
        <v>4.4936750789854152E-2</v>
      </c>
      <c r="Z647" s="77">
        <f t="shared" ca="1" si="765"/>
        <v>3.8847952013742346E-2</v>
      </c>
      <c r="AA647" s="45">
        <f t="shared" ca="1" si="779"/>
        <v>39.156233272741709</v>
      </c>
      <c r="AB647" s="45">
        <f t="shared" ca="1" si="766"/>
        <v>0</v>
      </c>
      <c r="AC647" s="45" cm="1">
        <f t="array" aca="1" ref="AC647" ca="1">pHUM*(T647+W647+Z647+AD647)</f>
        <v>5.2866765635122534E-2</v>
      </c>
      <c r="AD647" s="77">
        <f t="shared" ca="1" si="767"/>
        <v>4.547655038663833E-2</v>
      </c>
      <c r="AE647" s="45">
        <f t="shared" ca="1" si="780"/>
        <v>6.3847072090583081</v>
      </c>
      <c r="AF647" s="45">
        <f t="shared" ca="1" si="768"/>
        <v>0</v>
      </c>
      <c r="AG647" s="76">
        <f t="shared" ca="1" si="769"/>
        <v>65.023709199712556</v>
      </c>
      <c r="AH647" s="45">
        <f t="shared" ca="1" si="770"/>
        <v>0.44709931492383359</v>
      </c>
      <c r="AI647" s="77">
        <f t="shared" ca="1" si="771"/>
        <v>1.4562524088216275E-2</v>
      </c>
      <c r="AJ647" s="384">
        <f t="shared" ca="1" si="773"/>
        <v>3.7336107024352749E-2</v>
      </c>
      <c r="AU647" s="1"/>
    </row>
    <row r="648" spans="3:47" x14ac:dyDescent="0.25">
      <c r="C648" s="10">
        <f t="shared" si="798"/>
        <v>46</v>
      </c>
      <c r="D648" s="91">
        <f t="shared" si="781"/>
        <v>6</v>
      </c>
      <c r="E648" s="278"/>
      <c r="F648" s="76">
        <f t="shared" ref="F648:Q648" ca="1" si="835">F576</f>
        <v>18.579999999999998</v>
      </c>
      <c r="G648" s="46">
        <f t="shared" ca="1" si="835"/>
        <v>27.012600000000003</v>
      </c>
      <c r="H648" s="46">
        <f t="shared" ca="1" si="757"/>
        <v>28.517550000000004</v>
      </c>
      <c r="I648" s="45">
        <f t="shared" ca="1" si="758"/>
        <v>1.1053966357180092</v>
      </c>
      <c r="J648" s="45">
        <f t="shared" ca="1" si="759"/>
        <v>0.27952512346894071</v>
      </c>
      <c r="K648" s="45">
        <f t="shared" ca="1" si="775"/>
        <v>0.90345467800480783</v>
      </c>
      <c r="L648" s="358">
        <f t="shared" ca="1" si="760"/>
        <v>0.89864190578209513</v>
      </c>
      <c r="M648" s="76">
        <f t="shared" ca="1" si="835"/>
        <v>0.25347808785320641</v>
      </c>
      <c r="N648" s="45">
        <f t="shared" ca="1" si="835"/>
        <v>0.25</v>
      </c>
      <c r="O648" s="45">
        <f t="shared" ca="1" si="835"/>
        <v>0</v>
      </c>
      <c r="P648" s="46" t="str">
        <f t="shared" ca="1" si="835"/>
        <v/>
      </c>
      <c r="Q648" s="243" t="str">
        <f t="shared" ca="1" si="835"/>
        <v/>
      </c>
      <c r="R648" s="45">
        <f t="shared" ca="1" si="776"/>
        <v>0.2379508454719137</v>
      </c>
      <c r="S648" s="45">
        <f t="shared" ca="1" si="800"/>
        <v>5.0695617570641283E-2</v>
      </c>
      <c r="T648" s="77">
        <f t="shared" ca="1" si="761"/>
        <v>0.14323320525148991</v>
      </c>
      <c r="U648" s="45">
        <f t="shared" ca="1" si="777"/>
        <v>18.0051559423874</v>
      </c>
      <c r="V648" s="45">
        <f t="shared" ca="1" si="762"/>
        <v>0.20278247028256513</v>
      </c>
      <c r="W648" s="77">
        <f t="shared" ca="1" si="763"/>
        <v>0.49075870056349746</v>
      </c>
      <c r="X648" s="45">
        <f t="shared" ca="1" si="778"/>
        <v>1.0386504877341094</v>
      </c>
      <c r="Y648" s="45">
        <f t="shared" ca="1" si="764"/>
        <v>6.3280835143664588E-2</v>
      </c>
      <c r="Z648" s="77">
        <f t="shared" ca="1" si="765"/>
        <v>6.1265401019515463E-2</v>
      </c>
      <c r="AA648" s="45">
        <f t="shared" ca="1" si="779"/>
        <v>39.163623487990193</v>
      </c>
      <c r="AB648" s="45">
        <f t="shared" ca="1" si="766"/>
        <v>0</v>
      </c>
      <c r="AC648" s="45" cm="1">
        <f t="array" aca="1" ref="AC648" ca="1">pHUM*(T648+W648+Z648+AD648)</f>
        <v>7.4448041345487742E-2</v>
      </c>
      <c r="AD648" s="77">
        <f t="shared" ca="1" si="767"/>
        <v>7.2085806181257678E-2</v>
      </c>
      <c r="AE648" s="45">
        <f t="shared" ca="1" si="780"/>
        <v>6.3847072090583081</v>
      </c>
      <c r="AF648" s="45">
        <f t="shared" ca="1" si="768"/>
        <v>0</v>
      </c>
      <c r="AG648" s="76">
        <f t="shared" ca="1" si="769"/>
        <v>64.83008797264192</v>
      </c>
      <c r="AH648" s="45">
        <f t="shared" ca="1" si="770"/>
        <v>0.62961423652660842</v>
      </c>
      <c r="AI648" s="77">
        <f t="shared" ca="1" si="771"/>
        <v>1.3188719833018149E-2</v>
      </c>
      <c r="AJ648" s="384">
        <f t="shared" ca="1" si="773"/>
        <v>3.7794647046079932E-2</v>
      </c>
      <c r="AU648" s="1"/>
    </row>
    <row r="649" spans="3:47" x14ac:dyDescent="0.25">
      <c r="C649" s="10">
        <f t="shared" si="798"/>
        <v>46</v>
      </c>
      <c r="D649" s="91">
        <f t="shared" si="781"/>
        <v>7</v>
      </c>
      <c r="E649" s="278"/>
      <c r="F649" s="76">
        <f t="shared" ref="F649:Q649" ca="1" si="836">F577</f>
        <v>20.88</v>
      </c>
      <c r="G649" s="46">
        <f t="shared" ca="1" si="836"/>
        <v>27.012600000000003</v>
      </c>
      <c r="H649" s="46">
        <f t="shared" ca="1" si="757"/>
        <v>28.517550000000004</v>
      </c>
      <c r="I649" s="45">
        <f t="shared" ca="1" si="758"/>
        <v>1.2963209464812457</v>
      </c>
      <c r="J649" s="45">
        <f t="shared" ca="1" si="759"/>
        <v>0.27952512346894071</v>
      </c>
      <c r="K649" s="45">
        <f t="shared" ca="1" si="775"/>
        <v>0.90345467800480783</v>
      </c>
      <c r="L649" s="358">
        <f t="shared" ca="1" si="760"/>
        <v>0.92456370800230281</v>
      </c>
      <c r="M649" s="76">
        <f t="shared" ca="1" si="836"/>
        <v>0.25347808785320641</v>
      </c>
      <c r="N649" s="45">
        <f t="shared" ca="1" si="836"/>
        <v>0.25</v>
      </c>
      <c r="O649" s="45">
        <f t="shared" ca="1" si="836"/>
        <v>0</v>
      </c>
      <c r="P649" s="46" t="str">
        <f t="shared" ca="1" si="836"/>
        <v/>
      </c>
      <c r="Q649" s="243" t="str">
        <f t="shared" ca="1" si="836"/>
        <v/>
      </c>
      <c r="R649" s="45">
        <f t="shared" ca="1" si="776"/>
        <v>0.14541325779106506</v>
      </c>
      <c r="S649" s="45">
        <f t="shared" ca="1" si="800"/>
        <v>5.0695617570641283E-2</v>
      </c>
      <c r="T649" s="77">
        <f t="shared" ca="1" si="761"/>
        <v>9.6044771709889135E-2</v>
      </c>
      <c r="U649" s="45">
        <f t="shared" ca="1" si="777"/>
        <v>17.717179712106468</v>
      </c>
      <c r="V649" s="45">
        <f t="shared" ca="1" si="762"/>
        <v>0.20278247028256513</v>
      </c>
      <c r="W649" s="77">
        <f t="shared" ca="1" si="763"/>
        <v>0.56497447861475769</v>
      </c>
      <c r="X649" s="45">
        <f t="shared" ca="1" si="778"/>
        <v>1.0406659218582586</v>
      </c>
      <c r="Y649" s="45">
        <f t="shared" ca="1" si="764"/>
        <v>6.7389201175602681E-2</v>
      </c>
      <c r="Z649" s="77">
        <f t="shared" ca="1" si="765"/>
        <v>7.161375651299455E-2</v>
      </c>
      <c r="AA649" s="45">
        <f t="shared" ca="1" si="779"/>
        <v>39.165985723154428</v>
      </c>
      <c r="AB649" s="45">
        <f t="shared" ca="1" si="766"/>
        <v>0</v>
      </c>
      <c r="AC649" s="45" cm="1">
        <f t="array" aca="1" ref="AC649" ca="1">pHUM*(T649+W649+Z649+AD649)</f>
        <v>7.9281413147767862E-2</v>
      </c>
      <c r="AD649" s="77">
        <f t="shared" ca="1" si="767"/>
        <v>8.4528133598245819E-2</v>
      </c>
      <c r="AE649" s="45">
        <f t="shared" ca="1" si="780"/>
        <v>6.3847072090583081</v>
      </c>
      <c r="AF649" s="45">
        <f t="shared" ca="1" si="768"/>
        <v>0</v>
      </c>
      <c r="AG649" s="76">
        <f t="shared" ca="1" si="769"/>
        <v>64.453951823968524</v>
      </c>
      <c r="AH649" s="45">
        <f t="shared" ca="1" si="770"/>
        <v>0.67049052611251669</v>
      </c>
      <c r="AI649" s="77">
        <f t="shared" ca="1" si="771"/>
        <v>1.18241675219997E-2</v>
      </c>
      <c r="AJ649" s="384">
        <f t="shared" ca="1" si="773"/>
        <v>3.4861783554656078E-2</v>
      </c>
      <c r="AU649" s="1"/>
    </row>
    <row r="650" spans="3:47" x14ac:dyDescent="0.25">
      <c r="C650" s="10">
        <f t="shared" si="798"/>
        <v>46</v>
      </c>
      <c r="D650" s="91">
        <f t="shared" si="781"/>
        <v>8</v>
      </c>
      <c r="E650" s="278"/>
      <c r="F650" s="76">
        <f t="shared" ref="F650:Q650" ca="1" si="837">F578</f>
        <v>19.38</v>
      </c>
      <c r="G650" s="46">
        <f t="shared" ca="1" si="837"/>
        <v>27.012600000000003</v>
      </c>
      <c r="H650" s="46">
        <f t="shared" ca="1" si="757"/>
        <v>28.517550000000004</v>
      </c>
      <c r="I650" s="45">
        <f t="shared" ca="1" si="758"/>
        <v>1.1711755949831784</v>
      </c>
      <c r="J650" s="45">
        <f t="shared" ca="1" si="759"/>
        <v>0.27952512346894071</v>
      </c>
      <c r="K650" s="45">
        <f t="shared" ca="1" si="775"/>
        <v>0.90345467800480783</v>
      </c>
      <c r="L650" s="358">
        <f t="shared" ca="1" si="760"/>
        <v>0.9085593811553081</v>
      </c>
      <c r="M650" s="76">
        <f t="shared" ca="1" si="837"/>
        <v>0.25347808785320641</v>
      </c>
      <c r="N650" s="45">
        <f t="shared" ca="1" si="837"/>
        <v>0.25</v>
      </c>
      <c r="O650" s="45">
        <f t="shared" ca="1" si="837"/>
        <v>0</v>
      </c>
      <c r="P650" s="46" t="str">
        <f t="shared" ca="1" si="837"/>
        <v/>
      </c>
      <c r="Q650" s="243" t="str">
        <f t="shared" ca="1" si="837"/>
        <v/>
      </c>
      <c r="R650" s="45">
        <f t="shared" ca="1" si="776"/>
        <v>0.10006410365181721</v>
      </c>
      <c r="S650" s="45">
        <f t="shared" ca="1" si="800"/>
        <v>5.0695617570641283E-2</v>
      </c>
      <c r="T650" s="77">
        <f t="shared" ca="1" si="761"/>
        <v>6.2357646589744672E-2</v>
      </c>
      <c r="U650" s="45">
        <f t="shared" ca="1" si="777"/>
        <v>17.354987703774274</v>
      </c>
      <c r="V650" s="45">
        <f t="shared" ca="1" si="762"/>
        <v>0.20278247028256513</v>
      </c>
      <c r="W650" s="77">
        <f t="shared" ca="1" si="763"/>
        <v>0.50077646154776168</v>
      </c>
      <c r="X650" s="45">
        <f t="shared" ca="1" si="778"/>
        <v>1.0364413665208667</v>
      </c>
      <c r="Y650" s="45">
        <f t="shared" ca="1" si="764"/>
        <v>5.807003268732934E-2</v>
      </c>
      <c r="Z650" s="77">
        <f t="shared" ca="1" si="765"/>
        <v>6.4657224360843493E-2</v>
      </c>
      <c r="AA650" s="45">
        <f t="shared" ca="1" si="779"/>
        <v>39.160739002703949</v>
      </c>
      <c r="AB650" s="45">
        <f t="shared" ca="1" si="766"/>
        <v>0</v>
      </c>
      <c r="AC650" s="45" cm="1">
        <f t="array" aca="1" ref="AC650" ca="1">pHUM*(T650+W650+Z650+AD650)</f>
        <v>6.8317685514505108E-2</v>
      </c>
      <c r="AD650" s="77">
        <f t="shared" ca="1" si="767"/>
        <v>7.6365614135806573E-2</v>
      </c>
      <c r="AE650" s="45">
        <f t="shared" ca="1" si="780"/>
        <v>6.3847072090583081</v>
      </c>
      <c r="AF650" s="45">
        <f t="shared" ca="1" si="768"/>
        <v>0</v>
      </c>
      <c r="AG650" s="76">
        <f t="shared" ca="1" si="769"/>
        <v>64.036939385709218</v>
      </c>
      <c r="AH650" s="45">
        <f t="shared" ca="1" si="770"/>
        <v>0.57776922843232204</v>
      </c>
      <c r="AI650" s="77">
        <f t="shared" ca="1" si="771"/>
        <v>1.1092955033804154E-2</v>
      </c>
      <c r="AJ650" s="384">
        <f t="shared" ca="1" si="773"/>
        <v>3.2139851872839964E-2</v>
      </c>
      <c r="AU650" s="1"/>
    </row>
    <row r="651" spans="3:47" x14ac:dyDescent="0.25">
      <c r="C651" s="10">
        <f t="shared" si="798"/>
        <v>46</v>
      </c>
      <c r="D651" s="91">
        <f t="shared" si="781"/>
        <v>9</v>
      </c>
      <c r="E651" s="278"/>
      <c r="F651" s="76">
        <f t="shared" ref="F651:Q651" ca="1" si="838">F579</f>
        <v>16.57</v>
      </c>
      <c r="G651" s="46">
        <f t="shared" ca="1" si="838"/>
        <v>27.012600000000003</v>
      </c>
      <c r="H651" s="46">
        <f t="shared" ca="1" si="757"/>
        <v>28.517550000000004</v>
      </c>
      <c r="I651" s="45">
        <f t="shared" ca="1" si="758"/>
        <v>0.9439672665218134</v>
      </c>
      <c r="J651" s="45">
        <f t="shared" ca="1" si="759"/>
        <v>0.27952512346894071</v>
      </c>
      <c r="K651" s="45">
        <f t="shared" ca="1" si="775"/>
        <v>0.90345467800480783</v>
      </c>
      <c r="L651" s="358">
        <f t="shared" ca="1" si="760"/>
        <v>0.86895066774150642</v>
      </c>
      <c r="M651" s="76">
        <f t="shared" ca="1" si="838"/>
        <v>0.25347808785320641</v>
      </c>
      <c r="N651" s="45">
        <f t="shared" ca="1" si="838"/>
        <v>0.25</v>
      </c>
      <c r="O651" s="45">
        <f t="shared" ca="1" si="838"/>
        <v>0</v>
      </c>
      <c r="P651" s="46" t="str">
        <f t="shared" ca="1" si="838"/>
        <v/>
      </c>
      <c r="Q651" s="243" t="str">
        <f t="shared" ca="1" si="838"/>
        <v/>
      </c>
      <c r="R651" s="45">
        <f t="shared" ca="1" si="776"/>
        <v>8.8402074632713837E-2</v>
      </c>
      <c r="S651" s="45">
        <f t="shared" ca="1" si="800"/>
        <v>5.0695617570641283E-2</v>
      </c>
      <c r="T651" s="77">
        <f t="shared" ca="1" si="761"/>
        <v>4.8146195874830794E-2</v>
      </c>
      <c r="U651" s="45">
        <f t="shared" ca="1" si="777"/>
        <v>17.056993712509076</v>
      </c>
      <c r="V651" s="45">
        <f t="shared" ca="1" si="762"/>
        <v>0.20278247028256513</v>
      </c>
      <c r="W651" s="77">
        <f t="shared" ca="1" si="763"/>
        <v>0.39781853468008938</v>
      </c>
      <c r="X651" s="45">
        <f t="shared" ca="1" si="778"/>
        <v>1.0298541748473526</v>
      </c>
      <c r="Y651" s="45">
        <f t="shared" ca="1" si="764"/>
        <v>4.6150298018585244E-2</v>
      </c>
      <c r="Z651" s="77">
        <f t="shared" ca="1" si="765"/>
        <v>5.2103900991107378E-2</v>
      </c>
      <c r="AA651" s="45">
        <f t="shared" ca="1" si="779"/>
        <v>39.152691074082647</v>
      </c>
      <c r="AB651" s="45">
        <f t="shared" ca="1" si="766"/>
        <v>0</v>
      </c>
      <c r="AC651" s="45" cm="1">
        <f t="array" aca="1" ref="AC651" ca="1">pHUM*(T651+W651+Z651+AD651)</f>
        <v>5.4294468257159112E-2</v>
      </c>
      <c r="AD651" s="77">
        <f t="shared" ca="1" si="767"/>
        <v>6.1549667861509734E-2</v>
      </c>
      <c r="AE651" s="45">
        <f t="shared" ca="1" si="780"/>
        <v>6.3847072090583081</v>
      </c>
      <c r="AF651" s="45">
        <f t="shared" ca="1" si="768"/>
        <v>0</v>
      </c>
      <c r="AG651" s="76">
        <f t="shared" ca="1" si="769"/>
        <v>63.712648245130097</v>
      </c>
      <c r="AH651" s="45">
        <f t="shared" ca="1" si="770"/>
        <v>0.45917353313179293</v>
      </c>
      <c r="AI651" s="77">
        <f t="shared" ca="1" si="771"/>
        <v>1.0849678042487113E-2</v>
      </c>
      <c r="AJ651" s="384">
        <f t="shared" ca="1" si="773"/>
        <v>3.0064648027892105E-2</v>
      </c>
      <c r="AU651" s="1"/>
    </row>
    <row r="652" spans="3:47" x14ac:dyDescent="0.25">
      <c r="C652" s="10">
        <f t="shared" si="798"/>
        <v>46</v>
      </c>
      <c r="D652" s="91">
        <f t="shared" si="781"/>
        <v>10</v>
      </c>
      <c r="E652" s="278"/>
      <c r="F652" s="76">
        <f t="shared" ref="F652:Q652" ca="1" si="839">F580</f>
        <v>10.87</v>
      </c>
      <c r="G652" s="46">
        <f t="shared" ca="1" si="839"/>
        <v>27.012600000000003</v>
      </c>
      <c r="H652" s="46">
        <f t="shared" ca="1" si="757"/>
        <v>28.517550000000004</v>
      </c>
      <c r="I652" s="45">
        <f t="shared" ca="1" si="758"/>
        <v>0.53125146958099567</v>
      </c>
      <c r="J652" s="45">
        <f t="shared" ca="1" si="759"/>
        <v>0.27952512346894071</v>
      </c>
      <c r="K652" s="45">
        <f t="shared" ca="1" si="775"/>
        <v>0.90345467800480783</v>
      </c>
      <c r="L652" s="358">
        <f t="shared" ca="1" si="760"/>
        <v>0.74105246316705919</v>
      </c>
      <c r="M652" s="76">
        <f t="shared" ca="1" si="839"/>
        <v>0.25347808785320641</v>
      </c>
      <c r="N652" s="45">
        <f t="shared" ca="1" si="839"/>
        <v>0.25</v>
      </c>
      <c r="O652" s="45">
        <f t="shared" ca="1" si="839"/>
        <v>0</v>
      </c>
      <c r="P652" s="46" t="str">
        <f t="shared" ca="1" si="839"/>
        <v/>
      </c>
      <c r="Q652" s="243" t="str">
        <f t="shared" ca="1" si="839"/>
        <v/>
      </c>
      <c r="R652" s="45">
        <f t="shared" ca="1" si="776"/>
        <v>9.0951496328524312E-2</v>
      </c>
      <c r="S652" s="45">
        <f t="shared" ca="1" si="800"/>
        <v>5.0695617570641283E-2</v>
      </c>
      <c r="T652" s="77">
        <f t="shared" ca="1" si="761"/>
        <v>3.2533920585815154E-2</v>
      </c>
      <c r="U652" s="45">
        <f t="shared" ca="1" si="777"/>
        <v>16.861957648111552</v>
      </c>
      <c r="V652" s="45">
        <f t="shared" ca="1" si="762"/>
        <v>0.20278247028256513</v>
      </c>
      <c r="W652" s="77">
        <f t="shared" ca="1" si="763"/>
        <v>0.22246789443529993</v>
      </c>
      <c r="X652" s="45">
        <f t="shared" ca="1" si="778"/>
        <v>1.0239005718748306</v>
      </c>
      <c r="Y652" s="45">
        <f t="shared" ca="1" si="764"/>
        <v>2.6317915699645505E-2</v>
      </c>
      <c r="Z652" s="77">
        <f t="shared" ca="1" si="765"/>
        <v>2.9484331118657479E-2</v>
      </c>
      <c r="AA652" s="45">
        <f t="shared" ca="1" si="779"/>
        <v>39.145435874478295</v>
      </c>
      <c r="AB652" s="45">
        <f t="shared" ca="1" si="766"/>
        <v>0</v>
      </c>
      <c r="AC652" s="45" cm="1">
        <f t="array" aca="1" ref="AC652" ca="1">pHUM*(T652+W652+Z652+AD652)</f>
        <v>3.0962253764288829E-2</v>
      </c>
      <c r="AD652" s="77">
        <f t="shared" ca="1" si="767"/>
        <v>3.4644777388725879E-2</v>
      </c>
      <c r="AE652" s="45">
        <f t="shared" ca="1" si="780"/>
        <v>6.3847072090583081</v>
      </c>
      <c r="AF652" s="45">
        <f t="shared" ca="1" si="768"/>
        <v>0</v>
      </c>
      <c r="AG652" s="76">
        <f t="shared" ca="1" si="769"/>
        <v>63.506952799851504</v>
      </c>
      <c r="AH652" s="45">
        <f t="shared" ca="1" si="770"/>
        <v>0.26185075406456415</v>
      </c>
      <c r="AI652" s="77">
        <f t="shared" ca="1" si="771"/>
        <v>1.083463671615338E-2</v>
      </c>
      <c r="AJ652" s="384">
        <f t="shared" ca="1" si="773"/>
        <v>2.5604086660534486E-2</v>
      </c>
      <c r="AU652" s="1"/>
    </row>
    <row r="653" spans="3:47" x14ac:dyDescent="0.25">
      <c r="C653" s="10">
        <f t="shared" si="798"/>
        <v>46</v>
      </c>
      <c r="D653" s="91">
        <f t="shared" si="781"/>
        <v>11</v>
      </c>
      <c r="E653" s="278"/>
      <c r="F653" s="76">
        <f t="shared" ref="F653:Q653" ca="1" si="840">F581</f>
        <v>1.4</v>
      </c>
      <c r="G653" s="46">
        <f t="shared" ca="1" si="840"/>
        <v>28.536243189942063</v>
      </c>
      <c r="H653" s="46">
        <f t="shared" ca="1" si="757"/>
        <v>26.993906810057943</v>
      </c>
      <c r="I653" s="45">
        <f t="shared" ca="1" si="758"/>
        <v>9.940372096718314E-2</v>
      </c>
      <c r="J653" s="45">
        <f t="shared" ca="1" si="759"/>
        <v>0.28648639837560558</v>
      </c>
      <c r="K653" s="45">
        <f t="shared" ca="1" si="775"/>
        <v>0.92595425264501963</v>
      </c>
      <c r="L653" s="358">
        <f t="shared" ca="1" si="760"/>
        <v>0.41120226021724715</v>
      </c>
      <c r="M653" s="76">
        <f t="shared" ca="1" si="840"/>
        <v>0.25347808785320641</v>
      </c>
      <c r="N653" s="45">
        <f t="shared" ca="1" si="840"/>
        <v>0.25</v>
      </c>
      <c r="O653" s="45">
        <f t="shared" ca="1" si="840"/>
        <v>0</v>
      </c>
      <c r="P653" s="46" t="str">
        <f t="shared" ca="1" si="840"/>
        <v/>
      </c>
      <c r="Q653" s="243" t="str">
        <f t="shared" ca="1" si="840"/>
        <v/>
      </c>
      <c r="R653" s="45">
        <f t="shared" ca="1" si="776"/>
        <v>0.10911319331335044</v>
      </c>
      <c r="S653" s="45">
        <f t="shared" ca="1" si="800"/>
        <v>5.0695617570641283E-2</v>
      </c>
      <c r="T653" s="77">
        <f t="shared" ca="1" si="761"/>
        <v>8.6743136422450483E-3</v>
      </c>
      <c r="U653" s="45">
        <f t="shared" ca="1" si="777"/>
        <v>16.842272223958815</v>
      </c>
      <c r="V653" s="45">
        <f t="shared" ca="1" si="762"/>
        <v>0.20278247028256513</v>
      </c>
      <c r="W653" s="77">
        <f t="shared" ca="1" si="763"/>
        <v>4.1802649964844625E-2</v>
      </c>
      <c r="X653" s="45">
        <f t="shared" ca="1" si="778"/>
        <v>1.0207341564558188</v>
      </c>
      <c r="Y653" s="45">
        <f t="shared" ca="1" si="764"/>
        <v>5.1564004797483923E-3</v>
      </c>
      <c r="Z653" s="77">
        <f t="shared" ca="1" si="765"/>
        <v>5.5653352539845958E-3</v>
      </c>
      <c r="AA653" s="45">
        <f t="shared" ca="1" si="779"/>
        <v>39.141753350853854</v>
      </c>
      <c r="AB653" s="45">
        <f t="shared" ca="1" si="766"/>
        <v>0</v>
      </c>
      <c r="AC653" s="45" cm="1">
        <f t="array" aca="1" ref="AC653" ca="1">pHUM*(T653+W653+Z653+AD653)</f>
        <v>6.0663535055863436E-3</v>
      </c>
      <c r="AD653" s="77">
        <f t="shared" ca="1" si="767"/>
        <v>6.4841894051322546E-3</v>
      </c>
      <c r="AE653" s="45">
        <f t="shared" ca="1" si="780"/>
        <v>6.3847072090583081</v>
      </c>
      <c r="AF653" s="45">
        <f t="shared" ca="1" si="768"/>
        <v>0</v>
      </c>
      <c r="AG653" s="76">
        <f t="shared" ca="1" si="769"/>
        <v>63.498580133640147</v>
      </c>
      <c r="AH653" s="45">
        <f t="shared" ca="1" si="770"/>
        <v>5.1303734280871788E-2</v>
      </c>
      <c r="AI653" s="77">
        <f t="shared" ca="1" si="771"/>
        <v>1.1089444095650823E-2</v>
      </c>
      <c r="AJ653" s="384">
        <f t="shared" ca="1" si="773"/>
        <v>1.4903861019530673E-2</v>
      </c>
      <c r="AU653" s="1"/>
    </row>
    <row r="654" spans="3:47" x14ac:dyDescent="0.25">
      <c r="C654" s="10">
        <f t="shared" si="798"/>
        <v>46</v>
      </c>
      <c r="D654" s="91">
        <f t="shared" si="781"/>
        <v>12</v>
      </c>
      <c r="E654" s="278"/>
      <c r="F654" s="76">
        <f t="shared" ref="F654:Q654" ca="1" si="841">F582</f>
        <v>-1.78</v>
      </c>
      <c r="G654" s="46">
        <f t="shared" ca="1" si="841"/>
        <v>32.216243189942062</v>
      </c>
      <c r="H654" s="46">
        <f t="shared" ca="1" si="757"/>
        <v>23.313906810057944</v>
      </c>
      <c r="I654" s="45">
        <f t="shared" ca="1" si="758"/>
        <v>3.9789790397057247E-2</v>
      </c>
      <c r="J654" s="45">
        <f t="shared" ca="1" si="759"/>
        <v>0.29882189650486002</v>
      </c>
      <c r="K654" s="45">
        <f t="shared" ca="1" si="775"/>
        <v>0.96582388351071458</v>
      </c>
      <c r="L654" s="358">
        <f t="shared" ca="1" si="760"/>
        <v>0.30292377267304249</v>
      </c>
      <c r="M654" s="76">
        <f t="shared" ca="1" si="841"/>
        <v>0.25347808785320641</v>
      </c>
      <c r="N654" s="45">
        <f t="shared" ca="1" si="841"/>
        <v>0.25</v>
      </c>
      <c r="O654" s="45">
        <f t="shared" ca="1" si="841"/>
        <v>0</v>
      </c>
      <c r="P654" s="46" t="str">
        <f t="shared" ca="1" si="841"/>
        <v/>
      </c>
      <c r="Q654" s="243" t="str">
        <f t="shared" ca="1" si="841"/>
        <v/>
      </c>
      <c r="R654" s="45">
        <f t="shared" ca="1" si="776"/>
        <v>0.15113449724174668</v>
      </c>
      <c r="S654" s="45">
        <f t="shared" ca="1" si="800"/>
        <v>5.0695617570641283E-2</v>
      </c>
      <c r="T654" s="77">
        <f t="shared" ca="1" si="761"/>
        <v>4.9291689443774654E-3</v>
      </c>
      <c r="U654" s="45">
        <f t="shared" ca="1" si="777"/>
        <v>17.003252044276536</v>
      </c>
      <c r="V654" s="45">
        <f t="shared" ca="1" si="762"/>
        <v>0.20278247028256513</v>
      </c>
      <c r="W654" s="77">
        <f t="shared" ca="1" si="763"/>
        <v>1.6905486156846391E-2</v>
      </c>
      <c r="X654" s="45">
        <f t="shared" ca="1" si="778"/>
        <v>1.0203252216815826</v>
      </c>
      <c r="Y654" s="45">
        <f t="shared" ca="1" si="764"/>
        <v>2.1986447238035206E-3</v>
      </c>
      <c r="Z654" s="77">
        <f t="shared" ca="1" si="765"/>
        <v>2.2304774473913842E-3</v>
      </c>
      <c r="AA654" s="45">
        <f t="shared" ca="1" si="779"/>
        <v>39.141335514954307</v>
      </c>
      <c r="AB654" s="45">
        <f t="shared" ca="1" si="766"/>
        <v>0</v>
      </c>
      <c r="AC654" s="45" cm="1">
        <f t="array" aca="1" ref="AC654" ca="1">pHUM*(T654+W654+Z654+AD654)</f>
        <v>2.5866408515335536E-3</v>
      </c>
      <c r="AD654" s="77">
        <f t="shared" ca="1" si="767"/>
        <v>2.5956231596314105E-3</v>
      </c>
      <c r="AE654" s="45">
        <f t="shared" ca="1" si="780"/>
        <v>6.3847072090583081</v>
      </c>
      <c r="AF654" s="45">
        <f t="shared" ca="1" si="768"/>
        <v>0</v>
      </c>
      <c r="AG654" s="76">
        <f t="shared" ca="1" si="769"/>
        <v>63.700754487212478</v>
      </c>
      <c r="AH654" s="45">
        <f t="shared" ca="1" si="770"/>
        <v>2.1875470132909577E-2</v>
      </c>
      <c r="AI654" s="77">
        <f t="shared" ca="1" si="771"/>
        <v>1.173109789996612E-2</v>
      </c>
      <c r="AJ654" s="384">
        <f t="shared" ca="1" si="773"/>
        <v>1.2114767728038656E-2</v>
      </c>
      <c r="AU654" s="1"/>
    </row>
    <row r="655" spans="3:47" x14ac:dyDescent="0.25">
      <c r="C655" s="10">
        <f t="shared" si="798"/>
        <v>47</v>
      </c>
      <c r="D655" s="91">
        <f t="shared" si="781"/>
        <v>1</v>
      </c>
      <c r="E655" s="278"/>
      <c r="F655" s="76">
        <f t="shared" ref="F655:Q655" ca="1" si="842">F583</f>
        <v>-8.2799999999999994</v>
      </c>
      <c r="G655" s="46">
        <f t="shared" ca="1" si="842"/>
        <v>27.676243189942063</v>
      </c>
      <c r="H655" s="46">
        <f t="shared" ca="1" si="757"/>
        <v>27.853906810057943</v>
      </c>
      <c r="I655" s="45">
        <f t="shared" ca="1" si="758"/>
        <v>5.2124139735228647E-4</v>
      </c>
      <c r="J655" s="45">
        <f t="shared" ca="1" si="759"/>
        <v>0.28271042830183513</v>
      </c>
      <c r="K655" s="45">
        <f t="shared" ca="1" si="775"/>
        <v>0.91374991914963299</v>
      </c>
      <c r="L655" s="358">
        <f t="shared" ca="1" si="760"/>
        <v>0.14143923467074027</v>
      </c>
      <c r="M655" s="76">
        <f t="shared" ca="1" si="842"/>
        <v>0.25347808785320641</v>
      </c>
      <c r="N655" s="45">
        <f t="shared" ca="1" si="842"/>
        <v>0.25</v>
      </c>
      <c r="O655" s="45">
        <f t="shared" ca="1" si="842"/>
        <v>0</v>
      </c>
      <c r="P655" s="46" t="str">
        <f t="shared" ca="1" si="842"/>
        <v/>
      </c>
      <c r="Q655" s="243" t="str">
        <f t="shared" ca="1" si="842"/>
        <v/>
      </c>
      <c r="R655" s="45">
        <f t="shared" ca="1" si="776"/>
        <v>0.19690094586801049</v>
      </c>
      <c r="S655" s="45">
        <f t="shared" ca="1" si="800"/>
        <v>5.0695617570641283E-2</v>
      </c>
      <c r="T655" s="77">
        <f t="shared" ca="1" si="761"/>
        <v>8.5508864309104358E-5</v>
      </c>
      <c r="U655" s="45">
        <f t="shared" ca="1" si="777"/>
        <v>17.189129028402252</v>
      </c>
      <c r="V655" s="45">
        <f t="shared" ca="1" si="762"/>
        <v>0.20278247028256513</v>
      </c>
      <c r="W655" s="77">
        <f t="shared" ca="1" si="763"/>
        <v>2.2399068143256286E-4</v>
      </c>
      <c r="X655" s="45">
        <f t="shared" ca="1" si="778"/>
        <v>1.0202933889579948</v>
      </c>
      <c r="Y655" s="45">
        <f t="shared" ca="1" si="764"/>
        <v>3.0739961575310403E-5</v>
      </c>
      <c r="Z655" s="77">
        <f t="shared" ca="1" si="765"/>
        <v>2.9249634077036117E-5</v>
      </c>
      <c r="AA655" s="45">
        <f t="shared" ca="1" si="779"/>
        <v>39.141326532646211</v>
      </c>
      <c r="AB655" s="45">
        <f t="shared" ca="1" si="766"/>
        <v>0</v>
      </c>
      <c r="AC655" s="45" cm="1">
        <f t="array" aca="1" ref="AC655" ca="1">pHUM*(T655+W655+Z655+AD655)</f>
        <v>3.6164660676835771E-5</v>
      </c>
      <c r="AD655" s="77">
        <f t="shared" ca="1" si="767"/>
        <v>3.4003451457925683E-5</v>
      </c>
      <c r="AE655" s="45">
        <f t="shared" ca="1" si="780"/>
        <v>6.3847072090583081</v>
      </c>
      <c r="AF655" s="45">
        <f t="shared" ca="1" si="768"/>
        <v>0</v>
      </c>
      <c r="AG655" s="76">
        <f t="shared" ca="1" si="769"/>
        <v>63.932357104932777</v>
      </c>
      <c r="AH655" s="45">
        <f t="shared" ca="1" si="770"/>
        <v>3.0584800902448288E-4</v>
      </c>
      <c r="AI655" s="77">
        <f t="shared" ca="1" si="771"/>
        <v>1.2427336810008776E-2</v>
      </c>
      <c r="AJ655" s="384">
        <f t="shared" ca="1" si="773"/>
        <v>5.6692171749450626E-3</v>
      </c>
      <c r="AU655" s="1"/>
    </row>
    <row r="656" spans="3:47" x14ac:dyDescent="0.25">
      <c r="C656" s="10">
        <f t="shared" si="798"/>
        <v>47</v>
      </c>
      <c r="D656" s="91">
        <f t="shared" si="781"/>
        <v>2</v>
      </c>
      <c r="E656" s="278"/>
      <c r="F656" s="76">
        <f t="shared" ref="F656:Q656" ca="1" si="843">F584</f>
        <v>-13.02</v>
      </c>
      <c r="G656" s="46">
        <f t="shared" ca="1" si="843"/>
        <v>27.012600000000003</v>
      </c>
      <c r="H656" s="46">
        <f t="shared" ca="1" si="757"/>
        <v>28.517550000000004</v>
      </c>
      <c r="I656" s="45">
        <f t="shared" ca="1" si="758"/>
        <v>3.4968020066039631E-8</v>
      </c>
      <c r="J656" s="45">
        <f t="shared" ca="1" si="759"/>
        <v>0.27952512346894071</v>
      </c>
      <c r="K656" s="45">
        <f t="shared" ca="1" si="775"/>
        <v>0.90345467800480783</v>
      </c>
      <c r="L656" s="358">
        <f t="shared" ca="1" si="760"/>
        <v>7.5103934893711255E-2</v>
      </c>
      <c r="M656" s="76">
        <f t="shared" ca="1" si="843"/>
        <v>0.25347808785320641</v>
      </c>
      <c r="N656" s="45">
        <f t="shared" ca="1" si="843"/>
        <v>0.25</v>
      </c>
      <c r="O656" s="45">
        <f t="shared" ca="1" si="843"/>
        <v>0</v>
      </c>
      <c r="P656" s="46" t="str">
        <f t="shared" ca="1" si="843"/>
        <v/>
      </c>
      <c r="Q656" s="243" t="str">
        <f t="shared" ca="1" si="843"/>
        <v/>
      </c>
      <c r="R656" s="45">
        <f t="shared" ca="1" si="776"/>
        <v>0.24751105457434266</v>
      </c>
      <c r="S656" s="45">
        <f t="shared" ca="1" si="800"/>
        <v>5.0695617570641283E-2</v>
      </c>
      <c r="T656" s="77">
        <f t="shared" ca="1" si="761"/>
        <v>7.2124761619648606E-9</v>
      </c>
      <c r="U656" s="45">
        <f t="shared" ca="1" si="777"/>
        <v>17.391687508003383</v>
      </c>
      <c r="V656" s="45">
        <f t="shared" ca="1" si="762"/>
        <v>0.20278247028256513</v>
      </c>
      <c r="W656" s="77">
        <f t="shared" ca="1" si="763"/>
        <v>1.5203821737518821E-8</v>
      </c>
      <c r="X656" s="45">
        <f t="shared" ca="1" si="778"/>
        <v>1.0202948792854931</v>
      </c>
      <c r="Y656" s="45">
        <f t="shared" ca="1" si="764"/>
        <v>2.1985600918459029E-9</v>
      </c>
      <c r="Z656" s="77">
        <f t="shared" ca="1" si="765"/>
        <v>1.9622730683211595E-9</v>
      </c>
      <c r="AA656" s="45">
        <f t="shared" ca="1" si="779"/>
        <v>39.141328693855428</v>
      </c>
      <c r="AB656" s="45">
        <f t="shared" ca="1" si="766"/>
        <v>0</v>
      </c>
      <c r="AC656" s="45" cm="1">
        <f t="array" aca="1" ref="AC656" ca="1">pHUM*(T656+W656+Z656+AD656)</f>
        <v>2.5865412845245919E-9</v>
      </c>
      <c r="AD656" s="77">
        <f t="shared" ca="1" si="767"/>
        <v>2.2811584937168469E-9</v>
      </c>
      <c r="AE656" s="45">
        <f t="shared" ca="1" si="780"/>
        <v>6.3847072090583081</v>
      </c>
      <c r="AF656" s="45">
        <f t="shared" ca="1" si="768"/>
        <v>0</v>
      </c>
      <c r="AG656" s="76">
        <f t="shared" ca="1" si="769"/>
        <v>64.185529344776953</v>
      </c>
      <c r="AH656" s="45">
        <f t="shared" ca="1" si="770"/>
        <v>2.1874628085151196E-8</v>
      </c>
      <c r="AI656" s="77">
        <f t="shared" ca="1" si="771"/>
        <v>1.3190178579796173E-2</v>
      </c>
      <c r="AJ656" s="384">
        <f t="shared" ca="1" si="773"/>
        <v>3.1591375981032677E-3</v>
      </c>
      <c r="AU656" s="1"/>
    </row>
    <row r="657" spans="3:47" x14ac:dyDescent="0.25">
      <c r="C657" s="10">
        <f t="shared" si="798"/>
        <v>47</v>
      </c>
      <c r="D657" s="91">
        <f t="shared" si="781"/>
        <v>3</v>
      </c>
      <c r="E657" s="278"/>
      <c r="F657" s="76">
        <f t="shared" ref="F657:Q657" ca="1" si="844">F585</f>
        <v>-3.52</v>
      </c>
      <c r="G657" s="46">
        <f t="shared" ca="1" si="844"/>
        <v>29.742600000000003</v>
      </c>
      <c r="H657" s="46">
        <f t="shared" ca="1" si="757"/>
        <v>25.787550000000003</v>
      </c>
      <c r="I657" s="45">
        <f t="shared" ca="1" si="758"/>
        <v>1.7216068766348798E-2</v>
      </c>
      <c r="J657" s="45">
        <f t="shared" ca="1" si="759"/>
        <v>0.2911707845539237</v>
      </c>
      <c r="K657" s="45">
        <f t="shared" ca="1" si="775"/>
        <v>0.94109468279262609</v>
      </c>
      <c r="L657" s="358">
        <f t="shared" ca="1" si="760"/>
        <v>0.2510452916114092</v>
      </c>
      <c r="M657" s="76">
        <f t="shared" ca="1" si="844"/>
        <v>0.25347808785320641</v>
      </c>
      <c r="N657" s="45">
        <f t="shared" ca="1" si="844"/>
        <v>0.25</v>
      </c>
      <c r="O657" s="45">
        <f t="shared" ca="1" si="844"/>
        <v>0</v>
      </c>
      <c r="P657" s="46" t="str">
        <f t="shared" ca="1" si="844"/>
        <v/>
      </c>
      <c r="Q657" s="243" t="str">
        <f t="shared" ca="1" si="844"/>
        <v/>
      </c>
      <c r="R657" s="45">
        <f t="shared" ca="1" si="776"/>
        <v>0.2982066649325078</v>
      </c>
      <c r="S657" s="45">
        <f t="shared" ca="1" si="800"/>
        <v>5.0695617570641283E-2</v>
      </c>
      <c r="T657" s="77">
        <f t="shared" ca="1" si="761"/>
        <v>4.2477452355207971E-3</v>
      </c>
      <c r="U657" s="45">
        <f t="shared" ca="1" si="777"/>
        <v>17.594469963082126</v>
      </c>
      <c r="V657" s="45">
        <f t="shared" ca="1" si="762"/>
        <v>0.20278247028256513</v>
      </c>
      <c r="W657" s="77">
        <f t="shared" ca="1" si="763"/>
        <v>7.5710607041502564E-3</v>
      </c>
      <c r="X657" s="45">
        <f t="shared" ca="1" si="778"/>
        <v>1.0202948795217801</v>
      </c>
      <c r="Y657" s="45">
        <f t="shared" ca="1" si="764"/>
        <v>1.1469188733279846E-3</v>
      </c>
      <c r="Z657" s="77">
        <f t="shared" ca="1" si="765"/>
        <v>9.6564342623047721E-4</v>
      </c>
      <c r="AA657" s="45">
        <f t="shared" ca="1" si="779"/>
        <v>39.141328694160805</v>
      </c>
      <c r="AB657" s="45">
        <f t="shared" ca="1" si="766"/>
        <v>0</v>
      </c>
      <c r="AC657" s="45" cm="1">
        <f t="array" aca="1" ref="AC657" ca="1">pHUM*(T657+W657+Z657+AD657)</f>
        <v>1.3493163215623348E-3</v>
      </c>
      <c r="AD657" s="77">
        <f t="shared" ca="1" si="767"/>
        <v>1.1230835646927739E-3</v>
      </c>
      <c r="AE657" s="45">
        <f t="shared" ca="1" si="780"/>
        <v>6.3847072090583081</v>
      </c>
      <c r="AF657" s="45">
        <f t="shared" ca="1" si="768"/>
        <v>0</v>
      </c>
      <c r="AG657" s="76">
        <f t="shared" ca="1" si="769"/>
        <v>64.439007410755522</v>
      </c>
      <c r="AH657" s="45">
        <f t="shared" ca="1" si="770"/>
        <v>1.1411297735703986E-2</v>
      </c>
      <c r="AI657" s="77">
        <f t="shared" ca="1" si="771"/>
        <v>1.3947615707563097E-2</v>
      </c>
      <c r="AJ657" s="384">
        <f t="shared" ca="1" si="773"/>
        <v>1.1631365588135045E-2</v>
      </c>
      <c r="AU657" s="1"/>
    </row>
    <row r="658" spans="3:47" x14ac:dyDescent="0.25">
      <c r="C658" s="10">
        <f t="shared" si="798"/>
        <v>47</v>
      </c>
      <c r="D658" s="91">
        <f t="shared" si="781"/>
        <v>4</v>
      </c>
      <c r="E658" s="278"/>
      <c r="F658" s="76">
        <f t="shared" ref="F658:Q658" ca="1" si="845">F586</f>
        <v>6.08</v>
      </c>
      <c r="G658" s="46">
        <f t="shared" ca="1" si="845"/>
        <v>27.012600000000003</v>
      </c>
      <c r="H658" s="46">
        <f t="shared" ref="H658:H721" ca="1" si="846">FC-G658</f>
        <v>28.517550000000004</v>
      </c>
      <c r="I658" s="45">
        <f t="shared" ref="I658:I721" ca="1" si="847">PRODUCT(47.91/(1+EXP(106.06/(F658+18.27))), IF(IF(H658&lt;=0,1-((1-RM_PWP)*(G658-FC)/(WSAT-FC)),IF(H658&lt;=Wat1bar,1,1-((1-RM_PWP)*(H658-Wat1bar)/(FC-Wat1bar))))&lt;=RM_PWP,RM_PWP,IF(H658&lt;=0,1-((1-RM_PWP)*(G658-FC)/(WSAT-FC)),IF(H658&lt;=Wat1bar,1,1-((1-RM_PWP)*(H658-Wat1bar)/(FC-Wat1bar))))),0.56+(ATAN(3.14*0.45*(SoilpH-5)))/3.14,EXP(-0.09*SoilSal))</f>
        <v>0.26307228538649535</v>
      </c>
      <c r="J658" s="45">
        <f t="shared" ref="J658:J721" ca="1" si="848">POWER(((G658/150)-$J$9),$M$9)*POWER(($L$9-(G658/150)),$N$9)</f>
        <v>0.27952512346894071</v>
      </c>
      <c r="K658" s="45">
        <f t="shared" ca="1" si="775"/>
        <v>0.90345467800480783</v>
      </c>
      <c r="L658" s="358">
        <f t="shared" ref="L658:L721" ca="1" si="849">1/(1+EXP(-(F658-3.8)/6.7))+1/(1+EXP((F658-62.2)/7.1))-1</f>
        <v>0.58389398806465831</v>
      </c>
      <c r="M658" s="76">
        <f t="shared" ca="1" si="845"/>
        <v>0.25347808785320641</v>
      </c>
      <c r="N658" s="45">
        <f t="shared" ca="1" si="845"/>
        <v>0.25</v>
      </c>
      <c r="O658" s="45">
        <f t="shared" ca="1" si="845"/>
        <v>0</v>
      </c>
      <c r="P658" s="46" t="str">
        <f t="shared" ca="1" si="845"/>
        <v/>
      </c>
      <c r="Q658" s="243" t="str">
        <f t="shared" ca="1" si="845"/>
        <v/>
      </c>
      <c r="R658" s="45">
        <f t="shared" ca="1" si="776"/>
        <v>0.34465453726762829</v>
      </c>
      <c r="S658" s="45">
        <f t="shared" ca="1" si="800"/>
        <v>5.0695617570641283E-2</v>
      </c>
      <c r="T658" s="77">
        <f t="shared" ref="T658:T721" ca="1" si="850">R658*(1-EXP(-kDPM*I658))</f>
        <v>6.7848877793297319E-2</v>
      </c>
      <c r="U658" s="45">
        <f t="shared" ca="1" si="777"/>
        <v>17.789681372660539</v>
      </c>
      <c r="V658" s="45">
        <f t="shared" ref="V658:V721" ca="1" si="851">M658*1/(1+N658)</f>
        <v>0.20278247028256513</v>
      </c>
      <c r="W658" s="77">
        <f t="shared" ref="W658:W721" ca="1" si="852">U658*(1-EXP(-kRPM*I658))</f>
        <v>0.11661540451912417</v>
      </c>
      <c r="X658" s="45">
        <f t="shared" ca="1" si="778"/>
        <v>1.0204761549688777</v>
      </c>
      <c r="Y658" s="45">
        <f t="shared" ref="Y658:Y721" ca="1" si="853">pBIO*(T658+W658+Z658+AD658)</f>
        <v>1.7836162482886199E-2</v>
      </c>
      <c r="Z658" s="77">
        <f t="shared" ref="Z658:Z721" ca="1" si="854">X658*(1-EXP(-kBIO*I658))</f>
        <v>1.4658939030520726E-2</v>
      </c>
      <c r="AA658" s="45">
        <f t="shared" ca="1" si="779"/>
        <v>39.141554926917678</v>
      </c>
      <c r="AB658" s="45">
        <f t="shared" ref="AB658:AB721" ca="1" si="855">IF(O658&gt;0,O658*(1-Q658)/(1+P658),0)</f>
        <v>0</v>
      </c>
      <c r="AC658" s="45" cm="1">
        <f t="array" aca="1" ref="AC658" ca="1">pHUM*(T658+W658+Z658+AD658)</f>
        <v>2.0983720568101411E-2</v>
      </c>
      <c r="AD658" s="77">
        <f t="shared" ref="AD658:AD721" ca="1" si="856">AA658*(1-EXP(-kHUM*I658))</f>
        <v>1.7158002076452659E-2</v>
      </c>
      <c r="AE658" s="45">
        <f t="shared" ca="1" si="780"/>
        <v>6.3847072090583081</v>
      </c>
      <c r="AF658" s="45">
        <f t="shared" ref="AF658:AF721" ca="1" si="857">IF(O658&gt;0,O658*Q658,0)</f>
        <v>0</v>
      </c>
      <c r="AG658" s="76">
        <f t="shared" ref="AG658:AG721" ca="1" si="858">R658+U658+X658+AA658+AE658</f>
        <v>64.681074200873027</v>
      </c>
      <c r="AH658" s="45">
        <f t="shared" ref="AH658:AH721" ca="1" si="859">p_CO2*(T658+W658+Z658+AD658)</f>
        <v>0.17746134036840727</v>
      </c>
      <c r="AI658" s="77">
        <f t="shared" ref="AI658:AI721" ca="1" si="860">((kRPM*U658)+(kDPM*R658)+(kBIO*X658)+(kHUM*AA658))/(U658+R658+AA658+X658)</f>
        <v>1.4637554724936816E-2</v>
      </c>
      <c r="AJ658" s="384">
        <f t="shared" ca="1" si="773"/>
        <v>2.7255103663567093E-2</v>
      </c>
      <c r="AU658" s="1"/>
    </row>
    <row r="659" spans="3:47" x14ac:dyDescent="0.25">
      <c r="C659" s="10">
        <f t="shared" si="798"/>
        <v>47</v>
      </c>
      <c r="D659" s="91">
        <f t="shared" si="781"/>
        <v>5</v>
      </c>
      <c r="E659" s="278"/>
      <c r="F659" s="76">
        <f t="shared" ref="F659:Q659" ca="1" si="861">F587</f>
        <v>16.079999999999998</v>
      </c>
      <c r="G659" s="46">
        <f t="shared" ca="1" si="861"/>
        <v>27.012600000000003</v>
      </c>
      <c r="H659" s="46">
        <f t="shared" ca="1" si="846"/>
        <v>28.517550000000004</v>
      </c>
      <c r="I659" s="45">
        <f t="shared" ca="1" si="847"/>
        <v>0.90560233354751607</v>
      </c>
      <c r="J659" s="45">
        <f t="shared" ca="1" si="848"/>
        <v>0.27952512346894071</v>
      </c>
      <c r="K659" s="45">
        <f t="shared" ca="1" si="775"/>
        <v>0.90345467800480783</v>
      </c>
      <c r="L659" s="358">
        <f t="shared" ca="1" si="849"/>
        <v>0.86059167822175908</v>
      </c>
      <c r="M659" s="76">
        <f t="shared" ca="1" si="861"/>
        <v>0.25347808785320641</v>
      </c>
      <c r="N659" s="45">
        <f t="shared" ca="1" si="861"/>
        <v>0.25</v>
      </c>
      <c r="O659" s="45">
        <f t="shared" ca="1" si="861"/>
        <v>0</v>
      </c>
      <c r="P659" s="46" t="str">
        <f t="shared" ca="1" si="861"/>
        <v/>
      </c>
      <c r="Q659" s="243" t="str">
        <f t="shared" ca="1" si="861"/>
        <v/>
      </c>
      <c r="R659" s="45">
        <f t="shared" ca="1" si="776"/>
        <v>0.32750127704497223</v>
      </c>
      <c r="S659" s="45">
        <f t="shared" ca="1" si="800"/>
        <v>5.0695617570641283E-2</v>
      </c>
      <c r="T659" s="77">
        <f t="shared" ca="1" si="850"/>
        <v>0.17352118168479536</v>
      </c>
      <c r="U659" s="45">
        <f t="shared" ca="1" si="777"/>
        <v>17.875848438423979</v>
      </c>
      <c r="V659" s="45">
        <f t="shared" ca="1" si="851"/>
        <v>0.20278247028256513</v>
      </c>
      <c r="W659" s="77">
        <f t="shared" ca="1" si="852"/>
        <v>0.40016329871494122</v>
      </c>
      <c r="X659" s="45">
        <f t="shared" ca="1" si="778"/>
        <v>1.0236533784212432</v>
      </c>
      <c r="Y659" s="45">
        <f t="shared" ca="1" si="853"/>
        <v>5.6280807458304397E-2</v>
      </c>
      <c r="Z659" s="77">
        <f t="shared" ca="1" si="854"/>
        <v>4.9737315416745913E-2</v>
      </c>
      <c r="AA659" s="45">
        <f t="shared" ca="1" si="779"/>
        <v>39.145380645409332</v>
      </c>
      <c r="AB659" s="45">
        <f t="shared" ca="1" si="855"/>
        <v>0</v>
      </c>
      <c r="AC659" s="45" cm="1">
        <f t="array" aca="1" ref="AC659" ca="1">pHUM*(T659+W659+Z659+AD659)</f>
        <v>6.6212714656828708E-2</v>
      </c>
      <c r="AD659" s="77">
        <f t="shared" ca="1" si="856"/>
        <v>5.9039014001379349E-2</v>
      </c>
      <c r="AE659" s="45">
        <f t="shared" ca="1" si="780"/>
        <v>6.3847072090583081</v>
      </c>
      <c r="AF659" s="45">
        <f t="shared" ca="1" si="857"/>
        <v>0</v>
      </c>
      <c r="AG659" s="76">
        <f t="shared" ca="1" si="858"/>
        <v>64.757090948357842</v>
      </c>
      <c r="AH659" s="45">
        <f t="shared" ca="1" si="859"/>
        <v>0.55996728770272863</v>
      </c>
      <c r="AI659" s="77">
        <f t="shared" ca="1" si="860"/>
        <v>1.4413616933615338E-2</v>
      </c>
      <c r="AJ659" s="384">
        <f t="shared" ref="AJ659:AJ722" ca="1" si="862">(530)*(1-EXP((-$AJ$9*L659*K659*AI659)))</f>
        <v>3.9555818977315971E-2</v>
      </c>
      <c r="AU659" s="1"/>
    </row>
    <row r="660" spans="3:47" x14ac:dyDescent="0.25">
      <c r="C660" s="10">
        <f t="shared" si="798"/>
        <v>47</v>
      </c>
      <c r="D660" s="91">
        <f t="shared" si="781"/>
        <v>6</v>
      </c>
      <c r="E660" s="278"/>
      <c r="F660" s="76">
        <f t="shared" ref="F660:Q660" ca="1" si="863">F588</f>
        <v>17.399999999999999</v>
      </c>
      <c r="G660" s="46">
        <f t="shared" ca="1" si="863"/>
        <v>27.012600000000003</v>
      </c>
      <c r="H660" s="46">
        <f t="shared" ca="1" si="846"/>
        <v>28.517550000000004</v>
      </c>
      <c r="I660" s="45">
        <f t="shared" ca="1" si="847"/>
        <v>1.0098878501236044</v>
      </c>
      <c r="J660" s="45">
        <f t="shared" ca="1" si="848"/>
        <v>0.27952512346894071</v>
      </c>
      <c r="K660" s="45">
        <f t="shared" ref="K660:K723" ca="1" si="864">J660/$I$15</f>
        <v>0.90345467800480783</v>
      </c>
      <c r="L660" s="358">
        <f t="shared" ca="1" si="849"/>
        <v>0.88208077264421947</v>
      </c>
      <c r="M660" s="76">
        <f t="shared" ca="1" si="863"/>
        <v>0.25347808785320641</v>
      </c>
      <c r="N660" s="45">
        <f t="shared" ca="1" si="863"/>
        <v>0.25</v>
      </c>
      <c r="O660" s="45">
        <f t="shared" ca="1" si="863"/>
        <v>0</v>
      </c>
      <c r="P660" s="46" t="str">
        <f t="shared" ca="1" si="863"/>
        <v/>
      </c>
      <c r="Q660" s="243" t="str">
        <f t="shared" ca="1" si="863"/>
        <v/>
      </c>
      <c r="R660" s="45">
        <f t="shared" ref="R660:R723" ca="1" si="865">R659+S660-T659</f>
        <v>0.20467571293081815</v>
      </c>
      <c r="S660" s="45">
        <f t="shared" ca="1" si="800"/>
        <v>5.0695617570641283E-2</v>
      </c>
      <c r="T660" s="77">
        <f t="shared" ca="1" si="850"/>
        <v>0.11645395421434461</v>
      </c>
      <c r="U660" s="45">
        <f t="shared" ref="U660:U723" ca="1" si="866">U659+V660-W659</f>
        <v>17.678467609991603</v>
      </c>
      <c r="V660" s="45">
        <f t="shared" ca="1" si="851"/>
        <v>0.20278247028256513</v>
      </c>
      <c r="W660" s="77">
        <f t="shared" ca="1" si="852"/>
        <v>0.44074454775519833</v>
      </c>
      <c r="X660" s="45">
        <f t="shared" ref="X660:X723" ca="1" si="867">X659+Y659-Z659</f>
        <v>1.0301968704628015</v>
      </c>
      <c r="Y660" s="45">
        <f t="shared" ca="1" si="853"/>
        <v>5.5970953009188508E-2</v>
      </c>
      <c r="Z660" s="77">
        <f t="shared" ca="1" si="854"/>
        <v>5.5660960814484878E-2</v>
      </c>
      <c r="AA660" s="45">
        <f t="shared" ref="AA660:AA723" ca="1" si="868">AA659+AC659+AB660-AD659</f>
        <v>39.152554346064782</v>
      </c>
      <c r="AB660" s="45">
        <f t="shared" ca="1" si="855"/>
        <v>0</v>
      </c>
      <c r="AC660" s="45" cm="1">
        <f t="array" aca="1" ref="AC660" ca="1">pHUM*(T660+W660+Z660+AD660)</f>
        <v>6.5848180010810012E-2</v>
      </c>
      <c r="AD660" s="77">
        <f t="shared" ca="1" si="856"/>
        <v>6.5844053423113072E-2</v>
      </c>
      <c r="AE660" s="45">
        <f t="shared" ref="AE660:AE723" ca="1" si="869">AE659+AF660</f>
        <v>6.3847072090583081</v>
      </c>
      <c r="AF660" s="45">
        <f t="shared" ca="1" si="857"/>
        <v>0</v>
      </c>
      <c r="AG660" s="76">
        <f t="shared" ca="1" si="858"/>
        <v>64.450601748508319</v>
      </c>
      <c r="AH660" s="45">
        <f t="shared" ca="1" si="859"/>
        <v>0.5568843831871424</v>
      </c>
      <c r="AI660" s="77">
        <f t="shared" ca="1" si="860"/>
        <v>1.2648386377285924E-2</v>
      </c>
      <c r="AJ660" s="384">
        <f t="shared" ca="1" si="862"/>
        <v>3.5578314661944832E-2</v>
      </c>
      <c r="AU660" s="1"/>
    </row>
    <row r="661" spans="3:47" x14ac:dyDescent="0.25">
      <c r="C661" s="10">
        <f t="shared" si="798"/>
        <v>47</v>
      </c>
      <c r="D661" s="91">
        <f t="shared" ref="D661:D724" si="870">IF(D660+1&lt;13,D660+1,1)</f>
        <v>7</v>
      </c>
      <c r="E661" s="278"/>
      <c r="F661" s="76">
        <f t="shared" ref="F661:Q661" ca="1" si="871">F589</f>
        <v>21.29</v>
      </c>
      <c r="G661" s="46">
        <f t="shared" ca="1" si="871"/>
        <v>27.012600000000003</v>
      </c>
      <c r="H661" s="46">
        <f t="shared" ca="1" si="846"/>
        <v>28.517550000000004</v>
      </c>
      <c r="I661" s="45">
        <f t="shared" ca="1" si="847"/>
        <v>1.3308669995183955</v>
      </c>
      <c r="J661" s="45">
        <f t="shared" ca="1" si="848"/>
        <v>0.27952512346894071</v>
      </c>
      <c r="K661" s="45">
        <f t="shared" ca="1" si="864"/>
        <v>0.90345467800480783</v>
      </c>
      <c r="L661" s="358">
        <f t="shared" ca="1" si="849"/>
        <v>0.92839591561968593</v>
      </c>
      <c r="M661" s="76">
        <f t="shared" ca="1" si="871"/>
        <v>0.25347808785320641</v>
      </c>
      <c r="N661" s="45">
        <f t="shared" ca="1" si="871"/>
        <v>0.25</v>
      </c>
      <c r="O661" s="45">
        <f t="shared" ca="1" si="871"/>
        <v>0</v>
      </c>
      <c r="P661" s="46" t="str">
        <f t="shared" ca="1" si="871"/>
        <v/>
      </c>
      <c r="Q661" s="243" t="str">
        <f t="shared" ca="1" si="871"/>
        <v/>
      </c>
      <c r="R661" s="45">
        <f t="shared" ca="1" si="865"/>
        <v>0.13891737628711481</v>
      </c>
      <c r="S661" s="45">
        <f t="shared" ca="1" si="800"/>
        <v>5.0695617570641283E-2</v>
      </c>
      <c r="T661" s="77">
        <f t="shared" ca="1" si="850"/>
        <v>9.3092664317525969E-2</v>
      </c>
      <c r="U661" s="45">
        <f t="shared" ca="1" si="866"/>
        <v>17.440505532518969</v>
      </c>
      <c r="V661" s="45">
        <f t="shared" ca="1" si="851"/>
        <v>0.20278247028256513</v>
      </c>
      <c r="W661" s="77">
        <f t="shared" ca="1" si="852"/>
        <v>0.57072765039678497</v>
      </c>
      <c r="X661" s="45">
        <f t="shared" ca="1" si="867"/>
        <v>1.0305068626575051</v>
      </c>
      <c r="Y661" s="45">
        <f t="shared" ca="1" si="853"/>
        <v>6.7895869673049544E-2</v>
      </c>
      <c r="Z661" s="77">
        <f t="shared" ca="1" si="854"/>
        <v>7.2736183370938359E-2</v>
      </c>
      <c r="AA661" s="45">
        <f t="shared" ca="1" si="868"/>
        <v>39.15255847265248</v>
      </c>
      <c r="AB661" s="45">
        <f t="shared" ca="1" si="855"/>
        <v>0</v>
      </c>
      <c r="AC661" s="45" cm="1">
        <f t="array" aca="1" ref="AC661" ca="1">pHUM*(T661+W661+Z661+AD661)</f>
        <v>7.9877493732999461E-2</v>
      </c>
      <c r="AD661" s="77">
        <f t="shared" ca="1" si="856"/>
        <v>8.67485021972286E-2</v>
      </c>
      <c r="AE661" s="45">
        <f t="shared" ca="1" si="869"/>
        <v>6.3847072090583081</v>
      </c>
      <c r="AF661" s="45">
        <f t="shared" ca="1" si="857"/>
        <v>0</v>
      </c>
      <c r="AG661" s="76">
        <f t="shared" ca="1" si="858"/>
        <v>64.147195453174376</v>
      </c>
      <c r="AH661" s="45">
        <f t="shared" ca="1" si="859"/>
        <v>0.67553163687642892</v>
      </c>
      <c r="AI661" s="77">
        <f t="shared" ca="1" si="860"/>
        <v>1.1663439034555677E-2</v>
      </c>
      <c r="AJ661" s="384">
        <f t="shared" ca="1" si="862"/>
        <v>3.4530444315340469E-2</v>
      </c>
      <c r="AU661" s="1"/>
    </row>
    <row r="662" spans="3:47" x14ac:dyDescent="0.25">
      <c r="C662" s="10">
        <f t="shared" si="798"/>
        <v>47</v>
      </c>
      <c r="D662" s="91">
        <f t="shared" si="870"/>
        <v>8</v>
      </c>
      <c r="E662" s="278"/>
      <c r="F662" s="76">
        <f t="shared" ref="F662:Q662" ca="1" si="872">F590</f>
        <v>21.81</v>
      </c>
      <c r="G662" s="46">
        <f t="shared" ca="1" si="872"/>
        <v>27.012600000000003</v>
      </c>
      <c r="H662" s="46">
        <f t="shared" ca="1" si="846"/>
        <v>28.517550000000004</v>
      </c>
      <c r="I662" s="45">
        <f t="shared" ca="1" si="847"/>
        <v>1.3748539373542934</v>
      </c>
      <c r="J662" s="45">
        <f t="shared" ca="1" si="848"/>
        <v>0.27952512346894071</v>
      </c>
      <c r="K662" s="45">
        <f t="shared" ca="1" si="864"/>
        <v>0.90345467800480783</v>
      </c>
      <c r="L662" s="358">
        <f t="shared" ca="1" si="849"/>
        <v>0.93294591915671865</v>
      </c>
      <c r="M662" s="76">
        <f t="shared" ca="1" si="872"/>
        <v>0.25347808785320641</v>
      </c>
      <c r="N662" s="45">
        <f t="shared" ca="1" si="872"/>
        <v>0.25</v>
      </c>
      <c r="O662" s="45">
        <f t="shared" ca="1" si="872"/>
        <v>0</v>
      </c>
      <c r="P662" s="46" t="str">
        <f t="shared" ca="1" si="872"/>
        <v/>
      </c>
      <c r="Q662" s="243" t="str">
        <f t="shared" ca="1" si="872"/>
        <v/>
      </c>
      <c r="R662" s="45">
        <f t="shared" ca="1" si="865"/>
        <v>9.6520329540230126E-2</v>
      </c>
      <c r="S662" s="45">
        <f t="shared" ca="1" si="800"/>
        <v>5.0695617570641283E-2</v>
      </c>
      <c r="T662" s="77">
        <f t="shared" ca="1" si="850"/>
        <v>6.5827101645662786E-2</v>
      </c>
      <c r="U662" s="45">
        <f t="shared" ca="1" si="866"/>
        <v>17.07256035240475</v>
      </c>
      <c r="V662" s="45">
        <f t="shared" ca="1" si="851"/>
        <v>0.20278247028256513</v>
      </c>
      <c r="W662" s="77">
        <f t="shared" ca="1" si="852"/>
        <v>0.57683680318972519</v>
      </c>
      <c r="X662" s="45">
        <f t="shared" ca="1" si="867"/>
        <v>1.0256665489596164</v>
      </c>
      <c r="Y662" s="45">
        <f t="shared" ca="1" si="853"/>
        <v>6.654781842627365E-2</v>
      </c>
      <c r="Z662" s="77">
        <f t="shared" ca="1" si="854"/>
        <v>7.4697985844296252E-2</v>
      </c>
      <c r="AA662" s="45">
        <f t="shared" ca="1" si="868"/>
        <v>39.145687464188249</v>
      </c>
      <c r="AB662" s="45">
        <f t="shared" ca="1" si="855"/>
        <v>0</v>
      </c>
      <c r="AC662" s="45" cm="1">
        <f t="array" aca="1" ref="AC662" ca="1">pHUM*(T662+W662+Z662+AD662)</f>
        <v>7.8291551089733707E-2</v>
      </c>
      <c r="AD662" s="77">
        <f t="shared" ca="1" si="856"/>
        <v>8.9596646446020028E-2</v>
      </c>
      <c r="AE662" s="45">
        <f t="shared" ca="1" si="869"/>
        <v>6.3847072090583081</v>
      </c>
      <c r="AF662" s="45">
        <f t="shared" ca="1" si="857"/>
        <v>0</v>
      </c>
      <c r="AG662" s="76">
        <f t="shared" ca="1" si="858"/>
        <v>63.725141904151151</v>
      </c>
      <c r="AH662" s="45">
        <f t="shared" ca="1" si="859"/>
        <v>0.66211916760969691</v>
      </c>
      <c r="AI662" s="77">
        <f t="shared" ca="1" si="860"/>
        <v>1.0967863999245616E-2</v>
      </c>
      <c r="AJ662" s="384">
        <f t="shared" ca="1" si="862"/>
        <v>3.2630342049225769E-2</v>
      </c>
      <c r="AU662" s="1"/>
    </row>
    <row r="663" spans="3:47" x14ac:dyDescent="0.25">
      <c r="C663" s="10">
        <f t="shared" si="798"/>
        <v>47</v>
      </c>
      <c r="D663" s="91">
        <f t="shared" si="870"/>
        <v>9</v>
      </c>
      <c r="E663" s="278"/>
      <c r="F663" s="76">
        <f t="shared" ref="F663:Q663" ca="1" si="873">F591</f>
        <v>19.09</v>
      </c>
      <c r="G663" s="46">
        <f t="shared" ca="1" si="873"/>
        <v>27.012600000000003</v>
      </c>
      <c r="H663" s="46">
        <f t="shared" ca="1" si="846"/>
        <v>28.517550000000004</v>
      </c>
      <c r="I663" s="45">
        <f t="shared" ca="1" si="847"/>
        <v>1.1472439462064867</v>
      </c>
      <c r="J663" s="45">
        <f t="shared" ca="1" si="848"/>
        <v>0.27952512346894071</v>
      </c>
      <c r="K663" s="45">
        <f t="shared" ca="1" si="864"/>
        <v>0.90345467800480783</v>
      </c>
      <c r="L663" s="358">
        <f t="shared" ca="1" si="849"/>
        <v>0.90508116523032656</v>
      </c>
      <c r="M663" s="76">
        <f t="shared" ca="1" si="873"/>
        <v>0.25347808785320641</v>
      </c>
      <c r="N663" s="45">
        <f t="shared" ca="1" si="873"/>
        <v>0.25</v>
      </c>
      <c r="O663" s="45">
        <f t="shared" ca="1" si="873"/>
        <v>0</v>
      </c>
      <c r="P663" s="46" t="str">
        <f t="shared" ca="1" si="873"/>
        <v/>
      </c>
      <c r="Q663" s="243" t="str">
        <f t="shared" ca="1" si="873"/>
        <v/>
      </c>
      <c r="R663" s="45">
        <f t="shared" ca="1" si="865"/>
        <v>8.1388845465208623E-2</v>
      </c>
      <c r="S663" s="45">
        <f t="shared" ca="1" si="800"/>
        <v>5.0695617570641283E-2</v>
      </c>
      <c r="T663" s="77">
        <f t="shared" ca="1" si="850"/>
        <v>5.0101878867953413E-2</v>
      </c>
      <c r="U663" s="45">
        <f t="shared" ca="1" si="866"/>
        <v>16.698506019497589</v>
      </c>
      <c r="V663" s="45">
        <f t="shared" ca="1" si="851"/>
        <v>0.20278247028256513</v>
      </c>
      <c r="W663" s="77">
        <f t="shared" ca="1" si="852"/>
        <v>0.47212855157447142</v>
      </c>
      <c r="X663" s="45">
        <f t="shared" ca="1" si="867"/>
        <v>1.0175163815415937</v>
      </c>
      <c r="Y663" s="45">
        <f t="shared" ca="1" si="853"/>
        <v>5.4363106847319848E-2</v>
      </c>
      <c r="Z663" s="77">
        <f t="shared" ca="1" si="854"/>
        <v>6.2220037787714386E-2</v>
      </c>
      <c r="AA663" s="45">
        <f t="shared" ca="1" si="868"/>
        <v>39.134382368831965</v>
      </c>
      <c r="AB663" s="45">
        <f t="shared" ca="1" si="855"/>
        <v>0</v>
      </c>
      <c r="AC663" s="45" cm="1">
        <f t="array" aca="1" ref="AC663" ca="1">pHUM*(T663+W663+Z663+AD663)</f>
        <v>6.3956596290964521E-2</v>
      </c>
      <c r="AD663" s="77">
        <f t="shared" ca="1" si="856"/>
        <v>7.4756312886547382E-2</v>
      </c>
      <c r="AE663" s="45">
        <f t="shared" ca="1" si="869"/>
        <v>6.3847072090583081</v>
      </c>
      <c r="AF663" s="45">
        <f t="shared" ca="1" si="857"/>
        <v>0</v>
      </c>
      <c r="AG663" s="76">
        <f t="shared" ca="1" si="858"/>
        <v>63.316500824394666</v>
      </c>
      <c r="AH663" s="45">
        <f t="shared" ca="1" si="859"/>
        <v>0.54088707797840219</v>
      </c>
      <c r="AI663" s="77">
        <f t="shared" ca="1" si="860"/>
        <v>1.0652642775885571E-2</v>
      </c>
      <c r="AJ663" s="384">
        <f t="shared" ca="1" si="862"/>
        <v>3.0746009953304121E-2</v>
      </c>
      <c r="AU663" s="1"/>
    </row>
    <row r="664" spans="3:47" x14ac:dyDescent="0.25">
      <c r="C664" s="10">
        <f t="shared" si="798"/>
        <v>47</v>
      </c>
      <c r="D664" s="91">
        <f t="shared" si="870"/>
        <v>10</v>
      </c>
      <c r="E664" s="278"/>
      <c r="F664" s="76">
        <f t="shared" ref="F664:Q664" ca="1" si="874">F592</f>
        <v>9.02</v>
      </c>
      <c r="G664" s="46">
        <f t="shared" ca="1" si="874"/>
        <v>27.012600000000003</v>
      </c>
      <c r="H664" s="46">
        <f t="shared" ca="1" si="846"/>
        <v>28.517550000000004</v>
      </c>
      <c r="I664" s="45">
        <f t="shared" ca="1" si="847"/>
        <v>0.41742778729268759</v>
      </c>
      <c r="J664" s="45">
        <f t="shared" ca="1" si="848"/>
        <v>0.27952512346894071</v>
      </c>
      <c r="K664" s="45">
        <f t="shared" ca="1" si="864"/>
        <v>0.90345467800480783</v>
      </c>
      <c r="L664" s="358">
        <f t="shared" ca="1" si="849"/>
        <v>0.68492882381082199</v>
      </c>
      <c r="M664" s="76">
        <f t="shared" ca="1" si="874"/>
        <v>0.25347808785320641</v>
      </c>
      <c r="N664" s="45">
        <f t="shared" ca="1" si="874"/>
        <v>0.25</v>
      </c>
      <c r="O664" s="45">
        <f t="shared" ca="1" si="874"/>
        <v>0</v>
      </c>
      <c r="P664" s="46" t="str">
        <f t="shared" ca="1" si="874"/>
        <v/>
      </c>
      <c r="Q664" s="243" t="str">
        <f t="shared" ca="1" si="874"/>
        <v/>
      </c>
      <c r="R664" s="45">
        <f t="shared" ca="1" si="865"/>
        <v>8.1982584167896499E-2</v>
      </c>
      <c r="S664" s="45">
        <f t="shared" ca="1" si="800"/>
        <v>5.0695617570641283E-2</v>
      </c>
      <c r="T664" s="77">
        <f t="shared" ca="1" si="850"/>
        <v>2.4086465507844296E-2</v>
      </c>
      <c r="U664" s="45">
        <f t="shared" ca="1" si="866"/>
        <v>16.429159938205682</v>
      </c>
      <c r="V664" s="45">
        <f t="shared" ca="1" si="851"/>
        <v>0.20278247028256513</v>
      </c>
      <c r="W664" s="77">
        <f t="shared" ca="1" si="852"/>
        <v>0.17055820247298373</v>
      </c>
      <c r="X664" s="45">
        <f t="shared" ca="1" si="867"/>
        <v>1.0096594506011991</v>
      </c>
      <c r="Y664" s="45">
        <f t="shared" ca="1" si="853"/>
        <v>2.0185577025215885E-2</v>
      </c>
      <c r="Z664" s="77">
        <f t="shared" ca="1" si="854"/>
        <v>2.2916227072187927E-2</v>
      </c>
      <c r="AA664" s="45">
        <f t="shared" ca="1" si="868"/>
        <v>39.123582652236379</v>
      </c>
      <c r="AB664" s="45">
        <f t="shared" ca="1" si="855"/>
        <v>0</v>
      </c>
      <c r="AC664" s="45" cm="1">
        <f t="array" aca="1" ref="AC664" ca="1">pHUM*(T664+W664+Z664+AD664)</f>
        <v>2.374773767672457E-2</v>
      </c>
      <c r="AD664" s="77">
        <f t="shared" ca="1" si="856"/>
        <v>2.7209318193755584E-2</v>
      </c>
      <c r="AE664" s="45">
        <f t="shared" ca="1" si="869"/>
        <v>6.3847072090583081</v>
      </c>
      <c r="AF664" s="45">
        <f t="shared" ca="1" si="857"/>
        <v>0</v>
      </c>
      <c r="AG664" s="76">
        <f t="shared" ca="1" si="858"/>
        <v>63.029091834269465</v>
      </c>
      <c r="AH664" s="45">
        <f t="shared" ca="1" si="859"/>
        <v>0.20083689854483111</v>
      </c>
      <c r="AI664" s="77">
        <f t="shared" ca="1" si="860"/>
        <v>1.058860579797404E-2</v>
      </c>
      <c r="AJ664" s="384">
        <f t="shared" ca="1" si="862"/>
        <v>2.3127634600580427E-2</v>
      </c>
      <c r="AU664" s="1"/>
    </row>
    <row r="665" spans="3:47" x14ac:dyDescent="0.25">
      <c r="C665" s="10">
        <f t="shared" si="798"/>
        <v>47</v>
      </c>
      <c r="D665" s="91">
        <f t="shared" si="870"/>
        <v>11</v>
      </c>
      <c r="E665" s="278"/>
      <c r="F665" s="76">
        <f t="shared" ref="F665:Q665" ca="1" si="875">F593</f>
        <v>5.62</v>
      </c>
      <c r="G665" s="46">
        <f t="shared" ca="1" si="875"/>
        <v>27.012600000000003</v>
      </c>
      <c r="H665" s="46">
        <f t="shared" ca="1" si="846"/>
        <v>28.517550000000004</v>
      </c>
      <c r="I665" s="45">
        <f t="shared" ca="1" si="847"/>
        <v>0.24215575259059691</v>
      </c>
      <c r="J665" s="45">
        <f t="shared" ca="1" si="848"/>
        <v>0.27952512346894071</v>
      </c>
      <c r="K665" s="45">
        <f t="shared" ca="1" si="864"/>
        <v>0.90345467800480783</v>
      </c>
      <c r="L665" s="358">
        <f t="shared" ca="1" si="849"/>
        <v>0.5671500175141555</v>
      </c>
      <c r="M665" s="76">
        <f t="shared" ca="1" si="875"/>
        <v>0.25347808785320641</v>
      </c>
      <c r="N665" s="45">
        <f t="shared" ca="1" si="875"/>
        <v>0.25</v>
      </c>
      <c r="O665" s="45">
        <f t="shared" ca="1" si="875"/>
        <v>0</v>
      </c>
      <c r="P665" s="46" t="str">
        <f t="shared" ca="1" si="875"/>
        <v/>
      </c>
      <c r="Q665" s="243" t="str">
        <f t="shared" ca="1" si="875"/>
        <v/>
      </c>
      <c r="R665" s="45">
        <f t="shared" ca="1" si="865"/>
        <v>0.10859173623069349</v>
      </c>
      <c r="S665" s="45">
        <f t="shared" ca="1" si="800"/>
        <v>5.0695617570641283E-2</v>
      </c>
      <c r="T665" s="77">
        <f t="shared" ca="1" si="850"/>
        <v>1.9843917491017132E-2</v>
      </c>
      <c r="U665" s="45">
        <f t="shared" ca="1" si="866"/>
        <v>16.461384206015264</v>
      </c>
      <c r="V665" s="45">
        <f t="shared" ca="1" si="851"/>
        <v>0.20278247028256513</v>
      </c>
      <c r="W665" s="77">
        <f t="shared" ca="1" si="852"/>
        <v>9.9354428006937834E-2</v>
      </c>
      <c r="X665" s="45">
        <f t="shared" ca="1" si="867"/>
        <v>1.0069288005542272</v>
      </c>
      <c r="Y665" s="45">
        <f t="shared" ca="1" si="853"/>
        <v>1.2230393962879216E-2</v>
      </c>
      <c r="Z665" s="77">
        <f t="shared" ca="1" si="854"/>
        <v>1.3321936609560445E-2</v>
      </c>
      <c r="AA665" s="45">
        <f t="shared" ca="1" si="868"/>
        <v>39.120121071719346</v>
      </c>
      <c r="AB665" s="45">
        <f t="shared" ca="1" si="855"/>
        <v>0</v>
      </c>
      <c r="AC665" s="45" cm="1">
        <f t="array" aca="1" ref="AC665" ca="1">pHUM*(T665+W665+Z665+AD665)</f>
        <v>1.4388698779857902E-2</v>
      </c>
      <c r="AD665" s="77">
        <f t="shared" ca="1" si="856"/>
        <v>1.5785418276789358E-2</v>
      </c>
      <c r="AE665" s="45">
        <f t="shared" ca="1" si="869"/>
        <v>6.3847072090583081</v>
      </c>
      <c r="AF665" s="45">
        <f t="shared" ca="1" si="857"/>
        <v>0</v>
      </c>
      <c r="AG665" s="76">
        <f t="shared" ca="1" si="858"/>
        <v>63.08173302357784</v>
      </c>
      <c r="AH665" s="45">
        <f t="shared" ca="1" si="859"/>
        <v>0.12168660764156766</v>
      </c>
      <c r="AI665" s="77">
        <f t="shared" ca="1" si="860"/>
        <v>1.0981334480038936E-2</v>
      </c>
      <c r="AJ665" s="384">
        <f t="shared" ca="1" si="862"/>
        <v>1.986101329185308E-2</v>
      </c>
      <c r="AU665" s="1"/>
    </row>
    <row r="666" spans="3:47" x14ac:dyDescent="0.25">
      <c r="C666" s="10">
        <f t="shared" si="798"/>
        <v>47</v>
      </c>
      <c r="D666" s="91">
        <f t="shared" si="870"/>
        <v>12</v>
      </c>
      <c r="E666" s="278"/>
      <c r="F666" s="76">
        <f t="shared" ref="F666:Q666" ca="1" si="876">F594</f>
        <v>3.68</v>
      </c>
      <c r="G666" s="46">
        <f t="shared" ca="1" si="876"/>
        <v>27.012600000000003</v>
      </c>
      <c r="H666" s="46">
        <f t="shared" ca="1" si="846"/>
        <v>28.517550000000004</v>
      </c>
      <c r="I666" s="45">
        <f t="shared" ca="1" si="847"/>
        <v>0.16418562454767627</v>
      </c>
      <c r="J666" s="45">
        <f t="shared" ca="1" si="848"/>
        <v>0.27952512346894071</v>
      </c>
      <c r="K666" s="45">
        <f t="shared" ca="1" si="864"/>
        <v>0.90345467800480783</v>
      </c>
      <c r="L666" s="358">
        <f t="shared" ca="1" si="849"/>
        <v>0.49525928680467546</v>
      </c>
      <c r="M666" s="76">
        <f t="shared" ca="1" si="876"/>
        <v>0.25347808785320641</v>
      </c>
      <c r="N666" s="45">
        <f t="shared" ca="1" si="876"/>
        <v>0.25</v>
      </c>
      <c r="O666" s="45">
        <f t="shared" ca="1" si="876"/>
        <v>0</v>
      </c>
      <c r="P666" s="46" t="str">
        <f t="shared" ca="1" si="876"/>
        <v/>
      </c>
      <c r="Q666" s="243" t="str">
        <f t="shared" ca="1" si="876"/>
        <v/>
      </c>
      <c r="R666" s="45">
        <f t="shared" ca="1" si="865"/>
        <v>0.13944343631031764</v>
      </c>
      <c r="S666" s="45">
        <f t="shared" ca="1" si="800"/>
        <v>5.0695617570641283E-2</v>
      </c>
      <c r="T666" s="77">
        <f t="shared" ca="1" si="850"/>
        <v>1.7831187991366577E-2</v>
      </c>
      <c r="U666" s="45">
        <f t="shared" ca="1" si="866"/>
        <v>16.564812248290892</v>
      </c>
      <c r="V666" s="45">
        <f t="shared" ca="1" si="851"/>
        <v>0.20278247028256513</v>
      </c>
      <c r="W666" s="77">
        <f t="shared" ca="1" si="852"/>
        <v>6.7853249244848368E-2</v>
      </c>
      <c r="X666" s="45">
        <f t="shared" ca="1" si="867"/>
        <v>1.0058372579075459</v>
      </c>
      <c r="Y666" s="45">
        <f t="shared" ca="1" si="853"/>
        <v>8.6945077214556632E-3</v>
      </c>
      <c r="Z666" s="77">
        <f t="shared" ca="1" si="854"/>
        <v>9.0420338377416431E-3</v>
      </c>
      <c r="AA666" s="45">
        <f t="shared" ca="1" si="868"/>
        <v>39.118724352222415</v>
      </c>
      <c r="AB666" s="45">
        <f t="shared" ca="1" si="855"/>
        <v>0</v>
      </c>
      <c r="AC666" s="45" cm="1">
        <f t="array" aca="1" ref="AC666" ca="1">pHUM*(T666+W666+Z666+AD666)</f>
        <v>1.022883261347725E-2</v>
      </c>
      <c r="AD666" s="77">
        <f t="shared" ca="1" si="856"/>
        <v>1.0703089170861017E-2</v>
      </c>
      <c r="AE666" s="45">
        <f t="shared" ca="1" si="869"/>
        <v>6.3847072090583081</v>
      </c>
      <c r="AF666" s="45">
        <f t="shared" ca="1" si="857"/>
        <v>0</v>
      </c>
      <c r="AG666" s="76">
        <f t="shared" ca="1" si="858"/>
        <v>63.213524503789472</v>
      </c>
      <c r="AH666" s="45">
        <f t="shared" ca="1" si="859"/>
        <v>8.6506219909884705E-2</v>
      </c>
      <c r="AI666" s="77">
        <f t="shared" ca="1" si="860"/>
        <v>1.1452677072778559E-2</v>
      </c>
      <c r="AJ666" s="384">
        <f t="shared" ca="1" si="862"/>
        <v>1.8087923058183186E-2</v>
      </c>
      <c r="AU666" s="1"/>
    </row>
    <row r="667" spans="3:47" x14ac:dyDescent="0.25">
      <c r="C667" s="10">
        <f t="shared" si="798"/>
        <v>48</v>
      </c>
      <c r="D667" s="91">
        <f t="shared" si="870"/>
        <v>1</v>
      </c>
      <c r="E667" s="278"/>
      <c r="F667" s="76">
        <f t="shared" ref="F667:Q667" si="877">F595</f>
        <v>0.85587096774193583</v>
      </c>
      <c r="G667" s="46">
        <f t="shared" si="877"/>
        <v>78.439554282868485</v>
      </c>
      <c r="H667" s="46">
        <f t="shared" si="846"/>
        <v>-22.909404282868479</v>
      </c>
      <c r="I667" s="45">
        <f t="shared" si="847"/>
        <v>0</v>
      </c>
      <c r="J667" s="45">
        <f t="shared" si="848"/>
        <v>0.23072180944359474</v>
      </c>
      <c r="K667" s="45">
        <f t="shared" ca="1" si="864"/>
        <v>0.74571722023659515</v>
      </c>
      <c r="L667" s="358">
        <f t="shared" si="849"/>
        <v>0.39170179323548027</v>
      </c>
      <c r="M667" s="76">
        <f t="shared" ca="1" si="877"/>
        <v>0.25347808785320641</v>
      </c>
      <c r="N667" s="45">
        <f t="shared" ca="1" si="877"/>
        <v>0.25</v>
      </c>
      <c r="O667" s="45">
        <f t="shared" ca="1" si="877"/>
        <v>0</v>
      </c>
      <c r="P667" s="46" t="str">
        <f t="shared" ca="1" si="877"/>
        <v/>
      </c>
      <c r="Q667" s="243" t="str">
        <f t="shared" ca="1" si="877"/>
        <v/>
      </c>
      <c r="R667" s="45">
        <f t="shared" ca="1" si="865"/>
        <v>0.17230786588959235</v>
      </c>
      <c r="S667" s="45">
        <f t="shared" ca="1" si="800"/>
        <v>5.0695617570641283E-2</v>
      </c>
      <c r="T667" s="77">
        <f t="shared" ca="1" si="850"/>
        <v>0</v>
      </c>
      <c r="U667" s="45">
        <f t="shared" ca="1" si="866"/>
        <v>16.699741469328607</v>
      </c>
      <c r="V667" s="45">
        <f t="shared" ca="1" si="851"/>
        <v>0.20278247028256513</v>
      </c>
      <c r="W667" s="77">
        <f t="shared" ca="1" si="852"/>
        <v>0</v>
      </c>
      <c r="X667" s="45">
        <f t="shared" ca="1" si="867"/>
        <v>1.0054897317912599</v>
      </c>
      <c r="Y667" s="45">
        <f t="shared" ca="1" si="853"/>
        <v>0</v>
      </c>
      <c r="Z667" s="77">
        <f t="shared" ca="1" si="854"/>
        <v>0</v>
      </c>
      <c r="AA667" s="45">
        <f t="shared" ca="1" si="868"/>
        <v>39.118250095665033</v>
      </c>
      <c r="AB667" s="45">
        <f t="shared" ca="1" si="855"/>
        <v>0</v>
      </c>
      <c r="AC667" s="45" cm="1">
        <f t="array" aca="1" ref="AC667" ca="1">pHUM*(T667+W667+Z667+AD667)</f>
        <v>0</v>
      </c>
      <c r="AD667" s="77">
        <f t="shared" ca="1" si="856"/>
        <v>0</v>
      </c>
      <c r="AE667" s="45">
        <f t="shared" ca="1" si="869"/>
        <v>6.3847072090583081</v>
      </c>
      <c r="AF667" s="45">
        <f t="shared" ca="1" si="857"/>
        <v>0</v>
      </c>
      <c r="AG667" s="76">
        <f t="shared" ca="1" si="858"/>
        <v>63.380496371732804</v>
      </c>
      <c r="AH667" s="45">
        <f t="shared" ca="1" si="859"/>
        <v>0</v>
      </c>
      <c r="AI667" s="77">
        <f t="shared" ca="1" si="860"/>
        <v>1.1958470155935529E-2</v>
      </c>
      <c r="AJ667" s="384">
        <f t="shared" ca="1" si="862"/>
        <v>1.2329640189062685E-2</v>
      </c>
      <c r="AU667" s="1"/>
    </row>
    <row r="668" spans="3:47" x14ac:dyDescent="0.25">
      <c r="C668" s="10">
        <f t="shared" si="798"/>
        <v>48</v>
      </c>
      <c r="D668" s="91">
        <f t="shared" si="870"/>
        <v>2</v>
      </c>
      <c r="E668" s="278"/>
      <c r="F668" s="76">
        <f t="shared" ref="F668:Q668" si="878">F596</f>
        <v>0.91042857142857181</v>
      </c>
      <c r="G668" s="46">
        <f t="shared" si="878"/>
        <v>77.312634079068317</v>
      </c>
      <c r="H668" s="46">
        <f t="shared" si="846"/>
        <v>-21.782484079068311</v>
      </c>
      <c r="I668" s="45">
        <f t="shared" si="847"/>
        <v>0</v>
      </c>
      <c r="J668" s="45">
        <f t="shared" si="848"/>
        <v>0.23463537609132465</v>
      </c>
      <c r="K668" s="45">
        <f t="shared" ca="1" si="864"/>
        <v>0.75836628037006848</v>
      </c>
      <c r="L668" s="358">
        <f t="shared" si="849"/>
        <v>0.39364266736760256</v>
      </c>
      <c r="M668" s="76">
        <f t="shared" ca="1" si="878"/>
        <v>0.25347808785320641</v>
      </c>
      <c r="N668" s="45">
        <f t="shared" ca="1" si="878"/>
        <v>0.25</v>
      </c>
      <c r="O668" s="45">
        <f t="shared" ca="1" si="878"/>
        <v>0</v>
      </c>
      <c r="P668" s="46" t="str">
        <f t="shared" ca="1" si="878"/>
        <v/>
      </c>
      <c r="Q668" s="243" t="str">
        <f t="shared" ca="1" si="878"/>
        <v/>
      </c>
      <c r="R668" s="45">
        <f t="shared" ca="1" si="865"/>
        <v>0.22300348346023363</v>
      </c>
      <c r="S668" s="45">
        <f t="shared" ca="1" si="800"/>
        <v>5.0695617570641283E-2</v>
      </c>
      <c r="T668" s="77">
        <f t="shared" ca="1" si="850"/>
        <v>0</v>
      </c>
      <c r="U668" s="45">
        <f t="shared" ca="1" si="866"/>
        <v>16.902523939611171</v>
      </c>
      <c r="V668" s="45">
        <f t="shared" ca="1" si="851"/>
        <v>0.20278247028256513</v>
      </c>
      <c r="W668" s="77">
        <f t="shared" ca="1" si="852"/>
        <v>0</v>
      </c>
      <c r="X668" s="45">
        <f t="shared" ca="1" si="867"/>
        <v>1.0054897317912599</v>
      </c>
      <c r="Y668" s="45">
        <f t="shared" ca="1" si="853"/>
        <v>0</v>
      </c>
      <c r="Z668" s="77">
        <f t="shared" ca="1" si="854"/>
        <v>0</v>
      </c>
      <c r="AA668" s="45">
        <f t="shared" ca="1" si="868"/>
        <v>39.118250095665033</v>
      </c>
      <c r="AB668" s="45">
        <f t="shared" ca="1" si="855"/>
        <v>0</v>
      </c>
      <c r="AC668" s="45" cm="1">
        <f t="array" aca="1" ref="AC668" ca="1">pHUM*(T668+W668+Z668+AD668)</f>
        <v>0</v>
      </c>
      <c r="AD668" s="77">
        <f t="shared" ca="1" si="856"/>
        <v>0</v>
      </c>
      <c r="AE668" s="45">
        <f t="shared" ca="1" si="869"/>
        <v>6.3847072090583081</v>
      </c>
      <c r="AF668" s="45">
        <f t="shared" ca="1" si="857"/>
        <v>0</v>
      </c>
      <c r="AG668" s="76">
        <f t="shared" ca="1" si="858"/>
        <v>63.633974459586</v>
      </c>
      <c r="AH668" s="45">
        <f t="shared" ca="1" si="859"/>
        <v>0</v>
      </c>
      <c r="AI668" s="77">
        <f t="shared" ca="1" si="860"/>
        <v>1.2732011927047265E-2</v>
      </c>
      <c r="AJ668" s="384">
        <f t="shared" ca="1" si="862"/>
        <v>1.3415992885201788E-2</v>
      </c>
      <c r="AU668" s="1"/>
    </row>
    <row r="669" spans="3:47" x14ac:dyDescent="0.25">
      <c r="C669" s="10">
        <f t="shared" si="798"/>
        <v>48</v>
      </c>
      <c r="D669" s="91">
        <f t="shared" si="870"/>
        <v>3</v>
      </c>
      <c r="E669" s="278"/>
      <c r="F669" s="76">
        <f t="shared" ref="F669:Q669" si="879">F597</f>
        <v>1.7499333333333336</v>
      </c>
      <c r="G669" s="46">
        <f t="shared" si="879"/>
        <v>89.127050621045186</v>
      </c>
      <c r="H669" s="46">
        <f t="shared" si="846"/>
        <v>-33.596900621045179</v>
      </c>
      <c r="I669" s="45">
        <f t="shared" si="847"/>
        <v>0</v>
      </c>
      <c r="J669" s="45">
        <f t="shared" si="848"/>
        <v>0.19161115755788954</v>
      </c>
      <c r="K669" s="45">
        <f t="shared" ca="1" si="864"/>
        <v>0.61930746869995335</v>
      </c>
      <c r="L669" s="358">
        <f t="shared" si="849"/>
        <v>0.42389567243620196</v>
      </c>
      <c r="M669" s="76">
        <f t="shared" ca="1" si="879"/>
        <v>0.25347808785320641</v>
      </c>
      <c r="N669" s="45">
        <f t="shared" ca="1" si="879"/>
        <v>0.25</v>
      </c>
      <c r="O669" s="45">
        <f t="shared" ca="1" si="879"/>
        <v>0</v>
      </c>
      <c r="P669" s="46" t="str">
        <f t="shared" ca="1" si="879"/>
        <v/>
      </c>
      <c r="Q669" s="243" t="str">
        <f t="shared" ca="1" si="879"/>
        <v/>
      </c>
      <c r="R669" s="45">
        <f t="shared" ca="1" si="865"/>
        <v>0.27369910103087491</v>
      </c>
      <c r="S669" s="45">
        <f t="shared" ca="1" si="800"/>
        <v>5.0695617570641283E-2</v>
      </c>
      <c r="T669" s="77">
        <f t="shared" ca="1" si="850"/>
        <v>0</v>
      </c>
      <c r="U669" s="45">
        <f t="shared" ca="1" si="866"/>
        <v>17.105306409893736</v>
      </c>
      <c r="V669" s="45">
        <f t="shared" ca="1" si="851"/>
        <v>0.20278247028256513</v>
      </c>
      <c r="W669" s="77">
        <f t="shared" ca="1" si="852"/>
        <v>0</v>
      </c>
      <c r="X669" s="45">
        <f t="shared" ca="1" si="867"/>
        <v>1.0054897317912599</v>
      </c>
      <c r="Y669" s="45">
        <f t="shared" ca="1" si="853"/>
        <v>0</v>
      </c>
      <c r="Z669" s="77">
        <f t="shared" ca="1" si="854"/>
        <v>0</v>
      </c>
      <c r="AA669" s="45">
        <f t="shared" ca="1" si="868"/>
        <v>39.118250095665033</v>
      </c>
      <c r="AB669" s="45">
        <f t="shared" ca="1" si="855"/>
        <v>0</v>
      </c>
      <c r="AC669" s="45" cm="1">
        <f t="array" aca="1" ref="AC669" ca="1">pHUM*(T669+W669+Z669+AD669)</f>
        <v>0</v>
      </c>
      <c r="AD669" s="77">
        <f t="shared" ca="1" si="856"/>
        <v>0</v>
      </c>
      <c r="AE669" s="45">
        <f t="shared" ca="1" si="869"/>
        <v>6.3847072090583081</v>
      </c>
      <c r="AF669" s="45">
        <f t="shared" ca="1" si="857"/>
        <v>0</v>
      </c>
      <c r="AG669" s="76">
        <f t="shared" ca="1" si="858"/>
        <v>63.88745254743921</v>
      </c>
      <c r="AH669" s="45">
        <f t="shared" ca="1" si="859"/>
        <v>0</v>
      </c>
      <c r="AI669" s="77">
        <f t="shared" ca="1" si="860"/>
        <v>1.3498733992843641E-2</v>
      </c>
      <c r="AJ669" s="384">
        <f t="shared" ca="1" si="862"/>
        <v>1.2508444716304856E-2</v>
      </c>
      <c r="AU669" s="1"/>
    </row>
    <row r="670" spans="3:47" x14ac:dyDescent="0.25">
      <c r="C670" s="10">
        <f t="shared" si="798"/>
        <v>48</v>
      </c>
      <c r="D670" s="91">
        <f t="shared" si="870"/>
        <v>4</v>
      </c>
      <c r="E670" s="278"/>
      <c r="F670" s="76">
        <f t="shared" ref="F670:Q670" si="880">F598</f>
        <v>5.3144</v>
      </c>
      <c r="G670" s="46">
        <f t="shared" si="880"/>
        <v>88.517400984298064</v>
      </c>
      <c r="H670" s="46">
        <f t="shared" si="846"/>
        <v>-32.987250984298058</v>
      </c>
      <c r="I670" s="45">
        <f t="shared" si="847"/>
        <v>0</v>
      </c>
      <c r="J670" s="45">
        <f t="shared" si="848"/>
        <v>0.19391725365845511</v>
      </c>
      <c r="K670" s="45">
        <f t="shared" ca="1" si="864"/>
        <v>0.62676101449980381</v>
      </c>
      <c r="L670" s="358">
        <f t="shared" si="849"/>
        <v>0.55593677468735669</v>
      </c>
      <c r="M670" s="76">
        <f t="shared" ca="1" si="880"/>
        <v>0.25347808785320641</v>
      </c>
      <c r="N670" s="45">
        <f t="shared" ca="1" si="880"/>
        <v>0.25</v>
      </c>
      <c r="O670" s="45">
        <f t="shared" ca="1" si="880"/>
        <v>0</v>
      </c>
      <c r="P670" s="46" t="str">
        <f t="shared" ca="1" si="880"/>
        <v/>
      </c>
      <c r="Q670" s="243" t="str">
        <f t="shared" ca="1" si="880"/>
        <v/>
      </c>
      <c r="R670" s="45">
        <f t="shared" ca="1" si="865"/>
        <v>0.3243947186015162</v>
      </c>
      <c r="S670" s="45">
        <f t="shared" ca="1" si="800"/>
        <v>5.0695617570641283E-2</v>
      </c>
      <c r="T670" s="77">
        <f t="shared" ca="1" si="850"/>
        <v>0</v>
      </c>
      <c r="U670" s="45">
        <f t="shared" ca="1" si="866"/>
        <v>17.3080888801763</v>
      </c>
      <c r="V670" s="45">
        <f t="shared" ca="1" si="851"/>
        <v>0.20278247028256513</v>
      </c>
      <c r="W670" s="77">
        <f t="shared" ca="1" si="852"/>
        <v>0</v>
      </c>
      <c r="X670" s="45">
        <f t="shared" ca="1" si="867"/>
        <v>1.0054897317912599</v>
      </c>
      <c r="Y670" s="45">
        <f t="shared" ca="1" si="853"/>
        <v>0</v>
      </c>
      <c r="Z670" s="77">
        <f t="shared" ca="1" si="854"/>
        <v>0</v>
      </c>
      <c r="AA670" s="45">
        <f t="shared" ca="1" si="868"/>
        <v>39.118250095665033</v>
      </c>
      <c r="AB670" s="45">
        <f t="shared" ca="1" si="855"/>
        <v>0</v>
      </c>
      <c r="AC670" s="45" cm="1">
        <f t="array" aca="1" ref="AC670" ca="1">pHUM*(T670+W670+Z670+AD670)</f>
        <v>0</v>
      </c>
      <c r="AD670" s="77">
        <f t="shared" ca="1" si="856"/>
        <v>0</v>
      </c>
      <c r="AE670" s="45">
        <f t="shared" ca="1" si="869"/>
        <v>6.3847072090583081</v>
      </c>
      <c r="AF670" s="45">
        <f t="shared" ca="1" si="857"/>
        <v>0</v>
      </c>
      <c r="AG670" s="76">
        <f t="shared" ca="1" si="858"/>
        <v>64.14093063529242</v>
      </c>
      <c r="AH670" s="45">
        <f t="shared" ca="1" si="859"/>
        <v>0</v>
      </c>
      <c r="AI670" s="77">
        <f t="shared" ca="1" si="860"/>
        <v>1.4258726143433525E-2</v>
      </c>
      <c r="AJ670" s="384">
        <f t="shared" ca="1" si="862"/>
        <v>1.7536827074983163E-2</v>
      </c>
      <c r="AU670" s="1"/>
    </row>
    <row r="671" spans="3:47" x14ac:dyDescent="0.25">
      <c r="C671" s="10">
        <f t="shared" si="798"/>
        <v>48</v>
      </c>
      <c r="D671" s="91">
        <f t="shared" si="870"/>
        <v>5</v>
      </c>
      <c r="E671" s="278"/>
      <c r="F671" s="76">
        <f t="shared" ref="F671:Q671" si="881">F599</f>
        <v>12.662516129032257</v>
      </c>
      <c r="G671" s="46">
        <f t="shared" si="881"/>
        <v>89.413014608233681</v>
      </c>
      <c r="H671" s="46">
        <f t="shared" si="846"/>
        <v>-33.882864608233675</v>
      </c>
      <c r="I671" s="45">
        <f t="shared" si="847"/>
        <v>0</v>
      </c>
      <c r="J671" s="45">
        <f t="shared" si="848"/>
        <v>0.19052718077467024</v>
      </c>
      <c r="K671" s="45">
        <f t="shared" ca="1" si="864"/>
        <v>0.6158039414194908</v>
      </c>
      <c r="L671" s="358">
        <f t="shared" si="849"/>
        <v>0.78870900469063665</v>
      </c>
      <c r="M671" s="76">
        <f t="shared" ca="1" si="881"/>
        <v>0.25347808785320641</v>
      </c>
      <c r="N671" s="45">
        <f t="shared" ca="1" si="881"/>
        <v>0.25</v>
      </c>
      <c r="O671" s="45">
        <f t="shared" ca="1" si="881"/>
        <v>0</v>
      </c>
      <c r="P671" s="46" t="str">
        <f t="shared" ca="1" si="881"/>
        <v/>
      </c>
      <c r="Q671" s="243" t="str">
        <f t="shared" ca="1" si="881"/>
        <v/>
      </c>
      <c r="R671" s="45">
        <f t="shared" ca="1" si="865"/>
        <v>0.37509033617215748</v>
      </c>
      <c r="S671" s="45">
        <f t="shared" ca="1" si="800"/>
        <v>5.0695617570641283E-2</v>
      </c>
      <c r="T671" s="77">
        <f t="shared" ca="1" si="850"/>
        <v>0</v>
      </c>
      <c r="U671" s="45">
        <f t="shared" ca="1" si="866"/>
        <v>17.510871350458864</v>
      </c>
      <c r="V671" s="45">
        <f t="shared" ca="1" si="851"/>
        <v>0.20278247028256513</v>
      </c>
      <c r="W671" s="77">
        <f t="shared" ca="1" si="852"/>
        <v>0</v>
      </c>
      <c r="X671" s="45">
        <f t="shared" ca="1" si="867"/>
        <v>1.0054897317912599</v>
      </c>
      <c r="Y671" s="45">
        <f t="shared" ca="1" si="853"/>
        <v>0</v>
      </c>
      <c r="Z671" s="77">
        <f t="shared" ca="1" si="854"/>
        <v>0</v>
      </c>
      <c r="AA671" s="45">
        <f t="shared" ca="1" si="868"/>
        <v>39.118250095665033</v>
      </c>
      <c r="AB671" s="45">
        <f t="shared" ca="1" si="855"/>
        <v>0</v>
      </c>
      <c r="AC671" s="45" cm="1">
        <f t="array" aca="1" ref="AC671" ca="1">pHUM*(T671+W671+Z671+AD671)</f>
        <v>0</v>
      </c>
      <c r="AD671" s="77">
        <f t="shared" ca="1" si="856"/>
        <v>0</v>
      </c>
      <c r="AE671" s="45">
        <f t="shared" ca="1" si="869"/>
        <v>6.3847072090583081</v>
      </c>
      <c r="AF671" s="45">
        <f t="shared" ca="1" si="857"/>
        <v>0</v>
      </c>
      <c r="AG671" s="76">
        <f t="shared" ca="1" si="858"/>
        <v>64.394408723145617</v>
      </c>
      <c r="AH671" s="45">
        <f t="shared" ca="1" si="859"/>
        <v>0</v>
      </c>
      <c r="AI671" s="77">
        <f t="shared" ca="1" si="860"/>
        <v>1.5012076599545177E-2</v>
      </c>
      <c r="AJ671" s="384">
        <f t="shared" ca="1" si="862"/>
        <v>2.5735913573501357E-2</v>
      </c>
      <c r="AU671" s="1"/>
    </row>
    <row r="672" spans="3:47" x14ac:dyDescent="0.25">
      <c r="C672" s="10">
        <f t="shared" si="798"/>
        <v>48</v>
      </c>
      <c r="D672" s="91">
        <f t="shared" si="870"/>
        <v>6</v>
      </c>
      <c r="E672" s="278"/>
      <c r="F672" s="76">
        <f t="shared" ref="F672:Q672" si="882">F600</f>
        <v>17.952400000000004</v>
      </c>
      <c r="G672" s="46">
        <f t="shared" si="882"/>
        <v>83.948488098886401</v>
      </c>
      <c r="H672" s="46">
        <f t="shared" si="846"/>
        <v>-28.418338098886395</v>
      </c>
      <c r="I672" s="45">
        <f t="shared" si="847"/>
        <v>0</v>
      </c>
      <c r="J672" s="45">
        <f t="shared" si="848"/>
        <v>0.21095121603234232</v>
      </c>
      <c r="K672" s="45">
        <f t="shared" ca="1" si="864"/>
        <v>0.68181657730811884</v>
      </c>
      <c r="L672" s="358">
        <f t="shared" si="849"/>
        <v>0.89013124354981255</v>
      </c>
      <c r="M672" s="76">
        <f t="shared" ca="1" si="882"/>
        <v>0.25347808785320641</v>
      </c>
      <c r="N672" s="45">
        <f t="shared" ca="1" si="882"/>
        <v>0.25</v>
      </c>
      <c r="O672" s="45">
        <f t="shared" ca="1" si="882"/>
        <v>0</v>
      </c>
      <c r="P672" s="46" t="str">
        <f t="shared" ca="1" si="882"/>
        <v/>
      </c>
      <c r="Q672" s="243" t="str">
        <f t="shared" ca="1" si="882"/>
        <v/>
      </c>
      <c r="R672" s="45">
        <f t="shared" ca="1" si="865"/>
        <v>0.42578595374279876</v>
      </c>
      <c r="S672" s="45">
        <f t="shared" ca="1" si="800"/>
        <v>5.0695617570641283E-2</v>
      </c>
      <c r="T672" s="77">
        <f t="shared" ca="1" si="850"/>
        <v>0</v>
      </c>
      <c r="U672" s="45">
        <f t="shared" ca="1" si="866"/>
        <v>17.713653820741428</v>
      </c>
      <c r="V672" s="45">
        <f t="shared" ca="1" si="851"/>
        <v>0.20278247028256513</v>
      </c>
      <c r="W672" s="77">
        <f t="shared" ca="1" si="852"/>
        <v>0</v>
      </c>
      <c r="X672" s="45">
        <f t="shared" ca="1" si="867"/>
        <v>1.0054897317912599</v>
      </c>
      <c r="Y672" s="45">
        <f t="shared" ca="1" si="853"/>
        <v>0</v>
      </c>
      <c r="Z672" s="77">
        <f t="shared" ca="1" si="854"/>
        <v>0</v>
      </c>
      <c r="AA672" s="45">
        <f t="shared" ca="1" si="868"/>
        <v>39.118250095665033</v>
      </c>
      <c r="AB672" s="45">
        <f t="shared" ca="1" si="855"/>
        <v>0</v>
      </c>
      <c r="AC672" s="45" cm="1">
        <f t="array" aca="1" ref="AC672" ca="1">pHUM*(T672+W672+Z672+AD672)</f>
        <v>0</v>
      </c>
      <c r="AD672" s="77">
        <f t="shared" ca="1" si="856"/>
        <v>0</v>
      </c>
      <c r="AE672" s="45">
        <f t="shared" ca="1" si="869"/>
        <v>6.3847072090583081</v>
      </c>
      <c r="AF672" s="45">
        <f t="shared" ca="1" si="857"/>
        <v>0</v>
      </c>
      <c r="AG672" s="76">
        <f t="shared" ca="1" si="858"/>
        <v>64.647886810998827</v>
      </c>
      <c r="AH672" s="45">
        <f t="shared" ca="1" si="859"/>
        <v>0</v>
      </c>
      <c r="AI672" s="77">
        <f t="shared" ca="1" si="860"/>
        <v>1.5758872046664762E-2</v>
      </c>
      <c r="AJ672" s="384">
        <f t="shared" ca="1" si="862"/>
        <v>3.3758488839409351E-2</v>
      </c>
      <c r="AU672" s="1"/>
    </row>
    <row r="673" spans="3:47" x14ac:dyDescent="0.25">
      <c r="C673" s="10">
        <f t="shared" si="798"/>
        <v>48</v>
      </c>
      <c r="D673" s="91">
        <f t="shared" si="870"/>
        <v>7</v>
      </c>
      <c r="E673" s="278"/>
      <c r="F673" s="76">
        <f t="shared" ref="F673:Q673" si="883">F601</f>
        <v>21.363032258064525</v>
      </c>
      <c r="G673" s="46">
        <f t="shared" si="883"/>
        <v>73.679575814389409</v>
      </c>
      <c r="H673" s="46">
        <f t="shared" si="846"/>
        <v>-18.149425814389403</v>
      </c>
      <c r="I673" s="45">
        <f t="shared" si="847"/>
        <v>0</v>
      </c>
      <c r="J673" s="45">
        <f t="shared" si="848"/>
        <v>0.2468878570948656</v>
      </c>
      <c r="K673" s="45">
        <f t="shared" ca="1" si="864"/>
        <v>0.79796759113040194</v>
      </c>
      <c r="L673" s="358">
        <f t="shared" si="849"/>
        <v>0.92905557700722019</v>
      </c>
      <c r="M673" s="76">
        <f t="shared" ca="1" si="883"/>
        <v>0.25347808785320641</v>
      </c>
      <c r="N673" s="45">
        <f t="shared" ca="1" si="883"/>
        <v>0.25</v>
      </c>
      <c r="O673" s="45">
        <f t="shared" ca="1" si="883"/>
        <v>0</v>
      </c>
      <c r="P673" s="46" t="str">
        <f t="shared" ca="1" si="883"/>
        <v/>
      </c>
      <c r="Q673" s="243" t="str">
        <f t="shared" ca="1" si="883"/>
        <v/>
      </c>
      <c r="R673" s="45">
        <f t="shared" ca="1" si="865"/>
        <v>0.47648157131344004</v>
      </c>
      <c r="S673" s="45">
        <f t="shared" ca="1" si="800"/>
        <v>5.0695617570641283E-2</v>
      </c>
      <c r="T673" s="77">
        <f t="shared" ca="1" si="850"/>
        <v>0</v>
      </c>
      <c r="U673" s="45">
        <f t="shared" ca="1" si="866"/>
        <v>17.916436291023992</v>
      </c>
      <c r="V673" s="45">
        <f t="shared" ca="1" si="851"/>
        <v>0.20278247028256513</v>
      </c>
      <c r="W673" s="77">
        <f t="shared" ca="1" si="852"/>
        <v>0</v>
      </c>
      <c r="X673" s="45">
        <f t="shared" ca="1" si="867"/>
        <v>1.0054897317912599</v>
      </c>
      <c r="Y673" s="45">
        <f t="shared" ca="1" si="853"/>
        <v>0</v>
      </c>
      <c r="Z673" s="77">
        <f t="shared" ca="1" si="854"/>
        <v>0</v>
      </c>
      <c r="AA673" s="45">
        <f t="shared" ca="1" si="868"/>
        <v>39.118250095665033</v>
      </c>
      <c r="AB673" s="45">
        <f t="shared" ca="1" si="855"/>
        <v>0</v>
      </c>
      <c r="AC673" s="45" cm="1">
        <f t="array" aca="1" ref="AC673" ca="1">pHUM*(T673+W673+Z673+AD673)</f>
        <v>0</v>
      </c>
      <c r="AD673" s="77">
        <f t="shared" ca="1" si="856"/>
        <v>0</v>
      </c>
      <c r="AE673" s="45">
        <f t="shared" ca="1" si="869"/>
        <v>6.3847072090583081</v>
      </c>
      <c r="AF673" s="45">
        <f t="shared" ca="1" si="857"/>
        <v>0</v>
      </c>
      <c r="AG673" s="76">
        <f t="shared" ca="1" si="858"/>
        <v>64.901364898852037</v>
      </c>
      <c r="AH673" s="45">
        <f t="shared" ca="1" si="859"/>
        <v>0</v>
      </c>
      <c r="AI673" s="77">
        <f t="shared" ca="1" si="860"/>
        <v>1.6499197668287589E-2</v>
      </c>
      <c r="AJ673" s="384">
        <f t="shared" ca="1" si="862"/>
        <v>4.3173989617459885E-2</v>
      </c>
      <c r="AU673" s="1"/>
    </row>
    <row r="674" spans="3:47" x14ac:dyDescent="0.25">
      <c r="C674" s="10">
        <f t="shared" si="798"/>
        <v>48</v>
      </c>
      <c r="D674" s="91">
        <f t="shared" si="870"/>
        <v>8</v>
      </c>
      <c r="E674" s="278"/>
      <c r="F674" s="76">
        <f t="shared" ref="F674:Q674" si="884">F602</f>
        <v>21.84690322580645</v>
      </c>
      <c r="G674" s="46">
        <f t="shared" si="884"/>
        <v>71.917724933598876</v>
      </c>
      <c r="H674" s="46">
        <f t="shared" si="846"/>
        <v>-16.38757493359887</v>
      </c>
      <c r="I674" s="45">
        <f t="shared" si="847"/>
        <v>0</v>
      </c>
      <c r="J674" s="45">
        <f t="shared" si="848"/>
        <v>0.25260629061506468</v>
      </c>
      <c r="K674" s="45">
        <f t="shared" ca="1" si="864"/>
        <v>0.81645017133846476</v>
      </c>
      <c r="L674" s="358">
        <f t="shared" si="849"/>
        <v>0.93325603418156189</v>
      </c>
      <c r="M674" s="76">
        <f t="shared" ca="1" si="884"/>
        <v>0.25347808785320641</v>
      </c>
      <c r="N674" s="45">
        <f t="shared" ca="1" si="884"/>
        <v>0.25</v>
      </c>
      <c r="O674" s="45">
        <f t="shared" ca="1" si="884"/>
        <v>0</v>
      </c>
      <c r="P674" s="46" t="str">
        <f t="shared" ca="1" si="884"/>
        <v/>
      </c>
      <c r="Q674" s="243" t="str">
        <f t="shared" ca="1" si="884"/>
        <v/>
      </c>
      <c r="R674" s="45">
        <f t="shared" ca="1" si="865"/>
        <v>0.52717718888408127</v>
      </c>
      <c r="S674" s="45">
        <f t="shared" ca="1" si="800"/>
        <v>5.0695617570641283E-2</v>
      </c>
      <c r="T674" s="77">
        <f t="shared" ca="1" si="850"/>
        <v>0</v>
      </c>
      <c r="U674" s="45">
        <f t="shared" ca="1" si="866"/>
        <v>18.119218761306556</v>
      </c>
      <c r="V674" s="45">
        <f t="shared" ca="1" si="851"/>
        <v>0.20278247028256513</v>
      </c>
      <c r="W674" s="77">
        <f t="shared" ca="1" si="852"/>
        <v>0</v>
      </c>
      <c r="X674" s="45">
        <f t="shared" ca="1" si="867"/>
        <v>1.0054897317912599</v>
      </c>
      <c r="Y674" s="45">
        <f t="shared" ca="1" si="853"/>
        <v>0</v>
      </c>
      <c r="Z674" s="77">
        <f t="shared" ca="1" si="854"/>
        <v>0</v>
      </c>
      <c r="AA674" s="45">
        <f t="shared" ca="1" si="868"/>
        <v>39.118250095665033</v>
      </c>
      <c r="AB674" s="45">
        <f t="shared" ca="1" si="855"/>
        <v>0</v>
      </c>
      <c r="AC674" s="45" cm="1">
        <f t="array" aca="1" ref="AC674" ca="1">pHUM*(T674+W674+Z674+AD674)</f>
        <v>0</v>
      </c>
      <c r="AD674" s="77">
        <f t="shared" ca="1" si="856"/>
        <v>0</v>
      </c>
      <c r="AE674" s="45">
        <f t="shared" ca="1" si="869"/>
        <v>6.3847072090583081</v>
      </c>
      <c r="AF674" s="45">
        <f t="shared" ca="1" si="857"/>
        <v>0</v>
      </c>
      <c r="AG674" s="76">
        <f t="shared" ca="1" si="858"/>
        <v>65.154842986705233</v>
      </c>
      <c r="AH674" s="45">
        <f t="shared" ca="1" si="859"/>
        <v>0</v>
      </c>
      <c r="AI674" s="77">
        <f t="shared" ca="1" si="860"/>
        <v>1.7233137178308846E-2</v>
      </c>
      <c r="AJ674" s="384">
        <f t="shared" ca="1" si="862"/>
        <v>4.6347460736470003E-2</v>
      </c>
      <c r="AU674" s="1"/>
    </row>
    <row r="675" spans="3:47" x14ac:dyDescent="0.25">
      <c r="C675" s="10">
        <f t="shared" si="798"/>
        <v>48</v>
      </c>
      <c r="D675" s="91">
        <f t="shared" si="870"/>
        <v>9</v>
      </c>
      <c r="E675" s="278"/>
      <c r="F675" s="76">
        <f t="shared" ref="F675:Q675" si="885">F603</f>
        <v>19.915099999999999</v>
      </c>
      <c r="G675" s="46">
        <f t="shared" si="885"/>
        <v>90.121120170480822</v>
      </c>
      <c r="H675" s="46">
        <f t="shared" si="846"/>
        <v>-34.590970170480816</v>
      </c>
      <c r="I675" s="45">
        <f t="shared" si="847"/>
        <v>0</v>
      </c>
      <c r="J675" s="45">
        <f t="shared" si="848"/>
        <v>0.18783711693191202</v>
      </c>
      <c r="K675" s="45">
        <f t="shared" ca="1" si="864"/>
        <v>0.60710937138331467</v>
      </c>
      <c r="L675" s="358">
        <f t="shared" si="849"/>
        <v>0.91464137695305081</v>
      </c>
      <c r="M675" s="76">
        <f t="shared" ca="1" si="885"/>
        <v>0.25347808785320641</v>
      </c>
      <c r="N675" s="45">
        <f t="shared" ca="1" si="885"/>
        <v>0.25</v>
      </c>
      <c r="O675" s="45">
        <f t="shared" ca="1" si="885"/>
        <v>0</v>
      </c>
      <c r="P675" s="46" t="str">
        <f t="shared" ca="1" si="885"/>
        <v/>
      </c>
      <c r="Q675" s="243" t="str">
        <f t="shared" ca="1" si="885"/>
        <v/>
      </c>
      <c r="R675" s="45">
        <f t="shared" ca="1" si="865"/>
        <v>0.5778728064547225</v>
      </c>
      <c r="S675" s="45">
        <f t="shared" ca="1" si="800"/>
        <v>5.0695617570641283E-2</v>
      </c>
      <c r="T675" s="77">
        <f t="shared" ca="1" si="850"/>
        <v>0</v>
      </c>
      <c r="U675" s="45">
        <f t="shared" ca="1" si="866"/>
        <v>18.32200123158912</v>
      </c>
      <c r="V675" s="45">
        <f t="shared" ca="1" si="851"/>
        <v>0.20278247028256513</v>
      </c>
      <c r="W675" s="77">
        <f t="shared" ca="1" si="852"/>
        <v>0</v>
      </c>
      <c r="X675" s="45">
        <f t="shared" ca="1" si="867"/>
        <v>1.0054897317912599</v>
      </c>
      <c r="Y675" s="45">
        <f t="shared" ca="1" si="853"/>
        <v>0</v>
      </c>
      <c r="Z675" s="77">
        <f t="shared" ca="1" si="854"/>
        <v>0</v>
      </c>
      <c r="AA675" s="45">
        <f t="shared" ca="1" si="868"/>
        <v>39.118250095665033</v>
      </c>
      <c r="AB675" s="45">
        <f t="shared" ca="1" si="855"/>
        <v>0</v>
      </c>
      <c r="AC675" s="45" cm="1">
        <f t="array" aca="1" ref="AC675" ca="1">pHUM*(T675+W675+Z675+AD675)</f>
        <v>0</v>
      </c>
      <c r="AD675" s="77">
        <f t="shared" ca="1" si="856"/>
        <v>0</v>
      </c>
      <c r="AE675" s="45">
        <f t="shared" ca="1" si="869"/>
        <v>6.3847072090583081</v>
      </c>
      <c r="AF675" s="45">
        <f t="shared" ca="1" si="857"/>
        <v>0</v>
      </c>
      <c r="AG675" s="76">
        <f t="shared" ca="1" si="858"/>
        <v>65.408321074558444</v>
      </c>
      <c r="AH675" s="45">
        <f t="shared" ca="1" si="859"/>
        <v>0</v>
      </c>
      <c r="AI675" s="77">
        <f t="shared" ca="1" si="860"/>
        <v>1.796077285257975E-2</v>
      </c>
      <c r="AJ675" s="384">
        <f t="shared" ca="1" si="862"/>
        <v>3.520290282396199E-2</v>
      </c>
      <c r="AU675" s="1"/>
    </row>
    <row r="676" spans="3:47" x14ac:dyDescent="0.25">
      <c r="C676" s="10">
        <f t="shared" si="798"/>
        <v>48</v>
      </c>
      <c r="D676" s="91">
        <f t="shared" si="870"/>
        <v>10</v>
      </c>
      <c r="E676" s="278"/>
      <c r="F676" s="76">
        <f t="shared" ref="F676:Q676" si="886">F604</f>
        <v>16.404967741935486</v>
      </c>
      <c r="G676" s="46">
        <f t="shared" si="886"/>
        <v>93.270963763991602</v>
      </c>
      <c r="H676" s="46">
        <f t="shared" si="846"/>
        <v>-37.740813763991596</v>
      </c>
      <c r="I676" s="45">
        <f t="shared" si="847"/>
        <v>0</v>
      </c>
      <c r="J676" s="45">
        <f t="shared" si="848"/>
        <v>0.1757835150476853</v>
      </c>
      <c r="K676" s="45">
        <f t="shared" ca="1" si="864"/>
        <v>0.56815085891056294</v>
      </c>
      <c r="L676" s="358">
        <f t="shared" si="849"/>
        <v>0.86618676922472848</v>
      </c>
      <c r="M676" s="76">
        <f t="shared" ca="1" si="886"/>
        <v>0.25347808785320641</v>
      </c>
      <c r="N676" s="45">
        <f t="shared" ca="1" si="886"/>
        <v>0.25</v>
      </c>
      <c r="O676" s="45">
        <f t="shared" ca="1" si="886"/>
        <v>0</v>
      </c>
      <c r="P676" s="46" t="str">
        <f t="shared" ca="1" si="886"/>
        <v/>
      </c>
      <c r="Q676" s="243" t="str">
        <f t="shared" ca="1" si="886"/>
        <v/>
      </c>
      <c r="R676" s="45">
        <f t="shared" ca="1" si="865"/>
        <v>0.62856842402536373</v>
      </c>
      <c r="S676" s="45">
        <f t="shared" ca="1" si="800"/>
        <v>5.0695617570641283E-2</v>
      </c>
      <c r="T676" s="77">
        <f t="shared" ca="1" si="850"/>
        <v>0</v>
      </c>
      <c r="U676" s="45">
        <f t="shared" ca="1" si="866"/>
        <v>18.524783701871684</v>
      </c>
      <c r="V676" s="45">
        <f t="shared" ca="1" si="851"/>
        <v>0.20278247028256513</v>
      </c>
      <c r="W676" s="77">
        <f t="shared" ca="1" si="852"/>
        <v>0</v>
      </c>
      <c r="X676" s="45">
        <f t="shared" ca="1" si="867"/>
        <v>1.0054897317912599</v>
      </c>
      <c r="Y676" s="45">
        <f t="shared" ca="1" si="853"/>
        <v>0</v>
      </c>
      <c r="Z676" s="77">
        <f t="shared" ca="1" si="854"/>
        <v>0</v>
      </c>
      <c r="AA676" s="45">
        <f t="shared" ca="1" si="868"/>
        <v>39.118250095665033</v>
      </c>
      <c r="AB676" s="45">
        <f t="shared" ca="1" si="855"/>
        <v>0</v>
      </c>
      <c r="AC676" s="45" cm="1">
        <f t="array" aca="1" ref="AC676" ca="1">pHUM*(T676+W676+Z676+AD676)</f>
        <v>0</v>
      </c>
      <c r="AD676" s="77">
        <f t="shared" ca="1" si="856"/>
        <v>0</v>
      </c>
      <c r="AE676" s="45">
        <f t="shared" ca="1" si="869"/>
        <v>6.3847072090583081</v>
      </c>
      <c r="AF676" s="45">
        <f t="shared" ca="1" si="857"/>
        <v>0</v>
      </c>
      <c r="AG676" s="76">
        <f t="shared" ca="1" si="858"/>
        <v>65.661799162411654</v>
      </c>
      <c r="AH676" s="45">
        <f t="shared" ca="1" si="859"/>
        <v>0</v>
      </c>
      <c r="AI676" s="77">
        <f t="shared" ca="1" si="860"/>
        <v>1.8682185559654049E-2</v>
      </c>
      <c r="AJ676" s="384">
        <f t="shared" ca="1" si="862"/>
        <v>3.2451867729039741E-2</v>
      </c>
      <c r="AU676" s="1"/>
    </row>
    <row r="677" spans="3:47" x14ac:dyDescent="0.25">
      <c r="C677" s="10">
        <f t="shared" ref="C677:C740" si="887">IF(D677=1,C676+1,C676)</f>
        <v>48</v>
      </c>
      <c r="D677" s="91">
        <f t="shared" si="870"/>
        <v>11</v>
      </c>
      <c r="E677" s="278"/>
      <c r="F677" s="76">
        <f t="shared" ref="F677:Q677" si="888">F605</f>
        <v>8.5982333333333347</v>
      </c>
      <c r="G677" s="46">
        <f t="shared" si="888"/>
        <v>93.768190396309464</v>
      </c>
      <c r="H677" s="46">
        <f t="shared" si="846"/>
        <v>-38.238040396309458</v>
      </c>
      <c r="I677" s="45">
        <f t="shared" si="847"/>
        <v>0</v>
      </c>
      <c r="J677" s="45">
        <f t="shared" si="848"/>
        <v>0.17386998013358751</v>
      </c>
      <c r="K677" s="45">
        <f t="shared" ca="1" si="864"/>
        <v>0.56196611226520721</v>
      </c>
      <c r="L677" s="358">
        <f t="shared" si="849"/>
        <v>0.6712335176859634</v>
      </c>
      <c r="M677" s="76">
        <f t="shared" ca="1" si="888"/>
        <v>0.25347808785320641</v>
      </c>
      <c r="N677" s="45">
        <f t="shared" ca="1" si="888"/>
        <v>0.25</v>
      </c>
      <c r="O677" s="45">
        <f t="shared" ca="1" si="888"/>
        <v>0</v>
      </c>
      <c r="P677" s="46" t="str">
        <f t="shared" ca="1" si="888"/>
        <v/>
      </c>
      <c r="Q677" s="243" t="str">
        <f t="shared" ca="1" si="888"/>
        <v/>
      </c>
      <c r="R677" s="45">
        <f t="shared" ca="1" si="865"/>
        <v>0.67926404159600495</v>
      </c>
      <c r="S677" s="45">
        <f t="shared" ref="S677:S740" ca="1" si="889">M677*N677/(1+N677) +   IF(O677&gt;0,O677*P677*(1-Q677)/(1+P677),0)</f>
        <v>5.0695617570641283E-2</v>
      </c>
      <c r="T677" s="77">
        <f t="shared" ca="1" si="850"/>
        <v>0</v>
      </c>
      <c r="U677" s="45">
        <f t="shared" ca="1" si="866"/>
        <v>18.727566172154248</v>
      </c>
      <c r="V677" s="45">
        <f t="shared" ca="1" si="851"/>
        <v>0.20278247028256513</v>
      </c>
      <c r="W677" s="77">
        <f t="shared" ca="1" si="852"/>
        <v>0</v>
      </c>
      <c r="X677" s="45">
        <f t="shared" ca="1" si="867"/>
        <v>1.0054897317912599</v>
      </c>
      <c r="Y677" s="45">
        <f t="shared" ca="1" si="853"/>
        <v>0</v>
      </c>
      <c r="Z677" s="77">
        <f t="shared" ca="1" si="854"/>
        <v>0</v>
      </c>
      <c r="AA677" s="45">
        <f t="shared" ca="1" si="868"/>
        <v>39.118250095665033</v>
      </c>
      <c r="AB677" s="45">
        <f t="shared" ca="1" si="855"/>
        <v>0</v>
      </c>
      <c r="AC677" s="45" cm="1">
        <f t="array" aca="1" ref="AC677" ca="1">pHUM*(T677+W677+Z677+AD677)</f>
        <v>0</v>
      </c>
      <c r="AD677" s="77">
        <f t="shared" ca="1" si="856"/>
        <v>0</v>
      </c>
      <c r="AE677" s="45">
        <f t="shared" ca="1" si="869"/>
        <v>6.3847072090583081</v>
      </c>
      <c r="AF677" s="45">
        <f t="shared" ca="1" si="857"/>
        <v>0</v>
      </c>
      <c r="AG677" s="76">
        <f t="shared" ca="1" si="858"/>
        <v>65.91527725026485</v>
      </c>
      <c r="AH677" s="45">
        <f t="shared" ca="1" si="859"/>
        <v>0</v>
      </c>
      <c r="AI677" s="77">
        <f t="shared" ca="1" si="860"/>
        <v>1.9397454790749009E-2</v>
      </c>
      <c r="AJ677" s="384">
        <f t="shared" ca="1" si="862"/>
        <v>2.5826647054223439E-2</v>
      </c>
      <c r="AU677" s="1"/>
    </row>
    <row r="678" spans="3:47" x14ac:dyDescent="0.25">
      <c r="C678" s="10">
        <f t="shared" si="887"/>
        <v>48</v>
      </c>
      <c r="D678" s="91">
        <f t="shared" si="870"/>
        <v>12</v>
      </c>
      <c r="E678" s="278"/>
      <c r="F678" s="76">
        <f t="shared" ref="F678:Q678" si="890">F606</f>
        <v>5.8543548387096775</v>
      </c>
      <c r="G678" s="46">
        <f t="shared" si="890"/>
        <v>92.353978821555827</v>
      </c>
      <c r="H678" s="46">
        <f t="shared" si="846"/>
        <v>-36.823828821555821</v>
      </c>
      <c r="I678" s="45">
        <f t="shared" si="847"/>
        <v>0</v>
      </c>
      <c r="J678" s="45">
        <f t="shared" si="848"/>
        <v>0.17930557122010893</v>
      </c>
      <c r="K678" s="45">
        <f t="shared" ca="1" si="864"/>
        <v>0.57953451589882432</v>
      </c>
      <c r="L678" s="358">
        <f t="shared" si="849"/>
        <v>0.57570255434605899</v>
      </c>
      <c r="M678" s="76">
        <f t="shared" ca="1" si="890"/>
        <v>0.25347808785320641</v>
      </c>
      <c r="N678" s="45">
        <f t="shared" ca="1" si="890"/>
        <v>0.25</v>
      </c>
      <c r="O678" s="45">
        <f t="shared" ca="1" si="890"/>
        <v>0</v>
      </c>
      <c r="P678" s="46" t="str">
        <f t="shared" ca="1" si="890"/>
        <v/>
      </c>
      <c r="Q678" s="243" t="str">
        <f t="shared" ca="1" si="890"/>
        <v/>
      </c>
      <c r="R678" s="45">
        <f t="shared" ca="1" si="865"/>
        <v>0.72995965916664618</v>
      </c>
      <c r="S678" s="45">
        <f t="shared" ca="1" si="889"/>
        <v>5.0695617570641283E-2</v>
      </c>
      <c r="T678" s="77">
        <f t="shared" ca="1" si="850"/>
        <v>0</v>
      </c>
      <c r="U678" s="45">
        <f t="shared" ca="1" si="866"/>
        <v>18.930348642436812</v>
      </c>
      <c r="V678" s="45">
        <f t="shared" ca="1" si="851"/>
        <v>0.20278247028256513</v>
      </c>
      <c r="W678" s="77">
        <f t="shared" ca="1" si="852"/>
        <v>0</v>
      </c>
      <c r="X678" s="45">
        <f t="shared" ca="1" si="867"/>
        <v>1.0054897317912599</v>
      </c>
      <c r="Y678" s="45">
        <f t="shared" ca="1" si="853"/>
        <v>0</v>
      </c>
      <c r="Z678" s="77">
        <f t="shared" ca="1" si="854"/>
        <v>0</v>
      </c>
      <c r="AA678" s="45">
        <f t="shared" ca="1" si="868"/>
        <v>39.118250095665033</v>
      </c>
      <c r="AB678" s="45">
        <f t="shared" ca="1" si="855"/>
        <v>0</v>
      </c>
      <c r="AC678" s="45" cm="1">
        <f t="array" aca="1" ref="AC678" ca="1">pHUM*(T678+W678+Z678+AD678)</f>
        <v>0</v>
      </c>
      <c r="AD678" s="77">
        <f t="shared" ca="1" si="856"/>
        <v>0</v>
      </c>
      <c r="AE678" s="45">
        <f t="shared" ca="1" si="869"/>
        <v>6.3847072090583081</v>
      </c>
      <c r="AF678" s="45">
        <f t="shared" ca="1" si="857"/>
        <v>0</v>
      </c>
      <c r="AG678" s="76">
        <f t="shared" ca="1" si="858"/>
        <v>66.168755338118061</v>
      </c>
      <c r="AH678" s="45">
        <f t="shared" ca="1" si="859"/>
        <v>0</v>
      </c>
      <c r="AI678" s="77">
        <f t="shared" ca="1" si="860"/>
        <v>2.0106658688944241E-2</v>
      </c>
      <c r="AJ678" s="384">
        <f t="shared" ca="1" si="862"/>
        <v>2.3678695142999029E-2</v>
      </c>
      <c r="AU678" s="1"/>
    </row>
    <row r="679" spans="3:47" x14ac:dyDescent="0.25">
      <c r="C679" s="10">
        <f t="shared" si="887"/>
        <v>49</v>
      </c>
      <c r="D679" s="91">
        <f t="shared" si="870"/>
        <v>1</v>
      </c>
      <c r="E679" s="278"/>
      <c r="F679" s="76">
        <f t="shared" ref="F679:Q679" si="891">F607</f>
        <v>2.2624333333333326</v>
      </c>
      <c r="G679" s="46">
        <f t="shared" si="891"/>
        <v>87.461548542671366</v>
      </c>
      <c r="H679" s="46">
        <f t="shared" si="846"/>
        <v>-31.93139854267136</v>
      </c>
      <c r="I679" s="45">
        <f t="shared" si="847"/>
        <v>0</v>
      </c>
      <c r="J679" s="45">
        <f t="shared" si="848"/>
        <v>0.19789456043296222</v>
      </c>
      <c r="K679" s="45">
        <f t="shared" ca="1" si="864"/>
        <v>0.63961608944510806</v>
      </c>
      <c r="L679" s="358">
        <f t="shared" si="849"/>
        <v>0.44266298791276926</v>
      </c>
      <c r="M679" s="76">
        <f t="shared" ca="1" si="891"/>
        <v>0.25347808785320641</v>
      </c>
      <c r="N679" s="45">
        <f t="shared" ca="1" si="891"/>
        <v>0.25</v>
      </c>
      <c r="O679" s="45">
        <f t="shared" ca="1" si="891"/>
        <v>0</v>
      </c>
      <c r="P679" s="46" t="str">
        <f t="shared" ca="1" si="891"/>
        <v/>
      </c>
      <c r="Q679" s="243" t="str">
        <f t="shared" ca="1" si="891"/>
        <v/>
      </c>
      <c r="R679" s="45">
        <f t="shared" ca="1" si="865"/>
        <v>0.78065527673728741</v>
      </c>
      <c r="S679" s="45">
        <f t="shared" ca="1" si="889"/>
        <v>5.0695617570641283E-2</v>
      </c>
      <c r="T679" s="77">
        <f t="shared" ca="1" si="850"/>
        <v>0</v>
      </c>
      <c r="U679" s="45">
        <f t="shared" ca="1" si="866"/>
        <v>19.133131112719376</v>
      </c>
      <c r="V679" s="45">
        <f t="shared" ca="1" si="851"/>
        <v>0.20278247028256513</v>
      </c>
      <c r="W679" s="77">
        <f t="shared" ca="1" si="852"/>
        <v>0</v>
      </c>
      <c r="X679" s="45">
        <f t="shared" ca="1" si="867"/>
        <v>1.0054897317912599</v>
      </c>
      <c r="Y679" s="45">
        <f t="shared" ca="1" si="853"/>
        <v>0</v>
      </c>
      <c r="Z679" s="77">
        <f t="shared" ca="1" si="854"/>
        <v>0</v>
      </c>
      <c r="AA679" s="45">
        <f t="shared" ca="1" si="868"/>
        <v>39.118250095665033</v>
      </c>
      <c r="AB679" s="45">
        <f t="shared" ca="1" si="855"/>
        <v>0</v>
      </c>
      <c r="AC679" s="45" cm="1">
        <f t="array" aca="1" ref="AC679" ca="1">pHUM*(T679+W679+Z679+AD679)</f>
        <v>0</v>
      </c>
      <c r="AD679" s="77">
        <f t="shared" ca="1" si="856"/>
        <v>0</v>
      </c>
      <c r="AE679" s="45">
        <f t="shared" ca="1" si="869"/>
        <v>6.3847072090583081</v>
      </c>
      <c r="AF679" s="45">
        <f t="shared" ca="1" si="857"/>
        <v>0</v>
      </c>
      <c r="AG679" s="76">
        <f t="shared" ca="1" si="858"/>
        <v>66.422233425971271</v>
      </c>
      <c r="AH679" s="45">
        <f t="shared" ca="1" si="859"/>
        <v>0</v>
      </c>
      <c r="AI679" s="77">
        <f t="shared" ca="1" si="860"/>
        <v>2.0809874077640827E-2</v>
      </c>
      <c r="AJ679" s="384">
        <f t="shared" ca="1" si="862"/>
        <v>2.0797140270136794E-2</v>
      </c>
      <c r="AU679" s="1"/>
    </row>
    <row r="680" spans="3:47" x14ac:dyDescent="0.25">
      <c r="C680" s="10">
        <f t="shared" si="887"/>
        <v>49</v>
      </c>
      <c r="D680" s="91">
        <f t="shared" si="870"/>
        <v>2</v>
      </c>
      <c r="E680" s="278"/>
      <c r="F680" s="76">
        <f t="shared" ref="F680:Q680" si="892">F608</f>
        <v>1.5363448275862068</v>
      </c>
      <c r="G680" s="46">
        <f t="shared" si="892"/>
        <v>89.651029216467379</v>
      </c>
      <c r="H680" s="46">
        <f t="shared" si="846"/>
        <v>-34.120879216467372</v>
      </c>
      <c r="I680" s="45">
        <f t="shared" si="847"/>
        <v>0</v>
      </c>
      <c r="J680" s="45">
        <f t="shared" si="848"/>
        <v>0.18962389606700991</v>
      </c>
      <c r="K680" s="45">
        <f t="shared" ca="1" si="864"/>
        <v>0.61288442998317227</v>
      </c>
      <c r="L680" s="358">
        <f t="shared" si="849"/>
        <v>0.41613501220093307</v>
      </c>
      <c r="M680" s="76">
        <f t="shared" ca="1" si="892"/>
        <v>0.25347808785320641</v>
      </c>
      <c r="N680" s="45">
        <f t="shared" ca="1" si="892"/>
        <v>0.25</v>
      </c>
      <c r="O680" s="45">
        <f t="shared" ca="1" si="892"/>
        <v>0</v>
      </c>
      <c r="P680" s="46" t="str">
        <f t="shared" ca="1" si="892"/>
        <v/>
      </c>
      <c r="Q680" s="243" t="str">
        <f t="shared" ca="1" si="892"/>
        <v/>
      </c>
      <c r="R680" s="45">
        <f t="shared" ca="1" si="865"/>
        <v>0.83135089430792863</v>
      </c>
      <c r="S680" s="45">
        <f t="shared" ca="1" si="889"/>
        <v>5.0695617570641283E-2</v>
      </c>
      <c r="T680" s="77">
        <f t="shared" ca="1" si="850"/>
        <v>0</v>
      </c>
      <c r="U680" s="45">
        <f t="shared" ca="1" si="866"/>
        <v>19.33591358300194</v>
      </c>
      <c r="V680" s="45">
        <f t="shared" ca="1" si="851"/>
        <v>0.20278247028256513</v>
      </c>
      <c r="W680" s="77">
        <f t="shared" ca="1" si="852"/>
        <v>0</v>
      </c>
      <c r="X680" s="45">
        <f t="shared" ca="1" si="867"/>
        <v>1.0054897317912599</v>
      </c>
      <c r="Y680" s="45">
        <f t="shared" ca="1" si="853"/>
        <v>0</v>
      </c>
      <c r="Z680" s="77">
        <f t="shared" ca="1" si="854"/>
        <v>0</v>
      </c>
      <c r="AA680" s="45">
        <f t="shared" ca="1" si="868"/>
        <v>39.118250095665033</v>
      </c>
      <c r="AB680" s="45">
        <f t="shared" ca="1" si="855"/>
        <v>0</v>
      </c>
      <c r="AC680" s="45" cm="1">
        <f t="array" aca="1" ref="AC680" ca="1">pHUM*(T680+W680+Z680+AD680)</f>
        <v>0</v>
      </c>
      <c r="AD680" s="77">
        <f t="shared" ca="1" si="856"/>
        <v>0</v>
      </c>
      <c r="AE680" s="45">
        <f t="shared" ca="1" si="869"/>
        <v>6.3847072090583081</v>
      </c>
      <c r="AF680" s="45">
        <f t="shared" ca="1" si="857"/>
        <v>0</v>
      </c>
      <c r="AG680" s="76">
        <f t="shared" ca="1" si="858"/>
        <v>66.675711513824467</v>
      </c>
      <c r="AH680" s="45">
        <f t="shared" ca="1" si="859"/>
        <v>0</v>
      </c>
      <c r="AI680" s="77">
        <f t="shared" ca="1" si="860"/>
        <v>2.1507176488302585E-2</v>
      </c>
      <c r="AJ680" s="384">
        <f t="shared" ca="1" si="862"/>
        <v>1.9361473711532184E-2</v>
      </c>
      <c r="AU680" s="1"/>
    </row>
    <row r="681" spans="3:47" x14ac:dyDescent="0.25">
      <c r="C681" s="10">
        <f t="shared" si="887"/>
        <v>49</v>
      </c>
      <c r="D681" s="91">
        <f t="shared" si="870"/>
        <v>3</v>
      </c>
      <c r="E681" s="278"/>
      <c r="F681" s="76">
        <f t="shared" ref="F681:Q681" ca="1" si="893">F609</f>
        <v>-0.57999999999999996</v>
      </c>
      <c r="G681" s="46">
        <f t="shared" ca="1" si="893"/>
        <v>55.530150000000006</v>
      </c>
      <c r="H681" s="46">
        <f t="shared" ca="1" si="846"/>
        <v>0</v>
      </c>
      <c r="I681" s="45">
        <f t="shared" ca="1" si="847"/>
        <v>8.1834107856600266E-2</v>
      </c>
      <c r="J681" s="45">
        <f t="shared" ca="1" si="848"/>
        <v>0.29595601705647312</v>
      </c>
      <c r="K681" s="45">
        <f t="shared" ca="1" si="864"/>
        <v>0.95656105889548582</v>
      </c>
      <c r="L681" s="358">
        <f t="shared" ca="1" si="849"/>
        <v>0.34200470507454295</v>
      </c>
      <c r="M681" s="76">
        <f t="shared" ca="1" si="893"/>
        <v>0.25347808785320641</v>
      </c>
      <c r="N681" s="45">
        <f t="shared" ca="1" si="893"/>
        <v>0.25</v>
      </c>
      <c r="O681" s="45">
        <f t="shared" ca="1" si="893"/>
        <v>0</v>
      </c>
      <c r="P681" s="46" t="str">
        <f t="shared" ca="1" si="893"/>
        <v/>
      </c>
      <c r="Q681" s="243" t="str">
        <f t="shared" ca="1" si="893"/>
        <v/>
      </c>
      <c r="R681" s="45">
        <f t="shared" ca="1" si="865"/>
        <v>0.88204651187856986</v>
      </c>
      <c r="S681" s="45">
        <f t="shared" ca="1" si="889"/>
        <v>5.0695617570641283E-2</v>
      </c>
      <c r="T681" s="77">
        <f t="shared" ca="1" si="850"/>
        <v>5.8146070292331417E-2</v>
      </c>
      <c r="U681" s="45">
        <f t="shared" ca="1" si="866"/>
        <v>19.538696053284504</v>
      </c>
      <c r="V681" s="45">
        <f t="shared" ca="1" si="851"/>
        <v>0.20278247028256513</v>
      </c>
      <c r="W681" s="77">
        <f t="shared" ca="1" si="852"/>
        <v>3.993243213991781E-2</v>
      </c>
      <c r="X681" s="45">
        <f t="shared" ca="1" si="867"/>
        <v>1.0054897317912599</v>
      </c>
      <c r="Y681" s="45">
        <f t="shared" ca="1" si="853"/>
        <v>8.9006218339968499E-3</v>
      </c>
      <c r="Z681" s="77">
        <f t="shared" ca="1" si="854"/>
        <v>4.5154152491694499E-3</v>
      </c>
      <c r="AA681" s="45">
        <f t="shared" ca="1" si="868"/>
        <v>39.118250095665033</v>
      </c>
      <c r="AB681" s="45">
        <f t="shared" ca="1" si="855"/>
        <v>0</v>
      </c>
      <c r="AC681" s="45" cm="1">
        <f t="array" aca="1" ref="AC681" ca="1">pHUM*(T681+W681+Z681+AD681)</f>
        <v>1.0471319804702176E-2</v>
      </c>
      <c r="AD681" s="77">
        <f t="shared" ca="1" si="856"/>
        <v>5.3349813346836106E-3</v>
      </c>
      <c r="AE681" s="45">
        <f t="shared" ca="1" si="869"/>
        <v>6.3847072090583081</v>
      </c>
      <c r="AF681" s="45">
        <f t="shared" ca="1" si="857"/>
        <v>0</v>
      </c>
      <c r="AG681" s="76">
        <f t="shared" ca="1" si="858"/>
        <v>66.929189601677678</v>
      </c>
      <c r="AH681" s="45">
        <f t="shared" ca="1" si="859"/>
        <v>8.8556957377403267E-2</v>
      </c>
      <c r="AI681" s="77">
        <f t="shared" ca="1" si="860"/>
        <v>2.2198640187500476E-2</v>
      </c>
      <c r="AJ681" s="384">
        <f t="shared" ca="1" si="862"/>
        <v>2.5633667450444264E-2</v>
      </c>
      <c r="AU681" s="1"/>
    </row>
    <row r="682" spans="3:47" x14ac:dyDescent="0.25">
      <c r="C682" s="10">
        <f t="shared" si="887"/>
        <v>49</v>
      </c>
      <c r="D682" s="91">
        <f t="shared" si="870"/>
        <v>4</v>
      </c>
      <c r="E682" s="278"/>
      <c r="F682" s="76">
        <f t="shared" ref="F682:Q682" ca="1" si="894">F610</f>
        <v>7.18</v>
      </c>
      <c r="G682" s="46">
        <f t="shared" ca="1" si="894"/>
        <v>29.828585295978598</v>
      </c>
      <c r="H682" s="46">
        <f t="shared" ca="1" si="846"/>
        <v>25.701564704021408</v>
      </c>
      <c r="I682" s="45">
        <f t="shared" ca="1" si="847"/>
        <v>0.34975431431902781</v>
      </c>
      <c r="J682" s="45">
        <f t="shared" ca="1" si="848"/>
        <v>0.29147915612483932</v>
      </c>
      <c r="K682" s="45">
        <f t="shared" ca="1" si="864"/>
        <v>0.94209137223094908</v>
      </c>
      <c r="L682" s="358">
        <f t="shared" ca="1" si="849"/>
        <v>0.62308014794471589</v>
      </c>
      <c r="M682" s="76">
        <f t="shared" ca="1" si="894"/>
        <v>0.25347808785320641</v>
      </c>
      <c r="N682" s="45">
        <f t="shared" ca="1" si="894"/>
        <v>0.25</v>
      </c>
      <c r="O682" s="45">
        <f t="shared" ca="1" si="894"/>
        <v>0</v>
      </c>
      <c r="P682" s="46" t="str">
        <f t="shared" ca="1" si="894"/>
        <v/>
      </c>
      <c r="Q682" s="243" t="str">
        <f t="shared" ca="1" si="894"/>
        <v/>
      </c>
      <c r="R682" s="45">
        <f t="shared" ca="1" si="865"/>
        <v>0.87459605915687966</v>
      </c>
      <c r="S682" s="45">
        <f t="shared" ca="1" si="889"/>
        <v>5.0695617570641283E-2</v>
      </c>
      <c r="T682" s="77">
        <f t="shared" ca="1" si="850"/>
        <v>0.22112372029543051</v>
      </c>
      <c r="U682" s="45">
        <f t="shared" ca="1" si="866"/>
        <v>19.701546091427151</v>
      </c>
      <c r="V682" s="45">
        <f t="shared" ca="1" si="851"/>
        <v>0.20278247028256513</v>
      </c>
      <c r="W682" s="77">
        <f t="shared" ca="1" si="852"/>
        <v>0.17151656758789988</v>
      </c>
      <c r="X682" s="45">
        <f t="shared" ca="1" si="867"/>
        <v>1.0098749383760872</v>
      </c>
      <c r="Y682" s="45">
        <f t="shared" ca="1" si="853"/>
        <v>3.5846986180318424E-2</v>
      </c>
      <c r="Z682" s="77">
        <f t="shared" ca="1" si="854"/>
        <v>1.9240790481235521E-2</v>
      </c>
      <c r="AA682" s="45">
        <f t="shared" ca="1" si="868"/>
        <v>39.12338643413505</v>
      </c>
      <c r="AB682" s="45">
        <f t="shared" ca="1" si="855"/>
        <v>0</v>
      </c>
      <c r="AC682" s="45" cm="1">
        <f t="array" aca="1" ref="AC682" ca="1">pHUM*(T682+W682+Z682+AD682)</f>
        <v>4.2172924918021673E-2</v>
      </c>
      <c r="AD682" s="77">
        <f t="shared" ca="1" si="856"/>
        <v>2.2799309550516348E-2</v>
      </c>
      <c r="AE682" s="45">
        <f t="shared" ca="1" si="869"/>
        <v>6.3847072090583081</v>
      </c>
      <c r="AF682" s="45">
        <f t="shared" ca="1" si="857"/>
        <v>0</v>
      </c>
      <c r="AG682" s="76">
        <f t="shared" ca="1" si="858"/>
        <v>67.094110732153467</v>
      </c>
      <c r="AH682" s="45">
        <f t="shared" ca="1" si="859"/>
        <v>0.35666047681674218</v>
      </c>
      <c r="AI682" s="77">
        <f t="shared" ca="1" si="860"/>
        <v>2.2107241866411758E-2</v>
      </c>
      <c r="AJ682" s="384">
        <f t="shared" ca="1" si="862"/>
        <v>4.5803939803669147E-2</v>
      </c>
      <c r="AU682" s="1"/>
    </row>
    <row r="683" spans="3:47" x14ac:dyDescent="0.25">
      <c r="C683" s="10">
        <f t="shared" si="887"/>
        <v>49</v>
      </c>
      <c r="D683" s="91">
        <f t="shared" si="870"/>
        <v>5</v>
      </c>
      <c r="E683" s="278"/>
      <c r="F683" s="76">
        <f t="shared" ref="F683:Q683" ca="1" si="895">F611</f>
        <v>14.05</v>
      </c>
      <c r="G683" s="46">
        <f t="shared" ca="1" si="895"/>
        <v>27.012600000000003</v>
      </c>
      <c r="H683" s="46">
        <f t="shared" ca="1" si="846"/>
        <v>28.517550000000004</v>
      </c>
      <c r="I683" s="45">
        <f t="shared" ca="1" si="847"/>
        <v>0.75173784437395219</v>
      </c>
      <c r="J683" s="45">
        <f t="shared" ca="1" si="848"/>
        <v>0.27952512346894071</v>
      </c>
      <c r="K683" s="45">
        <f t="shared" ca="1" si="864"/>
        <v>0.90345467800480783</v>
      </c>
      <c r="L683" s="358">
        <f t="shared" ca="1" si="849"/>
        <v>0.82085140481213359</v>
      </c>
      <c r="M683" s="76">
        <f t="shared" ca="1" si="895"/>
        <v>0.25347808785320641</v>
      </c>
      <c r="N683" s="45">
        <f t="shared" ca="1" si="895"/>
        <v>0.25</v>
      </c>
      <c r="O683" s="45">
        <f t="shared" ca="1" si="895"/>
        <v>0</v>
      </c>
      <c r="P683" s="46" t="str">
        <f t="shared" ca="1" si="895"/>
        <v/>
      </c>
      <c r="Q683" s="243" t="str">
        <f t="shared" ca="1" si="895"/>
        <v/>
      </c>
      <c r="R683" s="45">
        <f t="shared" ca="1" si="865"/>
        <v>0.70416795643209051</v>
      </c>
      <c r="S683" s="45">
        <f t="shared" ca="1" si="889"/>
        <v>5.0695617570641283E-2</v>
      </c>
      <c r="T683" s="77">
        <f t="shared" ca="1" si="850"/>
        <v>0.32779946324687731</v>
      </c>
      <c r="U683" s="45">
        <f t="shared" ca="1" si="866"/>
        <v>19.732811994121814</v>
      </c>
      <c r="V683" s="45">
        <f t="shared" ca="1" si="851"/>
        <v>0.20278247028256513</v>
      </c>
      <c r="W683" s="77">
        <f t="shared" ca="1" si="852"/>
        <v>0.36738451516207032</v>
      </c>
      <c r="X683" s="45">
        <f t="shared" ca="1" si="867"/>
        <v>1.0264811340751701</v>
      </c>
      <c r="Y683" s="45">
        <f t="shared" ca="1" si="853"/>
        <v>6.4800466586736785E-2</v>
      </c>
      <c r="Z683" s="77">
        <f t="shared" ca="1" si="854"/>
        <v>4.157506432511094E-2</v>
      </c>
      <c r="AA683" s="45">
        <f t="shared" ca="1" si="868"/>
        <v>39.142760049502556</v>
      </c>
      <c r="AB683" s="45">
        <f t="shared" ca="1" si="855"/>
        <v>0</v>
      </c>
      <c r="AC683" s="45" cm="1">
        <f t="array" aca="1" ref="AC683" ca="1">pHUM*(T683+W683+Z683+AD683)</f>
        <v>7.6235843043219745E-2</v>
      </c>
      <c r="AD683" s="77">
        <f t="shared" ca="1" si="856"/>
        <v>4.9011114101783528E-2</v>
      </c>
      <c r="AE683" s="45">
        <f t="shared" ca="1" si="869"/>
        <v>6.3847072090583081</v>
      </c>
      <c r="AF683" s="45">
        <f t="shared" ca="1" si="857"/>
        <v>0</v>
      </c>
      <c r="AG683" s="76">
        <f t="shared" ca="1" si="858"/>
        <v>66.990928343189935</v>
      </c>
      <c r="AH683" s="45">
        <f t="shared" ca="1" si="859"/>
        <v>0.64473384720588556</v>
      </c>
      <c r="AI683" s="77">
        <f t="shared" ca="1" si="860"/>
        <v>1.9829999355070536E-2</v>
      </c>
      <c r="AJ683" s="384">
        <f t="shared" ca="1" si="862"/>
        <v>5.1906583919330007E-2</v>
      </c>
      <c r="AU683" s="1"/>
    </row>
    <row r="684" spans="3:47" x14ac:dyDescent="0.25">
      <c r="C684" s="10">
        <f t="shared" si="887"/>
        <v>49</v>
      </c>
      <c r="D684" s="91">
        <f t="shared" si="870"/>
        <v>6</v>
      </c>
      <c r="E684" s="278"/>
      <c r="F684" s="76">
        <f t="shared" ref="F684:Q684" ca="1" si="896">F612</f>
        <v>17.96</v>
      </c>
      <c r="G684" s="46">
        <f t="shared" ca="1" si="896"/>
        <v>27.012600000000003</v>
      </c>
      <c r="H684" s="46">
        <f t="shared" ca="1" si="846"/>
        <v>28.517550000000004</v>
      </c>
      <c r="I684" s="45">
        <f t="shared" ca="1" si="847"/>
        <v>1.0549705763362276</v>
      </c>
      <c r="J684" s="45">
        <f t="shared" ca="1" si="848"/>
        <v>0.27952512346894071</v>
      </c>
      <c r="K684" s="45">
        <f t="shared" ca="1" si="864"/>
        <v>0.90345467800480783</v>
      </c>
      <c r="L684" s="358">
        <f t="shared" ca="1" si="849"/>
        <v>0.89023829243059249</v>
      </c>
      <c r="M684" s="76">
        <f t="shared" ca="1" si="896"/>
        <v>0.25347808785320641</v>
      </c>
      <c r="N684" s="45">
        <f t="shared" ca="1" si="896"/>
        <v>0.25</v>
      </c>
      <c r="O684" s="45">
        <f t="shared" ca="1" si="896"/>
        <v>0</v>
      </c>
      <c r="P684" s="46" t="str">
        <f t="shared" ca="1" si="896"/>
        <v/>
      </c>
      <c r="Q684" s="243" t="str">
        <f t="shared" ca="1" si="896"/>
        <v/>
      </c>
      <c r="R684" s="45">
        <f t="shared" ca="1" si="865"/>
        <v>0.42706411075585454</v>
      </c>
      <c r="S684" s="45">
        <f t="shared" ca="1" si="889"/>
        <v>5.0695617570641283E-2</v>
      </c>
      <c r="T684" s="77">
        <f t="shared" ca="1" si="850"/>
        <v>0.24977319108169391</v>
      </c>
      <c r="U684" s="45">
        <f t="shared" ca="1" si="866"/>
        <v>19.568209949242309</v>
      </c>
      <c r="V684" s="45">
        <f t="shared" ca="1" si="851"/>
        <v>0.20278247028256513</v>
      </c>
      <c r="W684" s="77">
        <f t="shared" ca="1" si="852"/>
        <v>0.50935074252078338</v>
      </c>
      <c r="X684" s="45">
        <f t="shared" ca="1" si="867"/>
        <v>1.0497065363367959</v>
      </c>
      <c r="Y684" s="45">
        <f t="shared" ca="1" si="853"/>
        <v>7.3157670193229593E-2</v>
      </c>
      <c r="Z684" s="77">
        <f t="shared" ca="1" si="854"/>
        <v>5.9174179098204716E-2</v>
      </c>
      <c r="AA684" s="45">
        <f t="shared" ca="1" si="868"/>
        <v>39.169984778443997</v>
      </c>
      <c r="AB684" s="45">
        <f t="shared" ca="1" si="855"/>
        <v>0</v>
      </c>
      <c r="AC684" s="45" cm="1">
        <f t="array" aca="1" ref="AC684" ca="1">pHUM*(T684+W684+Z684+AD684)</f>
        <v>8.6067847286152452E-2</v>
      </c>
      <c r="AD684" s="77">
        <f t="shared" ca="1" si="856"/>
        <v>6.8811456248698638E-2</v>
      </c>
      <c r="AE684" s="45">
        <f t="shared" ca="1" si="869"/>
        <v>6.3847072090583081</v>
      </c>
      <c r="AF684" s="45">
        <f t="shared" ca="1" si="857"/>
        <v>0</v>
      </c>
      <c r="AG684" s="76">
        <f t="shared" ca="1" si="858"/>
        <v>66.599672583837261</v>
      </c>
      <c r="AH684" s="45">
        <f t="shared" ca="1" si="859"/>
        <v>0.72788405146999879</v>
      </c>
      <c r="AI684" s="77">
        <f t="shared" ca="1" si="860"/>
        <v>1.6077550973106754E-2</v>
      </c>
      <c r="AJ684" s="384">
        <f t="shared" ca="1" si="862"/>
        <v>4.5641923125316897E-2</v>
      </c>
      <c r="AU684" s="1"/>
    </row>
    <row r="685" spans="3:47" x14ac:dyDescent="0.25">
      <c r="C685" s="10">
        <f t="shared" si="887"/>
        <v>49</v>
      </c>
      <c r="D685" s="91">
        <f t="shared" si="870"/>
        <v>7</v>
      </c>
      <c r="E685" s="278"/>
      <c r="F685" s="76">
        <f t="shared" ref="F685:Q685" ca="1" si="897">F613</f>
        <v>21.89</v>
      </c>
      <c r="G685" s="46">
        <f t="shared" ca="1" si="897"/>
        <v>27.012600000000003</v>
      </c>
      <c r="H685" s="46">
        <f t="shared" ca="1" si="846"/>
        <v>28.517550000000004</v>
      </c>
      <c r="I685" s="45">
        <f t="shared" ca="1" si="847"/>
        <v>1.3816368002949853</v>
      </c>
      <c r="J685" s="45">
        <f t="shared" ca="1" si="848"/>
        <v>0.27952512346894071</v>
      </c>
      <c r="K685" s="45">
        <f t="shared" ca="1" si="864"/>
        <v>0.90345467800480783</v>
      </c>
      <c r="L685" s="358">
        <f t="shared" ca="1" si="849"/>
        <v>0.9336160920992449</v>
      </c>
      <c r="M685" s="76">
        <f t="shared" ca="1" si="897"/>
        <v>0.25347808785320641</v>
      </c>
      <c r="N685" s="45">
        <f t="shared" ca="1" si="897"/>
        <v>0.25</v>
      </c>
      <c r="O685" s="45">
        <f t="shared" ca="1" si="897"/>
        <v>0</v>
      </c>
      <c r="P685" s="46" t="str">
        <f t="shared" ca="1" si="897"/>
        <v/>
      </c>
      <c r="Q685" s="243" t="str">
        <f t="shared" ca="1" si="897"/>
        <v/>
      </c>
      <c r="R685" s="45">
        <f t="shared" ca="1" si="865"/>
        <v>0.22798653724480192</v>
      </c>
      <c r="S685" s="45">
        <f t="shared" ca="1" si="889"/>
        <v>5.0695617570641283E-2</v>
      </c>
      <c r="T685" s="77">
        <f t="shared" ca="1" si="850"/>
        <v>0.15589601521205412</v>
      </c>
      <c r="U685" s="45">
        <f t="shared" ca="1" si="866"/>
        <v>19.261641677004089</v>
      </c>
      <c r="V685" s="45">
        <f t="shared" ca="1" si="851"/>
        <v>0.20278247028256513</v>
      </c>
      <c r="W685" s="77">
        <f t="shared" ca="1" si="852"/>
        <v>0.65395569185781988</v>
      </c>
      <c r="X685" s="45">
        <f t="shared" ca="1" si="867"/>
        <v>1.0636900274318206</v>
      </c>
      <c r="Y685" s="45">
        <f t="shared" ca="1" si="853"/>
        <v>8.0638368710980041E-2</v>
      </c>
      <c r="Z685" s="77">
        <f t="shared" ca="1" si="854"/>
        <v>7.7835036428075974E-2</v>
      </c>
      <c r="AA685" s="45">
        <f t="shared" ca="1" si="868"/>
        <v>39.187241169481453</v>
      </c>
      <c r="AB685" s="45">
        <f t="shared" ca="1" si="855"/>
        <v>0</v>
      </c>
      <c r="AC685" s="45" cm="1">
        <f t="array" aca="1" ref="AC685" ca="1">pHUM*(T685+W685+Z685+AD685)</f>
        <v>9.4868669071741227E-2</v>
      </c>
      <c r="AD685" s="77">
        <f t="shared" ca="1" si="856"/>
        <v>9.0133740930202072E-2</v>
      </c>
      <c r="AE685" s="45">
        <f t="shared" ca="1" si="869"/>
        <v>6.3847072090583081</v>
      </c>
      <c r="AF685" s="45">
        <f t="shared" ca="1" si="857"/>
        <v>0</v>
      </c>
      <c r="AG685" s="76">
        <f t="shared" ca="1" si="858"/>
        <v>66.125266620220472</v>
      </c>
      <c r="AH685" s="45">
        <f t="shared" ca="1" si="859"/>
        <v>0.80231344664543092</v>
      </c>
      <c r="AI685" s="77">
        <f t="shared" ca="1" si="860"/>
        <v>1.3313314286414002E-2</v>
      </c>
      <c r="AJ685" s="384">
        <f t="shared" ca="1" si="862"/>
        <v>3.9636449319433442E-2</v>
      </c>
      <c r="AU685" s="1"/>
    </row>
    <row r="686" spans="3:47" x14ac:dyDescent="0.25">
      <c r="C686" s="10">
        <f t="shared" si="887"/>
        <v>49</v>
      </c>
      <c r="D686" s="91">
        <f t="shared" si="870"/>
        <v>8</v>
      </c>
      <c r="E686" s="278"/>
      <c r="F686" s="76">
        <f t="shared" ref="F686:Q686" ca="1" si="898">F614</f>
        <v>20.350000000000001</v>
      </c>
      <c r="G686" s="46">
        <f t="shared" ca="1" si="898"/>
        <v>27.012600000000003</v>
      </c>
      <c r="H686" s="46">
        <f t="shared" ca="1" si="846"/>
        <v>28.517550000000004</v>
      </c>
      <c r="I686" s="45">
        <f t="shared" ca="1" si="847"/>
        <v>1.2518642054104028</v>
      </c>
      <c r="J686" s="45">
        <f t="shared" ca="1" si="848"/>
        <v>0.27952512346894071</v>
      </c>
      <c r="K686" s="45">
        <f t="shared" ca="1" si="864"/>
        <v>0.90345467800480783</v>
      </c>
      <c r="L686" s="358">
        <f t="shared" ca="1" si="849"/>
        <v>0.91927514332007565</v>
      </c>
      <c r="M686" s="76">
        <f t="shared" ca="1" si="898"/>
        <v>0.25347808785320641</v>
      </c>
      <c r="N686" s="45">
        <f t="shared" ca="1" si="898"/>
        <v>0.25</v>
      </c>
      <c r="O686" s="45">
        <f t="shared" ca="1" si="898"/>
        <v>0</v>
      </c>
      <c r="P686" s="46" t="str">
        <f t="shared" ca="1" si="898"/>
        <v/>
      </c>
      <c r="Q686" s="243" t="str">
        <f t="shared" ca="1" si="898"/>
        <v/>
      </c>
      <c r="R686" s="45">
        <f t="shared" ca="1" si="865"/>
        <v>0.12278613960338911</v>
      </c>
      <c r="S686" s="45">
        <f t="shared" ca="1" si="889"/>
        <v>5.0695617570641283E-2</v>
      </c>
      <c r="T686" s="77">
        <f t="shared" ca="1" si="850"/>
        <v>7.9526332198068456E-2</v>
      </c>
      <c r="U686" s="45">
        <f t="shared" ca="1" si="866"/>
        <v>18.810468455428833</v>
      </c>
      <c r="V686" s="45">
        <f t="shared" ca="1" si="851"/>
        <v>0.20278247028256513</v>
      </c>
      <c r="W686" s="77">
        <f t="shared" ca="1" si="852"/>
        <v>0.57958694485641171</v>
      </c>
      <c r="X686" s="45">
        <f t="shared" ca="1" si="867"/>
        <v>1.0664933597147246</v>
      </c>
      <c r="Y686" s="45">
        <f t="shared" ca="1" si="853"/>
        <v>6.6943750220850945E-2</v>
      </c>
      <c r="Z686" s="77">
        <f t="shared" ca="1" si="854"/>
        <v>7.0959853756796518E-2</v>
      </c>
      <c r="AA686" s="45">
        <f t="shared" ca="1" si="868"/>
        <v>39.191976097622998</v>
      </c>
      <c r="AB686" s="45">
        <f t="shared" ca="1" si="855"/>
        <v>0</v>
      </c>
      <c r="AC686" s="45" cm="1">
        <f t="array" aca="1" ref="AC686" ca="1">pHUM*(T686+W686+Z686+AD686)</f>
        <v>7.8757353201001107E-2</v>
      </c>
      <c r="AD686" s="77">
        <f t="shared" ca="1" si="856"/>
        <v>8.1686473416388336E-2</v>
      </c>
      <c r="AE686" s="45">
        <f t="shared" ca="1" si="869"/>
        <v>6.3847072090583081</v>
      </c>
      <c r="AF686" s="45">
        <f t="shared" ca="1" si="857"/>
        <v>0</v>
      </c>
      <c r="AG686" s="76">
        <f t="shared" ca="1" si="858"/>
        <v>65.576431261428255</v>
      </c>
      <c r="AH686" s="45">
        <f t="shared" ca="1" si="859"/>
        <v>0.66605850080581308</v>
      </c>
      <c r="AI686" s="77">
        <f t="shared" ca="1" si="860"/>
        <v>1.1767871277398123E-2</v>
      </c>
      <c r="AJ686" s="384">
        <f t="shared" ca="1" si="862"/>
        <v>3.449735213421401E-2</v>
      </c>
      <c r="AU686" s="1"/>
    </row>
    <row r="687" spans="3:47" x14ac:dyDescent="0.25">
      <c r="C687" s="10">
        <f t="shared" si="887"/>
        <v>49</v>
      </c>
      <c r="D687" s="91">
        <f t="shared" si="870"/>
        <v>9</v>
      </c>
      <c r="E687" s="278"/>
      <c r="F687" s="76">
        <f t="shared" ref="F687:Q687" ca="1" si="899">F615</f>
        <v>17.38</v>
      </c>
      <c r="G687" s="46">
        <f t="shared" ca="1" si="899"/>
        <v>27.012600000000003</v>
      </c>
      <c r="H687" s="46">
        <f t="shared" ca="1" si="846"/>
        <v>28.517550000000004</v>
      </c>
      <c r="I687" s="45">
        <f t="shared" ca="1" si="847"/>
        <v>1.0082864185928893</v>
      </c>
      <c r="J687" s="45">
        <f t="shared" ca="1" si="848"/>
        <v>0.27952512346894071</v>
      </c>
      <c r="K687" s="45">
        <f t="shared" ca="1" si="864"/>
        <v>0.90345467800480783</v>
      </c>
      <c r="L687" s="358">
        <f t="shared" ca="1" si="849"/>
        <v>0.88177917719725518</v>
      </c>
      <c r="M687" s="76">
        <f t="shared" ca="1" si="899"/>
        <v>0.25347808785320641</v>
      </c>
      <c r="N687" s="45">
        <f t="shared" ca="1" si="899"/>
        <v>0.25</v>
      </c>
      <c r="O687" s="45">
        <f t="shared" ca="1" si="899"/>
        <v>0</v>
      </c>
      <c r="P687" s="46" t="str">
        <f t="shared" ca="1" si="899"/>
        <v/>
      </c>
      <c r="Q687" s="243" t="str">
        <f t="shared" ca="1" si="899"/>
        <v/>
      </c>
      <c r="R687" s="45">
        <f t="shared" ca="1" si="865"/>
        <v>9.3955424975961932E-2</v>
      </c>
      <c r="S687" s="45">
        <f t="shared" ca="1" si="889"/>
        <v>5.0695617570641283E-2</v>
      </c>
      <c r="T687" s="77">
        <f t="shared" ca="1" si="850"/>
        <v>5.340355944267039E-2</v>
      </c>
      <c r="U687" s="45">
        <f t="shared" ca="1" si="866"/>
        <v>18.433663980854984</v>
      </c>
      <c r="V687" s="45">
        <f t="shared" ca="1" si="851"/>
        <v>0.20278247028256513</v>
      </c>
      <c r="W687" s="77">
        <f t="shared" ca="1" si="852"/>
        <v>0.45885284128349257</v>
      </c>
      <c r="X687" s="45">
        <f t="shared" ca="1" si="867"/>
        <v>1.062477256178779</v>
      </c>
      <c r="Y687" s="45">
        <f t="shared" ca="1" si="853"/>
        <v>5.2397671867876909E-2</v>
      </c>
      <c r="Z687" s="77">
        <f t="shared" ca="1" si="854"/>
        <v>5.7316522616963954E-2</v>
      </c>
      <c r="AA687" s="45">
        <f t="shared" ca="1" si="868"/>
        <v>39.189046977407607</v>
      </c>
      <c r="AB687" s="45">
        <f t="shared" ca="1" si="855"/>
        <v>0</v>
      </c>
      <c r="AC687" s="45" cm="1">
        <f t="array" aca="1" ref="AC687" ca="1">pHUM*(T687+W687+Z687+AD687)</f>
        <v>6.164431984456107E-2</v>
      </c>
      <c r="AD687" s="77">
        <f t="shared" ca="1" si="856"/>
        <v>6.5801002342181752E-2</v>
      </c>
      <c r="AE687" s="45">
        <f t="shared" ca="1" si="869"/>
        <v>6.3847072090583081</v>
      </c>
      <c r="AF687" s="45">
        <f t="shared" ca="1" si="857"/>
        <v>0</v>
      </c>
      <c r="AG687" s="76">
        <f t="shared" ca="1" si="858"/>
        <v>65.163850848475647</v>
      </c>
      <c r="AH687" s="45">
        <f t="shared" ca="1" si="859"/>
        <v>0.52133193397287081</v>
      </c>
      <c r="AI687" s="77">
        <f t="shared" ca="1" si="860"/>
        <v>1.127762456788025E-2</v>
      </c>
      <c r="AJ687" s="384">
        <f t="shared" ca="1" si="862"/>
        <v>3.1711803993491605E-2</v>
      </c>
      <c r="AU687" s="1"/>
    </row>
    <row r="688" spans="3:47" x14ac:dyDescent="0.25">
      <c r="C688" s="10">
        <f t="shared" si="887"/>
        <v>49</v>
      </c>
      <c r="D688" s="91">
        <f t="shared" si="870"/>
        <v>10</v>
      </c>
      <c r="E688" s="278"/>
      <c r="F688" s="76">
        <f t="shared" ref="F688:Q688" ca="1" si="900">F616</f>
        <v>9.61</v>
      </c>
      <c r="G688" s="46">
        <f t="shared" ca="1" si="900"/>
        <v>27.012600000000003</v>
      </c>
      <c r="H688" s="46">
        <f t="shared" ca="1" si="846"/>
        <v>28.517550000000004</v>
      </c>
      <c r="I688" s="45">
        <f t="shared" ca="1" si="847"/>
        <v>0.45243046736638293</v>
      </c>
      <c r="J688" s="45">
        <f t="shared" ca="1" si="848"/>
        <v>0.27952512346894071</v>
      </c>
      <c r="K688" s="45">
        <f t="shared" ca="1" si="864"/>
        <v>0.90345467800480783</v>
      </c>
      <c r="L688" s="358">
        <f t="shared" ca="1" si="849"/>
        <v>0.70354868513849667</v>
      </c>
      <c r="M688" s="76">
        <f t="shared" ca="1" si="900"/>
        <v>0.25347808785320641</v>
      </c>
      <c r="N688" s="45">
        <f t="shared" ca="1" si="900"/>
        <v>0.25</v>
      </c>
      <c r="O688" s="45">
        <f t="shared" ca="1" si="900"/>
        <v>0</v>
      </c>
      <c r="P688" s="46" t="str">
        <f t="shared" ca="1" si="900"/>
        <v/>
      </c>
      <c r="Q688" s="243" t="str">
        <f t="shared" ca="1" si="900"/>
        <v/>
      </c>
      <c r="R688" s="45">
        <f t="shared" ca="1" si="865"/>
        <v>9.1247483103932825E-2</v>
      </c>
      <c r="S688" s="45">
        <f t="shared" ca="1" si="889"/>
        <v>5.0695617570641283E-2</v>
      </c>
      <c r="T688" s="77">
        <f t="shared" ca="1" si="850"/>
        <v>2.8660956799418685E-2</v>
      </c>
      <c r="U688" s="45">
        <f t="shared" ca="1" si="866"/>
        <v>18.177593609854057</v>
      </c>
      <c r="V688" s="45">
        <f t="shared" ca="1" si="851"/>
        <v>0.20278247028256513</v>
      </c>
      <c r="W688" s="77">
        <f t="shared" ca="1" si="852"/>
        <v>0.20444404080498646</v>
      </c>
      <c r="X688" s="45">
        <f t="shared" ca="1" si="867"/>
        <v>1.057558405429692</v>
      </c>
      <c r="Y688" s="45">
        <f t="shared" ca="1" si="853"/>
        <v>2.3802786460200554E-2</v>
      </c>
      <c r="Z688" s="77">
        <f t="shared" ca="1" si="854"/>
        <v>2.5991220718857871E-2</v>
      </c>
      <c r="AA688" s="45">
        <f t="shared" ca="1" si="868"/>
        <v>39.184890294909984</v>
      </c>
      <c r="AB688" s="45">
        <f t="shared" ca="1" si="855"/>
        <v>0</v>
      </c>
      <c r="AC688" s="45" cm="1">
        <f t="array" aca="1" ref="AC688" ca="1">pHUM*(T688+W688+Z688+AD688)</f>
        <v>2.8003278188471242E-2</v>
      </c>
      <c r="AD688" s="77">
        <f t="shared" ca="1" si="856"/>
        <v>2.9536259730375585E-2</v>
      </c>
      <c r="AE688" s="45">
        <f t="shared" ca="1" si="869"/>
        <v>6.3847072090583081</v>
      </c>
      <c r="AF688" s="45">
        <f t="shared" ca="1" si="857"/>
        <v>0</v>
      </c>
      <c r="AG688" s="76">
        <f t="shared" ca="1" si="858"/>
        <v>64.895997002355969</v>
      </c>
      <c r="AH688" s="45">
        <f t="shared" ca="1" si="859"/>
        <v>0.23682641340496685</v>
      </c>
      <c r="AI688" s="77">
        <f t="shared" ca="1" si="860"/>
        <v>1.1176531479651081E-2</v>
      </c>
      <c r="AJ688" s="384">
        <f t="shared" ca="1" si="862"/>
        <v>2.5075372730350987E-2</v>
      </c>
      <c r="AU688" s="1"/>
    </row>
    <row r="689" spans="3:47" x14ac:dyDescent="0.25">
      <c r="C689" s="10">
        <f t="shared" si="887"/>
        <v>49</v>
      </c>
      <c r="D689" s="91">
        <f t="shared" si="870"/>
        <v>11</v>
      </c>
      <c r="E689" s="278"/>
      <c r="F689" s="76">
        <f t="shared" ref="F689:Q689" ca="1" si="901">F617</f>
        <v>5.71</v>
      </c>
      <c r="G689" s="46">
        <f t="shared" ca="1" si="901"/>
        <v>27.012600000000003</v>
      </c>
      <c r="H689" s="46">
        <f t="shared" ca="1" si="846"/>
        <v>28.517550000000004</v>
      </c>
      <c r="I689" s="45">
        <f t="shared" ca="1" si="847"/>
        <v>0.24617612464957264</v>
      </c>
      <c r="J689" s="45">
        <f t="shared" ca="1" si="848"/>
        <v>0.27952512346894071</v>
      </c>
      <c r="K689" s="45">
        <f t="shared" ca="1" si="864"/>
        <v>0.90345467800480783</v>
      </c>
      <c r="L689" s="358">
        <f t="shared" ca="1" si="849"/>
        <v>0.57043958344737544</v>
      </c>
      <c r="M689" s="76">
        <f t="shared" ca="1" si="901"/>
        <v>0.25347808785320641</v>
      </c>
      <c r="N689" s="45">
        <f t="shared" ca="1" si="901"/>
        <v>0.25</v>
      </c>
      <c r="O689" s="45">
        <f t="shared" ca="1" si="901"/>
        <v>0</v>
      </c>
      <c r="P689" s="46" t="str">
        <f t="shared" ca="1" si="901"/>
        <v/>
      </c>
      <c r="Q689" s="243" t="str">
        <f t="shared" ca="1" si="901"/>
        <v/>
      </c>
      <c r="R689" s="45">
        <f t="shared" ca="1" si="865"/>
        <v>0.11328214387515542</v>
      </c>
      <c r="S689" s="45">
        <f t="shared" ca="1" si="889"/>
        <v>5.0695617570641283E-2</v>
      </c>
      <c r="T689" s="77">
        <f t="shared" ca="1" si="850"/>
        <v>2.1010693094592452E-2</v>
      </c>
      <c r="U689" s="45">
        <f t="shared" ca="1" si="866"/>
        <v>18.175932039331634</v>
      </c>
      <c r="V689" s="45">
        <f t="shared" ca="1" si="851"/>
        <v>0.20278247028256513</v>
      </c>
      <c r="W689" s="77">
        <f t="shared" ca="1" si="852"/>
        <v>0.11151849589845668</v>
      </c>
      <c r="X689" s="45">
        <f t="shared" ca="1" si="867"/>
        <v>1.0553699711710347</v>
      </c>
      <c r="Y689" s="45">
        <f t="shared" ca="1" si="853"/>
        <v>1.3425343010009578E-2</v>
      </c>
      <c r="Z689" s="77">
        <f t="shared" ca="1" si="854"/>
        <v>1.4193077190317822E-2</v>
      </c>
      <c r="AA689" s="45">
        <f t="shared" ca="1" si="868"/>
        <v>39.183357313368077</v>
      </c>
      <c r="AB689" s="45">
        <f t="shared" ca="1" si="855"/>
        <v>0</v>
      </c>
      <c r="AC689" s="45" cm="1">
        <f t="array" aca="1" ref="AC689" ca="1">pHUM*(T689+W689+Z689+AD689)</f>
        <v>1.5794521188246563E-2</v>
      </c>
      <c r="AD689" s="77">
        <f t="shared" ca="1" si="856"/>
        <v>1.6073380795961996E-2</v>
      </c>
      <c r="AE689" s="45">
        <f t="shared" ca="1" si="869"/>
        <v>6.3847072090583081</v>
      </c>
      <c r="AF689" s="45">
        <f t="shared" ca="1" si="857"/>
        <v>0</v>
      </c>
      <c r="AG689" s="76">
        <f t="shared" ca="1" si="858"/>
        <v>64.91264867680421</v>
      </c>
      <c r="AH689" s="45">
        <f t="shared" ca="1" si="859"/>
        <v>0.13357578278107282</v>
      </c>
      <c r="AI689" s="77">
        <f t="shared" ca="1" si="860"/>
        <v>1.14842759650623E-2</v>
      </c>
      <c r="AJ689" s="384">
        <f t="shared" ca="1" si="862"/>
        <v>2.089109405388534E-2</v>
      </c>
      <c r="AU689" s="1"/>
    </row>
    <row r="690" spans="3:47" x14ac:dyDescent="0.25">
      <c r="C690" s="10">
        <f t="shared" si="887"/>
        <v>49</v>
      </c>
      <c r="D690" s="91">
        <f t="shared" si="870"/>
        <v>12</v>
      </c>
      <c r="E690" s="278"/>
      <c r="F690" s="76">
        <f t="shared" ref="F690:Q690" ca="1" si="902">F618</f>
        <v>-0.46</v>
      </c>
      <c r="G690" s="46">
        <f t="shared" ca="1" si="902"/>
        <v>27.012600000000003</v>
      </c>
      <c r="H690" s="46">
        <f t="shared" ca="1" si="846"/>
        <v>28.517550000000004</v>
      </c>
      <c r="I690" s="45">
        <f t="shared" ca="1" si="847"/>
        <v>5.3686278337302371E-2</v>
      </c>
      <c r="J690" s="45">
        <f t="shared" ca="1" si="848"/>
        <v>0.27952512346894071</v>
      </c>
      <c r="K690" s="45">
        <f t="shared" ca="1" si="864"/>
        <v>0.90345467800480783</v>
      </c>
      <c r="L690" s="358">
        <f t="shared" ca="1" si="849"/>
        <v>0.34604490353891793</v>
      </c>
      <c r="M690" s="76">
        <f t="shared" ca="1" si="902"/>
        <v>0.25347808785320641</v>
      </c>
      <c r="N690" s="45">
        <f t="shared" ca="1" si="902"/>
        <v>0.25</v>
      </c>
      <c r="O690" s="45">
        <f t="shared" ca="1" si="902"/>
        <v>0</v>
      </c>
      <c r="P690" s="46" t="str">
        <f t="shared" ca="1" si="902"/>
        <v/>
      </c>
      <c r="Q690" s="243" t="str">
        <f t="shared" ca="1" si="902"/>
        <v/>
      </c>
      <c r="R690" s="45">
        <f t="shared" ca="1" si="865"/>
        <v>0.14296706835120426</v>
      </c>
      <c r="S690" s="45">
        <f t="shared" ca="1" si="889"/>
        <v>5.0695617570641283E-2</v>
      </c>
      <c r="T690" s="77">
        <f t="shared" ca="1" si="850"/>
        <v>6.255174458432983E-3</v>
      </c>
      <c r="U690" s="45">
        <f t="shared" ca="1" si="866"/>
        <v>18.267196013715743</v>
      </c>
      <c r="V690" s="45">
        <f t="shared" ca="1" si="851"/>
        <v>0.20278247028256513</v>
      </c>
      <c r="W690" s="77">
        <f t="shared" ca="1" si="852"/>
        <v>2.4500998470089939E-2</v>
      </c>
      <c r="X690" s="45">
        <f t="shared" ca="1" si="867"/>
        <v>1.0546022369907264</v>
      </c>
      <c r="Y690" s="45">
        <f t="shared" ca="1" si="853"/>
        <v>3.0819230388211228E-3</v>
      </c>
      <c r="Z690" s="77">
        <f t="shared" ca="1" si="854"/>
        <v>3.1093789464679104E-3</v>
      </c>
      <c r="AA690" s="45">
        <f t="shared" ca="1" si="868"/>
        <v>39.183078453760366</v>
      </c>
      <c r="AB690" s="45">
        <f t="shared" ca="1" si="855"/>
        <v>0</v>
      </c>
      <c r="AC690" s="45" cm="1">
        <f t="array" aca="1" ref="AC690" ca="1">pHUM*(T690+W690+Z690+AD690)</f>
        <v>3.6257918103777915E-3</v>
      </c>
      <c r="AD690" s="77">
        <f t="shared" ca="1" si="856"/>
        <v>3.5058325783756316E-3</v>
      </c>
      <c r="AE690" s="45">
        <f t="shared" ca="1" si="869"/>
        <v>6.3847072090583081</v>
      </c>
      <c r="AF690" s="45">
        <f t="shared" ca="1" si="857"/>
        <v>0</v>
      </c>
      <c r="AG690" s="76">
        <f t="shared" ca="1" si="858"/>
        <v>65.032550981876341</v>
      </c>
      <c r="AH690" s="45">
        <f t="shared" ca="1" si="859"/>
        <v>3.0663669604167557E-2</v>
      </c>
      <c r="AI690" s="77">
        <f t="shared" ca="1" si="860"/>
        <v>1.1920768655499731E-2</v>
      </c>
      <c r="AJ690" s="384">
        <f t="shared" ca="1" si="862"/>
        <v>1.3154907455591447E-2</v>
      </c>
      <c r="AU690" s="1"/>
    </row>
    <row r="691" spans="3:47" x14ac:dyDescent="0.25">
      <c r="C691" s="10">
        <f t="shared" si="887"/>
        <v>50</v>
      </c>
      <c r="D691" s="91">
        <f t="shared" si="870"/>
        <v>1</v>
      </c>
      <c r="E691" s="278"/>
      <c r="F691" s="76">
        <f t="shared" ref="F691:Q691" ca="1" si="903">F619</f>
        <v>-3.44</v>
      </c>
      <c r="G691" s="46">
        <f t="shared" ca="1" si="903"/>
        <v>27.012600000000003</v>
      </c>
      <c r="H691" s="46">
        <f t="shared" ca="1" si="846"/>
        <v>28.517550000000004</v>
      </c>
      <c r="I691" s="45">
        <f t="shared" ca="1" si="847"/>
        <v>1.6253779081695344E-2</v>
      </c>
      <c r="J691" s="45">
        <f t="shared" ca="1" si="848"/>
        <v>0.27952512346894071</v>
      </c>
      <c r="K691" s="45">
        <f t="shared" ca="1" si="864"/>
        <v>0.90345467800480783</v>
      </c>
      <c r="L691" s="358">
        <f t="shared" ca="1" si="849"/>
        <v>0.25329647647379749</v>
      </c>
      <c r="M691" s="76">
        <f t="shared" ca="1" si="903"/>
        <v>0.25347808785320641</v>
      </c>
      <c r="N691" s="45">
        <f t="shared" ca="1" si="903"/>
        <v>0.25</v>
      </c>
      <c r="O691" s="45">
        <f t="shared" ca="1" si="903"/>
        <v>0</v>
      </c>
      <c r="P691" s="46" t="str">
        <f t="shared" ca="1" si="903"/>
        <v/>
      </c>
      <c r="Q691" s="243" t="str">
        <f t="shared" ca="1" si="903"/>
        <v/>
      </c>
      <c r="R691" s="45">
        <f t="shared" ca="1" si="865"/>
        <v>0.18740751146341256</v>
      </c>
      <c r="S691" s="45">
        <f t="shared" ca="1" si="889"/>
        <v>5.0695617570641283E-2</v>
      </c>
      <c r="T691" s="77">
        <f t="shared" ca="1" si="850"/>
        <v>2.5212865139021302E-3</v>
      </c>
      <c r="U691" s="45">
        <f t="shared" ca="1" si="866"/>
        <v>18.445477485528219</v>
      </c>
      <c r="V691" s="45">
        <f t="shared" ca="1" si="851"/>
        <v>0.20278247028256513</v>
      </c>
      <c r="W691" s="77">
        <f t="shared" ca="1" si="852"/>
        <v>7.4936952886971242E-3</v>
      </c>
      <c r="X691" s="45">
        <f t="shared" ca="1" si="867"/>
        <v>1.0545747810830794</v>
      </c>
      <c r="Y691" s="45">
        <f t="shared" ca="1" si="853"/>
        <v>9.9115574705944086E-4</v>
      </c>
      <c r="Z691" s="77">
        <f t="shared" ca="1" si="854"/>
        <v>9.4232414163950972E-4</v>
      </c>
      <c r="AA691" s="45">
        <f t="shared" ca="1" si="868"/>
        <v>39.183198412992368</v>
      </c>
      <c r="AB691" s="45">
        <f t="shared" ca="1" si="855"/>
        <v>0</v>
      </c>
      <c r="AC691" s="45" cm="1">
        <f t="array" aca="1" ref="AC691" ca="1">pHUM*(T691+W691+Z691+AD691)</f>
        <v>1.1660655847758128E-3</v>
      </c>
      <c r="AD691" s="77">
        <f t="shared" ca="1" si="856"/>
        <v>1.0614440407351144E-3</v>
      </c>
      <c r="AE691" s="45">
        <f t="shared" ca="1" si="869"/>
        <v>6.3847072090583081</v>
      </c>
      <c r="AF691" s="45">
        <f t="shared" ca="1" si="857"/>
        <v>0</v>
      </c>
      <c r="AG691" s="76">
        <f t="shared" ca="1" si="858"/>
        <v>65.255365400125385</v>
      </c>
      <c r="AH691" s="45">
        <f t="shared" ca="1" si="859"/>
        <v>9.8615286531386261E-3</v>
      </c>
      <c r="AI691" s="77">
        <f t="shared" ca="1" si="860"/>
        <v>1.2580406432724164E-2</v>
      </c>
      <c r="AJ691" s="384">
        <f t="shared" ca="1" si="862"/>
        <v>1.0161928310187252E-2</v>
      </c>
      <c r="AU691" s="1"/>
    </row>
    <row r="692" spans="3:47" x14ac:dyDescent="0.25">
      <c r="C692" s="10">
        <f t="shared" si="887"/>
        <v>50</v>
      </c>
      <c r="D692" s="91">
        <f t="shared" si="870"/>
        <v>2</v>
      </c>
      <c r="E692" s="278"/>
      <c r="F692" s="76">
        <f t="shared" ref="F692:Q692" ca="1" si="904">F620</f>
        <v>-1.65</v>
      </c>
      <c r="G692" s="46">
        <f t="shared" ca="1" si="904"/>
        <v>27.012600000000003</v>
      </c>
      <c r="H692" s="46">
        <f t="shared" ca="1" si="846"/>
        <v>28.517550000000004</v>
      </c>
      <c r="I692" s="45">
        <f t="shared" ca="1" si="847"/>
        <v>3.508132091145684E-2</v>
      </c>
      <c r="J692" s="45">
        <f t="shared" ca="1" si="848"/>
        <v>0.27952512346894071</v>
      </c>
      <c r="K692" s="45">
        <f t="shared" ca="1" si="864"/>
        <v>0.90345467800480783</v>
      </c>
      <c r="L692" s="358">
        <f t="shared" ca="1" si="849"/>
        <v>0.30703519550320224</v>
      </c>
      <c r="M692" s="76">
        <f t="shared" ca="1" si="904"/>
        <v>0.25347808785320641</v>
      </c>
      <c r="N692" s="45">
        <f t="shared" ca="1" si="904"/>
        <v>0.25</v>
      </c>
      <c r="O692" s="45">
        <f t="shared" ca="1" si="904"/>
        <v>0</v>
      </c>
      <c r="P692" s="46" t="str">
        <f t="shared" ca="1" si="904"/>
        <v/>
      </c>
      <c r="Q692" s="243" t="str">
        <f t="shared" ca="1" si="904"/>
        <v/>
      </c>
      <c r="R692" s="45">
        <f t="shared" ca="1" si="865"/>
        <v>0.23558184252015171</v>
      </c>
      <c r="S692" s="45">
        <f t="shared" ca="1" si="889"/>
        <v>5.0695617570641283E-2</v>
      </c>
      <c r="T692" s="77">
        <f t="shared" ca="1" si="850"/>
        <v>6.7874054706907241E-3</v>
      </c>
      <c r="U692" s="45">
        <f t="shared" ca="1" si="866"/>
        <v>18.640766260522085</v>
      </c>
      <c r="V692" s="45">
        <f t="shared" ca="1" si="851"/>
        <v>0.20278247028256513</v>
      </c>
      <c r="W692" s="77">
        <f t="shared" ca="1" si="852"/>
        <v>1.6341400559090492E-2</v>
      </c>
      <c r="X692" s="45">
        <f t="shared" ca="1" si="867"/>
        <v>1.0546236126884994</v>
      </c>
      <c r="Y692" s="45">
        <f t="shared" ca="1" si="853"/>
        <v>2.2639500675715723E-3</v>
      </c>
      <c r="Z692" s="77">
        <f t="shared" ca="1" si="854"/>
        <v>2.0329055683306844E-3</v>
      </c>
      <c r="AA692" s="45">
        <f t="shared" ca="1" si="868"/>
        <v>39.183303034536408</v>
      </c>
      <c r="AB692" s="45">
        <f t="shared" ca="1" si="855"/>
        <v>0</v>
      </c>
      <c r="AC692" s="45" cm="1">
        <f t="array" aca="1" ref="AC692" ca="1">pHUM*(T692+W692+Z692+AD692)</f>
        <v>2.6634706677312616E-3</v>
      </c>
      <c r="AD692" s="77">
        <f t="shared" ca="1" si="856"/>
        <v>2.2909364053260929E-3</v>
      </c>
      <c r="AE692" s="45">
        <f t="shared" ca="1" si="869"/>
        <v>6.3847072090583081</v>
      </c>
      <c r="AF692" s="45">
        <f t="shared" ca="1" si="857"/>
        <v>0</v>
      </c>
      <c r="AG692" s="76">
        <f t="shared" ca="1" si="858"/>
        <v>65.498981959325448</v>
      </c>
      <c r="AH692" s="45">
        <f t="shared" ca="1" si="859"/>
        <v>2.2525227268135158E-2</v>
      </c>
      <c r="AI692" s="77">
        <f t="shared" ca="1" si="860"/>
        <v>1.3290312123216167E-2</v>
      </c>
      <c r="AJ692" s="384">
        <f t="shared" ca="1" si="862"/>
        <v>1.3012911620512435E-2</v>
      </c>
      <c r="AU692" s="1"/>
    </row>
    <row r="693" spans="3:47" x14ac:dyDescent="0.25">
      <c r="C693" s="10">
        <f t="shared" si="887"/>
        <v>50</v>
      </c>
      <c r="D693" s="91">
        <f t="shared" si="870"/>
        <v>3</v>
      </c>
      <c r="E693" s="278"/>
      <c r="F693" s="76">
        <f t="shared" ref="F693:Q693" ca="1" si="905">F621</f>
        <v>4.68</v>
      </c>
      <c r="G693" s="46">
        <f t="shared" ca="1" si="905"/>
        <v>27.012600000000003</v>
      </c>
      <c r="H693" s="46">
        <f t="shared" ca="1" si="846"/>
        <v>28.517550000000004</v>
      </c>
      <c r="I693" s="45">
        <f t="shared" ca="1" si="847"/>
        <v>0.20228669449817699</v>
      </c>
      <c r="J693" s="45">
        <f t="shared" ca="1" si="848"/>
        <v>0.27952512346894071</v>
      </c>
      <c r="K693" s="45">
        <f t="shared" ca="1" si="864"/>
        <v>0.90345467800480783</v>
      </c>
      <c r="L693" s="358">
        <f t="shared" ca="1" si="849"/>
        <v>0.53248567772813127</v>
      </c>
      <c r="M693" s="76">
        <f t="shared" ca="1" si="905"/>
        <v>0.25347808785320641</v>
      </c>
      <c r="N693" s="45">
        <f t="shared" ca="1" si="905"/>
        <v>0.25</v>
      </c>
      <c r="O693" s="45">
        <f t="shared" ca="1" si="905"/>
        <v>0</v>
      </c>
      <c r="P693" s="46" t="str">
        <f t="shared" ca="1" si="905"/>
        <v/>
      </c>
      <c r="Q693" s="243" t="str">
        <f t="shared" ca="1" si="905"/>
        <v/>
      </c>
      <c r="R693" s="45">
        <f t="shared" ca="1" si="865"/>
        <v>0.27949005462010229</v>
      </c>
      <c r="S693" s="45">
        <f t="shared" ca="1" si="889"/>
        <v>5.0695617570641283E-2</v>
      </c>
      <c r="T693" s="77">
        <f t="shared" ca="1" si="850"/>
        <v>4.3357229787122406E-2</v>
      </c>
      <c r="U693" s="45">
        <f t="shared" ca="1" si="866"/>
        <v>18.82720733024556</v>
      </c>
      <c r="V693" s="45">
        <f t="shared" ca="1" si="851"/>
        <v>0.20278247028256513</v>
      </c>
      <c r="W693" s="77">
        <f t="shared" ca="1" si="852"/>
        <v>9.497199140054223E-2</v>
      </c>
      <c r="X693" s="45">
        <f t="shared" ca="1" si="867"/>
        <v>1.0548546571877404</v>
      </c>
      <c r="Y693" s="45">
        <f t="shared" ca="1" si="853"/>
        <v>1.3459396406796836E-2</v>
      </c>
      <c r="Z693" s="77">
        <f t="shared" ca="1" si="854"/>
        <v>1.1671023458006163E-2</v>
      </c>
      <c r="AA693" s="45">
        <f t="shared" ca="1" si="868"/>
        <v>39.183675568798819</v>
      </c>
      <c r="AB693" s="45">
        <f t="shared" ca="1" si="855"/>
        <v>0</v>
      </c>
      <c r="AC693" s="45" cm="1">
        <f t="array" aca="1" ref="AC693" ca="1">pHUM*(T693+W693+Z693+AD693)</f>
        <v>1.5834584007996279E-2</v>
      </c>
      <c r="AD693" s="77">
        <f t="shared" ca="1" si="856"/>
        <v>1.3208333664924105E-2</v>
      </c>
      <c r="AE693" s="45">
        <f t="shared" ca="1" si="869"/>
        <v>6.3847072090583081</v>
      </c>
      <c r="AF693" s="45">
        <f t="shared" ca="1" si="857"/>
        <v>0</v>
      </c>
      <c r="AG693" s="76">
        <f t="shared" ca="1" si="858"/>
        <v>65.729934819910525</v>
      </c>
      <c r="AH693" s="45">
        <f t="shared" ca="1" si="859"/>
        <v>0.13391459789580179</v>
      </c>
      <c r="AI693" s="77">
        <f t="shared" ca="1" si="860"/>
        <v>1.3933920678877536E-2</v>
      </c>
      <c r="AJ693" s="384">
        <f t="shared" ca="1" si="862"/>
        <v>2.3660724592056148E-2</v>
      </c>
      <c r="AU693" s="1"/>
    </row>
    <row r="694" spans="3:47" x14ac:dyDescent="0.25">
      <c r="C694" s="10">
        <f t="shared" si="887"/>
        <v>50</v>
      </c>
      <c r="D694" s="91">
        <f t="shared" si="870"/>
        <v>4</v>
      </c>
      <c r="E694" s="278"/>
      <c r="F694" s="76">
        <f t="shared" ref="F694:Q694" ca="1" si="906">F622</f>
        <v>7.69</v>
      </c>
      <c r="G694" s="46">
        <f t="shared" ca="1" si="906"/>
        <v>27.012600000000003</v>
      </c>
      <c r="H694" s="46">
        <f t="shared" ca="1" si="846"/>
        <v>28.517550000000004</v>
      </c>
      <c r="I694" s="45">
        <f t="shared" ca="1" si="847"/>
        <v>0.3433111911106958</v>
      </c>
      <c r="J694" s="45">
        <f t="shared" ca="1" si="848"/>
        <v>0.27952512346894071</v>
      </c>
      <c r="K694" s="45">
        <f t="shared" ca="1" si="864"/>
        <v>0.90345467800480783</v>
      </c>
      <c r="L694" s="358">
        <f t="shared" ca="1" si="849"/>
        <v>0.64074183470648283</v>
      </c>
      <c r="M694" s="76">
        <f t="shared" ca="1" si="906"/>
        <v>0.25347808785320641</v>
      </c>
      <c r="N694" s="45">
        <f t="shared" ca="1" si="906"/>
        <v>0.25</v>
      </c>
      <c r="O694" s="45">
        <f t="shared" ca="1" si="906"/>
        <v>0</v>
      </c>
      <c r="P694" s="46" t="str">
        <f t="shared" ca="1" si="906"/>
        <v/>
      </c>
      <c r="Q694" s="243" t="str">
        <f t="shared" ca="1" si="906"/>
        <v/>
      </c>
      <c r="R694" s="45">
        <f t="shared" ca="1" si="865"/>
        <v>0.28682844240362115</v>
      </c>
      <c r="S694" s="45">
        <f t="shared" ca="1" si="889"/>
        <v>5.0695617570641283E-2</v>
      </c>
      <c r="T694" s="77">
        <f t="shared" ca="1" si="850"/>
        <v>7.1364922050609986E-2</v>
      </c>
      <c r="U694" s="45">
        <f t="shared" ca="1" si="866"/>
        <v>18.935017809127583</v>
      </c>
      <c r="V694" s="45">
        <f t="shared" ca="1" si="851"/>
        <v>0.20278247028256513</v>
      </c>
      <c r="W694" s="77">
        <f t="shared" ca="1" si="852"/>
        <v>0.16181966331963435</v>
      </c>
      <c r="X694" s="45">
        <f t="shared" ca="1" si="867"/>
        <v>1.056643030136531</v>
      </c>
      <c r="Y694" s="45">
        <f t="shared" ca="1" si="853"/>
        <v>2.2708607533895014E-2</v>
      </c>
      <c r="Z694" s="77">
        <f t="shared" ca="1" si="854"/>
        <v>1.976447101419716E-2</v>
      </c>
      <c r="AA694" s="45">
        <f t="shared" ca="1" si="868"/>
        <v>39.186301819141889</v>
      </c>
      <c r="AB694" s="45">
        <f t="shared" ca="1" si="855"/>
        <v>0</v>
      </c>
      <c r="AC694" s="45" cm="1">
        <f t="array" aca="1" ref="AC694" ca="1">pHUM*(T694+W694+Z694+AD694)</f>
        <v>2.6716008863405902E-2</v>
      </c>
      <c r="AD694" s="77">
        <f t="shared" ca="1" si="856"/>
        <v>2.2415413091222598E-2</v>
      </c>
      <c r="AE694" s="45">
        <f t="shared" ca="1" si="869"/>
        <v>6.3847072090583081</v>
      </c>
      <c r="AF694" s="45">
        <f t="shared" ca="1" si="857"/>
        <v>0</v>
      </c>
      <c r="AG694" s="76">
        <f t="shared" ca="1" si="858"/>
        <v>65.849498309867926</v>
      </c>
      <c r="AH694" s="45">
        <f t="shared" ca="1" si="859"/>
        <v>0.22593985307836317</v>
      </c>
      <c r="AI694" s="77">
        <f t="shared" ca="1" si="860"/>
        <v>1.4055796740354471E-2</v>
      </c>
      <c r="AJ694" s="384">
        <f t="shared" ca="1" si="862"/>
        <v>2.8719921682860416E-2</v>
      </c>
      <c r="AU694" s="1"/>
    </row>
    <row r="695" spans="3:47" x14ac:dyDescent="0.25">
      <c r="C695" s="10">
        <f t="shared" si="887"/>
        <v>50</v>
      </c>
      <c r="D695" s="91">
        <f t="shared" si="870"/>
        <v>5</v>
      </c>
      <c r="E695" s="278"/>
      <c r="F695" s="76">
        <f t="shared" ref="F695:Q695" ca="1" si="907">F623</f>
        <v>15.52</v>
      </c>
      <c r="G695" s="46">
        <f t="shared" ca="1" si="907"/>
        <v>27.012600000000003</v>
      </c>
      <c r="H695" s="46">
        <f t="shared" ca="1" si="846"/>
        <v>28.517550000000004</v>
      </c>
      <c r="I695" s="45">
        <f t="shared" ca="1" si="847"/>
        <v>0.86230369296737164</v>
      </c>
      <c r="J695" s="45">
        <f t="shared" ca="1" si="848"/>
        <v>0.27952512346894071</v>
      </c>
      <c r="K695" s="45">
        <f t="shared" ca="1" si="864"/>
        <v>0.90345467800480783</v>
      </c>
      <c r="L695" s="358">
        <f t="shared" ca="1" si="849"/>
        <v>0.85046529796407655</v>
      </c>
      <c r="M695" s="76">
        <f t="shared" ca="1" si="907"/>
        <v>0.25347808785320641</v>
      </c>
      <c r="N695" s="45">
        <f t="shared" ca="1" si="907"/>
        <v>0.25</v>
      </c>
      <c r="O695" s="45">
        <f t="shared" ca="1" si="907"/>
        <v>0</v>
      </c>
      <c r="P695" s="46" t="str">
        <f t="shared" ca="1" si="907"/>
        <v/>
      </c>
      <c r="Q695" s="243" t="str">
        <f t="shared" ca="1" si="907"/>
        <v/>
      </c>
      <c r="R695" s="45">
        <f t="shared" ca="1" si="865"/>
        <v>0.26615913792365242</v>
      </c>
      <c r="S695" s="45">
        <f t="shared" ca="1" si="889"/>
        <v>5.0695617570641283E-2</v>
      </c>
      <c r="T695" s="77">
        <f t="shared" ca="1" si="850"/>
        <v>0.13642231208113587</v>
      </c>
      <c r="U695" s="45">
        <f t="shared" ca="1" si="866"/>
        <v>18.975980616090514</v>
      </c>
      <c r="V695" s="45">
        <f t="shared" ca="1" si="851"/>
        <v>0.20278247028256513</v>
      </c>
      <c r="W695" s="77">
        <f t="shared" ca="1" si="852"/>
        <v>0.40469861733287082</v>
      </c>
      <c r="X695" s="45">
        <f t="shared" ca="1" si="867"/>
        <v>1.0595871666562289</v>
      </c>
      <c r="Y695" s="45">
        <f t="shared" ca="1" si="853"/>
        <v>5.3313877178338236E-2</v>
      </c>
      <c r="Z695" s="77">
        <f t="shared" ca="1" si="854"/>
        <v>4.9079682997664568E-2</v>
      </c>
      <c r="AA695" s="45">
        <f t="shared" ca="1" si="868"/>
        <v>39.190602414914068</v>
      </c>
      <c r="AB695" s="45">
        <f t="shared" ca="1" si="855"/>
        <v>0</v>
      </c>
      <c r="AC695" s="45" cm="1">
        <f t="array" aca="1" ref="AC695" ca="1">pHUM*(T695+W695+Z695+AD695)</f>
        <v>6.2722208445103803E-2</v>
      </c>
      <c r="AD695" s="77">
        <f t="shared" ca="1" si="856"/>
        <v>5.6283214612563671E-2</v>
      </c>
      <c r="AE695" s="45">
        <f t="shared" ca="1" si="869"/>
        <v>6.3847072090583081</v>
      </c>
      <c r="AF695" s="45">
        <f t="shared" ca="1" si="857"/>
        <v>0</v>
      </c>
      <c r="AG695" s="76">
        <f t="shared" ca="1" si="858"/>
        <v>65.877036544642763</v>
      </c>
      <c r="AH695" s="45">
        <f t="shared" ca="1" si="859"/>
        <v>0.53044774140079287</v>
      </c>
      <c r="AI695" s="77">
        <f t="shared" ca="1" si="860"/>
        <v>1.3779822895127003E-2</v>
      </c>
      <c r="AJ695" s="384">
        <f t="shared" ca="1" si="862"/>
        <v>3.7371574123542528E-2</v>
      </c>
      <c r="AU695" s="1"/>
    </row>
    <row r="696" spans="3:47" x14ac:dyDescent="0.25">
      <c r="C696" s="10">
        <f t="shared" si="887"/>
        <v>50</v>
      </c>
      <c r="D696" s="91">
        <f t="shared" si="870"/>
        <v>6</v>
      </c>
      <c r="E696" s="278"/>
      <c r="F696" s="76">
        <f t="shared" ref="F696:Q696" ca="1" si="908">F624</f>
        <v>17.8</v>
      </c>
      <c r="G696" s="46">
        <f t="shared" ca="1" si="908"/>
        <v>27.012600000000003</v>
      </c>
      <c r="H696" s="46">
        <f t="shared" ca="1" si="846"/>
        <v>28.517550000000004</v>
      </c>
      <c r="I696" s="45">
        <f t="shared" ca="1" si="847"/>
        <v>1.0420430221807615</v>
      </c>
      <c r="J696" s="45">
        <f t="shared" ca="1" si="848"/>
        <v>0.27952512346894071</v>
      </c>
      <c r="K696" s="45">
        <f t="shared" ca="1" si="864"/>
        <v>0.90345467800480783</v>
      </c>
      <c r="L696" s="358">
        <f t="shared" ca="1" si="849"/>
        <v>0.88796358149435028</v>
      </c>
      <c r="M696" s="76">
        <f t="shared" ca="1" si="908"/>
        <v>0.25347808785320641</v>
      </c>
      <c r="N696" s="45">
        <f t="shared" ca="1" si="908"/>
        <v>0.25</v>
      </c>
      <c r="O696" s="45">
        <f t="shared" ca="1" si="908"/>
        <v>0</v>
      </c>
      <c r="P696" s="46" t="str">
        <f t="shared" ca="1" si="908"/>
        <v/>
      </c>
      <c r="Q696" s="243" t="str">
        <f t="shared" ca="1" si="908"/>
        <v/>
      </c>
      <c r="R696" s="45">
        <f t="shared" ca="1" si="865"/>
        <v>0.18043244341315784</v>
      </c>
      <c r="S696" s="45">
        <f t="shared" ca="1" si="889"/>
        <v>5.0695617570641283E-2</v>
      </c>
      <c r="T696" s="77">
        <f t="shared" ca="1" si="850"/>
        <v>0.10471661384205616</v>
      </c>
      <c r="U696" s="45">
        <f t="shared" ca="1" si="866"/>
        <v>18.774064469040205</v>
      </c>
      <c r="V696" s="45">
        <f t="shared" ca="1" si="851"/>
        <v>0.20278247028256513</v>
      </c>
      <c r="W696" s="77">
        <f t="shared" ca="1" si="852"/>
        <v>0.48276894419805311</v>
      </c>
      <c r="X696" s="45">
        <f t="shared" ca="1" si="867"/>
        <v>1.0638213608369025</v>
      </c>
      <c r="Y696" s="45">
        <f t="shared" ca="1" si="853"/>
        <v>5.8944219980943902E-2</v>
      </c>
      <c r="Z696" s="77">
        <f t="shared" ca="1" si="854"/>
        <v>5.9255853869200951E-2</v>
      </c>
      <c r="AA696" s="45">
        <f t="shared" ca="1" si="868"/>
        <v>39.197041408746607</v>
      </c>
      <c r="AB696" s="45">
        <f t="shared" ca="1" si="855"/>
        <v>0</v>
      </c>
      <c r="AC696" s="45" cm="1">
        <f t="array" aca="1" ref="AC696" ca="1">pHUM*(T696+W696+Z696+AD696)</f>
        <v>6.9346141154051646E-2</v>
      </c>
      <c r="AD696" s="77">
        <f t="shared" ca="1" si="856"/>
        <v>6.8015925786660048E-2</v>
      </c>
      <c r="AE696" s="45">
        <f t="shared" ca="1" si="869"/>
        <v>6.3847072090583081</v>
      </c>
      <c r="AF696" s="45">
        <f t="shared" ca="1" si="857"/>
        <v>0</v>
      </c>
      <c r="AG696" s="76">
        <f t="shared" ca="1" si="858"/>
        <v>65.600066891095182</v>
      </c>
      <c r="AH696" s="45">
        <f t="shared" ca="1" si="859"/>
        <v>0.5864669765609748</v>
      </c>
      <c r="AI696" s="77">
        <f t="shared" ca="1" si="860"/>
        <v>1.2556717757410981E-2</v>
      </c>
      <c r="AJ696" s="384">
        <f t="shared" ca="1" si="862"/>
        <v>3.5556023810336956E-2</v>
      </c>
      <c r="AU696" s="1"/>
    </row>
    <row r="697" spans="3:47" x14ac:dyDescent="0.25">
      <c r="C697" s="10">
        <f t="shared" si="887"/>
        <v>50</v>
      </c>
      <c r="D697" s="91">
        <f t="shared" si="870"/>
        <v>7</v>
      </c>
      <c r="E697" s="278"/>
      <c r="F697" s="76">
        <f t="shared" ref="F697:Q697" ca="1" si="909">F625</f>
        <v>22.99</v>
      </c>
      <c r="G697" s="46">
        <f t="shared" ca="1" si="909"/>
        <v>27.012600000000003</v>
      </c>
      <c r="H697" s="46">
        <f t="shared" ca="1" si="846"/>
        <v>28.517550000000004</v>
      </c>
      <c r="I697" s="45">
        <f t="shared" ca="1" si="847"/>
        <v>1.4752596357037575</v>
      </c>
      <c r="J697" s="45">
        <f t="shared" ca="1" si="848"/>
        <v>0.27952512346894071</v>
      </c>
      <c r="K697" s="45">
        <f t="shared" ca="1" si="864"/>
        <v>0.90345467800480783</v>
      </c>
      <c r="L697" s="358">
        <f t="shared" ca="1" si="849"/>
        <v>0.94206720469222516</v>
      </c>
      <c r="M697" s="76">
        <f t="shared" ca="1" si="909"/>
        <v>0.25347808785320641</v>
      </c>
      <c r="N697" s="45">
        <f t="shared" ca="1" si="909"/>
        <v>0.25</v>
      </c>
      <c r="O697" s="45">
        <f t="shared" ca="1" si="909"/>
        <v>0</v>
      </c>
      <c r="P697" s="46" t="str">
        <f t="shared" ca="1" si="909"/>
        <v/>
      </c>
      <c r="Q697" s="243" t="str">
        <f t="shared" ca="1" si="909"/>
        <v/>
      </c>
      <c r="R697" s="45">
        <f t="shared" ca="1" si="865"/>
        <v>0.12641144714174296</v>
      </c>
      <c r="S697" s="45">
        <f t="shared" ca="1" si="889"/>
        <v>5.0695617570641283E-2</v>
      </c>
      <c r="T697" s="77">
        <f t="shared" ca="1" si="850"/>
        <v>8.9439515862024505E-2</v>
      </c>
      <c r="U697" s="45">
        <f t="shared" ca="1" si="866"/>
        <v>18.494077995124716</v>
      </c>
      <c r="V697" s="45">
        <f t="shared" ca="1" si="851"/>
        <v>0.20278247028256513</v>
      </c>
      <c r="W697" s="77">
        <f t="shared" ca="1" si="852"/>
        <v>0.66966415572654592</v>
      </c>
      <c r="X697" s="45">
        <f t="shared" ca="1" si="867"/>
        <v>1.0635097269486455</v>
      </c>
      <c r="Y697" s="45">
        <f t="shared" ca="1" si="853"/>
        <v>7.7375030780849965E-2</v>
      </c>
      <c r="Z697" s="77">
        <f t="shared" ca="1" si="854"/>
        <v>8.2884356944543297E-2</v>
      </c>
      <c r="AA697" s="45">
        <f t="shared" ca="1" si="868"/>
        <v>39.198371624113996</v>
      </c>
      <c r="AB697" s="45">
        <f t="shared" ca="1" si="855"/>
        <v>0</v>
      </c>
      <c r="AC697" s="45" cm="1">
        <f t="array" aca="1" ref="AC697" ca="1">pHUM*(T697+W697+Z697+AD697)</f>
        <v>9.1029447977470548E-2</v>
      </c>
      <c r="AD697" s="77">
        <f t="shared" ca="1" si="856"/>
        <v>9.6261235312322682E-2</v>
      </c>
      <c r="AE697" s="45">
        <f t="shared" ca="1" si="869"/>
        <v>6.3847072090583081</v>
      </c>
      <c r="AF697" s="45">
        <f t="shared" ca="1" si="857"/>
        <v>0</v>
      </c>
      <c r="AG697" s="76">
        <f t="shared" ca="1" si="858"/>
        <v>65.267078002387407</v>
      </c>
      <c r="AH697" s="45">
        <f t="shared" ca="1" si="859"/>
        <v>0.76984478508711596</v>
      </c>
      <c r="AI697" s="77">
        <f t="shared" ca="1" si="860"/>
        <v>1.1744066475840328E-2</v>
      </c>
      <c r="AJ697" s="384">
        <f t="shared" ca="1" si="862"/>
        <v>3.5281123013710669E-2</v>
      </c>
      <c r="AU697" s="1"/>
    </row>
    <row r="698" spans="3:47" x14ac:dyDescent="0.25">
      <c r="C698" s="10">
        <f t="shared" si="887"/>
        <v>50</v>
      </c>
      <c r="D698" s="91">
        <f t="shared" si="870"/>
        <v>8</v>
      </c>
      <c r="E698" s="278"/>
      <c r="F698" s="76">
        <f t="shared" ref="F698:Q698" ca="1" si="910">F626</f>
        <v>21.76</v>
      </c>
      <c r="G698" s="46">
        <f t="shared" ca="1" si="910"/>
        <v>27.012600000000003</v>
      </c>
      <c r="H698" s="46">
        <f t="shared" ca="1" si="846"/>
        <v>28.517550000000004</v>
      </c>
      <c r="I698" s="45">
        <f t="shared" ca="1" si="847"/>
        <v>1.3706166748122235</v>
      </c>
      <c r="J698" s="45">
        <f t="shared" ca="1" si="848"/>
        <v>0.27952512346894071</v>
      </c>
      <c r="K698" s="45">
        <f t="shared" ca="1" si="864"/>
        <v>0.90345467800480783</v>
      </c>
      <c r="L698" s="358">
        <f t="shared" ca="1" si="849"/>
        <v>0.93252308258228611</v>
      </c>
      <c r="M698" s="76">
        <f t="shared" ca="1" si="910"/>
        <v>0.25347808785320641</v>
      </c>
      <c r="N698" s="45">
        <f t="shared" ca="1" si="910"/>
        <v>0.25</v>
      </c>
      <c r="O698" s="45">
        <f t="shared" ca="1" si="910"/>
        <v>0</v>
      </c>
      <c r="P698" s="46" t="str">
        <f t="shared" ca="1" si="910"/>
        <v/>
      </c>
      <c r="Q698" s="243" t="str">
        <f t="shared" ca="1" si="910"/>
        <v/>
      </c>
      <c r="R698" s="45">
        <f t="shared" ca="1" si="865"/>
        <v>8.7667548850359739E-2</v>
      </c>
      <c r="S698" s="45">
        <f t="shared" ca="1" si="889"/>
        <v>5.0695617570641283E-2</v>
      </c>
      <c r="T698" s="77">
        <f t="shared" ca="1" si="850"/>
        <v>5.9690870583984493E-2</v>
      </c>
      <c r="U698" s="45">
        <f t="shared" ca="1" si="866"/>
        <v>18.027196309680733</v>
      </c>
      <c r="V698" s="45">
        <f t="shared" ca="1" si="851"/>
        <v>0.20278247028256513</v>
      </c>
      <c r="W698" s="77">
        <f t="shared" ca="1" si="852"/>
        <v>0.60724621051131422</v>
      </c>
      <c r="X698" s="45">
        <f t="shared" ca="1" si="867"/>
        <v>1.0580004007849524</v>
      </c>
      <c r="Y698" s="45">
        <f t="shared" ca="1" si="853"/>
        <v>6.8711090653626392E-2</v>
      </c>
      <c r="Z698" s="77">
        <f t="shared" ca="1" si="854"/>
        <v>7.6824183084388292E-2</v>
      </c>
      <c r="AA698" s="45">
        <f t="shared" ca="1" si="868"/>
        <v>39.193139836779139</v>
      </c>
      <c r="AB698" s="45">
        <f t="shared" ca="1" si="855"/>
        <v>0</v>
      </c>
      <c r="AC698" s="45" cm="1">
        <f t="array" aca="1" ref="AC698" ca="1">pHUM*(T698+W698+Z698+AD698)</f>
        <v>8.0836577239560461E-2</v>
      </c>
      <c r="AD698" s="77">
        <f t="shared" ca="1" si="856"/>
        <v>8.9429101926605054E-2</v>
      </c>
      <c r="AE698" s="45">
        <f t="shared" ca="1" si="869"/>
        <v>6.3847072090583081</v>
      </c>
      <c r="AF698" s="45">
        <f t="shared" ca="1" si="857"/>
        <v>0</v>
      </c>
      <c r="AG698" s="76">
        <f t="shared" ca="1" si="858"/>
        <v>64.750711305153487</v>
      </c>
      <c r="AH698" s="45">
        <f t="shared" ca="1" si="859"/>
        <v>0.6836426982131053</v>
      </c>
      <c r="AI698" s="77">
        <f t="shared" ca="1" si="860"/>
        <v>1.1089471178395975E-2</v>
      </c>
      <c r="AJ698" s="384">
        <f t="shared" ca="1" si="862"/>
        <v>3.2977170176415882E-2</v>
      </c>
      <c r="AU698" s="1"/>
    </row>
    <row r="699" spans="3:47" x14ac:dyDescent="0.25">
      <c r="C699" s="10">
        <f t="shared" si="887"/>
        <v>50</v>
      </c>
      <c r="D699" s="91">
        <f t="shared" si="870"/>
        <v>9</v>
      </c>
      <c r="E699" s="278"/>
      <c r="F699" s="76">
        <f t="shared" ref="F699:Q699" ca="1" si="911">F627</f>
        <v>16.16</v>
      </c>
      <c r="G699" s="46">
        <f t="shared" ca="1" si="911"/>
        <v>27.012600000000003</v>
      </c>
      <c r="H699" s="46">
        <f t="shared" ca="1" si="846"/>
        <v>28.517550000000004</v>
      </c>
      <c r="I699" s="45">
        <f t="shared" ca="1" si="847"/>
        <v>0.91183635166446475</v>
      </c>
      <c r="J699" s="45">
        <f t="shared" ca="1" si="848"/>
        <v>0.27952512346894071</v>
      </c>
      <c r="K699" s="45">
        <f t="shared" ca="1" si="864"/>
        <v>0.90345467800480783</v>
      </c>
      <c r="L699" s="358">
        <f t="shared" ca="1" si="849"/>
        <v>0.86198800670670384</v>
      </c>
      <c r="M699" s="76">
        <f t="shared" ca="1" si="911"/>
        <v>0.25347808785320641</v>
      </c>
      <c r="N699" s="45">
        <f t="shared" ca="1" si="911"/>
        <v>0.25</v>
      </c>
      <c r="O699" s="45">
        <f t="shared" ca="1" si="911"/>
        <v>0</v>
      </c>
      <c r="P699" s="46" t="str">
        <f t="shared" ca="1" si="911"/>
        <v/>
      </c>
      <c r="Q699" s="243" t="str">
        <f t="shared" ca="1" si="911"/>
        <v/>
      </c>
      <c r="R699" s="45">
        <f t="shared" ca="1" si="865"/>
        <v>7.8672295837016529E-2</v>
      </c>
      <c r="S699" s="45">
        <f t="shared" ca="1" si="889"/>
        <v>5.0695617570641283E-2</v>
      </c>
      <c r="T699" s="77">
        <f t="shared" ca="1" si="850"/>
        <v>4.1874886484751211E-2</v>
      </c>
      <c r="U699" s="45">
        <f t="shared" ca="1" si="866"/>
        <v>17.622732569451983</v>
      </c>
      <c r="V699" s="45">
        <f t="shared" ca="1" si="851"/>
        <v>0.20278247028256513</v>
      </c>
      <c r="W699" s="77">
        <f t="shared" ca="1" si="852"/>
        <v>0.39718194304004589</v>
      </c>
      <c r="X699" s="45">
        <f t="shared" ca="1" si="867"/>
        <v>1.0498873083541904</v>
      </c>
      <c r="Y699" s="45">
        <f t="shared" ca="1" si="853"/>
        <v>4.5350159592127015E-2</v>
      </c>
      <c r="Z699" s="77">
        <f t="shared" ca="1" si="854"/>
        <v>5.1354397434138846E-2</v>
      </c>
      <c r="AA699" s="45">
        <f t="shared" ca="1" si="868"/>
        <v>39.184547312092093</v>
      </c>
      <c r="AB699" s="45">
        <f t="shared" ca="1" si="855"/>
        <v>0</v>
      </c>
      <c r="AC699" s="45" cm="1">
        <f t="array" aca="1" ref="AC699" ca="1">pHUM*(T699+W699+Z699+AD699)</f>
        <v>5.3353128931914136E-2</v>
      </c>
      <c r="AD699" s="77">
        <f t="shared" ca="1" si="856"/>
        <v>5.9504597605971862E-2</v>
      </c>
      <c r="AE699" s="45">
        <f t="shared" ca="1" si="869"/>
        <v>6.3847072090583081</v>
      </c>
      <c r="AF699" s="45">
        <f t="shared" ca="1" si="857"/>
        <v>0</v>
      </c>
      <c r="AG699" s="76">
        <f t="shared" ca="1" si="858"/>
        <v>64.320546694793592</v>
      </c>
      <c r="AH699" s="45">
        <f t="shared" ca="1" si="859"/>
        <v>0.45121253604086664</v>
      </c>
      <c r="AI699" s="77">
        <f t="shared" ca="1" si="860"/>
        <v>1.0859943467894824E-2</v>
      </c>
      <c r="AJ699" s="384">
        <f t="shared" ca="1" si="862"/>
        <v>2.9851972066117227E-2</v>
      </c>
      <c r="AU699" s="1"/>
    </row>
    <row r="700" spans="3:47" x14ac:dyDescent="0.25">
      <c r="C700" s="10">
        <f t="shared" si="887"/>
        <v>50</v>
      </c>
      <c r="D700" s="91">
        <f t="shared" si="870"/>
        <v>10</v>
      </c>
      <c r="E700" s="278"/>
      <c r="F700" s="76">
        <f t="shared" ref="F700:Q700" ca="1" si="912">F628</f>
        <v>11.21</v>
      </c>
      <c r="G700" s="46">
        <f t="shared" ca="1" si="912"/>
        <v>27.012600000000003</v>
      </c>
      <c r="H700" s="46">
        <f t="shared" ca="1" si="846"/>
        <v>28.517550000000004</v>
      </c>
      <c r="I700" s="45">
        <f t="shared" ca="1" si="847"/>
        <v>0.55341948356365211</v>
      </c>
      <c r="J700" s="45">
        <f t="shared" ca="1" si="848"/>
        <v>0.27952512346894071</v>
      </c>
      <c r="K700" s="45">
        <f t="shared" ca="1" si="864"/>
        <v>0.90345467800480783</v>
      </c>
      <c r="L700" s="358">
        <f t="shared" ca="1" si="849"/>
        <v>0.75061725573145499</v>
      </c>
      <c r="M700" s="76">
        <f t="shared" ca="1" si="912"/>
        <v>0.25347808785320641</v>
      </c>
      <c r="N700" s="45">
        <f t="shared" ca="1" si="912"/>
        <v>0.25</v>
      </c>
      <c r="O700" s="45">
        <f t="shared" ca="1" si="912"/>
        <v>0</v>
      </c>
      <c r="P700" s="46" t="str">
        <f t="shared" ca="1" si="912"/>
        <v/>
      </c>
      <c r="Q700" s="243" t="str">
        <f t="shared" ca="1" si="912"/>
        <v/>
      </c>
      <c r="R700" s="45">
        <f t="shared" ca="1" si="865"/>
        <v>8.7493026922906586E-2</v>
      </c>
      <c r="S700" s="45">
        <f t="shared" ca="1" si="889"/>
        <v>5.0695617570641283E-2</v>
      </c>
      <c r="T700" s="77">
        <f t="shared" ca="1" si="850"/>
        <v>3.2325406484756646E-2</v>
      </c>
      <c r="U700" s="45">
        <f t="shared" ca="1" si="866"/>
        <v>17.428333096694502</v>
      </c>
      <c r="V700" s="45">
        <f t="shared" ca="1" si="851"/>
        <v>0.20278247028256513</v>
      </c>
      <c r="W700" s="77">
        <f t="shared" ca="1" si="852"/>
        <v>0.23946907198420705</v>
      </c>
      <c r="X700" s="45">
        <f t="shared" ca="1" si="867"/>
        <v>1.0438830705121787</v>
      </c>
      <c r="Y700" s="45">
        <f t="shared" ca="1" si="853"/>
        <v>2.7973763062882292E-2</v>
      </c>
      <c r="Z700" s="77">
        <f t="shared" ca="1" si="854"/>
        <v>3.1295090394683908E-2</v>
      </c>
      <c r="AA700" s="45">
        <f t="shared" ca="1" si="868"/>
        <v>39.178395843418038</v>
      </c>
      <c r="AB700" s="45">
        <f t="shared" ca="1" si="855"/>
        <v>0</v>
      </c>
      <c r="AC700" s="45" cm="1">
        <f t="array" aca="1" ref="AC700" ca="1">pHUM*(T700+W700+Z700+AD700)</f>
        <v>3.2910309485743874E-2</v>
      </c>
      <c r="AD700" s="77">
        <f t="shared" ca="1" si="856"/>
        <v>3.6120152100131933E-2</v>
      </c>
      <c r="AE700" s="45">
        <f t="shared" ca="1" si="869"/>
        <v>6.3847072090583081</v>
      </c>
      <c r="AF700" s="45">
        <f t="shared" ca="1" si="857"/>
        <v>0</v>
      </c>
      <c r="AG700" s="76">
        <f t="shared" ca="1" si="858"/>
        <v>64.122812246605932</v>
      </c>
      <c r="AH700" s="45">
        <f t="shared" ca="1" si="859"/>
        <v>0.27832564841515339</v>
      </c>
      <c r="AI700" s="77">
        <f t="shared" ca="1" si="860"/>
        <v>1.0934374760996365E-2</v>
      </c>
      <c r="AJ700" s="384">
        <f t="shared" ca="1" si="862"/>
        <v>2.6173285635258114E-2</v>
      </c>
      <c r="AU700" s="1"/>
    </row>
    <row r="701" spans="3:47" x14ac:dyDescent="0.25">
      <c r="C701" s="10">
        <f t="shared" si="887"/>
        <v>50</v>
      </c>
      <c r="D701" s="91">
        <f t="shared" si="870"/>
        <v>11</v>
      </c>
      <c r="E701" s="278"/>
      <c r="F701" s="76">
        <f t="shared" ref="F701:Q701" ca="1" si="913">F629</f>
        <v>1.8</v>
      </c>
      <c r="G701" s="46">
        <f t="shared" ca="1" si="913"/>
        <v>27.012600000000003</v>
      </c>
      <c r="H701" s="46">
        <f t="shared" ca="1" si="846"/>
        <v>28.517550000000004</v>
      </c>
      <c r="I701" s="45">
        <f t="shared" ca="1" si="847"/>
        <v>0.10471759589279002</v>
      </c>
      <c r="J701" s="45">
        <f t="shared" ca="1" si="848"/>
        <v>0.27952512346894071</v>
      </c>
      <c r="K701" s="45">
        <f t="shared" ca="1" si="864"/>
        <v>0.90345467800480783</v>
      </c>
      <c r="L701" s="358">
        <f t="shared" ca="1" si="849"/>
        <v>0.42572038710161686</v>
      </c>
      <c r="M701" s="76">
        <f t="shared" ca="1" si="913"/>
        <v>0.25347808785320641</v>
      </c>
      <c r="N701" s="45">
        <f t="shared" ca="1" si="913"/>
        <v>0.25</v>
      </c>
      <c r="O701" s="45">
        <f t="shared" ca="1" si="913"/>
        <v>0</v>
      </c>
      <c r="P701" s="46" t="str">
        <f t="shared" ca="1" si="913"/>
        <v/>
      </c>
      <c r="Q701" s="243" t="str">
        <f t="shared" ca="1" si="913"/>
        <v/>
      </c>
      <c r="R701" s="45">
        <f t="shared" ca="1" si="865"/>
        <v>0.10586323800879122</v>
      </c>
      <c r="S701" s="45">
        <f t="shared" ca="1" si="889"/>
        <v>5.0695617570641283E-2</v>
      </c>
      <c r="T701" s="77">
        <f t="shared" ca="1" si="850"/>
        <v>8.8465126159825002E-3</v>
      </c>
      <c r="U701" s="45">
        <f t="shared" ca="1" si="866"/>
        <v>17.391646494992859</v>
      </c>
      <c r="V701" s="45">
        <f t="shared" ca="1" si="851"/>
        <v>0.20278247028256513</v>
      </c>
      <c r="W701" s="77">
        <f t="shared" ca="1" si="852"/>
        <v>4.5470739437968644E-2</v>
      </c>
      <c r="X701" s="45">
        <f t="shared" ca="1" si="867"/>
        <v>1.0405617431803771</v>
      </c>
      <c r="Y701" s="45">
        <f t="shared" ca="1" si="853"/>
        <v>5.5360181770500085E-3</v>
      </c>
      <c r="Z701" s="77">
        <f t="shared" ca="1" si="854"/>
        <v>5.9758564315565681E-3</v>
      </c>
      <c r="AA701" s="45">
        <f t="shared" ca="1" si="868"/>
        <v>39.175186000803649</v>
      </c>
      <c r="AB701" s="45">
        <f t="shared" ca="1" si="855"/>
        <v>0</v>
      </c>
      <c r="AC701" s="45" cm="1">
        <f t="array" aca="1" ref="AC701" ca="1">pHUM*(T701+W701+Z701+AD701)</f>
        <v>6.5129625612353045E-3</v>
      </c>
      <c r="AD701" s="77">
        <f t="shared" ca="1" si="856"/>
        <v>6.8366222148729784E-3</v>
      </c>
      <c r="AE701" s="45">
        <f t="shared" ca="1" si="869"/>
        <v>6.3847072090583081</v>
      </c>
      <c r="AF701" s="45">
        <f t="shared" ca="1" si="857"/>
        <v>0</v>
      </c>
      <c r="AG701" s="76">
        <f t="shared" ca="1" si="858"/>
        <v>64.09796468604398</v>
      </c>
      <c r="AH701" s="45">
        <f t="shared" ca="1" si="859"/>
        <v>5.5080749962095388E-2</v>
      </c>
      <c r="AI701" s="77">
        <f t="shared" ca="1" si="860"/>
        <v>1.1185183927323697E-2</v>
      </c>
      <c r="AJ701" s="384">
        <f t="shared" ca="1" si="862"/>
        <v>1.5185105951633915E-2</v>
      </c>
      <c r="AU701" s="1"/>
    </row>
    <row r="702" spans="3:47" x14ac:dyDescent="0.25">
      <c r="C702" s="10">
        <f t="shared" si="887"/>
        <v>50</v>
      </c>
      <c r="D702" s="91">
        <f t="shared" si="870"/>
        <v>12</v>
      </c>
      <c r="E702" s="278"/>
      <c r="F702" s="76">
        <f t="shared" ref="F702:Q702" ca="1" si="914">F630</f>
        <v>-0.63</v>
      </c>
      <c r="G702" s="46">
        <f t="shared" ca="1" si="914"/>
        <v>27.012600000000003</v>
      </c>
      <c r="H702" s="46">
        <f t="shared" ca="1" si="846"/>
        <v>28.517550000000004</v>
      </c>
      <c r="I702" s="45">
        <f t="shared" ca="1" si="847"/>
        <v>5.069926650983797E-2</v>
      </c>
      <c r="J702" s="45">
        <f t="shared" ca="1" si="848"/>
        <v>0.27952512346894071</v>
      </c>
      <c r="K702" s="45">
        <f t="shared" ca="1" si="864"/>
        <v>0.90345467800480783</v>
      </c>
      <c r="L702" s="358">
        <f t="shared" ca="1" si="849"/>
        <v>0.3403279781726225</v>
      </c>
      <c r="M702" s="76">
        <f t="shared" ca="1" si="914"/>
        <v>0.25347808785320641</v>
      </c>
      <c r="N702" s="45">
        <f t="shared" ca="1" si="914"/>
        <v>0.25</v>
      </c>
      <c r="O702" s="45">
        <f t="shared" ca="1" si="914"/>
        <v>0</v>
      </c>
      <c r="P702" s="46" t="str">
        <f t="shared" ca="1" si="914"/>
        <v/>
      </c>
      <c r="Q702" s="243" t="str">
        <f t="shared" ca="1" si="914"/>
        <v/>
      </c>
      <c r="R702" s="45">
        <f t="shared" ca="1" si="865"/>
        <v>0.14771234296345001</v>
      </c>
      <c r="S702" s="45">
        <f t="shared" ca="1" si="889"/>
        <v>5.0695617570641283E-2</v>
      </c>
      <c r="T702" s="77">
        <f t="shared" ca="1" si="850"/>
        <v>6.1107593251454049E-3</v>
      </c>
      <c r="U702" s="45">
        <f t="shared" ca="1" si="866"/>
        <v>17.548958225837453</v>
      </c>
      <c r="V702" s="45">
        <f t="shared" ca="1" si="851"/>
        <v>0.20278247028256513</v>
      </c>
      <c r="W702" s="77">
        <f t="shared" ca="1" si="852"/>
        <v>2.2228892418871153E-2</v>
      </c>
      <c r="X702" s="45">
        <f t="shared" ca="1" si="867"/>
        <v>1.0401219049258705</v>
      </c>
      <c r="Y702" s="45">
        <f t="shared" ca="1" si="853"/>
        <v>2.8489238902155494E-3</v>
      </c>
      <c r="Z702" s="77">
        <f t="shared" ca="1" si="854"/>
        <v>2.8962979895978472E-3</v>
      </c>
      <c r="AA702" s="45">
        <f t="shared" ca="1" si="868"/>
        <v>39.174862341150018</v>
      </c>
      <c r="AB702" s="45">
        <f t="shared" ca="1" si="855"/>
        <v>0</v>
      </c>
      <c r="AC702" s="45" cm="1">
        <f t="array" aca="1" ref="AC702" ca="1">pHUM*(T702+W702+Z702+AD702)</f>
        <v>3.3516751649594703E-3</v>
      </c>
      <c r="AD702" s="77">
        <f t="shared" ca="1" si="856"/>
        <v>3.3100881260302848E-3</v>
      </c>
      <c r="AE702" s="45">
        <f t="shared" ca="1" si="869"/>
        <v>6.3847072090583081</v>
      </c>
      <c r="AF702" s="45">
        <f t="shared" ca="1" si="857"/>
        <v>0</v>
      </c>
      <c r="AG702" s="76">
        <f t="shared" ca="1" si="858"/>
        <v>64.296362023935103</v>
      </c>
      <c r="AH702" s="45">
        <f t="shared" ca="1" si="859"/>
        <v>2.8345438804469672E-2</v>
      </c>
      <c r="AI702" s="77">
        <f t="shared" ca="1" si="860"/>
        <v>1.1816545719092892E-2</v>
      </c>
      <c r="AJ702" s="384">
        <f t="shared" ca="1" si="862"/>
        <v>1.2824469488729173E-2</v>
      </c>
      <c r="AU702" s="1"/>
    </row>
    <row r="703" spans="3:47" x14ac:dyDescent="0.25">
      <c r="C703" s="10">
        <f t="shared" si="887"/>
        <v>51</v>
      </c>
      <c r="D703" s="91">
        <f t="shared" si="870"/>
        <v>1</v>
      </c>
      <c r="E703" s="278"/>
      <c r="F703" s="76">
        <f t="shared" ref="F703:Q703" ca="1" si="915">F631</f>
        <v>-5.04</v>
      </c>
      <c r="G703" s="46">
        <f t="shared" ca="1" si="915"/>
        <v>27.012600000000003</v>
      </c>
      <c r="H703" s="46">
        <f t="shared" ca="1" si="846"/>
        <v>28.517550000000004</v>
      </c>
      <c r="I703" s="45">
        <f t="shared" ca="1" si="847"/>
        <v>6.847402527399577E-3</v>
      </c>
      <c r="J703" s="45">
        <f t="shared" ca="1" si="848"/>
        <v>0.27952512346894071</v>
      </c>
      <c r="K703" s="45">
        <f t="shared" ca="1" si="864"/>
        <v>0.90345467800480783</v>
      </c>
      <c r="L703" s="358">
        <f t="shared" ca="1" si="849"/>
        <v>0.21084054547214914</v>
      </c>
      <c r="M703" s="76">
        <f t="shared" ca="1" si="915"/>
        <v>0.25347808785320641</v>
      </c>
      <c r="N703" s="45">
        <f t="shared" ca="1" si="915"/>
        <v>0.25</v>
      </c>
      <c r="O703" s="45">
        <f t="shared" ca="1" si="915"/>
        <v>0</v>
      </c>
      <c r="P703" s="46" t="str">
        <f t="shared" ca="1" si="915"/>
        <v/>
      </c>
      <c r="Q703" s="243" t="str">
        <f t="shared" ca="1" si="915"/>
        <v/>
      </c>
      <c r="R703" s="45">
        <f t="shared" ca="1" si="865"/>
        <v>0.19229720120894589</v>
      </c>
      <c r="S703" s="45">
        <f t="shared" ca="1" si="889"/>
        <v>5.0695617570641283E-2</v>
      </c>
      <c r="T703" s="77">
        <f t="shared" ca="1" si="850"/>
        <v>1.0941555975497383E-3</v>
      </c>
      <c r="U703" s="45">
        <f t="shared" ca="1" si="866"/>
        <v>17.729511803701147</v>
      </c>
      <c r="V703" s="45">
        <f t="shared" ca="1" si="851"/>
        <v>0.20278247028256513</v>
      </c>
      <c r="W703" s="77">
        <f t="shared" ca="1" si="852"/>
        <v>3.0347678374825966E-3</v>
      </c>
      <c r="X703" s="45">
        <f t="shared" ca="1" si="867"/>
        <v>1.0400745308264883</v>
      </c>
      <c r="Y703" s="45">
        <f t="shared" ca="1" si="853"/>
        <v>4.0966730645138755E-4</v>
      </c>
      <c r="Z703" s="77">
        <f t="shared" ca="1" si="854"/>
        <v>3.9162574425420708E-4</v>
      </c>
      <c r="AA703" s="45">
        <f t="shared" ca="1" si="868"/>
        <v>39.174903928188947</v>
      </c>
      <c r="AB703" s="45">
        <f t="shared" ca="1" si="855"/>
        <v>0</v>
      </c>
      <c r="AC703" s="45" cm="1">
        <f t="array" aca="1" ref="AC703" ca="1">pHUM*(T703+W703+Z703+AD703)</f>
        <v>4.8196153700163239E-4</v>
      </c>
      <c r="AD703" s="77">
        <f t="shared" ca="1" si="856"/>
        <v>4.4707467585882262E-4</v>
      </c>
      <c r="AE703" s="45">
        <f t="shared" ca="1" si="869"/>
        <v>6.3847072090583081</v>
      </c>
      <c r="AF703" s="45">
        <f t="shared" ca="1" si="857"/>
        <v>0</v>
      </c>
      <c r="AG703" s="76">
        <f t="shared" ca="1" si="858"/>
        <v>64.521494672983835</v>
      </c>
      <c r="AH703" s="45">
        <f t="shared" ca="1" si="859"/>
        <v>4.0759950116923448E-3</v>
      </c>
      <c r="AI703" s="77">
        <f t="shared" ca="1" si="860"/>
        <v>1.2487464481238619E-2</v>
      </c>
      <c r="AJ703" s="384">
        <f t="shared" ca="1" si="862"/>
        <v>8.3961739337401475E-3</v>
      </c>
      <c r="AU703" s="1"/>
    </row>
    <row r="704" spans="3:47" x14ac:dyDescent="0.25">
      <c r="C704" s="10">
        <f t="shared" si="887"/>
        <v>51</v>
      </c>
      <c r="D704" s="91">
        <f t="shared" si="870"/>
        <v>2</v>
      </c>
      <c r="E704" s="278"/>
      <c r="F704" s="76">
        <f t="shared" ref="F704:Q704" ca="1" si="916">F632</f>
        <v>-4.4400000000000004</v>
      </c>
      <c r="G704" s="46">
        <f t="shared" ca="1" si="916"/>
        <v>27.012600000000003</v>
      </c>
      <c r="H704" s="46">
        <f t="shared" ca="1" si="846"/>
        <v>28.517550000000004</v>
      </c>
      <c r="I704" s="45">
        <f t="shared" ca="1" si="847"/>
        <v>9.6941753008840392E-3</v>
      </c>
      <c r="J704" s="45">
        <f t="shared" ca="1" si="848"/>
        <v>0.27952512346894071</v>
      </c>
      <c r="K704" s="45">
        <f t="shared" ca="1" si="864"/>
        <v>0.90345467800480783</v>
      </c>
      <c r="L704" s="358">
        <f t="shared" ca="1" si="849"/>
        <v>0.22612365929309886</v>
      </c>
      <c r="M704" s="76">
        <f t="shared" ca="1" si="916"/>
        <v>0.25347808785320641</v>
      </c>
      <c r="N704" s="45">
        <f t="shared" ca="1" si="916"/>
        <v>0.25</v>
      </c>
      <c r="O704" s="45">
        <f t="shared" ca="1" si="916"/>
        <v>0</v>
      </c>
      <c r="P704" s="46" t="str">
        <f t="shared" ca="1" si="916"/>
        <v/>
      </c>
      <c r="Q704" s="243" t="str">
        <f t="shared" ca="1" si="916"/>
        <v/>
      </c>
      <c r="R704" s="45">
        <f t="shared" ca="1" si="865"/>
        <v>0.24189866318203743</v>
      </c>
      <c r="S704" s="45">
        <f t="shared" ca="1" si="889"/>
        <v>5.0695617570641283E-2</v>
      </c>
      <c r="T704" s="77">
        <f t="shared" ca="1" si="850"/>
        <v>1.9463012095627269E-3</v>
      </c>
      <c r="U704" s="45">
        <f t="shared" ca="1" si="866"/>
        <v>17.929259506146227</v>
      </c>
      <c r="V704" s="45">
        <f t="shared" ca="1" si="851"/>
        <v>0.20278247028256513</v>
      </c>
      <c r="W704" s="77">
        <f t="shared" ca="1" si="852"/>
        <v>4.3447081158992451E-3</v>
      </c>
      <c r="X704" s="45">
        <f t="shared" ca="1" si="867"/>
        <v>1.0400925723886854</v>
      </c>
      <c r="Y704" s="45">
        <f t="shared" ca="1" si="853"/>
        <v>6.1672136919206221E-4</v>
      </c>
      <c r="Z704" s="77">
        <f t="shared" ca="1" si="854"/>
        <v>5.5440837216110764E-4</v>
      </c>
      <c r="AA704" s="45">
        <f t="shared" ca="1" si="868"/>
        <v>39.174938815050083</v>
      </c>
      <c r="AB704" s="45">
        <f t="shared" ca="1" si="855"/>
        <v>0</v>
      </c>
      <c r="AC704" s="45" cm="1">
        <f t="array" aca="1" ref="AC704" ca="1">pHUM*(T704+W704+Z704+AD704)</f>
        <v>7.255545519906614E-4</v>
      </c>
      <c r="AD704" s="77">
        <f t="shared" ca="1" si="856"/>
        <v>6.3294276055993334E-4</v>
      </c>
      <c r="AE704" s="45">
        <f t="shared" ca="1" si="869"/>
        <v>6.3847072090583081</v>
      </c>
      <c r="AF704" s="45">
        <f t="shared" ca="1" si="857"/>
        <v>0</v>
      </c>
      <c r="AG704" s="76">
        <f t="shared" ca="1" si="858"/>
        <v>64.770896765825341</v>
      </c>
      <c r="AH704" s="45">
        <f t="shared" ca="1" si="859"/>
        <v>6.1360845370002906E-3</v>
      </c>
      <c r="AI704" s="77">
        <f t="shared" ca="1" si="860"/>
        <v>1.3227620589870061E-2</v>
      </c>
      <c r="AJ704" s="384">
        <f t="shared" ca="1" si="862"/>
        <v>9.5385046565665821E-3</v>
      </c>
      <c r="AU704" s="1"/>
    </row>
    <row r="705" spans="3:47" x14ac:dyDescent="0.25">
      <c r="C705" s="10">
        <f t="shared" si="887"/>
        <v>51</v>
      </c>
      <c r="D705" s="91">
        <f t="shared" si="870"/>
        <v>3</v>
      </c>
      <c r="E705" s="278"/>
      <c r="F705" s="76">
        <f t="shared" ref="F705:Q705" ca="1" si="917">F633</f>
        <v>-0.82</v>
      </c>
      <c r="G705" s="46">
        <f t="shared" ca="1" si="917"/>
        <v>27.012600000000003</v>
      </c>
      <c r="H705" s="46">
        <f t="shared" ca="1" si="846"/>
        <v>28.517550000000004</v>
      </c>
      <c r="I705" s="45">
        <f t="shared" ca="1" si="847"/>
        <v>4.749388171975074E-2</v>
      </c>
      <c r="J705" s="45">
        <f t="shared" ca="1" si="848"/>
        <v>0.27952512346894071</v>
      </c>
      <c r="K705" s="45">
        <f t="shared" ca="1" si="864"/>
        <v>0.90345467800480783</v>
      </c>
      <c r="L705" s="358">
        <f t="shared" ca="1" si="849"/>
        <v>0.33399301288143546</v>
      </c>
      <c r="M705" s="76">
        <f t="shared" ca="1" si="917"/>
        <v>0.25347808785320641</v>
      </c>
      <c r="N705" s="45">
        <f t="shared" ca="1" si="917"/>
        <v>0.25</v>
      </c>
      <c r="O705" s="45">
        <f t="shared" ca="1" si="917"/>
        <v>0</v>
      </c>
      <c r="P705" s="46" t="str">
        <f t="shared" ca="1" si="917"/>
        <v/>
      </c>
      <c r="Q705" s="243" t="str">
        <f t="shared" ca="1" si="917"/>
        <v/>
      </c>
      <c r="R705" s="45">
        <f t="shared" ca="1" si="865"/>
        <v>0.29064797954311594</v>
      </c>
      <c r="S705" s="45">
        <f t="shared" ca="1" si="889"/>
        <v>5.0695617570641283E-2</v>
      </c>
      <c r="T705" s="77">
        <f t="shared" ca="1" si="850"/>
        <v>1.1278666868164679E-2</v>
      </c>
      <c r="U705" s="45">
        <f t="shared" ca="1" si="866"/>
        <v>18.127697268312893</v>
      </c>
      <c r="V705" s="45">
        <f t="shared" ca="1" si="851"/>
        <v>0.20278247028256513</v>
      </c>
      <c r="W705" s="77">
        <f t="shared" ca="1" si="852"/>
        <v>2.1511094653321506E-2</v>
      </c>
      <c r="X705" s="45">
        <f t="shared" ca="1" si="867"/>
        <v>1.0401548853857163</v>
      </c>
      <c r="Y705" s="45">
        <f t="shared" ca="1" si="853"/>
        <v>3.1835823665071353E-3</v>
      </c>
      <c r="Z705" s="77">
        <f t="shared" ca="1" si="854"/>
        <v>2.7135090127816154E-3</v>
      </c>
      <c r="AA705" s="45">
        <f t="shared" ca="1" si="868"/>
        <v>39.175031426841514</v>
      </c>
      <c r="AB705" s="45">
        <f t="shared" ca="1" si="855"/>
        <v>0</v>
      </c>
      <c r="AC705" s="45" cm="1">
        <f t="array" aca="1" ref="AC705" ca="1">pHUM*(T705+W705+Z705+AD705)</f>
        <v>3.7453910194201593E-3</v>
      </c>
      <c r="AD705" s="77">
        <f t="shared" ca="1" si="856"/>
        <v>3.1008344544167649E-3</v>
      </c>
      <c r="AE705" s="45">
        <f t="shared" ca="1" si="869"/>
        <v>6.3847072090583081</v>
      </c>
      <c r="AF705" s="45">
        <f t="shared" ca="1" si="857"/>
        <v>0</v>
      </c>
      <c r="AG705" s="76">
        <f t="shared" ca="1" si="858"/>
        <v>65.018238769141547</v>
      </c>
      <c r="AH705" s="45">
        <f t="shared" ca="1" si="859"/>
        <v>3.1675131602757277E-2</v>
      </c>
      <c r="AI705" s="77">
        <f t="shared" ca="1" si="860"/>
        <v>1.3949344296785432E-2</v>
      </c>
      <c r="AJ705" s="384">
        <f t="shared" ca="1" si="862"/>
        <v>1.4857356953045242E-2</v>
      </c>
      <c r="AU705" s="1"/>
    </row>
    <row r="706" spans="3:47" x14ac:dyDescent="0.25">
      <c r="C706" s="10">
        <f t="shared" si="887"/>
        <v>51</v>
      </c>
      <c r="D706" s="91">
        <f t="shared" si="870"/>
        <v>4</v>
      </c>
      <c r="E706" s="278"/>
      <c r="F706" s="76">
        <f t="shared" ref="F706:Q706" ca="1" si="918">F634</f>
        <v>6.18</v>
      </c>
      <c r="G706" s="46">
        <f t="shared" ca="1" si="918"/>
        <v>27.012600000000003</v>
      </c>
      <c r="H706" s="46">
        <f t="shared" ca="1" si="846"/>
        <v>28.517550000000004</v>
      </c>
      <c r="I706" s="45">
        <f t="shared" ca="1" si="847"/>
        <v>0.26773980091806004</v>
      </c>
      <c r="J706" s="45">
        <f t="shared" ca="1" si="848"/>
        <v>0.27952512346894071</v>
      </c>
      <c r="K706" s="45">
        <f t="shared" ca="1" si="864"/>
        <v>0.90345467800480783</v>
      </c>
      <c r="L706" s="358">
        <f t="shared" ca="1" si="849"/>
        <v>0.58750950384279488</v>
      </c>
      <c r="M706" s="76">
        <f t="shared" ca="1" si="918"/>
        <v>0.25347808785320641</v>
      </c>
      <c r="N706" s="45">
        <f t="shared" ca="1" si="918"/>
        <v>0.25</v>
      </c>
      <c r="O706" s="45">
        <f t="shared" ca="1" si="918"/>
        <v>0</v>
      </c>
      <c r="P706" s="46" t="str">
        <f t="shared" ca="1" si="918"/>
        <v/>
      </c>
      <c r="Q706" s="243" t="str">
        <f t="shared" ca="1" si="918"/>
        <v/>
      </c>
      <c r="R706" s="45">
        <f t="shared" ca="1" si="865"/>
        <v>0.33006493024559252</v>
      </c>
      <c r="S706" s="45">
        <f t="shared" ca="1" si="889"/>
        <v>5.0695617570641283E-2</v>
      </c>
      <c r="T706" s="77">
        <f t="shared" ca="1" si="850"/>
        <v>6.6005843202412762E-2</v>
      </c>
      <c r="U706" s="45">
        <f t="shared" ca="1" si="866"/>
        <v>18.308968643942137</v>
      </c>
      <c r="V706" s="45">
        <f t="shared" ca="1" si="851"/>
        <v>0.20278247028256513</v>
      </c>
      <c r="W706" s="77">
        <f t="shared" ca="1" si="852"/>
        <v>0.12214175684800242</v>
      </c>
      <c r="X706" s="45">
        <f t="shared" ca="1" si="867"/>
        <v>1.0406249587394418</v>
      </c>
      <c r="Y706" s="45">
        <f t="shared" ca="1" si="853"/>
        <v>1.8211851229606939E-2</v>
      </c>
      <c r="Z706" s="77">
        <f t="shared" ca="1" si="854"/>
        <v>1.5211643712043855E-2</v>
      </c>
      <c r="AA706" s="45">
        <f t="shared" ca="1" si="868"/>
        <v>39.175675983406521</v>
      </c>
      <c r="AB706" s="45">
        <f t="shared" ca="1" si="855"/>
        <v>0</v>
      </c>
      <c r="AC706" s="45" cm="1">
        <f t="array" aca="1" ref="AC706" ca="1">pHUM*(T706+W706+Z706+AD706)</f>
        <v>2.1425707328949339E-2</v>
      </c>
      <c r="AD706" s="77">
        <f t="shared" ca="1" si="856"/>
        <v>1.7477579654616049E-2</v>
      </c>
      <c r="AE706" s="45">
        <f t="shared" ca="1" si="869"/>
        <v>6.3847072090583081</v>
      </c>
      <c r="AF706" s="45">
        <f t="shared" ca="1" si="857"/>
        <v>0</v>
      </c>
      <c r="AG706" s="76">
        <f t="shared" ca="1" si="858"/>
        <v>65.240041725392004</v>
      </c>
      <c r="AH706" s="45">
        <f t="shared" ca="1" si="859"/>
        <v>0.18119926485851884</v>
      </c>
      <c r="AI706" s="77">
        <f t="shared" ca="1" si="860"/>
        <v>1.4532335899569601E-2</v>
      </c>
      <c r="AJ706" s="384">
        <f t="shared" ca="1" si="862"/>
        <v>2.7226739636945219E-2</v>
      </c>
      <c r="AU706" s="1"/>
    </row>
    <row r="707" spans="3:47" x14ac:dyDescent="0.25">
      <c r="C707" s="10">
        <f t="shared" si="887"/>
        <v>51</v>
      </c>
      <c r="D707" s="91">
        <f t="shared" si="870"/>
        <v>5</v>
      </c>
      <c r="E707" s="278"/>
      <c r="F707" s="76">
        <f t="shared" ref="F707:Q707" ca="1" si="919">F635</f>
        <v>13.58</v>
      </c>
      <c r="G707" s="46">
        <f t="shared" ca="1" si="919"/>
        <v>27.012600000000003</v>
      </c>
      <c r="H707" s="46">
        <f t="shared" ca="1" si="846"/>
        <v>28.517550000000004</v>
      </c>
      <c r="I707" s="45">
        <f t="shared" ca="1" si="847"/>
        <v>0.71743035359667851</v>
      </c>
      <c r="J707" s="45">
        <f t="shared" ca="1" si="848"/>
        <v>0.27952512346894071</v>
      </c>
      <c r="K707" s="45">
        <f t="shared" ca="1" si="864"/>
        <v>0.90345467800480783</v>
      </c>
      <c r="L707" s="358">
        <f t="shared" ca="1" si="849"/>
        <v>0.81042644426030708</v>
      </c>
      <c r="M707" s="76">
        <f t="shared" ca="1" si="919"/>
        <v>0.25347808785320641</v>
      </c>
      <c r="N707" s="45">
        <f t="shared" ca="1" si="919"/>
        <v>0.25</v>
      </c>
      <c r="O707" s="45">
        <f t="shared" ca="1" si="919"/>
        <v>0</v>
      </c>
      <c r="P707" s="46" t="str">
        <f t="shared" ca="1" si="919"/>
        <v/>
      </c>
      <c r="Q707" s="243" t="str">
        <f t="shared" ca="1" si="919"/>
        <v/>
      </c>
      <c r="R707" s="45">
        <f t="shared" ca="1" si="865"/>
        <v>0.31475470461382105</v>
      </c>
      <c r="S707" s="45">
        <f t="shared" ca="1" si="889"/>
        <v>5.0695617570641283E-2</v>
      </c>
      <c r="T707" s="77">
        <f t="shared" ca="1" si="850"/>
        <v>0.14164336103755834</v>
      </c>
      <c r="U707" s="45">
        <f t="shared" ca="1" si="866"/>
        <v>18.389609357376699</v>
      </c>
      <c r="V707" s="45">
        <f t="shared" ca="1" si="851"/>
        <v>0.20278247028256513</v>
      </c>
      <c r="W707" s="77">
        <f t="shared" ca="1" si="852"/>
        <v>0.32689131357930512</v>
      </c>
      <c r="X707" s="45">
        <f t="shared" ca="1" si="867"/>
        <v>1.0436251662570051</v>
      </c>
      <c r="Y707" s="45">
        <f t="shared" ca="1" si="853"/>
        <v>4.5829855662632743E-2</v>
      </c>
      <c r="Z707" s="77">
        <f t="shared" ca="1" si="854"/>
        <v>4.0378186810935961E-2</v>
      </c>
      <c r="AA707" s="45">
        <f t="shared" ca="1" si="868"/>
        <v>39.179624111080855</v>
      </c>
      <c r="AB707" s="45">
        <f t="shared" ca="1" si="855"/>
        <v>0</v>
      </c>
      <c r="AC707" s="45" cm="1">
        <f t="array" aca="1" ref="AC707" ca="1">pHUM*(T707+W707+Z707+AD707)</f>
        <v>5.3917477250156172E-2</v>
      </c>
      <c r="AD707" s="77">
        <f t="shared" ca="1" si="856"/>
        <v>4.6819755459896473E-2</v>
      </c>
      <c r="AE707" s="45">
        <f t="shared" ca="1" si="869"/>
        <v>6.3847072090583081</v>
      </c>
      <c r="AF707" s="45">
        <f t="shared" ca="1" si="857"/>
        <v>0</v>
      </c>
      <c r="AG707" s="76">
        <f t="shared" ca="1" si="858"/>
        <v>65.312320548386694</v>
      </c>
      <c r="AH707" s="45">
        <f t="shared" ca="1" si="859"/>
        <v>0.45598528397490706</v>
      </c>
      <c r="AI707" s="77">
        <f t="shared" ca="1" si="860"/>
        <v>1.4335122889007757E-2</v>
      </c>
      <c r="AJ707" s="384">
        <f t="shared" ca="1" si="862"/>
        <v>3.7047278876900513E-2</v>
      </c>
      <c r="AU707" s="1"/>
    </row>
    <row r="708" spans="3:47" x14ac:dyDescent="0.25">
      <c r="C708" s="10">
        <f t="shared" si="887"/>
        <v>51</v>
      </c>
      <c r="D708" s="91">
        <f t="shared" si="870"/>
        <v>6</v>
      </c>
      <c r="E708" s="278"/>
      <c r="F708" s="76">
        <f t="shared" ref="F708:Q708" ca="1" si="920">F636</f>
        <v>18.37</v>
      </c>
      <c r="G708" s="46">
        <f t="shared" ca="1" si="920"/>
        <v>27.012600000000003</v>
      </c>
      <c r="H708" s="46">
        <f t="shared" ca="1" si="846"/>
        <v>28.517550000000004</v>
      </c>
      <c r="I708" s="45">
        <f t="shared" ca="1" si="847"/>
        <v>1.0882596087882719</v>
      </c>
      <c r="J708" s="45">
        <f t="shared" ca="1" si="848"/>
        <v>0.27952512346894071</v>
      </c>
      <c r="K708" s="45">
        <f t="shared" ca="1" si="864"/>
        <v>0.90345467800480783</v>
      </c>
      <c r="L708" s="358">
        <f t="shared" ca="1" si="849"/>
        <v>0.89586760620832129</v>
      </c>
      <c r="M708" s="76">
        <f t="shared" ca="1" si="920"/>
        <v>0.25347808785320641</v>
      </c>
      <c r="N708" s="45">
        <f t="shared" ca="1" si="920"/>
        <v>0.25</v>
      </c>
      <c r="O708" s="45">
        <f t="shared" ca="1" si="920"/>
        <v>0</v>
      </c>
      <c r="P708" s="46" t="str">
        <f t="shared" ca="1" si="920"/>
        <v/>
      </c>
      <c r="Q708" s="243" t="str">
        <f t="shared" ca="1" si="920"/>
        <v/>
      </c>
      <c r="R708" s="45">
        <f t="shared" ca="1" si="865"/>
        <v>0.22380696114690399</v>
      </c>
      <c r="S708" s="45">
        <f t="shared" ca="1" si="889"/>
        <v>5.0695617570641283E-2</v>
      </c>
      <c r="T708" s="77">
        <f t="shared" ca="1" si="850"/>
        <v>0.1334379969187959</v>
      </c>
      <c r="U708" s="45">
        <f t="shared" ca="1" si="866"/>
        <v>18.265500514079957</v>
      </c>
      <c r="V708" s="45">
        <f t="shared" ca="1" si="851"/>
        <v>0.20278247028256513</v>
      </c>
      <c r="W708" s="77">
        <f t="shared" ca="1" si="852"/>
        <v>0.49024105284188896</v>
      </c>
      <c r="X708" s="45">
        <f t="shared" ca="1" si="867"/>
        <v>1.0490768351087019</v>
      </c>
      <c r="Y708" s="45">
        <f t="shared" ca="1" si="853"/>
        <v>6.2315682263235653E-2</v>
      </c>
      <c r="Z708" s="77">
        <f t="shared" ca="1" si="854"/>
        <v>6.0949497875109386E-2</v>
      </c>
      <c r="AA708" s="45">
        <f t="shared" ca="1" si="868"/>
        <v>39.186721832871122</v>
      </c>
      <c r="AB708" s="45">
        <f t="shared" ca="1" si="855"/>
        <v>0</v>
      </c>
      <c r="AC708" s="45" cm="1">
        <f t="array" aca="1" ref="AC708" ca="1">pHUM*(T708+W708+Z708+AD708)</f>
        <v>7.3312567368512535E-2</v>
      </c>
      <c r="AD708" s="77">
        <f t="shared" ca="1" si="856"/>
        <v>7.1011126034972075E-2</v>
      </c>
      <c r="AE708" s="45">
        <f t="shared" ca="1" si="869"/>
        <v>6.3847072090583081</v>
      </c>
      <c r="AF708" s="45">
        <f t="shared" ca="1" si="857"/>
        <v>0</v>
      </c>
      <c r="AG708" s="76">
        <f t="shared" ca="1" si="858"/>
        <v>65.109813352264993</v>
      </c>
      <c r="AH708" s="45">
        <f t="shared" ca="1" si="859"/>
        <v>0.62001142403901821</v>
      </c>
      <c r="AI708" s="77">
        <f t="shared" ca="1" si="860"/>
        <v>1.3046442877858378E-2</v>
      </c>
      <c r="AJ708" s="384">
        <f t="shared" ca="1" si="862"/>
        <v>3.727152382358323E-2</v>
      </c>
      <c r="AU708" s="1"/>
    </row>
    <row r="709" spans="3:47" x14ac:dyDescent="0.25">
      <c r="C709" s="10">
        <f t="shared" si="887"/>
        <v>51</v>
      </c>
      <c r="D709" s="91">
        <f t="shared" si="870"/>
        <v>7</v>
      </c>
      <c r="E709" s="278"/>
      <c r="F709" s="76">
        <f t="shared" ref="F709:Q709" ca="1" si="921">F637</f>
        <v>22.71</v>
      </c>
      <c r="G709" s="46">
        <f t="shared" ca="1" si="921"/>
        <v>27.012600000000003</v>
      </c>
      <c r="H709" s="46">
        <f t="shared" ca="1" si="846"/>
        <v>28.517550000000004</v>
      </c>
      <c r="I709" s="45">
        <f t="shared" ca="1" si="847"/>
        <v>1.4513708414333564</v>
      </c>
      <c r="J709" s="45">
        <f t="shared" ca="1" si="848"/>
        <v>0.27952512346894071</v>
      </c>
      <c r="K709" s="45">
        <f t="shared" ca="1" si="864"/>
        <v>0.90345467800480783</v>
      </c>
      <c r="L709" s="358">
        <f t="shared" ca="1" si="849"/>
        <v>0.94004721434733285</v>
      </c>
      <c r="M709" s="76">
        <f t="shared" ca="1" si="921"/>
        <v>0.25347808785320641</v>
      </c>
      <c r="N709" s="45">
        <f t="shared" ca="1" si="921"/>
        <v>0.25</v>
      </c>
      <c r="O709" s="45">
        <f t="shared" ca="1" si="921"/>
        <v>0</v>
      </c>
      <c r="P709" s="46" t="str">
        <f t="shared" ca="1" si="921"/>
        <v/>
      </c>
      <c r="Q709" s="243" t="str">
        <f t="shared" ca="1" si="921"/>
        <v/>
      </c>
      <c r="R709" s="45">
        <f t="shared" ca="1" si="865"/>
        <v>0.14106458179874934</v>
      </c>
      <c r="S709" s="45">
        <f t="shared" ca="1" si="889"/>
        <v>5.0695617570641283E-2</v>
      </c>
      <c r="T709" s="77">
        <f t="shared" ca="1" si="850"/>
        <v>9.8977446831495092E-2</v>
      </c>
      <c r="U709" s="45">
        <f t="shared" ca="1" si="866"/>
        <v>17.978041931520632</v>
      </c>
      <c r="V709" s="45">
        <f t="shared" ca="1" si="851"/>
        <v>0.20278247028256513</v>
      </c>
      <c r="W709" s="77">
        <f t="shared" ca="1" si="852"/>
        <v>0.6406275117872583</v>
      </c>
      <c r="X709" s="45">
        <f t="shared" ca="1" si="867"/>
        <v>1.0504430194968282</v>
      </c>
      <c r="Y709" s="45">
        <f t="shared" ca="1" si="853"/>
        <v>7.5447770322689456E-2</v>
      </c>
      <c r="Z709" s="77">
        <f t="shared" ca="1" si="854"/>
        <v>8.059257253735029E-2</v>
      </c>
      <c r="AA709" s="45">
        <f t="shared" ca="1" si="868"/>
        <v>39.189023274204658</v>
      </c>
      <c r="AB709" s="45">
        <f t="shared" ca="1" si="855"/>
        <v>0</v>
      </c>
      <c r="AC709" s="45" cm="1">
        <f t="array" aca="1" ref="AC709" ca="1">pHUM*(T709+W709+Z709+AD709)</f>
        <v>8.8762082732575825E-2</v>
      </c>
      <c r="AD709" s="77">
        <f t="shared" ca="1" si="856"/>
        <v>9.4681781325706704E-2</v>
      </c>
      <c r="AE709" s="45">
        <f t="shared" ca="1" si="869"/>
        <v>6.3847072090583081</v>
      </c>
      <c r="AF709" s="45">
        <f t="shared" ca="1" si="857"/>
        <v>0</v>
      </c>
      <c r="AG709" s="76">
        <f t="shared" ca="1" si="858"/>
        <v>64.743280016079169</v>
      </c>
      <c r="AH709" s="45">
        <f t="shared" ca="1" si="859"/>
        <v>0.75066945942654528</v>
      </c>
      <c r="AI709" s="77">
        <f t="shared" ca="1" si="860"/>
        <v>1.1825071075646398E-2</v>
      </c>
      <c r="AJ709" s="384">
        <f t="shared" ca="1" si="862"/>
        <v>3.544829672329497E-2</v>
      </c>
      <c r="AU709" s="1"/>
    </row>
    <row r="710" spans="3:47" x14ac:dyDescent="0.25">
      <c r="C710" s="10">
        <f t="shared" si="887"/>
        <v>51</v>
      </c>
      <c r="D710" s="91">
        <f t="shared" si="870"/>
        <v>8</v>
      </c>
      <c r="E710" s="278"/>
      <c r="F710" s="76">
        <f t="shared" ref="F710:Q710" ca="1" si="922">F638</f>
        <v>19.329999999999998</v>
      </c>
      <c r="G710" s="46">
        <f t="shared" ca="1" si="922"/>
        <v>27.012600000000003</v>
      </c>
      <c r="H710" s="46">
        <f t="shared" ca="1" si="846"/>
        <v>28.517550000000004</v>
      </c>
      <c r="I710" s="45">
        <f t="shared" ca="1" si="847"/>
        <v>1.1670427279291871</v>
      </c>
      <c r="J710" s="45">
        <f t="shared" ca="1" si="848"/>
        <v>0.27952512346894071</v>
      </c>
      <c r="K710" s="45">
        <f t="shared" ca="1" si="864"/>
        <v>0.90345467800480783</v>
      </c>
      <c r="L710" s="358">
        <f t="shared" ca="1" si="849"/>
        <v>0.9079689727892073</v>
      </c>
      <c r="M710" s="76">
        <f t="shared" ca="1" si="922"/>
        <v>0.25347808785320641</v>
      </c>
      <c r="N710" s="45">
        <f t="shared" ca="1" si="922"/>
        <v>0.25</v>
      </c>
      <c r="O710" s="45">
        <f t="shared" ca="1" si="922"/>
        <v>0</v>
      </c>
      <c r="P710" s="46" t="str">
        <f t="shared" ca="1" si="922"/>
        <v/>
      </c>
      <c r="Q710" s="243" t="str">
        <f t="shared" ca="1" si="922"/>
        <v/>
      </c>
      <c r="R710" s="45">
        <f t="shared" ca="1" si="865"/>
        <v>9.278275253789553E-2</v>
      </c>
      <c r="S710" s="45">
        <f t="shared" ca="1" si="889"/>
        <v>5.0695617570641283E-2</v>
      </c>
      <c r="T710" s="77">
        <f t="shared" ca="1" si="850"/>
        <v>5.7699455138857644E-2</v>
      </c>
      <c r="U710" s="45">
        <f t="shared" ca="1" si="866"/>
        <v>17.540196890015938</v>
      </c>
      <c r="V710" s="45">
        <f t="shared" ca="1" si="851"/>
        <v>0.20278247028256513</v>
      </c>
      <c r="W710" s="77">
        <f t="shared" ca="1" si="852"/>
        <v>0.50436057414503876</v>
      </c>
      <c r="X710" s="45">
        <f t="shared" ca="1" si="867"/>
        <v>1.0452982172821674</v>
      </c>
      <c r="Y710" s="45">
        <f t="shared" ca="1" si="853"/>
        <v>5.7990029256074473E-2</v>
      </c>
      <c r="Z710" s="77">
        <f t="shared" ca="1" si="854"/>
        <v>6.4986942029303649E-2</v>
      </c>
      <c r="AA710" s="45">
        <f t="shared" ca="1" si="868"/>
        <v>39.183103575611533</v>
      </c>
      <c r="AB710" s="45">
        <f t="shared" ca="1" si="855"/>
        <v>0</v>
      </c>
      <c r="AC710" s="45" cm="1">
        <f t="array" aca="1" ref="AC710" ca="1">pHUM*(T710+W710+Z710+AD710)</f>
        <v>6.8223563830675849E-2</v>
      </c>
      <c r="AD710" s="77">
        <f t="shared" ca="1" si="856"/>
        <v>7.6139854085171751E-2</v>
      </c>
      <c r="AE710" s="45">
        <f t="shared" ca="1" si="869"/>
        <v>6.3847072090583081</v>
      </c>
      <c r="AF710" s="45">
        <f t="shared" ca="1" si="857"/>
        <v>0</v>
      </c>
      <c r="AG710" s="76">
        <f t="shared" ca="1" si="858"/>
        <v>64.246088644505846</v>
      </c>
      <c r="AH710" s="45">
        <f t="shared" ca="1" si="859"/>
        <v>0.57697323231162156</v>
      </c>
      <c r="AI710" s="77">
        <f t="shared" ca="1" si="860"/>
        <v>1.1037075877416678E-2</v>
      </c>
      <c r="AJ710" s="384">
        <f t="shared" ca="1" si="862"/>
        <v>3.1957177320429686E-2</v>
      </c>
      <c r="AU710" s="1"/>
    </row>
    <row r="711" spans="3:47" x14ac:dyDescent="0.25">
      <c r="C711" s="10">
        <f t="shared" si="887"/>
        <v>51</v>
      </c>
      <c r="D711" s="91">
        <f t="shared" si="870"/>
        <v>9</v>
      </c>
      <c r="E711" s="278"/>
      <c r="F711" s="76">
        <f t="shared" ref="F711:Q711" ca="1" si="923">F639</f>
        <v>15.36</v>
      </c>
      <c r="G711" s="46">
        <f t="shared" ca="1" si="923"/>
        <v>27.012600000000003</v>
      </c>
      <c r="H711" s="46">
        <f t="shared" ca="1" si="846"/>
        <v>28.517550000000004</v>
      </c>
      <c r="I711" s="45">
        <f t="shared" ca="1" si="847"/>
        <v>0.85004563012661705</v>
      </c>
      <c r="J711" s="45">
        <f t="shared" ca="1" si="848"/>
        <v>0.27952512346894071</v>
      </c>
      <c r="K711" s="45">
        <f t="shared" ca="1" si="864"/>
        <v>0.90345467800480783</v>
      </c>
      <c r="L711" s="358">
        <f t="shared" ca="1" si="849"/>
        <v>0.84745728919304408</v>
      </c>
      <c r="M711" s="76">
        <f t="shared" ca="1" si="923"/>
        <v>0.25347808785320641</v>
      </c>
      <c r="N711" s="45">
        <f t="shared" ca="1" si="923"/>
        <v>0.25</v>
      </c>
      <c r="O711" s="45">
        <f t="shared" ca="1" si="923"/>
        <v>0</v>
      </c>
      <c r="P711" s="46" t="str">
        <f t="shared" ca="1" si="923"/>
        <v/>
      </c>
      <c r="Q711" s="243" t="str">
        <f t="shared" ca="1" si="923"/>
        <v/>
      </c>
      <c r="R711" s="45">
        <f t="shared" ca="1" si="865"/>
        <v>8.5778914969679168E-2</v>
      </c>
      <c r="S711" s="45">
        <f t="shared" ca="1" si="889"/>
        <v>5.0695617570641283E-2</v>
      </c>
      <c r="T711" s="77">
        <f t="shared" ca="1" si="850"/>
        <v>4.3537468977546526E-2</v>
      </c>
      <c r="U711" s="45">
        <f t="shared" ca="1" si="866"/>
        <v>17.238618786153463</v>
      </c>
      <c r="V711" s="45">
        <f t="shared" ca="1" si="851"/>
        <v>0.20278247028256513</v>
      </c>
      <c r="W711" s="77">
        <f t="shared" ca="1" si="852"/>
        <v>0.36247516743546992</v>
      </c>
      <c r="X711" s="45">
        <f t="shared" ca="1" si="867"/>
        <v>1.0383013045089382</v>
      </c>
      <c r="Y711" s="45">
        <f t="shared" ca="1" si="853"/>
        <v>4.1967722989896969E-2</v>
      </c>
      <c r="Z711" s="77">
        <f t="shared" ca="1" si="854"/>
        <v>4.7425913228607695E-2</v>
      </c>
      <c r="AA711" s="45">
        <f t="shared" ca="1" si="868"/>
        <v>39.17518728535704</v>
      </c>
      <c r="AB711" s="45">
        <f t="shared" ca="1" si="855"/>
        <v>0</v>
      </c>
      <c r="AC711" s="45" cm="1">
        <f t="array" aca="1" ref="AC711" ca="1">pHUM*(T711+W711+Z711+AD711)</f>
        <v>4.9373791752819966E-2</v>
      </c>
      <c r="AD711" s="77">
        <f t="shared" ca="1" si="856"/>
        <v>5.5461864395891021E-2</v>
      </c>
      <c r="AE711" s="45">
        <f t="shared" ca="1" si="869"/>
        <v>6.3847072090583081</v>
      </c>
      <c r="AF711" s="45">
        <f t="shared" ca="1" si="857"/>
        <v>0</v>
      </c>
      <c r="AG711" s="76">
        <f t="shared" ca="1" si="858"/>
        <v>63.922593500047427</v>
      </c>
      <c r="AH711" s="45">
        <f t="shared" ca="1" si="859"/>
        <v>0.41755889929479828</v>
      </c>
      <c r="AI711" s="77">
        <f t="shared" ca="1" si="860"/>
        <v>1.0859739375758258E-2</v>
      </c>
      <c r="AJ711" s="384">
        <f t="shared" ca="1" si="862"/>
        <v>2.9348213336279905E-2</v>
      </c>
      <c r="AU711" s="1"/>
    </row>
    <row r="712" spans="3:47" x14ac:dyDescent="0.25">
      <c r="C712" s="10">
        <f t="shared" si="887"/>
        <v>51</v>
      </c>
      <c r="D712" s="91">
        <f t="shared" si="870"/>
        <v>10</v>
      </c>
      <c r="E712" s="278"/>
      <c r="F712" s="76">
        <f t="shared" ref="F712:Q712" ca="1" si="924">F640</f>
        <v>10.24</v>
      </c>
      <c r="G712" s="46">
        <f t="shared" ca="1" si="924"/>
        <v>27.012600000000003</v>
      </c>
      <c r="H712" s="46">
        <f t="shared" ca="1" si="846"/>
        <v>28.517550000000004</v>
      </c>
      <c r="I712" s="45">
        <f t="shared" ca="1" si="847"/>
        <v>0.49116850915432075</v>
      </c>
      <c r="J712" s="45">
        <f t="shared" ca="1" si="848"/>
        <v>0.27952512346894071</v>
      </c>
      <c r="K712" s="45">
        <f t="shared" ca="1" si="864"/>
        <v>0.90345467800480783</v>
      </c>
      <c r="L712" s="358">
        <f t="shared" ca="1" si="849"/>
        <v>0.72269796343841763</v>
      </c>
      <c r="M712" s="76">
        <f t="shared" ca="1" si="924"/>
        <v>0.25347808785320641</v>
      </c>
      <c r="N712" s="45">
        <f t="shared" ca="1" si="924"/>
        <v>0.25</v>
      </c>
      <c r="O712" s="45">
        <f t="shared" ca="1" si="924"/>
        <v>0</v>
      </c>
      <c r="P712" s="46" t="str">
        <f t="shared" ca="1" si="924"/>
        <v/>
      </c>
      <c r="Q712" s="243" t="str">
        <f t="shared" ca="1" si="924"/>
        <v/>
      </c>
      <c r="R712" s="45">
        <f t="shared" ca="1" si="865"/>
        <v>9.2937063562773911E-2</v>
      </c>
      <c r="S712" s="45">
        <f t="shared" ca="1" si="889"/>
        <v>5.0695617570641283E-2</v>
      </c>
      <c r="T712" s="77">
        <f t="shared" ca="1" si="850"/>
        <v>3.1216606232968552E-2</v>
      </c>
      <c r="U712" s="45">
        <f t="shared" ca="1" si="866"/>
        <v>17.078926089000557</v>
      </c>
      <c r="V712" s="45">
        <f t="shared" ca="1" si="851"/>
        <v>0.20278247028256513</v>
      </c>
      <c r="W712" s="77">
        <f t="shared" ca="1" si="852"/>
        <v>0.20843344835772312</v>
      </c>
      <c r="X712" s="45">
        <f t="shared" ca="1" si="867"/>
        <v>1.0328431142702275</v>
      </c>
      <c r="Y712" s="45">
        <f t="shared" ca="1" si="853"/>
        <v>2.4676680762810346E-2</v>
      </c>
      <c r="Z712" s="77">
        <f t="shared" ca="1" si="854"/>
        <v>2.7528002206150936E-2</v>
      </c>
      <c r="AA712" s="45">
        <f t="shared" ca="1" si="868"/>
        <v>39.169099212713974</v>
      </c>
      <c r="AB712" s="45">
        <f t="shared" ca="1" si="855"/>
        <v>0</v>
      </c>
      <c r="AC712" s="45" cm="1">
        <f t="array" aca="1" ref="AC712" ca="1">pHUM*(T712+W712+Z712+AD712)</f>
        <v>2.9031389132718053E-2</v>
      </c>
      <c r="AD712" s="77">
        <f t="shared" ca="1" si="856"/>
        <v>3.2051259511046981E-2</v>
      </c>
      <c r="AE712" s="45">
        <f t="shared" ca="1" si="869"/>
        <v>6.3847072090583081</v>
      </c>
      <c r="AF712" s="45">
        <f t="shared" ca="1" si="857"/>
        <v>0</v>
      </c>
      <c r="AG712" s="76">
        <f t="shared" ca="1" si="858"/>
        <v>63.75851268860584</v>
      </c>
      <c r="AH712" s="45">
        <f t="shared" ca="1" si="859"/>
        <v>0.2455212464123612</v>
      </c>
      <c r="AI712" s="77">
        <f t="shared" ca="1" si="860"/>
        <v>1.0919772590705718E-2</v>
      </c>
      <c r="AJ712" s="384">
        <f t="shared" ca="1" si="862"/>
        <v>2.5166138572426666E-2</v>
      </c>
      <c r="AU712" s="1"/>
    </row>
    <row r="713" spans="3:47" x14ac:dyDescent="0.25">
      <c r="C713" s="10">
        <f t="shared" si="887"/>
        <v>51</v>
      </c>
      <c r="D713" s="91">
        <f t="shared" si="870"/>
        <v>11</v>
      </c>
      <c r="E713" s="278"/>
      <c r="F713" s="76">
        <f t="shared" ref="F713:Q713" ca="1" si="925">F641</f>
        <v>1.6</v>
      </c>
      <c r="G713" s="46">
        <f t="shared" ca="1" si="925"/>
        <v>27.012600000000003</v>
      </c>
      <c r="H713" s="46">
        <f t="shared" ca="1" si="846"/>
        <v>28.517550000000004</v>
      </c>
      <c r="I713" s="45">
        <f t="shared" ca="1" si="847"/>
        <v>9.9319080037688343E-2</v>
      </c>
      <c r="J713" s="45">
        <f t="shared" ca="1" si="848"/>
        <v>0.27952512346894071</v>
      </c>
      <c r="K713" s="45">
        <f t="shared" ca="1" si="864"/>
        <v>0.90345467800480783</v>
      </c>
      <c r="L713" s="358">
        <f t="shared" ca="1" si="849"/>
        <v>0.41844375967031366</v>
      </c>
      <c r="M713" s="76">
        <f t="shared" ca="1" si="925"/>
        <v>0.25347808785320641</v>
      </c>
      <c r="N713" s="45">
        <f t="shared" ca="1" si="925"/>
        <v>0.25</v>
      </c>
      <c r="O713" s="45">
        <f t="shared" ca="1" si="925"/>
        <v>0</v>
      </c>
      <c r="P713" s="46" t="str">
        <f t="shared" ca="1" si="925"/>
        <v/>
      </c>
      <c r="Q713" s="243" t="str">
        <f t="shared" ca="1" si="925"/>
        <v/>
      </c>
      <c r="R713" s="45">
        <f t="shared" ca="1" si="865"/>
        <v>0.11241607490044665</v>
      </c>
      <c r="S713" s="45">
        <f t="shared" ca="1" si="889"/>
        <v>5.0695617570641283E-2</v>
      </c>
      <c r="T713" s="77">
        <f t="shared" ca="1" si="850"/>
        <v>8.9295880519691829E-3</v>
      </c>
      <c r="U713" s="45">
        <f t="shared" ca="1" si="866"/>
        <v>17.073275110925398</v>
      </c>
      <c r="V713" s="45">
        <f t="shared" ca="1" si="851"/>
        <v>0.20278247028256513</v>
      </c>
      <c r="W713" s="77">
        <f t="shared" ca="1" si="852"/>
        <v>4.2339963101115895E-2</v>
      </c>
      <c r="X713" s="45">
        <f t="shared" ca="1" si="867"/>
        <v>1.0299917928268867</v>
      </c>
      <c r="Y713" s="45">
        <f t="shared" ca="1" si="853"/>
        <v>5.2254092266117991E-3</v>
      </c>
      <c r="Z713" s="77">
        <f t="shared" ca="1" si="854"/>
        <v>5.6110418029988703E-3</v>
      </c>
      <c r="AA713" s="45">
        <f t="shared" ca="1" si="868"/>
        <v>39.166079342335642</v>
      </c>
      <c r="AB713" s="45">
        <f t="shared" ca="1" si="855"/>
        <v>0</v>
      </c>
      <c r="AC713" s="45" cm="1">
        <f t="array" aca="1" ref="AC713" ca="1">pHUM*(T713+W713+Z713+AD713)</f>
        <v>6.1475402666021162E-3</v>
      </c>
      <c r="AD713" s="77">
        <f t="shared" ca="1" si="856"/>
        <v>6.4826950540460577E-3</v>
      </c>
      <c r="AE713" s="45">
        <f t="shared" ca="1" si="869"/>
        <v>6.3847072090583081</v>
      </c>
      <c r="AF713" s="45">
        <f t="shared" ca="1" si="857"/>
        <v>0</v>
      </c>
      <c r="AG713" s="76">
        <f t="shared" ca="1" si="858"/>
        <v>63.766469530046678</v>
      </c>
      <c r="AH713" s="45">
        <f t="shared" ca="1" si="859"/>
        <v>5.1990338516916104E-2</v>
      </c>
      <c r="AI713" s="77">
        <f t="shared" ca="1" si="860"/>
        <v>1.1195861920479258E-2</v>
      </c>
      <c r="AJ713" s="384">
        <f t="shared" ca="1" si="862"/>
        <v>1.4939806681422141E-2</v>
      </c>
      <c r="AU713" s="1"/>
    </row>
    <row r="714" spans="3:47" x14ac:dyDescent="0.25">
      <c r="C714" s="10">
        <f t="shared" si="887"/>
        <v>51</v>
      </c>
      <c r="D714" s="91">
        <f t="shared" si="870"/>
        <v>12</v>
      </c>
      <c r="E714" s="278"/>
      <c r="F714" s="76">
        <f t="shared" ref="F714:Q714" ca="1" si="926">F642</f>
        <v>-3.59</v>
      </c>
      <c r="G714" s="46">
        <f t="shared" ca="1" si="926"/>
        <v>27.012600000000003</v>
      </c>
      <c r="H714" s="46">
        <f t="shared" ca="1" si="846"/>
        <v>28.517550000000004</v>
      </c>
      <c r="I714" s="45">
        <f t="shared" ca="1" si="847"/>
        <v>1.5109209527995384E-2</v>
      </c>
      <c r="J714" s="45">
        <f t="shared" ca="1" si="848"/>
        <v>0.27952512346894071</v>
      </c>
      <c r="K714" s="45">
        <f t="shared" ca="1" si="864"/>
        <v>0.90345467800480783</v>
      </c>
      <c r="L714" s="358">
        <f t="shared" ca="1" si="849"/>
        <v>0.24908644075501707</v>
      </c>
      <c r="M714" s="76">
        <f t="shared" ca="1" si="926"/>
        <v>0.25347808785320641</v>
      </c>
      <c r="N714" s="45">
        <f t="shared" ca="1" si="926"/>
        <v>0.25</v>
      </c>
      <c r="O714" s="45">
        <f t="shared" ca="1" si="926"/>
        <v>0</v>
      </c>
      <c r="P714" s="46" t="str">
        <f t="shared" ca="1" si="926"/>
        <v/>
      </c>
      <c r="Q714" s="243" t="str">
        <f t="shared" ca="1" si="926"/>
        <v/>
      </c>
      <c r="R714" s="45">
        <f t="shared" ca="1" si="865"/>
        <v>0.15418210441911873</v>
      </c>
      <c r="S714" s="45">
        <f t="shared" ca="1" si="889"/>
        <v>5.0695617570641283E-2</v>
      </c>
      <c r="T714" s="77">
        <f t="shared" ca="1" si="850"/>
        <v>1.9291377207575763E-3</v>
      </c>
      <c r="U714" s="45">
        <f t="shared" ca="1" si="866"/>
        <v>17.233717618106844</v>
      </c>
      <c r="V714" s="45">
        <f t="shared" ca="1" si="851"/>
        <v>0.20278247028256513</v>
      </c>
      <c r="W714" s="77">
        <f t="shared" ca="1" si="852"/>
        <v>6.5084669611836597E-3</v>
      </c>
      <c r="X714" s="45">
        <f t="shared" ca="1" si="867"/>
        <v>1.0296061602504996</v>
      </c>
      <c r="Y714" s="45">
        <f t="shared" ca="1" si="853"/>
        <v>8.4769277748308793E-4</v>
      </c>
      <c r="Z714" s="77">
        <f t="shared" ca="1" si="854"/>
        <v>8.5525402630401957E-4</v>
      </c>
      <c r="AA714" s="45">
        <f t="shared" ca="1" si="868"/>
        <v>39.165744187548199</v>
      </c>
      <c r="AB714" s="45">
        <f t="shared" ca="1" si="855"/>
        <v>0</v>
      </c>
      <c r="AC714" s="45" cm="1">
        <f t="array" aca="1" ref="AC714" ca="1">pHUM*(T714+W714+Z714+AD714)</f>
        <v>9.9728562056833879E-4</v>
      </c>
      <c r="AD714" s="77">
        <f t="shared" ca="1" si="856"/>
        <v>9.8625997402409095E-4</v>
      </c>
      <c r="AE714" s="45">
        <f t="shared" ca="1" si="869"/>
        <v>6.3847072090583081</v>
      </c>
      <c r="AF714" s="45">
        <f t="shared" ca="1" si="857"/>
        <v>0</v>
      </c>
      <c r="AG714" s="76">
        <f t="shared" ca="1" si="858"/>
        <v>63.967957279382965</v>
      </c>
      <c r="AH714" s="45">
        <f t="shared" ca="1" si="859"/>
        <v>8.4341402842179197E-3</v>
      </c>
      <c r="AI714" s="77">
        <f t="shared" ca="1" si="860"/>
        <v>1.1830395223663004E-2</v>
      </c>
      <c r="AJ714" s="384">
        <f t="shared" ca="1" si="862"/>
        <v>9.3972755173432621E-3</v>
      </c>
      <c r="AU714" s="1"/>
    </row>
    <row r="715" spans="3:47" x14ac:dyDescent="0.25">
      <c r="C715" s="10">
        <f t="shared" si="887"/>
        <v>52</v>
      </c>
      <c r="D715" s="91">
        <f t="shared" si="870"/>
        <v>1</v>
      </c>
      <c r="E715" s="278"/>
      <c r="F715" s="76">
        <f t="shared" ref="F715:Q715" ca="1" si="927">F643</f>
        <v>-7.32</v>
      </c>
      <c r="G715" s="46">
        <f t="shared" ca="1" si="927"/>
        <v>27.012600000000003</v>
      </c>
      <c r="H715" s="46">
        <f t="shared" ca="1" si="846"/>
        <v>28.517550000000004</v>
      </c>
      <c r="I715" s="45">
        <f t="shared" ca="1" si="847"/>
        <v>1.2903599790233234E-3</v>
      </c>
      <c r="J715" s="45">
        <f t="shared" ca="1" si="848"/>
        <v>0.27952512346894071</v>
      </c>
      <c r="K715" s="45">
        <f t="shared" ca="1" si="864"/>
        <v>0.90345467800480783</v>
      </c>
      <c r="L715" s="358">
        <f t="shared" ca="1" si="849"/>
        <v>0.15974615302556239</v>
      </c>
      <c r="M715" s="76">
        <f t="shared" ca="1" si="927"/>
        <v>0.25347808785320641</v>
      </c>
      <c r="N715" s="45">
        <f t="shared" ca="1" si="927"/>
        <v>0.25</v>
      </c>
      <c r="O715" s="45">
        <f t="shared" ca="1" si="927"/>
        <v>0</v>
      </c>
      <c r="P715" s="46" t="str">
        <f t="shared" ca="1" si="927"/>
        <v/>
      </c>
      <c r="Q715" s="243" t="str">
        <f t="shared" ca="1" si="927"/>
        <v/>
      </c>
      <c r="R715" s="45">
        <f t="shared" ca="1" si="865"/>
        <v>0.20294858426900242</v>
      </c>
      <c r="S715" s="45">
        <f t="shared" ca="1" si="889"/>
        <v>5.0695617570641283E-2</v>
      </c>
      <c r="T715" s="77">
        <f t="shared" ca="1" si="850"/>
        <v>2.1811331947600471E-4</v>
      </c>
      <c r="U715" s="45">
        <f t="shared" ca="1" si="866"/>
        <v>17.429991621428226</v>
      </c>
      <c r="V715" s="45">
        <f t="shared" ca="1" si="851"/>
        <v>0.20278247028256513</v>
      </c>
      <c r="W715" s="77">
        <f t="shared" ca="1" si="852"/>
        <v>5.62265021472954E-4</v>
      </c>
      <c r="X715" s="45">
        <f t="shared" ca="1" si="867"/>
        <v>1.0295985990016785</v>
      </c>
      <c r="Y715" s="45">
        <f t="shared" ca="1" si="853"/>
        <v>7.7327749792342865E-5</v>
      </c>
      <c r="Z715" s="77">
        <f t="shared" ca="1" si="854"/>
        <v>7.3067812628901301E-5</v>
      </c>
      <c r="AA715" s="45">
        <f t="shared" ca="1" si="868"/>
        <v>39.165755213194743</v>
      </c>
      <c r="AB715" s="45">
        <f t="shared" ca="1" si="855"/>
        <v>0</v>
      </c>
      <c r="AC715" s="45" cm="1">
        <f t="array" aca="1" ref="AC715" ca="1">pHUM*(T715+W715+Z715+AD715)</f>
        <v>9.097382328510926E-5</v>
      </c>
      <c r="AD715" s="77">
        <f t="shared" ca="1" si="856"/>
        <v>8.4229781220557072E-5</v>
      </c>
      <c r="AE715" s="45">
        <f t="shared" ca="1" si="869"/>
        <v>6.3847072090583081</v>
      </c>
      <c r="AF715" s="45">
        <f t="shared" ca="1" si="857"/>
        <v>0</v>
      </c>
      <c r="AG715" s="76">
        <f t="shared" ca="1" si="858"/>
        <v>64.21300122695196</v>
      </c>
      <c r="AH715" s="45">
        <f t="shared" ca="1" si="859"/>
        <v>7.69374361720965E-4</v>
      </c>
      <c r="AI715" s="77">
        <f t="shared" ca="1" si="860"/>
        <v>1.256785808290903E-2</v>
      </c>
      <c r="AJ715" s="384">
        <f t="shared" ca="1" si="862"/>
        <v>6.4024400842088713E-3</v>
      </c>
      <c r="AU715" s="1"/>
    </row>
    <row r="716" spans="3:47" x14ac:dyDescent="0.25">
      <c r="C716" s="10">
        <f t="shared" si="887"/>
        <v>52</v>
      </c>
      <c r="D716" s="91">
        <f t="shared" si="870"/>
        <v>2</v>
      </c>
      <c r="E716" s="278"/>
      <c r="F716" s="76">
        <f t="shared" ref="F716:Q716" ca="1" si="928">F644</f>
        <v>-7.56</v>
      </c>
      <c r="G716" s="46">
        <f t="shared" ca="1" si="928"/>
        <v>27.012600000000003</v>
      </c>
      <c r="H716" s="46">
        <f t="shared" ca="1" si="846"/>
        <v>28.517550000000004</v>
      </c>
      <c r="I716" s="45">
        <f t="shared" ca="1" si="847"/>
        <v>1.0386103497602255E-3</v>
      </c>
      <c r="J716" s="45">
        <f t="shared" ca="1" si="848"/>
        <v>0.27952512346894071</v>
      </c>
      <c r="K716" s="45">
        <f t="shared" ca="1" si="864"/>
        <v>0.90345467800480783</v>
      </c>
      <c r="L716" s="358">
        <f t="shared" ca="1" si="849"/>
        <v>0.15499691161362872</v>
      </c>
      <c r="M716" s="76">
        <f t="shared" ca="1" si="928"/>
        <v>0.25347808785320641</v>
      </c>
      <c r="N716" s="45">
        <f t="shared" ca="1" si="928"/>
        <v>0.25</v>
      </c>
      <c r="O716" s="45">
        <f t="shared" ca="1" si="928"/>
        <v>0</v>
      </c>
      <c r="P716" s="46" t="str">
        <f t="shared" ca="1" si="928"/>
        <v/>
      </c>
      <c r="Q716" s="243" t="str">
        <f t="shared" ca="1" si="928"/>
        <v/>
      </c>
      <c r="R716" s="45">
        <f t="shared" ca="1" si="865"/>
        <v>0.25342608852016768</v>
      </c>
      <c r="S716" s="45">
        <f t="shared" ca="1" si="889"/>
        <v>5.0695617570641283E-2</v>
      </c>
      <c r="T716" s="77">
        <f t="shared" ca="1" si="850"/>
        <v>2.1924757134496564E-4</v>
      </c>
      <c r="U716" s="45">
        <f t="shared" ca="1" si="866"/>
        <v>17.632211826689318</v>
      </c>
      <c r="V716" s="45">
        <f t="shared" ca="1" si="851"/>
        <v>0.20278247028256513</v>
      </c>
      <c r="W716" s="77">
        <f t="shared" ca="1" si="852"/>
        <v>4.5781899858975453E-4</v>
      </c>
      <c r="X716" s="45">
        <f t="shared" ca="1" si="867"/>
        <v>1.029602858938842</v>
      </c>
      <c r="Y716" s="45">
        <f t="shared" ca="1" si="853"/>
        <v>6.6277118508470062E-5</v>
      </c>
      <c r="Z716" s="77">
        <f t="shared" ca="1" si="854"/>
        <v>5.8812910381329762E-5</v>
      </c>
      <c r="AA716" s="45">
        <f t="shared" ca="1" si="868"/>
        <v>39.165761957236803</v>
      </c>
      <c r="AB716" s="45">
        <f t="shared" ca="1" si="855"/>
        <v>0</v>
      </c>
      <c r="AC716" s="45" cm="1">
        <f t="array" aca="1" ref="AC716" ca="1">pHUM*(T716+W716+Z716+AD716)</f>
        <v>7.7973080598200078E-5</v>
      </c>
      <c r="AD716" s="77">
        <f t="shared" ca="1" si="856"/>
        <v>6.7796550863755475E-5</v>
      </c>
      <c r="AE716" s="45">
        <f t="shared" ca="1" si="869"/>
        <v>6.3847072090583081</v>
      </c>
      <c r="AF716" s="45">
        <f t="shared" ca="1" si="857"/>
        <v>0</v>
      </c>
      <c r="AG716" s="76">
        <f t="shared" ca="1" si="858"/>
        <v>64.465709940443432</v>
      </c>
      <c r="AH716" s="45">
        <f t="shared" ca="1" si="859"/>
        <v>6.5942583207313538E-4</v>
      </c>
      <c r="AI716" s="77">
        <f t="shared" ca="1" si="860"/>
        <v>1.3324462277569235E-2</v>
      </c>
      <c r="AJ716" s="384">
        <f t="shared" ca="1" si="862"/>
        <v>6.5860725086075433E-3</v>
      </c>
      <c r="AU716" s="1"/>
    </row>
    <row r="717" spans="3:47" x14ac:dyDescent="0.25">
      <c r="C717" s="10">
        <f t="shared" si="887"/>
        <v>52</v>
      </c>
      <c r="D717" s="91">
        <f t="shared" si="870"/>
        <v>3</v>
      </c>
      <c r="E717" s="278"/>
      <c r="F717" s="76">
        <f t="shared" ref="F717:Q717" ca="1" si="929">F645</f>
        <v>-3.72</v>
      </c>
      <c r="G717" s="46">
        <f t="shared" ca="1" si="929"/>
        <v>27.012600000000003</v>
      </c>
      <c r="H717" s="46">
        <f t="shared" ca="1" si="846"/>
        <v>28.517550000000004</v>
      </c>
      <c r="I717" s="45">
        <f t="shared" ca="1" si="847"/>
        <v>1.416534540335657E-2</v>
      </c>
      <c r="J717" s="45">
        <f t="shared" ca="1" si="848"/>
        <v>0.27952512346894071</v>
      </c>
      <c r="K717" s="45">
        <f t="shared" ca="1" si="864"/>
        <v>0.90345467800480783</v>
      </c>
      <c r="L717" s="358">
        <f t="shared" ca="1" si="849"/>
        <v>0.24547574864616473</v>
      </c>
      <c r="M717" s="76">
        <f t="shared" ca="1" si="929"/>
        <v>0.25347808785320641</v>
      </c>
      <c r="N717" s="45">
        <f t="shared" ca="1" si="929"/>
        <v>0.25</v>
      </c>
      <c r="O717" s="45">
        <f t="shared" ca="1" si="929"/>
        <v>0</v>
      </c>
      <c r="P717" s="46" t="str">
        <f t="shared" ca="1" si="929"/>
        <v/>
      </c>
      <c r="Q717" s="243" t="str">
        <f t="shared" ca="1" si="929"/>
        <v/>
      </c>
      <c r="R717" s="45">
        <f t="shared" ca="1" si="865"/>
        <v>0.30390245851946401</v>
      </c>
      <c r="S717" s="45">
        <f t="shared" ca="1" si="889"/>
        <v>5.0695617570641283E-2</v>
      </c>
      <c r="T717" s="77">
        <f t="shared" ca="1" si="850"/>
        <v>3.5663121478739478E-3</v>
      </c>
      <c r="U717" s="45">
        <f t="shared" ca="1" si="866"/>
        <v>17.834536477973291</v>
      </c>
      <c r="V717" s="45">
        <f t="shared" ca="1" si="851"/>
        <v>0.20278247028256513</v>
      </c>
      <c r="W717" s="77">
        <f t="shared" ca="1" si="852"/>
        <v>6.3146910447404985E-3</v>
      </c>
      <c r="X717" s="45">
        <f t="shared" ca="1" si="867"/>
        <v>1.0296103231469691</v>
      </c>
      <c r="Y717" s="45">
        <f t="shared" ca="1" si="853"/>
        <v>9.5724135720100375E-4</v>
      </c>
      <c r="Z717" s="77">
        <f t="shared" ca="1" si="854"/>
        <v>8.0185082306218286E-4</v>
      </c>
      <c r="AA717" s="45">
        <f t="shared" ca="1" si="868"/>
        <v>39.165772133766538</v>
      </c>
      <c r="AB717" s="45">
        <f t="shared" ca="1" si="855"/>
        <v>0</v>
      </c>
      <c r="AC717" s="45" cm="1">
        <f t="array" aca="1" ref="AC717" ca="1">pHUM*(T717+W717+Z717+AD717)</f>
        <v>1.1261663025894163E-3</v>
      </c>
      <c r="AD717" s="77">
        <f t="shared" ca="1" si="856"/>
        <v>9.2465023540448687E-4</v>
      </c>
      <c r="AE717" s="45">
        <f t="shared" ca="1" si="869"/>
        <v>6.3847072090583081</v>
      </c>
      <c r="AF717" s="45">
        <f t="shared" ca="1" si="857"/>
        <v>0</v>
      </c>
      <c r="AG717" s="76">
        <f t="shared" ca="1" si="858"/>
        <v>64.718528602464573</v>
      </c>
      <c r="AH717" s="45">
        <f t="shared" ca="1" si="859"/>
        <v>9.5240965912906962E-3</v>
      </c>
      <c r="AI717" s="77">
        <f t="shared" ca="1" si="860"/>
        <v>1.4074516220037149E-2</v>
      </c>
      <c r="AJ717" s="384">
        <f t="shared" ca="1" si="862"/>
        <v>1.1017778184039262E-2</v>
      </c>
      <c r="AU717" s="1"/>
    </row>
    <row r="718" spans="3:47" x14ac:dyDescent="0.25">
      <c r="C718" s="10">
        <f t="shared" si="887"/>
        <v>52</v>
      </c>
      <c r="D718" s="91">
        <f t="shared" si="870"/>
        <v>4</v>
      </c>
      <c r="E718" s="278"/>
      <c r="F718" s="76">
        <f t="shared" ref="F718:Q718" ca="1" si="930">F646</f>
        <v>5.88</v>
      </c>
      <c r="G718" s="46">
        <f t="shared" ca="1" si="930"/>
        <v>27.012600000000003</v>
      </c>
      <c r="H718" s="46">
        <f t="shared" ca="1" si="846"/>
        <v>28.517550000000004</v>
      </c>
      <c r="I718" s="45">
        <f t="shared" ca="1" si="847"/>
        <v>0.2538659245156123</v>
      </c>
      <c r="J718" s="45">
        <f t="shared" ca="1" si="848"/>
        <v>0.27952512346894071</v>
      </c>
      <c r="K718" s="45">
        <f t="shared" ca="1" si="864"/>
        <v>0.90345467800480783</v>
      </c>
      <c r="L718" s="358">
        <f t="shared" ca="1" si="849"/>
        <v>0.57663575359475594</v>
      </c>
      <c r="M718" s="76">
        <f t="shared" ca="1" si="930"/>
        <v>0.25347808785320641</v>
      </c>
      <c r="N718" s="45">
        <f t="shared" ca="1" si="930"/>
        <v>0.25</v>
      </c>
      <c r="O718" s="45">
        <f t="shared" ca="1" si="930"/>
        <v>0</v>
      </c>
      <c r="P718" s="46" t="str">
        <f t="shared" ca="1" si="930"/>
        <v/>
      </c>
      <c r="Q718" s="243" t="str">
        <f t="shared" ca="1" si="930"/>
        <v/>
      </c>
      <c r="R718" s="45">
        <f t="shared" ca="1" si="865"/>
        <v>0.35103176394223135</v>
      </c>
      <c r="S718" s="45">
        <f t="shared" ca="1" si="889"/>
        <v>5.0695617570641283E-2</v>
      </c>
      <c r="T718" s="77">
        <f t="shared" ca="1" si="850"/>
        <v>6.6933045521027232E-2</v>
      </c>
      <c r="U718" s="45">
        <f t="shared" ca="1" si="866"/>
        <v>18.031004257211116</v>
      </c>
      <c r="V718" s="45">
        <f t="shared" ca="1" si="851"/>
        <v>0.20278247028256513</v>
      </c>
      <c r="W718" s="77">
        <f t="shared" ca="1" si="852"/>
        <v>0.11407406226873593</v>
      </c>
      <c r="X718" s="45">
        <f t="shared" ca="1" si="867"/>
        <v>1.0297657136811078</v>
      </c>
      <c r="Y718" s="45">
        <f t="shared" ca="1" si="853"/>
        <v>1.7471013839552636E-2</v>
      </c>
      <c r="Z718" s="77">
        <f t="shared" ca="1" si="854"/>
        <v>1.4278319983453545E-2</v>
      </c>
      <c r="AA718" s="45">
        <f t="shared" ca="1" si="868"/>
        <v>39.165973649833724</v>
      </c>
      <c r="AB718" s="45">
        <f t="shared" ca="1" si="855"/>
        <v>0</v>
      </c>
      <c r="AC718" s="45" cm="1">
        <f t="array" aca="1" ref="AC718" ca="1">pHUM*(T718+W718+Z718+AD718)</f>
        <v>2.0554133928885453E-2</v>
      </c>
      <c r="AD718" s="77">
        <f t="shared" ca="1" si="856"/>
        <v>1.6568004893212591E-2</v>
      </c>
      <c r="AE718" s="45">
        <f t="shared" ca="1" si="869"/>
        <v>6.3847072090583081</v>
      </c>
      <c r="AF718" s="45">
        <f t="shared" ca="1" si="857"/>
        <v>0</v>
      </c>
      <c r="AG718" s="76">
        <f t="shared" ca="1" si="858"/>
        <v>64.962482593726492</v>
      </c>
      <c r="AH718" s="45">
        <f t="shared" ca="1" si="859"/>
        <v>0.17382828489799121</v>
      </c>
      <c r="AI718" s="77">
        <f t="shared" ca="1" si="860"/>
        <v>1.477036824465645E-2</v>
      </c>
      <c r="AJ718" s="384">
        <f t="shared" ca="1" si="862"/>
        <v>2.7160529432894709E-2</v>
      </c>
      <c r="AU718" s="1"/>
    </row>
    <row r="719" spans="3:47" x14ac:dyDescent="0.25">
      <c r="C719" s="10">
        <f t="shared" si="887"/>
        <v>52</v>
      </c>
      <c r="D719" s="91">
        <f t="shared" si="870"/>
        <v>5</v>
      </c>
      <c r="E719" s="278"/>
      <c r="F719" s="76">
        <f t="shared" ref="F719:Q719" ca="1" si="931">F647</f>
        <v>13.3</v>
      </c>
      <c r="G719" s="46">
        <f t="shared" ca="1" si="931"/>
        <v>27.012600000000003</v>
      </c>
      <c r="H719" s="46">
        <f t="shared" ca="1" si="846"/>
        <v>28.517550000000004</v>
      </c>
      <c r="I719" s="45">
        <f t="shared" ca="1" si="847"/>
        <v>0.69725265541392489</v>
      </c>
      <c r="J719" s="45">
        <f t="shared" ca="1" si="848"/>
        <v>0.27952512346894071</v>
      </c>
      <c r="K719" s="45">
        <f t="shared" ca="1" si="864"/>
        <v>0.90345467800480783</v>
      </c>
      <c r="L719" s="358">
        <f t="shared" ca="1" si="849"/>
        <v>0.80399103068855049</v>
      </c>
      <c r="M719" s="76">
        <f t="shared" ca="1" si="931"/>
        <v>0.25347808785320641</v>
      </c>
      <c r="N719" s="45">
        <f t="shared" ca="1" si="931"/>
        <v>0.25</v>
      </c>
      <c r="O719" s="45">
        <f t="shared" ca="1" si="931"/>
        <v>0</v>
      </c>
      <c r="P719" s="46" t="str">
        <f t="shared" ca="1" si="931"/>
        <v/>
      </c>
      <c r="Q719" s="243" t="str">
        <f t="shared" ca="1" si="931"/>
        <v/>
      </c>
      <c r="R719" s="45">
        <f t="shared" ca="1" si="865"/>
        <v>0.33479433599184538</v>
      </c>
      <c r="S719" s="45">
        <f t="shared" ca="1" si="889"/>
        <v>5.0695617570641283E-2</v>
      </c>
      <c r="T719" s="77">
        <f t="shared" ca="1" si="850"/>
        <v>0.14753910809057297</v>
      </c>
      <c r="U719" s="45">
        <f t="shared" ca="1" si="866"/>
        <v>18.119712665224945</v>
      </c>
      <c r="V719" s="45">
        <f t="shared" ca="1" si="851"/>
        <v>0.20278247028256513</v>
      </c>
      <c r="W719" s="77">
        <f t="shared" ca="1" si="852"/>
        <v>0.31311352553915206</v>
      </c>
      <c r="X719" s="45">
        <f t="shared" ca="1" si="867"/>
        <v>1.0329584075372069</v>
      </c>
      <c r="Y719" s="45">
        <f t="shared" ca="1" si="853"/>
        <v>4.4945424100082648E-2</v>
      </c>
      <c r="Z719" s="77">
        <f t="shared" ca="1" si="854"/>
        <v>3.8862877712122303E-2</v>
      </c>
      <c r="AA719" s="45">
        <f t="shared" ca="1" si="868"/>
        <v>39.169959778869391</v>
      </c>
      <c r="AB719" s="45">
        <f t="shared" ca="1" si="855"/>
        <v>0</v>
      </c>
      <c r="AC719" s="45" cm="1">
        <f t="array" aca="1" ref="AC719" ca="1">pHUM*(T719+W719+Z719+AD719)</f>
        <v>5.2876969529509002E-2</v>
      </c>
      <c r="AD719" s="77">
        <f t="shared" ca="1" si="856"/>
        <v>4.5492492526506584E-2</v>
      </c>
      <c r="AE719" s="45">
        <f t="shared" ca="1" si="869"/>
        <v>6.3847072090583081</v>
      </c>
      <c r="AF719" s="45">
        <f t="shared" ca="1" si="857"/>
        <v>0</v>
      </c>
      <c r="AG719" s="76">
        <f t="shared" ca="1" si="858"/>
        <v>65.042132396681694</v>
      </c>
      <c r="AH719" s="45">
        <f t="shared" ca="1" si="859"/>
        <v>0.4471856102387623</v>
      </c>
      <c r="AI719" s="77">
        <f t="shared" ca="1" si="860"/>
        <v>1.4560544937057694E-2</v>
      </c>
      <c r="AJ719" s="384">
        <f t="shared" ca="1" si="862"/>
        <v>3.733103295914586E-2</v>
      </c>
      <c r="AU719" s="1"/>
    </row>
    <row r="720" spans="3:47" x14ac:dyDescent="0.25">
      <c r="C720" s="10">
        <f t="shared" si="887"/>
        <v>52</v>
      </c>
      <c r="D720" s="91">
        <f t="shared" si="870"/>
        <v>6</v>
      </c>
      <c r="E720" s="278"/>
      <c r="F720" s="76">
        <f t="shared" ref="F720:Q720" ca="1" si="932">F648</f>
        <v>18.579999999999998</v>
      </c>
      <c r="G720" s="46">
        <f t="shared" ca="1" si="932"/>
        <v>27.012600000000003</v>
      </c>
      <c r="H720" s="46">
        <f t="shared" ca="1" si="846"/>
        <v>28.517550000000004</v>
      </c>
      <c r="I720" s="45">
        <f t="shared" ca="1" si="847"/>
        <v>1.1053966357180092</v>
      </c>
      <c r="J720" s="45">
        <f t="shared" ca="1" si="848"/>
        <v>0.27952512346894071</v>
      </c>
      <c r="K720" s="45">
        <f t="shared" ca="1" si="864"/>
        <v>0.90345467800480783</v>
      </c>
      <c r="L720" s="358">
        <f t="shared" ca="1" si="849"/>
        <v>0.89864190578209513</v>
      </c>
      <c r="M720" s="76">
        <f t="shared" ca="1" si="932"/>
        <v>0.25347808785320641</v>
      </c>
      <c r="N720" s="45">
        <f t="shared" ca="1" si="932"/>
        <v>0.25</v>
      </c>
      <c r="O720" s="45">
        <f t="shared" ca="1" si="932"/>
        <v>0</v>
      </c>
      <c r="P720" s="46" t="str">
        <f t="shared" ca="1" si="932"/>
        <v/>
      </c>
      <c r="Q720" s="243" t="str">
        <f t="shared" ca="1" si="932"/>
        <v/>
      </c>
      <c r="R720" s="45">
        <f t="shared" ca="1" si="865"/>
        <v>0.2379508454719137</v>
      </c>
      <c r="S720" s="45">
        <f t="shared" ca="1" si="889"/>
        <v>5.0695617570641283E-2</v>
      </c>
      <c r="T720" s="77">
        <f t="shared" ca="1" si="850"/>
        <v>0.14323320525148991</v>
      </c>
      <c r="U720" s="45">
        <f t="shared" ca="1" si="866"/>
        <v>18.009381609968358</v>
      </c>
      <c r="V720" s="45">
        <f t="shared" ca="1" si="851"/>
        <v>0.20278247028256513</v>
      </c>
      <c r="W720" s="77">
        <f t="shared" ca="1" si="852"/>
        <v>0.49087387774594898</v>
      </c>
      <c r="X720" s="45">
        <f t="shared" ca="1" si="867"/>
        <v>1.0390409539251673</v>
      </c>
      <c r="Y720" s="45">
        <f t="shared" ca="1" si="853"/>
        <v>6.3294315598862394E-2</v>
      </c>
      <c r="Z720" s="77">
        <f t="shared" ca="1" si="854"/>
        <v>6.1288432894108728E-2</v>
      </c>
      <c r="AA720" s="45">
        <f t="shared" ca="1" si="868"/>
        <v>39.177344255872391</v>
      </c>
      <c r="AB720" s="45">
        <f t="shared" ca="1" si="855"/>
        <v>0</v>
      </c>
      <c r="AC720" s="45" cm="1">
        <f t="array" aca="1" ref="AC720" ca="1">pHUM*(T720+W720+Z720+AD720)</f>
        <v>7.4463900704543992E-2</v>
      </c>
      <c r="AD720" s="77">
        <f t="shared" ca="1" si="856"/>
        <v>7.2111061061325588E-2</v>
      </c>
      <c r="AE720" s="45">
        <f t="shared" ca="1" si="869"/>
        <v>6.3847072090583081</v>
      </c>
      <c r="AF720" s="45">
        <f t="shared" ca="1" si="857"/>
        <v>0</v>
      </c>
      <c r="AG720" s="76">
        <f t="shared" ca="1" si="858"/>
        <v>64.848424874296143</v>
      </c>
      <c r="AH720" s="45">
        <f t="shared" ca="1" si="859"/>
        <v>0.62974836064946682</v>
      </c>
      <c r="AI720" s="77">
        <f t="shared" ca="1" si="860"/>
        <v>1.3187148687944098E-2</v>
      </c>
      <c r="AJ720" s="384">
        <f t="shared" ca="1" si="862"/>
        <v>3.7790144808036441E-2</v>
      </c>
      <c r="AU720" s="1"/>
    </row>
    <row r="721" spans="3:47" x14ac:dyDescent="0.25">
      <c r="C721" s="10">
        <f t="shared" si="887"/>
        <v>52</v>
      </c>
      <c r="D721" s="91">
        <f t="shared" si="870"/>
        <v>7</v>
      </c>
      <c r="E721" s="278"/>
      <c r="F721" s="76">
        <f t="shared" ref="F721:Q721" ca="1" si="933">F649</f>
        <v>20.88</v>
      </c>
      <c r="G721" s="46">
        <f t="shared" ca="1" si="933"/>
        <v>27.012600000000003</v>
      </c>
      <c r="H721" s="46">
        <f t="shared" ca="1" si="846"/>
        <v>28.517550000000004</v>
      </c>
      <c r="I721" s="45">
        <f t="shared" ca="1" si="847"/>
        <v>1.2963209464812457</v>
      </c>
      <c r="J721" s="45">
        <f t="shared" ca="1" si="848"/>
        <v>0.27952512346894071</v>
      </c>
      <c r="K721" s="45">
        <f t="shared" ca="1" si="864"/>
        <v>0.90345467800480783</v>
      </c>
      <c r="L721" s="358">
        <f t="shared" ca="1" si="849"/>
        <v>0.92456370800230281</v>
      </c>
      <c r="M721" s="76">
        <f t="shared" ca="1" si="933"/>
        <v>0.25347808785320641</v>
      </c>
      <c r="N721" s="45">
        <f t="shared" ca="1" si="933"/>
        <v>0.25</v>
      </c>
      <c r="O721" s="45">
        <f t="shared" ca="1" si="933"/>
        <v>0</v>
      </c>
      <c r="P721" s="46" t="str">
        <f t="shared" ca="1" si="933"/>
        <v/>
      </c>
      <c r="Q721" s="243" t="str">
        <f t="shared" ca="1" si="933"/>
        <v/>
      </c>
      <c r="R721" s="45">
        <f t="shared" ca="1" si="865"/>
        <v>0.14541325779106506</v>
      </c>
      <c r="S721" s="45">
        <f t="shared" ca="1" si="889"/>
        <v>5.0695617570641283E-2</v>
      </c>
      <c r="T721" s="77">
        <f t="shared" ca="1" si="850"/>
        <v>9.6044771709889135E-2</v>
      </c>
      <c r="U721" s="45">
        <f t="shared" ca="1" si="866"/>
        <v>17.721290202504974</v>
      </c>
      <c r="V721" s="45">
        <f t="shared" ca="1" si="851"/>
        <v>0.20278247028256513</v>
      </c>
      <c r="W721" s="77">
        <f t="shared" ca="1" si="852"/>
        <v>0.56510555603269241</v>
      </c>
      <c r="X721" s="45">
        <f t="shared" ca="1" si="867"/>
        <v>1.0410468366299208</v>
      </c>
      <c r="Y721" s="45">
        <f t="shared" ca="1" si="853"/>
        <v>6.7404612867890984E-2</v>
      </c>
      <c r="Z721" s="77">
        <f t="shared" ca="1" si="854"/>
        <v>7.1639969284199079E-2</v>
      </c>
      <c r="AA721" s="45">
        <f t="shared" ca="1" si="868"/>
        <v>39.179697095515607</v>
      </c>
      <c r="AB721" s="45">
        <f t="shared" ca="1" si="855"/>
        <v>0</v>
      </c>
      <c r="AC721" s="45" cm="1">
        <f t="array" aca="1" ref="AC721" ca="1">pHUM*(T721+W721+Z721+AD721)</f>
        <v>7.9299544550459983E-2</v>
      </c>
      <c r="AD721" s="77">
        <f t="shared" ca="1" si="856"/>
        <v>8.4557725518208046E-2</v>
      </c>
      <c r="AE721" s="45">
        <f t="shared" ca="1" si="869"/>
        <v>6.3847072090583081</v>
      </c>
      <c r="AF721" s="45">
        <f t="shared" ca="1" si="857"/>
        <v>0</v>
      </c>
      <c r="AG721" s="76">
        <f t="shared" ca="1" si="858"/>
        <v>64.472154601499881</v>
      </c>
      <c r="AH721" s="45">
        <f t="shared" ca="1" si="859"/>
        <v>0.67064386512663776</v>
      </c>
      <c r="AI721" s="77">
        <f t="shared" ca="1" si="860"/>
        <v>1.182298537621251E-2</v>
      </c>
      <c r="AJ721" s="384">
        <f t="shared" ca="1" si="862"/>
        <v>3.4858298289854872E-2</v>
      </c>
      <c r="AU721" s="1"/>
    </row>
    <row r="722" spans="3:47" x14ac:dyDescent="0.25">
      <c r="C722" s="10">
        <f t="shared" si="887"/>
        <v>52</v>
      </c>
      <c r="D722" s="91">
        <f t="shared" si="870"/>
        <v>8</v>
      </c>
      <c r="E722" s="278"/>
      <c r="F722" s="76">
        <f t="shared" ref="F722:Q722" ca="1" si="934">F650</f>
        <v>19.38</v>
      </c>
      <c r="G722" s="46">
        <f t="shared" ca="1" si="934"/>
        <v>27.012600000000003</v>
      </c>
      <c r="H722" s="46">
        <f t="shared" ref="H722:H785" ca="1" si="935">FC-G722</f>
        <v>28.517550000000004</v>
      </c>
      <c r="I722" s="45">
        <f t="shared" ref="I722:I785" ca="1" si="936">PRODUCT(47.91/(1+EXP(106.06/(F722+18.27))), IF(IF(H722&lt;=0,1-((1-RM_PWP)*(G722-FC)/(WSAT-FC)),IF(H722&lt;=Wat1bar,1,1-((1-RM_PWP)*(H722-Wat1bar)/(FC-Wat1bar))))&lt;=RM_PWP,RM_PWP,IF(H722&lt;=0,1-((1-RM_PWP)*(G722-FC)/(WSAT-FC)),IF(H722&lt;=Wat1bar,1,1-((1-RM_PWP)*(H722-Wat1bar)/(FC-Wat1bar))))),0.56+(ATAN(3.14*0.45*(SoilpH-5)))/3.14,EXP(-0.09*SoilSal))</f>
        <v>1.1711755949831784</v>
      </c>
      <c r="J722" s="45">
        <f t="shared" ref="J722:J785" ca="1" si="937">POWER(((G722/150)-$J$9),$M$9)*POWER(($L$9-(G722/150)),$N$9)</f>
        <v>0.27952512346894071</v>
      </c>
      <c r="K722" s="45">
        <f t="shared" ca="1" si="864"/>
        <v>0.90345467800480783</v>
      </c>
      <c r="L722" s="358">
        <f t="shared" ref="L722:L785" ca="1" si="938">1/(1+EXP(-(F722-3.8)/6.7))+1/(1+EXP((F722-62.2)/7.1))-1</f>
        <v>0.9085593811553081</v>
      </c>
      <c r="M722" s="76">
        <f t="shared" ca="1" si="934"/>
        <v>0.25347808785320641</v>
      </c>
      <c r="N722" s="45">
        <f t="shared" ca="1" si="934"/>
        <v>0.25</v>
      </c>
      <c r="O722" s="45">
        <f t="shared" ca="1" si="934"/>
        <v>0</v>
      </c>
      <c r="P722" s="46" t="str">
        <f t="shared" ca="1" si="934"/>
        <v/>
      </c>
      <c r="Q722" s="243" t="str">
        <f t="shared" ca="1" si="934"/>
        <v/>
      </c>
      <c r="R722" s="45">
        <f t="shared" ca="1" si="865"/>
        <v>0.10006410365181721</v>
      </c>
      <c r="S722" s="45">
        <f t="shared" ca="1" si="889"/>
        <v>5.0695617570641283E-2</v>
      </c>
      <c r="T722" s="77">
        <f t="shared" ref="T722:T785" ca="1" si="939">R722*(1-EXP(-kDPM*I722))</f>
        <v>6.2357646589744672E-2</v>
      </c>
      <c r="U722" s="45">
        <f t="shared" ca="1" si="866"/>
        <v>17.358967116754847</v>
      </c>
      <c r="V722" s="45">
        <f t="shared" ref="V722:V785" ca="1" si="940">M722*1/(1+N722)</f>
        <v>0.20278247028256513</v>
      </c>
      <c r="W722" s="77">
        <f t="shared" ref="W722:W785" ca="1" si="941">U722*(1-EXP(-kRPM*I722))</f>
        <v>0.50089128711753228</v>
      </c>
      <c r="X722" s="45">
        <f t="shared" ca="1" si="867"/>
        <v>1.0368114802136126</v>
      </c>
      <c r="Y722" s="45">
        <f t="shared" ref="Y722:Y785" ca="1" si="942">pBIO*(T722+W722+Z722+AD722)</f>
        <v>5.8083609328098439E-2</v>
      </c>
      <c r="Z722" s="77">
        <f t="shared" ref="Z722:Z785" ca="1" si="943">X722*(1-EXP(-kBIO*I722))</f>
        <v>6.4680313485654506E-2</v>
      </c>
      <c r="AA722" s="45">
        <f t="shared" ca="1" si="868"/>
        <v>39.174438914547856</v>
      </c>
      <c r="AB722" s="45">
        <f t="shared" ref="AB722:AB785" ca="1" si="944">IF(O722&gt;0,O722*(1-Q722)/(1+P722),0)</f>
        <v>0</v>
      </c>
      <c r="AC722" s="45" cm="1">
        <f t="array" aca="1" ref="AC722" ca="1">pHUM*(T722+W722+Z722+AD722)</f>
        <v>6.8333658033056979E-2</v>
      </c>
      <c r="AD722" s="77">
        <f t="shared" ref="AD722:AD785" ca="1" si="945">AA722*(1-EXP(-kHUM*I722))</f>
        <v>7.6392329724128183E-2</v>
      </c>
      <c r="AE722" s="45">
        <f t="shared" ca="1" si="869"/>
        <v>6.3847072090583081</v>
      </c>
      <c r="AF722" s="45">
        <f t="shared" ref="AF722:AF785" ca="1" si="946">IF(O722&gt;0,O722*Q722,0)</f>
        <v>0</v>
      </c>
      <c r="AG722" s="76">
        <f t="shared" ref="AG722:AG785" ca="1" si="947">R722+U722+X722+AA722+AE722</f>
        <v>64.054988824226442</v>
      </c>
      <c r="AH722" s="45">
        <f t="shared" ref="AH722:AH785" ca="1" si="948">p_CO2*(T722+W722+Z722+AD722)</f>
        <v>0.57790430955590433</v>
      </c>
      <c r="AI722" s="77">
        <f t="shared" ref="AI722:AI785" ca="1" si="949">((kRPM*U722)+(kDPM*R722)+(kBIO*X722)+(kHUM*AA722))/(U722+R722+AA722+X722)</f>
        <v>1.1091957174174836E-2</v>
      </c>
      <c r="AJ722" s="384">
        <f t="shared" ca="1" si="862"/>
        <v>3.2136960840813966E-2</v>
      </c>
      <c r="AU722" s="1"/>
    </row>
    <row r="723" spans="3:47" x14ac:dyDescent="0.25">
      <c r="C723" s="10">
        <f t="shared" si="887"/>
        <v>52</v>
      </c>
      <c r="D723" s="91">
        <f t="shared" si="870"/>
        <v>9</v>
      </c>
      <c r="E723" s="278"/>
      <c r="F723" s="76">
        <f t="shared" ref="F723:Q723" ca="1" si="950">F651</f>
        <v>16.57</v>
      </c>
      <c r="G723" s="46">
        <f t="shared" ca="1" si="950"/>
        <v>27.012600000000003</v>
      </c>
      <c r="H723" s="46">
        <f t="shared" ca="1" si="935"/>
        <v>28.517550000000004</v>
      </c>
      <c r="I723" s="45">
        <f t="shared" ca="1" si="936"/>
        <v>0.9439672665218134</v>
      </c>
      <c r="J723" s="45">
        <f t="shared" ca="1" si="937"/>
        <v>0.27952512346894071</v>
      </c>
      <c r="K723" s="45">
        <f t="shared" ca="1" si="864"/>
        <v>0.90345467800480783</v>
      </c>
      <c r="L723" s="358">
        <f t="shared" ca="1" si="938"/>
        <v>0.86895066774150642</v>
      </c>
      <c r="M723" s="76">
        <f t="shared" ca="1" si="950"/>
        <v>0.25347808785320641</v>
      </c>
      <c r="N723" s="45">
        <f t="shared" ca="1" si="950"/>
        <v>0.25</v>
      </c>
      <c r="O723" s="45">
        <f t="shared" ca="1" si="950"/>
        <v>0</v>
      </c>
      <c r="P723" s="46" t="str">
        <f t="shared" ca="1" si="950"/>
        <v/>
      </c>
      <c r="Q723" s="243" t="str">
        <f t="shared" ca="1" si="950"/>
        <v/>
      </c>
      <c r="R723" s="45">
        <f t="shared" ca="1" si="865"/>
        <v>8.8402074632713837E-2</v>
      </c>
      <c r="S723" s="45">
        <f t="shared" ca="1" si="889"/>
        <v>5.0695617570641283E-2</v>
      </c>
      <c r="T723" s="77">
        <f t="shared" ca="1" si="939"/>
        <v>4.8146195874830794E-2</v>
      </c>
      <c r="U723" s="45">
        <f t="shared" ca="1" si="866"/>
        <v>17.060858299919879</v>
      </c>
      <c r="V723" s="45">
        <f t="shared" ca="1" si="940"/>
        <v>0.20278247028256513</v>
      </c>
      <c r="W723" s="77">
        <f t="shared" ca="1" si="941"/>
        <v>0.39790866806038028</v>
      </c>
      <c r="X723" s="45">
        <f t="shared" ca="1" si="867"/>
        <v>1.0302147760560567</v>
      </c>
      <c r="Y723" s="45">
        <f t="shared" ca="1" si="942"/>
        <v>4.6161010326350782E-2</v>
      </c>
      <c r="Z723" s="77">
        <f t="shared" ca="1" si="943"/>
        <v>5.2122145059184659E-2</v>
      </c>
      <c r="AA723" s="45">
        <f t="shared" ca="1" si="868"/>
        <v>39.166380242856782</v>
      </c>
      <c r="AB723" s="45">
        <f t="shared" ca="1" si="944"/>
        <v>0</v>
      </c>
      <c r="AC723" s="45" cm="1">
        <f t="array" aca="1" ref="AC723" ca="1">pHUM*(T723+W723+Z723+AD723)</f>
        <v>5.4307070972177393E-2</v>
      </c>
      <c r="AD723" s="77">
        <f t="shared" ca="1" si="945"/>
        <v>6.1571187807348299E-2</v>
      </c>
      <c r="AE723" s="45">
        <f t="shared" ca="1" si="869"/>
        <v>6.3847072090583081</v>
      </c>
      <c r="AF723" s="45">
        <f t="shared" ca="1" si="946"/>
        <v>0</v>
      </c>
      <c r="AG723" s="76">
        <f t="shared" ca="1" si="947"/>
        <v>63.730562602523733</v>
      </c>
      <c r="AH723" s="45">
        <f t="shared" ca="1" si="948"/>
        <v>0.4592801155032159</v>
      </c>
      <c r="AI723" s="77">
        <f t="shared" ca="1" si="949"/>
        <v>1.0848717171354542E-2</v>
      </c>
      <c r="AJ723" s="384">
        <f t="shared" ref="AJ723:AJ786" ca="1" si="951">(530)*(1-EXP((-$AJ$9*L723*K723*AI723)))</f>
        <v>3.0061985512664924E-2</v>
      </c>
      <c r="AU723" s="1"/>
    </row>
    <row r="724" spans="3:47" x14ac:dyDescent="0.25">
      <c r="C724" s="10">
        <f t="shared" si="887"/>
        <v>52</v>
      </c>
      <c r="D724" s="91">
        <f t="shared" si="870"/>
        <v>10</v>
      </c>
      <c r="E724" s="278"/>
      <c r="F724" s="76">
        <f t="shared" ref="F724:Q724" ca="1" si="952">F652</f>
        <v>10.87</v>
      </c>
      <c r="G724" s="46">
        <f t="shared" ca="1" si="952"/>
        <v>27.012600000000003</v>
      </c>
      <c r="H724" s="46">
        <f t="shared" ca="1" si="935"/>
        <v>28.517550000000004</v>
      </c>
      <c r="I724" s="45">
        <f t="shared" ca="1" si="936"/>
        <v>0.53125146958099567</v>
      </c>
      <c r="J724" s="45">
        <f t="shared" ca="1" si="937"/>
        <v>0.27952512346894071</v>
      </c>
      <c r="K724" s="45">
        <f t="shared" ref="K724:K787" ca="1" si="953">J724/$I$15</f>
        <v>0.90345467800480783</v>
      </c>
      <c r="L724" s="358">
        <f t="shared" ca="1" si="938"/>
        <v>0.74105246316705919</v>
      </c>
      <c r="M724" s="76">
        <f t="shared" ca="1" si="952"/>
        <v>0.25347808785320641</v>
      </c>
      <c r="N724" s="45">
        <f t="shared" ca="1" si="952"/>
        <v>0.25</v>
      </c>
      <c r="O724" s="45">
        <f t="shared" ca="1" si="952"/>
        <v>0</v>
      </c>
      <c r="P724" s="46" t="str">
        <f t="shared" ca="1" si="952"/>
        <v/>
      </c>
      <c r="Q724" s="243" t="str">
        <f t="shared" ca="1" si="952"/>
        <v/>
      </c>
      <c r="R724" s="45">
        <f t="shared" ref="R724:R787" ca="1" si="954">R723+S724-T723</f>
        <v>9.0951496328524312E-2</v>
      </c>
      <c r="S724" s="45">
        <f t="shared" ca="1" si="889"/>
        <v>5.0695617570641283E-2</v>
      </c>
      <c r="T724" s="77">
        <f t="shared" ca="1" si="939"/>
        <v>3.2533920585815154E-2</v>
      </c>
      <c r="U724" s="45">
        <f t="shared" ref="U724:U787" ca="1" si="955">U723+V724-W723</f>
        <v>16.865732102142061</v>
      </c>
      <c r="V724" s="45">
        <f t="shared" ca="1" si="940"/>
        <v>0.20278247028256513</v>
      </c>
      <c r="W724" s="77">
        <f t="shared" ca="1" si="941"/>
        <v>0.22251769261759485</v>
      </c>
      <c r="X724" s="45">
        <f t="shared" ref="X724:X787" ca="1" si="956">X723+Y723-Z723</f>
        <v>1.0242536413232228</v>
      </c>
      <c r="Y724" s="45">
        <f t="shared" ca="1" si="942"/>
        <v>2.6323859343405757E-2</v>
      </c>
      <c r="Z724" s="77">
        <f t="shared" ca="1" si="943"/>
        <v>2.9494498137614424E-2</v>
      </c>
      <c r="AA724" s="45">
        <f t="shared" ref="AA724:AA787" ca="1" si="957">AA723+AC723+AB724-AD723</f>
        <v>39.159116126021615</v>
      </c>
      <c r="AB724" s="45">
        <f t="shared" ca="1" si="944"/>
        <v>0</v>
      </c>
      <c r="AC724" s="45" cm="1">
        <f t="array" aca="1" ref="AC724" ca="1">pHUM*(T724+W724+Z724+AD724)</f>
        <v>3.0969246286359713E-2</v>
      </c>
      <c r="AD724" s="77">
        <f t="shared" ca="1" si="945"/>
        <v>3.4656884784102948E-2</v>
      </c>
      <c r="AE724" s="45">
        <f t="shared" ref="AE724:AE787" ca="1" si="958">AE723+AF724</f>
        <v>6.3847072090583081</v>
      </c>
      <c r="AF724" s="45">
        <f t="shared" ca="1" si="946"/>
        <v>0</v>
      </c>
      <c r="AG724" s="76">
        <f t="shared" ca="1" si="947"/>
        <v>63.524760574873731</v>
      </c>
      <c r="AH724" s="45">
        <f t="shared" ca="1" si="948"/>
        <v>0.26190989049536195</v>
      </c>
      <c r="AI724" s="77">
        <f t="shared" ca="1" si="949"/>
        <v>1.0833650364547007E-2</v>
      </c>
      <c r="AJ724" s="384">
        <f t="shared" ca="1" si="951"/>
        <v>2.5601755800460646E-2</v>
      </c>
      <c r="AU724" s="1"/>
    </row>
    <row r="725" spans="3:47" x14ac:dyDescent="0.25">
      <c r="C725" s="10">
        <f t="shared" si="887"/>
        <v>52</v>
      </c>
      <c r="D725" s="91">
        <f t="shared" ref="D725:D788" si="959">IF(D724+1&lt;13,D724+1,1)</f>
        <v>11</v>
      </c>
      <c r="E725" s="278"/>
      <c r="F725" s="76">
        <f t="shared" ref="F725:Q725" ca="1" si="960">F653</f>
        <v>1.4</v>
      </c>
      <c r="G725" s="46">
        <f t="shared" ca="1" si="960"/>
        <v>28.536243189942063</v>
      </c>
      <c r="H725" s="46">
        <f t="shared" ca="1" si="935"/>
        <v>26.993906810057943</v>
      </c>
      <c r="I725" s="45">
        <f t="shared" ca="1" si="936"/>
        <v>9.940372096718314E-2</v>
      </c>
      <c r="J725" s="45">
        <f t="shared" ca="1" si="937"/>
        <v>0.28648639837560558</v>
      </c>
      <c r="K725" s="45">
        <f t="shared" ca="1" si="953"/>
        <v>0.92595425264501963</v>
      </c>
      <c r="L725" s="358">
        <f t="shared" ca="1" si="938"/>
        <v>0.41120226021724715</v>
      </c>
      <c r="M725" s="76">
        <f t="shared" ca="1" si="960"/>
        <v>0.25347808785320641</v>
      </c>
      <c r="N725" s="45">
        <f t="shared" ca="1" si="960"/>
        <v>0.25</v>
      </c>
      <c r="O725" s="45">
        <f t="shared" ca="1" si="960"/>
        <v>0</v>
      </c>
      <c r="P725" s="46" t="str">
        <f t="shared" ca="1" si="960"/>
        <v/>
      </c>
      <c r="Q725" s="243" t="str">
        <f t="shared" ca="1" si="960"/>
        <v/>
      </c>
      <c r="R725" s="45">
        <f t="shared" ca="1" si="954"/>
        <v>0.10911319331335044</v>
      </c>
      <c r="S725" s="45">
        <f t="shared" ca="1" si="889"/>
        <v>5.0695617570641283E-2</v>
      </c>
      <c r="T725" s="77">
        <f t="shared" ca="1" si="939"/>
        <v>8.6743136422450483E-3</v>
      </c>
      <c r="U725" s="45">
        <f t="shared" ca="1" si="955"/>
        <v>16.845996879807032</v>
      </c>
      <c r="V725" s="45">
        <f t="shared" ca="1" si="940"/>
        <v>0.20278247028256513</v>
      </c>
      <c r="W725" s="77">
        <f t="shared" ca="1" si="941"/>
        <v>4.1811894589476747E-2</v>
      </c>
      <c r="X725" s="45">
        <f t="shared" ca="1" si="956"/>
        <v>1.0210830025290143</v>
      </c>
      <c r="Y725" s="45">
        <f t="shared" ca="1" si="942"/>
        <v>5.1575065369827188E-3</v>
      </c>
      <c r="Z725" s="77">
        <f t="shared" ca="1" si="943"/>
        <v>5.5672372627858981E-3</v>
      </c>
      <c r="AA725" s="45">
        <f t="shared" ca="1" si="957"/>
        <v>39.155428487523871</v>
      </c>
      <c r="AB725" s="45">
        <f t="shared" ca="1" si="944"/>
        <v>0</v>
      </c>
      <c r="AC725" s="45" cm="1">
        <f t="array" aca="1" ref="AC725" ca="1">pHUM*(T725+W725+Z725+AD725)</f>
        <v>6.0676547493914339E-3</v>
      </c>
      <c r="AD725" s="77">
        <f t="shared" ca="1" si="945"/>
        <v>6.4864548165846905E-3</v>
      </c>
      <c r="AE725" s="45">
        <f t="shared" ca="1" si="958"/>
        <v>6.3847072090583081</v>
      </c>
      <c r="AF725" s="45">
        <f t="shared" ca="1" si="946"/>
        <v>0</v>
      </c>
      <c r="AG725" s="76">
        <f t="shared" ca="1" si="947"/>
        <v>63.516328772231574</v>
      </c>
      <c r="AH725" s="45">
        <f t="shared" ca="1" si="948"/>
        <v>5.1314739024718239E-2</v>
      </c>
      <c r="AI725" s="77">
        <f t="shared" ca="1" si="949"/>
        <v>1.1088363648272237E-2</v>
      </c>
      <c r="AJ725" s="384">
        <f t="shared" ca="1" si="951"/>
        <v>1.490240895298145E-2</v>
      </c>
      <c r="AU725" s="1"/>
    </row>
    <row r="726" spans="3:47" x14ac:dyDescent="0.25">
      <c r="C726" s="10">
        <f t="shared" si="887"/>
        <v>52</v>
      </c>
      <c r="D726" s="91">
        <f t="shared" si="959"/>
        <v>12</v>
      </c>
      <c r="E726" s="278"/>
      <c r="F726" s="76">
        <f t="shared" ref="F726:Q726" ca="1" si="961">F654</f>
        <v>-1.78</v>
      </c>
      <c r="G726" s="46">
        <f t="shared" ca="1" si="961"/>
        <v>32.216243189942062</v>
      </c>
      <c r="H726" s="46">
        <f t="shared" ca="1" si="935"/>
        <v>23.313906810057944</v>
      </c>
      <c r="I726" s="45">
        <f t="shared" ca="1" si="936"/>
        <v>3.9789790397057247E-2</v>
      </c>
      <c r="J726" s="45">
        <f t="shared" ca="1" si="937"/>
        <v>0.29882189650486002</v>
      </c>
      <c r="K726" s="45">
        <f t="shared" ca="1" si="953"/>
        <v>0.96582388351071458</v>
      </c>
      <c r="L726" s="358">
        <f t="shared" ca="1" si="938"/>
        <v>0.30292377267304249</v>
      </c>
      <c r="M726" s="76">
        <f t="shared" ca="1" si="961"/>
        <v>0.25347808785320641</v>
      </c>
      <c r="N726" s="45">
        <f t="shared" ca="1" si="961"/>
        <v>0.25</v>
      </c>
      <c r="O726" s="45">
        <f t="shared" ca="1" si="961"/>
        <v>0</v>
      </c>
      <c r="P726" s="46" t="str">
        <f t="shared" ca="1" si="961"/>
        <v/>
      </c>
      <c r="Q726" s="243" t="str">
        <f t="shared" ca="1" si="961"/>
        <v/>
      </c>
      <c r="R726" s="45">
        <f t="shared" ca="1" si="954"/>
        <v>0.15113449724174668</v>
      </c>
      <c r="S726" s="45">
        <f t="shared" ca="1" si="889"/>
        <v>5.0695617570641283E-2</v>
      </c>
      <c r="T726" s="77">
        <f t="shared" ca="1" si="939"/>
        <v>4.9291689443774654E-3</v>
      </c>
      <c r="U726" s="45">
        <f t="shared" ca="1" si="955"/>
        <v>17.006967455500121</v>
      </c>
      <c r="V726" s="45">
        <f t="shared" ca="1" si="940"/>
        <v>0.20278247028256513</v>
      </c>
      <c r="W726" s="77">
        <f t="shared" ca="1" si="941"/>
        <v>1.6909180205069856E-2</v>
      </c>
      <c r="X726" s="45">
        <f t="shared" ca="1" si="956"/>
        <v>1.020673271803211</v>
      </c>
      <c r="Y726" s="45">
        <f t="shared" ca="1" si="942"/>
        <v>2.199086888936665E-3</v>
      </c>
      <c r="Z726" s="77">
        <f t="shared" ca="1" si="943"/>
        <v>2.2312383008235622E-3</v>
      </c>
      <c r="AA726" s="45">
        <f t="shared" ca="1" si="957"/>
        <v>39.155009687456683</v>
      </c>
      <c r="AB726" s="45">
        <f t="shared" ca="1" si="944"/>
        <v>0</v>
      </c>
      <c r="AC726" s="45" cm="1">
        <f t="array" aca="1" ref="AC726" ca="1">pHUM*(T726+W726+Z726+AD726)</f>
        <v>2.5871610458078416E-3</v>
      </c>
      <c r="AD726" s="77">
        <f t="shared" ca="1" si="945"/>
        <v>2.5965299503264393E-3</v>
      </c>
      <c r="AE726" s="45">
        <f t="shared" ca="1" si="958"/>
        <v>6.3847072090583081</v>
      </c>
      <c r="AF726" s="45">
        <f t="shared" ca="1" si="946"/>
        <v>0</v>
      </c>
      <c r="AG726" s="76">
        <f t="shared" ca="1" si="947"/>
        <v>63.718492121060066</v>
      </c>
      <c r="AH726" s="45">
        <f t="shared" ca="1" si="948"/>
        <v>2.1879869465852821E-2</v>
      </c>
      <c r="AI726" s="77">
        <f t="shared" ca="1" si="949"/>
        <v>1.1729820056640246E-2</v>
      </c>
      <c r="AJ726" s="384">
        <f t="shared" ca="1" si="951"/>
        <v>1.2113448107424762E-2</v>
      </c>
      <c r="AU726" s="1"/>
    </row>
    <row r="727" spans="3:47" x14ac:dyDescent="0.25">
      <c r="C727" s="10">
        <f t="shared" si="887"/>
        <v>53</v>
      </c>
      <c r="D727" s="91">
        <f t="shared" si="959"/>
        <v>1</v>
      </c>
      <c r="E727" s="278"/>
      <c r="F727" s="76">
        <f t="shared" ref="F727:Q727" ca="1" si="962">F655</f>
        <v>-8.2799999999999994</v>
      </c>
      <c r="G727" s="46">
        <f t="shared" ca="1" si="962"/>
        <v>27.676243189942063</v>
      </c>
      <c r="H727" s="46">
        <f t="shared" ca="1" si="935"/>
        <v>27.853906810057943</v>
      </c>
      <c r="I727" s="45">
        <f t="shared" ca="1" si="936"/>
        <v>5.2124139735228647E-4</v>
      </c>
      <c r="J727" s="45">
        <f t="shared" ca="1" si="937"/>
        <v>0.28271042830183513</v>
      </c>
      <c r="K727" s="45">
        <f t="shared" ca="1" si="953"/>
        <v>0.91374991914963299</v>
      </c>
      <c r="L727" s="358">
        <f t="shared" ca="1" si="938"/>
        <v>0.14143923467074027</v>
      </c>
      <c r="M727" s="76">
        <f t="shared" ca="1" si="962"/>
        <v>0.25347808785320641</v>
      </c>
      <c r="N727" s="45">
        <f t="shared" ca="1" si="962"/>
        <v>0.25</v>
      </c>
      <c r="O727" s="45">
        <f t="shared" ca="1" si="962"/>
        <v>0</v>
      </c>
      <c r="P727" s="46" t="str">
        <f t="shared" ca="1" si="962"/>
        <v/>
      </c>
      <c r="Q727" s="243" t="str">
        <f t="shared" ca="1" si="962"/>
        <v/>
      </c>
      <c r="R727" s="45">
        <f t="shared" ca="1" si="954"/>
        <v>0.19690094586801049</v>
      </c>
      <c r="S727" s="45">
        <f t="shared" ca="1" si="889"/>
        <v>5.0695617570641283E-2</v>
      </c>
      <c r="T727" s="77">
        <f t="shared" ca="1" si="939"/>
        <v>8.5508864309104358E-5</v>
      </c>
      <c r="U727" s="45">
        <f t="shared" ca="1" si="955"/>
        <v>17.192840745577616</v>
      </c>
      <c r="V727" s="45">
        <f t="shared" ca="1" si="940"/>
        <v>0.20278247028256513</v>
      </c>
      <c r="W727" s="77">
        <f t="shared" ca="1" si="941"/>
        <v>2.2403904863360145E-4</v>
      </c>
      <c r="X727" s="45">
        <f t="shared" ca="1" si="956"/>
        <v>1.0206411203913242</v>
      </c>
      <c r="Y727" s="45">
        <f t="shared" ca="1" si="942"/>
        <v>3.0745752012910437E-5</v>
      </c>
      <c r="Z727" s="77">
        <f t="shared" ca="1" si="943"/>
        <v>2.9259602795144104E-5</v>
      </c>
      <c r="AA727" s="45">
        <f t="shared" ca="1" si="957"/>
        <v>39.155000318552169</v>
      </c>
      <c r="AB727" s="45">
        <f t="shared" ca="1" si="944"/>
        <v>0</v>
      </c>
      <c r="AC727" s="45" cm="1">
        <f t="array" aca="1" ref="AC727" ca="1">pHUM*(T727+W727+Z727+AD727)</f>
        <v>3.6171472956365217E-5</v>
      </c>
      <c r="AD727" s="77">
        <f t="shared" ca="1" si="945"/>
        <v>3.4015330358220786E-5</v>
      </c>
      <c r="AE727" s="45">
        <f t="shared" ca="1" si="958"/>
        <v>6.3847072090583081</v>
      </c>
      <c r="AF727" s="45">
        <f t="shared" ca="1" si="946"/>
        <v>0</v>
      </c>
      <c r="AG727" s="76">
        <f t="shared" ca="1" si="947"/>
        <v>63.950090339447428</v>
      </c>
      <c r="AH727" s="45">
        <f t="shared" ca="1" si="948"/>
        <v>3.0590562112679505E-4</v>
      </c>
      <c r="AI727" s="77">
        <f t="shared" ca="1" si="949"/>
        <v>1.2425848605258074E-2</v>
      </c>
      <c r="AJ727" s="384">
        <f t="shared" ca="1" si="951"/>
        <v>5.6685382756160863E-3</v>
      </c>
      <c r="AU727" s="1"/>
    </row>
    <row r="728" spans="3:47" x14ac:dyDescent="0.25">
      <c r="C728" s="10">
        <f t="shared" si="887"/>
        <v>53</v>
      </c>
      <c r="D728" s="91">
        <f t="shared" si="959"/>
        <v>2</v>
      </c>
      <c r="E728" s="278"/>
      <c r="F728" s="76">
        <f t="shared" ref="F728:Q728" ca="1" si="963">F656</f>
        <v>-13.02</v>
      </c>
      <c r="G728" s="46">
        <f t="shared" ca="1" si="963"/>
        <v>27.012600000000003</v>
      </c>
      <c r="H728" s="46">
        <f t="shared" ca="1" si="935"/>
        <v>28.517550000000004</v>
      </c>
      <c r="I728" s="45">
        <f t="shared" ca="1" si="936"/>
        <v>3.4968020066039631E-8</v>
      </c>
      <c r="J728" s="45">
        <f t="shared" ca="1" si="937"/>
        <v>0.27952512346894071</v>
      </c>
      <c r="K728" s="45">
        <f t="shared" ca="1" si="953"/>
        <v>0.90345467800480783</v>
      </c>
      <c r="L728" s="358">
        <f t="shared" ca="1" si="938"/>
        <v>7.5103934893711255E-2</v>
      </c>
      <c r="M728" s="76">
        <f t="shared" ca="1" si="963"/>
        <v>0.25347808785320641</v>
      </c>
      <c r="N728" s="45">
        <f t="shared" ca="1" si="963"/>
        <v>0.25</v>
      </c>
      <c r="O728" s="45">
        <f t="shared" ca="1" si="963"/>
        <v>0</v>
      </c>
      <c r="P728" s="46" t="str">
        <f t="shared" ca="1" si="963"/>
        <v/>
      </c>
      <c r="Q728" s="243" t="str">
        <f t="shared" ca="1" si="963"/>
        <v/>
      </c>
      <c r="R728" s="45">
        <f t="shared" ca="1" si="954"/>
        <v>0.24751105457434266</v>
      </c>
      <c r="S728" s="45">
        <f t="shared" ca="1" si="889"/>
        <v>5.0695617570641283E-2</v>
      </c>
      <c r="T728" s="77">
        <f t="shared" ca="1" si="939"/>
        <v>7.2124761619648606E-9</v>
      </c>
      <c r="U728" s="45">
        <f t="shared" ca="1" si="955"/>
        <v>17.395399176811548</v>
      </c>
      <c r="V728" s="45">
        <f t="shared" ca="1" si="940"/>
        <v>0.20278247028256513</v>
      </c>
      <c r="W728" s="77">
        <f t="shared" ca="1" si="941"/>
        <v>1.5207066480208802E-8</v>
      </c>
      <c r="X728" s="45">
        <f t="shared" ca="1" si="956"/>
        <v>1.0206426065405421</v>
      </c>
      <c r="Y728" s="45">
        <f t="shared" ca="1" si="942"/>
        <v>2.1989485477626651E-9</v>
      </c>
      <c r="Z728" s="77">
        <f t="shared" ca="1" si="943"/>
        <v>1.9629418316772803E-9</v>
      </c>
      <c r="AA728" s="45">
        <f t="shared" ca="1" si="957"/>
        <v>39.155002474694768</v>
      </c>
      <c r="AB728" s="45">
        <f t="shared" ca="1" si="944"/>
        <v>0</v>
      </c>
      <c r="AC728" s="45" cm="1">
        <f t="array" aca="1" ref="AC728" ca="1">pHUM*(T728+W728+Z728+AD728)</f>
        <v>2.5869982914854885E-9</v>
      </c>
      <c r="AD728" s="77">
        <f t="shared" ca="1" si="945"/>
        <v>2.2819554023130485E-9</v>
      </c>
      <c r="AE728" s="45">
        <f t="shared" ca="1" si="958"/>
        <v>6.3847072090583081</v>
      </c>
      <c r="AF728" s="45">
        <f t="shared" ca="1" si="946"/>
        <v>0</v>
      </c>
      <c r="AG728" s="76">
        <f t="shared" ca="1" si="947"/>
        <v>64.203262521679505</v>
      </c>
      <c r="AH728" s="45">
        <f t="shared" ca="1" si="948"/>
        <v>2.1878493036915837E-8</v>
      </c>
      <c r="AI728" s="77">
        <f t="shared" ca="1" si="949"/>
        <v>1.3188462912297541E-2</v>
      </c>
      <c r="AJ728" s="384">
        <f t="shared" ca="1" si="951"/>
        <v>3.1587266852539653E-3</v>
      </c>
      <c r="AU728" s="1"/>
    </row>
    <row r="729" spans="3:47" x14ac:dyDescent="0.25">
      <c r="C729" s="10">
        <f t="shared" si="887"/>
        <v>53</v>
      </c>
      <c r="D729" s="91">
        <f t="shared" si="959"/>
        <v>3</v>
      </c>
      <c r="E729" s="278"/>
      <c r="F729" s="76">
        <f t="shared" ref="F729:Q729" ca="1" si="964">F657</f>
        <v>-3.52</v>
      </c>
      <c r="G729" s="46">
        <f t="shared" ca="1" si="964"/>
        <v>29.742600000000003</v>
      </c>
      <c r="H729" s="46">
        <f t="shared" ca="1" si="935"/>
        <v>25.787550000000003</v>
      </c>
      <c r="I729" s="45">
        <f t="shared" ca="1" si="936"/>
        <v>1.7216068766348798E-2</v>
      </c>
      <c r="J729" s="45">
        <f t="shared" ca="1" si="937"/>
        <v>0.2911707845539237</v>
      </c>
      <c r="K729" s="45">
        <f t="shared" ca="1" si="953"/>
        <v>0.94109468279262609</v>
      </c>
      <c r="L729" s="358">
        <f t="shared" ca="1" si="938"/>
        <v>0.2510452916114092</v>
      </c>
      <c r="M729" s="76">
        <f t="shared" ca="1" si="964"/>
        <v>0.25347808785320641</v>
      </c>
      <c r="N729" s="45">
        <f t="shared" ca="1" si="964"/>
        <v>0.25</v>
      </c>
      <c r="O729" s="45">
        <f t="shared" ca="1" si="964"/>
        <v>0</v>
      </c>
      <c r="P729" s="46" t="str">
        <f t="shared" ca="1" si="964"/>
        <v/>
      </c>
      <c r="Q729" s="243" t="str">
        <f t="shared" ca="1" si="964"/>
        <v/>
      </c>
      <c r="R729" s="45">
        <f t="shared" ca="1" si="954"/>
        <v>0.2982066649325078</v>
      </c>
      <c r="S729" s="45">
        <f t="shared" ca="1" si="889"/>
        <v>5.0695617570641283E-2</v>
      </c>
      <c r="T729" s="77">
        <f t="shared" ca="1" si="939"/>
        <v>4.2477452355207971E-3</v>
      </c>
      <c r="U729" s="45">
        <f t="shared" ca="1" si="955"/>
        <v>17.598181631887044</v>
      </c>
      <c r="V729" s="45">
        <f t="shared" ca="1" si="940"/>
        <v>0.20278247028256513</v>
      </c>
      <c r="W729" s="77">
        <f t="shared" ca="1" si="941"/>
        <v>7.5726578690489266E-3</v>
      </c>
      <c r="X729" s="45">
        <f t="shared" ca="1" si="956"/>
        <v>1.0206426067765488</v>
      </c>
      <c r="Y729" s="45">
        <f t="shared" ca="1" si="942"/>
        <v>1.147110083087165E-3</v>
      </c>
      <c r="Z729" s="77">
        <f t="shared" ca="1" si="943"/>
        <v>9.6597252769362084E-4</v>
      </c>
      <c r="AA729" s="45">
        <f t="shared" ca="1" si="957"/>
        <v>39.155002474999812</v>
      </c>
      <c r="AB729" s="45">
        <f t="shared" ca="1" si="944"/>
        <v>0</v>
      </c>
      <c r="AC729" s="45" cm="1">
        <f t="array" aca="1" ref="AC729" ca="1">pHUM*(T729+W729+Z729+AD729)</f>
        <v>1.349541274220194E-3</v>
      </c>
      <c r="AD729" s="77">
        <f t="shared" ca="1" si="945"/>
        <v>1.1234759069826202E-3</v>
      </c>
      <c r="AE729" s="45">
        <f t="shared" ca="1" si="958"/>
        <v>6.3847072090583081</v>
      </c>
      <c r="AF729" s="45">
        <f t="shared" ca="1" si="946"/>
        <v>0</v>
      </c>
      <c r="AG729" s="76">
        <f t="shared" ca="1" si="947"/>
        <v>64.456740587654224</v>
      </c>
      <c r="AH729" s="45">
        <f t="shared" ca="1" si="948"/>
        <v>1.1413200181938607E-2</v>
      </c>
      <c r="AI729" s="77">
        <f t="shared" ca="1" si="949"/>
        <v>1.3945676233839899E-2</v>
      </c>
      <c r="AJ729" s="384">
        <f t="shared" ca="1" si="951"/>
        <v>1.1629748216318569E-2</v>
      </c>
      <c r="AU729" s="1"/>
    </row>
    <row r="730" spans="3:47" x14ac:dyDescent="0.25">
      <c r="C730" s="10">
        <f t="shared" si="887"/>
        <v>53</v>
      </c>
      <c r="D730" s="91">
        <f t="shared" si="959"/>
        <v>4</v>
      </c>
      <c r="E730" s="278"/>
      <c r="F730" s="76">
        <f t="shared" ref="F730:Q730" ca="1" si="965">F658</f>
        <v>6.08</v>
      </c>
      <c r="G730" s="46">
        <f t="shared" ca="1" si="965"/>
        <v>27.012600000000003</v>
      </c>
      <c r="H730" s="46">
        <f t="shared" ca="1" si="935"/>
        <v>28.517550000000004</v>
      </c>
      <c r="I730" s="45">
        <f t="shared" ca="1" si="936"/>
        <v>0.26307228538649535</v>
      </c>
      <c r="J730" s="45">
        <f t="shared" ca="1" si="937"/>
        <v>0.27952512346894071</v>
      </c>
      <c r="K730" s="45">
        <f t="shared" ca="1" si="953"/>
        <v>0.90345467800480783</v>
      </c>
      <c r="L730" s="358">
        <f t="shared" ca="1" si="938"/>
        <v>0.58389398806465831</v>
      </c>
      <c r="M730" s="76">
        <f t="shared" ca="1" si="965"/>
        <v>0.25347808785320641</v>
      </c>
      <c r="N730" s="45">
        <f t="shared" ca="1" si="965"/>
        <v>0.25</v>
      </c>
      <c r="O730" s="45">
        <f t="shared" ca="1" si="965"/>
        <v>0</v>
      </c>
      <c r="P730" s="46" t="str">
        <f t="shared" ca="1" si="965"/>
        <v/>
      </c>
      <c r="Q730" s="243" t="str">
        <f t="shared" ca="1" si="965"/>
        <v/>
      </c>
      <c r="R730" s="45">
        <f t="shared" ca="1" si="954"/>
        <v>0.34465453726762829</v>
      </c>
      <c r="S730" s="45">
        <f t="shared" ca="1" si="889"/>
        <v>5.0695617570641283E-2</v>
      </c>
      <c r="T730" s="77">
        <f t="shared" ca="1" si="939"/>
        <v>6.7848877793297319E-2</v>
      </c>
      <c r="U730" s="45">
        <f t="shared" ca="1" si="955"/>
        <v>17.793391444300561</v>
      </c>
      <c r="V730" s="45">
        <f t="shared" ca="1" si="940"/>
        <v>0.20278247028256513</v>
      </c>
      <c r="W730" s="77">
        <f t="shared" ca="1" si="941"/>
        <v>0.11663972488192509</v>
      </c>
      <c r="X730" s="45">
        <f t="shared" ca="1" si="956"/>
        <v>1.0208237443319423</v>
      </c>
      <c r="Y730" s="45">
        <f t="shared" ca="1" si="942"/>
        <v>1.7839074190197448E-2</v>
      </c>
      <c r="Z730" s="77">
        <f t="shared" ca="1" si="943"/>
        <v>1.4663932083279492E-2</v>
      </c>
      <c r="AA730" s="45">
        <f t="shared" ca="1" si="957"/>
        <v>39.155228540367055</v>
      </c>
      <c r="AB730" s="45">
        <f t="shared" ca="1" si="944"/>
        <v>0</v>
      </c>
      <c r="AC730" s="45" cm="1">
        <f t="array" aca="1" ref="AC730" ca="1">pHUM*(T730+W730+Z730+AD730)</f>
        <v>2.0987146106114647E-2</v>
      </c>
      <c r="AD730" s="77">
        <f t="shared" ca="1" si="945"/>
        <v>1.7163996010224454E-2</v>
      </c>
      <c r="AE730" s="45">
        <f t="shared" ca="1" si="958"/>
        <v>6.3847072090583081</v>
      </c>
      <c r="AF730" s="45">
        <f t="shared" ca="1" si="946"/>
        <v>0</v>
      </c>
      <c r="AG730" s="76">
        <f t="shared" ca="1" si="947"/>
        <v>64.6988054753255</v>
      </c>
      <c r="AH730" s="45">
        <f t="shared" ca="1" si="948"/>
        <v>0.17749031047241426</v>
      </c>
      <c r="AI730" s="77">
        <f t="shared" ca="1" si="949"/>
        <v>1.4635413151249907E-2</v>
      </c>
      <c r="AJ730" s="384">
        <f t="shared" ca="1" si="951"/>
        <v>2.7251116159292543E-2</v>
      </c>
      <c r="AU730" s="1"/>
    </row>
    <row r="731" spans="3:47" x14ac:dyDescent="0.25">
      <c r="C731" s="10">
        <f t="shared" si="887"/>
        <v>53</v>
      </c>
      <c r="D731" s="91">
        <f t="shared" si="959"/>
        <v>5</v>
      </c>
      <c r="E731" s="278"/>
      <c r="F731" s="76">
        <f t="shared" ref="F731:Q731" ca="1" si="966">F659</f>
        <v>16.079999999999998</v>
      </c>
      <c r="G731" s="46">
        <f t="shared" ca="1" si="966"/>
        <v>27.012600000000003</v>
      </c>
      <c r="H731" s="46">
        <f t="shared" ca="1" si="935"/>
        <v>28.517550000000004</v>
      </c>
      <c r="I731" s="45">
        <f t="shared" ca="1" si="936"/>
        <v>0.90560233354751607</v>
      </c>
      <c r="J731" s="45">
        <f t="shared" ca="1" si="937"/>
        <v>0.27952512346894071</v>
      </c>
      <c r="K731" s="45">
        <f t="shared" ca="1" si="953"/>
        <v>0.90345467800480783</v>
      </c>
      <c r="L731" s="358">
        <f t="shared" ca="1" si="938"/>
        <v>0.86059167822175908</v>
      </c>
      <c r="M731" s="76">
        <f t="shared" ca="1" si="966"/>
        <v>0.25347808785320641</v>
      </c>
      <c r="N731" s="45">
        <f t="shared" ca="1" si="966"/>
        <v>0.25</v>
      </c>
      <c r="O731" s="45">
        <f t="shared" ca="1" si="966"/>
        <v>0</v>
      </c>
      <c r="P731" s="46" t="str">
        <f t="shared" ca="1" si="966"/>
        <v/>
      </c>
      <c r="Q731" s="243" t="str">
        <f t="shared" ca="1" si="966"/>
        <v/>
      </c>
      <c r="R731" s="45">
        <f t="shared" ca="1" si="954"/>
        <v>0.32750127704497223</v>
      </c>
      <c r="S731" s="45">
        <f t="shared" ca="1" si="889"/>
        <v>5.0695617570641283E-2</v>
      </c>
      <c r="T731" s="77">
        <f t="shared" ca="1" si="939"/>
        <v>0.17352118168479536</v>
      </c>
      <c r="U731" s="45">
        <f t="shared" ca="1" si="955"/>
        <v>17.8795341897012</v>
      </c>
      <c r="V731" s="45">
        <f t="shared" ca="1" si="940"/>
        <v>0.20278247028256513</v>
      </c>
      <c r="W731" s="77">
        <f t="shared" ca="1" si="941"/>
        <v>0.40024580682046784</v>
      </c>
      <c r="X731" s="45">
        <f t="shared" ca="1" si="956"/>
        <v>1.0239988864388603</v>
      </c>
      <c r="Y731" s="45">
        <f t="shared" ca="1" si="942"/>
        <v>5.6290696487105163E-2</v>
      </c>
      <c r="Z731" s="77">
        <f t="shared" ca="1" si="943"/>
        <v>4.9754102975516773E-2</v>
      </c>
      <c r="AA731" s="45">
        <f t="shared" ca="1" si="957"/>
        <v>39.159051690462945</v>
      </c>
      <c r="AB731" s="45">
        <f t="shared" ca="1" si="944"/>
        <v>0</v>
      </c>
      <c r="AC731" s="45" cm="1">
        <f t="array" aca="1" ref="AC731" ca="1">pHUM*(T731+W731+Z731+AD731)</f>
        <v>6.6224348808359021E-2</v>
      </c>
      <c r="AD731" s="77">
        <f t="shared" ca="1" si="945"/>
        <v>5.9059632654385817E-2</v>
      </c>
      <c r="AE731" s="45">
        <f t="shared" ca="1" si="958"/>
        <v>6.3847072090583081</v>
      </c>
      <c r="AF731" s="45">
        <f t="shared" ca="1" si="946"/>
        <v>0</v>
      </c>
      <c r="AG731" s="76">
        <f t="shared" ca="1" si="947"/>
        <v>64.774793252706289</v>
      </c>
      <c r="AH731" s="45">
        <f t="shared" ca="1" si="948"/>
        <v>0.56006567883970171</v>
      </c>
      <c r="AI731" s="77">
        <f t="shared" ca="1" si="949"/>
        <v>1.4411540854541887E-2</v>
      </c>
      <c r="AJ731" s="384">
        <f t="shared" ca="1" si="951"/>
        <v>3.9550121729746701E-2</v>
      </c>
      <c r="AU731" s="1"/>
    </row>
    <row r="732" spans="3:47" x14ac:dyDescent="0.25">
      <c r="C732" s="10">
        <f t="shared" si="887"/>
        <v>53</v>
      </c>
      <c r="D732" s="91">
        <f t="shared" si="959"/>
        <v>6</v>
      </c>
      <c r="E732" s="278"/>
      <c r="F732" s="76">
        <f t="shared" ref="F732:Q732" ca="1" si="967">F660</f>
        <v>17.399999999999999</v>
      </c>
      <c r="G732" s="46">
        <f t="shared" ca="1" si="967"/>
        <v>27.012600000000003</v>
      </c>
      <c r="H732" s="46">
        <f t="shared" ca="1" si="935"/>
        <v>28.517550000000004</v>
      </c>
      <c r="I732" s="45">
        <f t="shared" ca="1" si="936"/>
        <v>1.0098878501236044</v>
      </c>
      <c r="J732" s="45">
        <f t="shared" ca="1" si="937"/>
        <v>0.27952512346894071</v>
      </c>
      <c r="K732" s="45">
        <f t="shared" ca="1" si="953"/>
        <v>0.90345467800480783</v>
      </c>
      <c r="L732" s="358">
        <f t="shared" ca="1" si="938"/>
        <v>0.88208077264421947</v>
      </c>
      <c r="M732" s="76">
        <f t="shared" ca="1" si="967"/>
        <v>0.25347808785320641</v>
      </c>
      <c r="N732" s="45">
        <f t="shared" ca="1" si="967"/>
        <v>0.25</v>
      </c>
      <c r="O732" s="45">
        <f t="shared" ca="1" si="967"/>
        <v>0</v>
      </c>
      <c r="P732" s="46" t="str">
        <f t="shared" ca="1" si="967"/>
        <v/>
      </c>
      <c r="Q732" s="243" t="str">
        <f t="shared" ca="1" si="967"/>
        <v/>
      </c>
      <c r="R732" s="45">
        <f t="shared" ca="1" si="954"/>
        <v>0.20467571293081815</v>
      </c>
      <c r="S732" s="45">
        <f t="shared" ca="1" si="889"/>
        <v>5.0695617570641283E-2</v>
      </c>
      <c r="T732" s="77">
        <f t="shared" ca="1" si="939"/>
        <v>0.11645395421434461</v>
      </c>
      <c r="U732" s="45">
        <f t="shared" ca="1" si="955"/>
        <v>17.682070853163296</v>
      </c>
      <c r="V732" s="45">
        <f t="shared" ca="1" si="940"/>
        <v>0.20278247028256513</v>
      </c>
      <c r="W732" s="77">
        <f t="shared" ca="1" si="941"/>
        <v>0.44083438075527481</v>
      </c>
      <c r="X732" s="45">
        <f t="shared" ca="1" si="956"/>
        <v>1.0305354799504485</v>
      </c>
      <c r="Y732" s="45">
        <f t="shared" ca="1" si="942"/>
        <v>5.5981764805204837E-2</v>
      </c>
      <c r="Z732" s="77">
        <f t="shared" ca="1" si="943"/>
        <v>5.567925569574856E-2</v>
      </c>
      <c r="AA732" s="45">
        <f t="shared" ca="1" si="957"/>
        <v>39.166216406616918</v>
      </c>
      <c r="AB732" s="45">
        <f t="shared" ca="1" si="944"/>
        <v>0</v>
      </c>
      <c r="AC732" s="45" cm="1">
        <f t="array" aca="1" ref="AC732" ca="1">pHUM*(T732+W732+Z732+AD732)</f>
        <v>6.586089977082922E-2</v>
      </c>
      <c r="AD732" s="77">
        <f t="shared" ca="1" si="945"/>
        <v>6.5867029330046581E-2</v>
      </c>
      <c r="AE732" s="45">
        <f t="shared" ca="1" si="958"/>
        <v>6.3847072090583081</v>
      </c>
      <c r="AF732" s="45">
        <f t="shared" ca="1" si="946"/>
        <v>0</v>
      </c>
      <c r="AG732" s="76">
        <f t="shared" ca="1" si="947"/>
        <v>64.468205661719793</v>
      </c>
      <c r="AH732" s="45">
        <f t="shared" ca="1" si="948"/>
        <v>0.55699195541938062</v>
      </c>
      <c r="AI732" s="77">
        <f t="shared" ca="1" si="949"/>
        <v>1.2646816458179002E-2</v>
      </c>
      <c r="AJ732" s="384">
        <f t="shared" ca="1" si="951"/>
        <v>3.5573898825876915E-2</v>
      </c>
      <c r="AU732" s="1"/>
    </row>
    <row r="733" spans="3:47" x14ac:dyDescent="0.25">
      <c r="C733" s="10">
        <f t="shared" si="887"/>
        <v>53</v>
      </c>
      <c r="D733" s="91">
        <f t="shared" si="959"/>
        <v>7</v>
      </c>
      <c r="E733" s="278"/>
      <c r="F733" s="76">
        <f t="shared" ref="F733:Q733" ca="1" si="968">F661</f>
        <v>21.29</v>
      </c>
      <c r="G733" s="46">
        <f t="shared" ca="1" si="968"/>
        <v>27.012600000000003</v>
      </c>
      <c r="H733" s="46">
        <f t="shared" ca="1" si="935"/>
        <v>28.517550000000004</v>
      </c>
      <c r="I733" s="45">
        <f t="shared" ca="1" si="936"/>
        <v>1.3308669995183955</v>
      </c>
      <c r="J733" s="45">
        <f t="shared" ca="1" si="937"/>
        <v>0.27952512346894071</v>
      </c>
      <c r="K733" s="45">
        <f t="shared" ca="1" si="953"/>
        <v>0.90345467800480783</v>
      </c>
      <c r="L733" s="358">
        <f t="shared" ca="1" si="938"/>
        <v>0.92839591561968593</v>
      </c>
      <c r="M733" s="76">
        <f t="shared" ca="1" si="968"/>
        <v>0.25347808785320641</v>
      </c>
      <c r="N733" s="45">
        <f t="shared" ca="1" si="968"/>
        <v>0.25</v>
      </c>
      <c r="O733" s="45">
        <f t="shared" ca="1" si="968"/>
        <v>0</v>
      </c>
      <c r="P733" s="46" t="str">
        <f t="shared" ca="1" si="968"/>
        <v/>
      </c>
      <c r="Q733" s="243" t="str">
        <f t="shared" ca="1" si="968"/>
        <v/>
      </c>
      <c r="R733" s="45">
        <f t="shared" ca="1" si="954"/>
        <v>0.13891737628711481</v>
      </c>
      <c r="S733" s="45">
        <f t="shared" ca="1" si="889"/>
        <v>5.0695617570641283E-2</v>
      </c>
      <c r="T733" s="77">
        <f t="shared" ca="1" si="939"/>
        <v>9.3092664317525969E-2</v>
      </c>
      <c r="U733" s="45">
        <f t="shared" ca="1" si="955"/>
        <v>17.444018942690587</v>
      </c>
      <c r="V733" s="45">
        <f t="shared" ca="1" si="940"/>
        <v>0.20278247028256513</v>
      </c>
      <c r="W733" s="77">
        <f t="shared" ca="1" si="941"/>
        <v>0.57084262414731013</v>
      </c>
      <c r="X733" s="45">
        <f t="shared" ca="1" si="956"/>
        <v>1.0308379890599046</v>
      </c>
      <c r="Y733" s="45">
        <f t="shared" ca="1" si="942"/>
        <v>6.7909773132666024E-2</v>
      </c>
      <c r="Z733" s="77">
        <f t="shared" ca="1" si="943"/>
        <v>7.2759555239284554E-2</v>
      </c>
      <c r="AA733" s="45">
        <f t="shared" ca="1" si="957"/>
        <v>39.166210277057708</v>
      </c>
      <c r="AB733" s="45">
        <f t="shared" ca="1" si="944"/>
        <v>0</v>
      </c>
      <c r="AC733" s="45" cm="1">
        <f t="array" aca="1" ref="AC733" ca="1">pHUM*(T733+W733+Z733+AD733)</f>
        <v>7.9893850744312961E-2</v>
      </c>
      <c r="AD733" s="77">
        <f t="shared" ca="1" si="945"/>
        <v>8.6778749865085866E-2</v>
      </c>
      <c r="AE733" s="45">
        <f t="shared" ca="1" si="958"/>
        <v>6.3847072090583081</v>
      </c>
      <c r="AF733" s="45">
        <f t="shared" ca="1" si="946"/>
        <v>0</v>
      </c>
      <c r="AG733" s="76">
        <f t="shared" ca="1" si="947"/>
        <v>64.164691794153626</v>
      </c>
      <c r="AH733" s="45">
        <f t="shared" ca="1" si="948"/>
        <v>0.67566996969222759</v>
      </c>
      <c r="AI733" s="77">
        <f t="shared" ca="1" si="949"/>
        <v>1.1662136381169469E-2</v>
      </c>
      <c r="AJ733" s="384">
        <f t="shared" ca="1" si="951"/>
        <v>3.4526587842561574E-2</v>
      </c>
      <c r="AU733" s="1"/>
    </row>
    <row r="734" spans="3:47" x14ac:dyDescent="0.25">
      <c r="C734" s="10">
        <f t="shared" si="887"/>
        <v>53</v>
      </c>
      <c r="D734" s="91">
        <f t="shared" si="959"/>
        <v>8</v>
      </c>
      <c r="E734" s="278"/>
      <c r="F734" s="76">
        <f t="shared" ref="F734:Q734" ca="1" si="969">F662</f>
        <v>21.81</v>
      </c>
      <c r="G734" s="46">
        <f t="shared" ca="1" si="969"/>
        <v>27.012600000000003</v>
      </c>
      <c r="H734" s="46">
        <f t="shared" ca="1" si="935"/>
        <v>28.517550000000004</v>
      </c>
      <c r="I734" s="45">
        <f t="shared" ca="1" si="936"/>
        <v>1.3748539373542934</v>
      </c>
      <c r="J734" s="45">
        <f t="shared" ca="1" si="937"/>
        <v>0.27952512346894071</v>
      </c>
      <c r="K734" s="45">
        <f t="shared" ca="1" si="953"/>
        <v>0.90345467800480783</v>
      </c>
      <c r="L734" s="358">
        <f t="shared" ca="1" si="938"/>
        <v>0.93294591915671865</v>
      </c>
      <c r="M734" s="76">
        <f t="shared" ca="1" si="969"/>
        <v>0.25347808785320641</v>
      </c>
      <c r="N734" s="45">
        <f t="shared" ca="1" si="969"/>
        <v>0.25</v>
      </c>
      <c r="O734" s="45">
        <f t="shared" ca="1" si="969"/>
        <v>0</v>
      </c>
      <c r="P734" s="46" t="str">
        <f t="shared" ca="1" si="969"/>
        <v/>
      </c>
      <c r="Q734" s="243" t="str">
        <f t="shared" ca="1" si="969"/>
        <v/>
      </c>
      <c r="R734" s="45">
        <f t="shared" ca="1" si="954"/>
        <v>9.6520329540230126E-2</v>
      </c>
      <c r="S734" s="45">
        <f t="shared" ca="1" si="889"/>
        <v>5.0695617570641283E-2</v>
      </c>
      <c r="T734" s="77">
        <f t="shared" ca="1" si="939"/>
        <v>6.5827101645662786E-2</v>
      </c>
      <c r="U734" s="45">
        <f t="shared" ca="1" si="955"/>
        <v>17.07595878882584</v>
      </c>
      <c r="V734" s="45">
        <f t="shared" ca="1" si="940"/>
        <v>0.20278247028256513</v>
      </c>
      <c r="W734" s="77">
        <f t="shared" ca="1" si="941"/>
        <v>0.57695162739655304</v>
      </c>
      <c r="X734" s="45">
        <f t="shared" ca="1" si="956"/>
        <v>1.0259882069532862</v>
      </c>
      <c r="Y734" s="45">
        <f t="shared" ca="1" si="942"/>
        <v>6.6561793741205952E-2</v>
      </c>
      <c r="Z734" s="77">
        <f t="shared" ca="1" si="943"/>
        <v>7.4721411785487593E-2</v>
      </c>
      <c r="AA734" s="45">
        <f t="shared" ca="1" si="957"/>
        <v>39.159325377936938</v>
      </c>
      <c r="AB734" s="45">
        <f t="shared" ca="1" si="944"/>
        <v>0</v>
      </c>
      <c r="AC734" s="45" cm="1">
        <f t="array" aca="1" ref="AC734" ca="1">pHUM*(T734+W734+Z734+AD734)</f>
        <v>7.8307992636712884E-2</v>
      </c>
      <c r="AD734" s="77">
        <f t="shared" ca="1" si="945"/>
        <v>8.9627860901955181E-2</v>
      </c>
      <c r="AE734" s="45">
        <f t="shared" ca="1" si="958"/>
        <v>6.3847072090583081</v>
      </c>
      <c r="AF734" s="45">
        <f t="shared" ca="1" si="946"/>
        <v>0</v>
      </c>
      <c r="AG734" s="76">
        <f t="shared" ca="1" si="947"/>
        <v>63.742499912314599</v>
      </c>
      <c r="AH734" s="45">
        <f t="shared" ca="1" si="948"/>
        <v>0.66225821535173979</v>
      </c>
      <c r="AI734" s="77">
        <f t="shared" ca="1" si="949"/>
        <v>1.0966730791126122E-2</v>
      </c>
      <c r="AJ734" s="384">
        <f t="shared" ca="1" si="951"/>
        <v>3.2626970761030494E-2</v>
      </c>
      <c r="AU734" s="1"/>
    </row>
    <row r="735" spans="3:47" x14ac:dyDescent="0.25">
      <c r="C735" s="10">
        <f t="shared" si="887"/>
        <v>53</v>
      </c>
      <c r="D735" s="91">
        <f t="shared" si="959"/>
        <v>9</v>
      </c>
      <c r="E735" s="278"/>
      <c r="F735" s="76">
        <f t="shared" ref="F735:Q735" ca="1" si="970">F663</f>
        <v>19.09</v>
      </c>
      <c r="G735" s="46">
        <f t="shared" ca="1" si="970"/>
        <v>27.012600000000003</v>
      </c>
      <c r="H735" s="46">
        <f t="shared" ca="1" si="935"/>
        <v>28.517550000000004</v>
      </c>
      <c r="I735" s="45">
        <f t="shared" ca="1" si="936"/>
        <v>1.1472439462064867</v>
      </c>
      <c r="J735" s="45">
        <f t="shared" ca="1" si="937"/>
        <v>0.27952512346894071</v>
      </c>
      <c r="K735" s="45">
        <f t="shared" ca="1" si="953"/>
        <v>0.90345467800480783</v>
      </c>
      <c r="L735" s="358">
        <f t="shared" ca="1" si="938"/>
        <v>0.90508116523032656</v>
      </c>
      <c r="M735" s="76">
        <f t="shared" ca="1" si="970"/>
        <v>0.25347808785320641</v>
      </c>
      <c r="N735" s="45">
        <f t="shared" ca="1" si="970"/>
        <v>0.25</v>
      </c>
      <c r="O735" s="45">
        <f t="shared" ca="1" si="970"/>
        <v>0</v>
      </c>
      <c r="P735" s="46" t="str">
        <f t="shared" ca="1" si="970"/>
        <v/>
      </c>
      <c r="Q735" s="243" t="str">
        <f t="shared" ca="1" si="970"/>
        <v/>
      </c>
      <c r="R735" s="45">
        <f t="shared" ca="1" si="954"/>
        <v>8.1388845465208623E-2</v>
      </c>
      <c r="S735" s="45">
        <f t="shared" ca="1" si="889"/>
        <v>5.0695617570641283E-2</v>
      </c>
      <c r="T735" s="77">
        <f t="shared" ca="1" si="939"/>
        <v>5.0101878867953413E-2</v>
      </c>
      <c r="U735" s="45">
        <f t="shared" ca="1" si="955"/>
        <v>16.701789631711851</v>
      </c>
      <c r="V735" s="45">
        <f t="shared" ca="1" si="940"/>
        <v>0.20278247028256513</v>
      </c>
      <c r="W735" s="77">
        <f t="shared" ca="1" si="941"/>
        <v>0.47222139144151348</v>
      </c>
      <c r="X735" s="45">
        <f t="shared" ca="1" si="956"/>
        <v>1.0178285889090046</v>
      </c>
      <c r="Y735" s="45">
        <f t="shared" ca="1" si="942"/>
        <v>5.4374483609811515E-2</v>
      </c>
      <c r="Z735" s="77">
        <f t="shared" ca="1" si="943"/>
        <v>6.2239128934107997E-2</v>
      </c>
      <c r="AA735" s="45">
        <f t="shared" ca="1" si="957"/>
        <v>39.148005509671691</v>
      </c>
      <c r="AB735" s="45">
        <f t="shared" ca="1" si="944"/>
        <v>0</v>
      </c>
      <c r="AC735" s="45" cm="1">
        <f t="array" aca="1" ref="AC735" ca="1">pHUM*(T735+W735+Z735+AD735)</f>
        <v>6.3969980717425309E-2</v>
      </c>
      <c r="AD735" s="77">
        <f t="shared" ca="1" si="945"/>
        <v>7.478233644224104E-2</v>
      </c>
      <c r="AE735" s="45">
        <f t="shared" ca="1" si="958"/>
        <v>6.3847072090583081</v>
      </c>
      <c r="AF735" s="45">
        <f t="shared" ca="1" si="946"/>
        <v>0</v>
      </c>
      <c r="AG735" s="76">
        <f t="shared" ca="1" si="947"/>
        <v>63.333719784816061</v>
      </c>
      <c r="AH735" s="45">
        <f t="shared" ca="1" si="948"/>
        <v>0.5410002713585792</v>
      </c>
      <c r="AI735" s="77">
        <f t="shared" ca="1" si="949"/>
        <v>1.0651563556312405E-2</v>
      </c>
      <c r="AJ735" s="384">
        <f t="shared" ca="1" si="951"/>
        <v>3.0742895164429518E-2</v>
      </c>
      <c r="AU735" s="1"/>
    </row>
    <row r="736" spans="3:47" x14ac:dyDescent="0.25">
      <c r="C736" s="10">
        <f t="shared" si="887"/>
        <v>53</v>
      </c>
      <c r="D736" s="91">
        <f t="shared" si="959"/>
        <v>10</v>
      </c>
      <c r="E736" s="278"/>
      <c r="F736" s="76">
        <f t="shared" ref="F736:Q736" ca="1" si="971">F664</f>
        <v>9.02</v>
      </c>
      <c r="G736" s="46">
        <f t="shared" ca="1" si="971"/>
        <v>27.012600000000003</v>
      </c>
      <c r="H736" s="46">
        <f t="shared" ca="1" si="935"/>
        <v>28.517550000000004</v>
      </c>
      <c r="I736" s="45">
        <f t="shared" ca="1" si="936"/>
        <v>0.41742778729268759</v>
      </c>
      <c r="J736" s="45">
        <f t="shared" ca="1" si="937"/>
        <v>0.27952512346894071</v>
      </c>
      <c r="K736" s="45">
        <f t="shared" ca="1" si="953"/>
        <v>0.90345467800480783</v>
      </c>
      <c r="L736" s="358">
        <f t="shared" ca="1" si="938"/>
        <v>0.68492882381082199</v>
      </c>
      <c r="M736" s="76">
        <f t="shared" ca="1" si="971"/>
        <v>0.25347808785320641</v>
      </c>
      <c r="N736" s="45">
        <f t="shared" ca="1" si="971"/>
        <v>0.25</v>
      </c>
      <c r="O736" s="45">
        <f t="shared" ca="1" si="971"/>
        <v>0</v>
      </c>
      <c r="P736" s="46" t="str">
        <f t="shared" ca="1" si="971"/>
        <v/>
      </c>
      <c r="Q736" s="243" t="str">
        <f t="shared" ca="1" si="971"/>
        <v/>
      </c>
      <c r="R736" s="45">
        <f t="shared" ca="1" si="954"/>
        <v>8.1982584167896499E-2</v>
      </c>
      <c r="S736" s="45">
        <f t="shared" ca="1" si="889"/>
        <v>5.0695617570641283E-2</v>
      </c>
      <c r="T736" s="77">
        <f t="shared" ca="1" si="939"/>
        <v>2.4086465507844296E-2</v>
      </c>
      <c r="U736" s="45">
        <f t="shared" ca="1" si="955"/>
        <v>16.4323507105529</v>
      </c>
      <c r="V736" s="45">
        <f t="shared" ca="1" si="940"/>
        <v>0.20278247028256513</v>
      </c>
      <c r="W736" s="77">
        <f t="shared" ca="1" si="941"/>
        <v>0.17059132725830986</v>
      </c>
      <c r="X736" s="45">
        <f t="shared" ca="1" si="956"/>
        <v>1.0099639435847081</v>
      </c>
      <c r="Y736" s="45">
        <f t="shared" ca="1" si="942"/>
        <v>2.0189659293652962E-2</v>
      </c>
      <c r="Z736" s="77">
        <f t="shared" ca="1" si="943"/>
        <v>2.2923138145369903E-2</v>
      </c>
      <c r="AA736" s="45">
        <f t="shared" ca="1" si="957"/>
        <v>39.137193153946875</v>
      </c>
      <c r="AB736" s="45">
        <f t="shared" ca="1" si="944"/>
        <v>0</v>
      </c>
      <c r="AC736" s="45" cm="1">
        <f t="array" aca="1" ref="AC736" ca="1">pHUM*(T736+W736+Z736+AD736)</f>
        <v>2.3752540345474072E-2</v>
      </c>
      <c r="AD736" s="77">
        <f t="shared" ca="1" si="945"/>
        <v>2.7218783903353534E-2</v>
      </c>
      <c r="AE736" s="45">
        <f t="shared" ca="1" si="958"/>
        <v>6.3847072090583081</v>
      </c>
      <c r="AF736" s="45">
        <f t="shared" ca="1" si="946"/>
        <v>0</v>
      </c>
      <c r="AG736" s="76">
        <f t="shared" ca="1" si="947"/>
        <v>63.046197601310681</v>
      </c>
      <c r="AH736" s="45">
        <f t="shared" ca="1" si="948"/>
        <v>0.20087751517575056</v>
      </c>
      <c r="AI736" s="77">
        <f t="shared" ca="1" si="949"/>
        <v>1.0587512892874795E-2</v>
      </c>
      <c r="AJ736" s="384">
        <f t="shared" ca="1" si="951"/>
        <v>2.3125247529151016E-2</v>
      </c>
      <c r="AU736" s="1"/>
    </row>
    <row r="737" spans="3:47" x14ac:dyDescent="0.25">
      <c r="C737" s="10">
        <f t="shared" si="887"/>
        <v>53</v>
      </c>
      <c r="D737" s="91">
        <f t="shared" si="959"/>
        <v>11</v>
      </c>
      <c r="E737" s="278"/>
      <c r="F737" s="76">
        <f t="shared" ref="F737:Q737" ca="1" si="972">F665</f>
        <v>5.62</v>
      </c>
      <c r="G737" s="46">
        <f t="shared" ca="1" si="972"/>
        <v>27.012600000000003</v>
      </c>
      <c r="H737" s="46">
        <f t="shared" ca="1" si="935"/>
        <v>28.517550000000004</v>
      </c>
      <c r="I737" s="45">
        <f t="shared" ca="1" si="936"/>
        <v>0.24215575259059691</v>
      </c>
      <c r="J737" s="45">
        <f t="shared" ca="1" si="937"/>
        <v>0.27952512346894071</v>
      </c>
      <c r="K737" s="45">
        <f t="shared" ca="1" si="953"/>
        <v>0.90345467800480783</v>
      </c>
      <c r="L737" s="358">
        <f t="shared" ca="1" si="938"/>
        <v>0.5671500175141555</v>
      </c>
      <c r="M737" s="76">
        <f t="shared" ca="1" si="972"/>
        <v>0.25347808785320641</v>
      </c>
      <c r="N737" s="45">
        <f t="shared" ca="1" si="972"/>
        <v>0.25</v>
      </c>
      <c r="O737" s="45">
        <f t="shared" ca="1" si="972"/>
        <v>0</v>
      </c>
      <c r="P737" s="46" t="str">
        <f t="shared" ca="1" si="972"/>
        <v/>
      </c>
      <c r="Q737" s="243" t="str">
        <f t="shared" ca="1" si="972"/>
        <v/>
      </c>
      <c r="R737" s="45">
        <f t="shared" ca="1" si="954"/>
        <v>0.10859173623069349</v>
      </c>
      <c r="S737" s="45">
        <f t="shared" ca="1" si="889"/>
        <v>5.0695617570641283E-2</v>
      </c>
      <c r="T737" s="77">
        <f t="shared" ca="1" si="939"/>
        <v>1.9843917491017132E-2</v>
      </c>
      <c r="U737" s="45">
        <f t="shared" ca="1" si="955"/>
        <v>16.464541853577153</v>
      </c>
      <c r="V737" s="45">
        <f t="shared" ca="1" si="940"/>
        <v>0.20278247028256513</v>
      </c>
      <c r="W737" s="77">
        <f t="shared" ca="1" si="941"/>
        <v>9.9373486323263635E-2</v>
      </c>
      <c r="X737" s="45">
        <f t="shared" ca="1" si="956"/>
        <v>1.0072304647329913</v>
      </c>
      <c r="Y737" s="45">
        <f t="shared" ca="1" si="942"/>
        <v>1.2232747545018208E-2</v>
      </c>
      <c r="Z737" s="77">
        <f t="shared" ca="1" si="943"/>
        <v>1.3325927707108413E-2</v>
      </c>
      <c r="AA737" s="45">
        <f t="shared" ca="1" si="957"/>
        <v>39.133726910389001</v>
      </c>
      <c r="AB737" s="45">
        <f t="shared" ca="1" si="944"/>
        <v>0</v>
      </c>
      <c r="AC737" s="45" cm="1">
        <f t="array" aca="1" ref="AC737" ca="1">pHUM*(T737+W737+Z737+AD737)</f>
        <v>1.4391467700021421E-2</v>
      </c>
      <c r="AD737" s="77">
        <f t="shared" ca="1" si="945"/>
        <v>1.5790908389000748E-2</v>
      </c>
      <c r="AE737" s="45">
        <f t="shared" ca="1" si="958"/>
        <v>6.3847072090583081</v>
      </c>
      <c r="AF737" s="45">
        <f t="shared" ca="1" si="946"/>
        <v>0</v>
      </c>
      <c r="AG737" s="76">
        <f t="shared" ca="1" si="947"/>
        <v>63.098798173988143</v>
      </c>
      <c r="AH737" s="45">
        <f t="shared" ca="1" si="948"/>
        <v>0.12171002466535029</v>
      </c>
      <c r="AI737" s="77">
        <f t="shared" ca="1" si="949"/>
        <v>1.0980114518530804E-2</v>
      </c>
      <c r="AJ737" s="384">
        <f t="shared" ca="1" si="951"/>
        <v>1.9858806891702718E-2</v>
      </c>
      <c r="AU737" s="1"/>
    </row>
    <row r="738" spans="3:47" x14ac:dyDescent="0.25">
      <c r="C738" s="10">
        <f t="shared" si="887"/>
        <v>53</v>
      </c>
      <c r="D738" s="91">
        <f t="shared" si="959"/>
        <v>12</v>
      </c>
      <c r="E738" s="278"/>
      <c r="F738" s="76">
        <f t="shared" ref="F738:Q738" ca="1" si="973">F666</f>
        <v>3.68</v>
      </c>
      <c r="G738" s="46">
        <f t="shared" ca="1" si="973"/>
        <v>27.012600000000003</v>
      </c>
      <c r="H738" s="46">
        <f t="shared" ca="1" si="935"/>
        <v>28.517550000000004</v>
      </c>
      <c r="I738" s="45">
        <f t="shared" ca="1" si="936"/>
        <v>0.16418562454767627</v>
      </c>
      <c r="J738" s="45">
        <f t="shared" ca="1" si="937"/>
        <v>0.27952512346894071</v>
      </c>
      <c r="K738" s="45">
        <f t="shared" ca="1" si="953"/>
        <v>0.90345467800480783</v>
      </c>
      <c r="L738" s="358">
        <f t="shared" ca="1" si="938"/>
        <v>0.49525928680467546</v>
      </c>
      <c r="M738" s="76">
        <f t="shared" ca="1" si="973"/>
        <v>0.25347808785320641</v>
      </c>
      <c r="N738" s="45">
        <f t="shared" ca="1" si="973"/>
        <v>0.25</v>
      </c>
      <c r="O738" s="45">
        <f t="shared" ca="1" si="973"/>
        <v>0</v>
      </c>
      <c r="P738" s="46" t="str">
        <f t="shared" ca="1" si="973"/>
        <v/>
      </c>
      <c r="Q738" s="243" t="str">
        <f t="shared" ca="1" si="973"/>
        <v/>
      </c>
      <c r="R738" s="45">
        <f t="shared" ca="1" si="954"/>
        <v>0.13944343631031764</v>
      </c>
      <c r="S738" s="45">
        <f t="shared" ca="1" si="889"/>
        <v>5.0695617570641283E-2</v>
      </c>
      <c r="T738" s="77">
        <f t="shared" ca="1" si="939"/>
        <v>1.7831187991366577E-2</v>
      </c>
      <c r="U738" s="45">
        <f t="shared" ca="1" si="955"/>
        <v>16.567950837536454</v>
      </c>
      <c r="V738" s="45">
        <f t="shared" ca="1" si="940"/>
        <v>0.20278247028256513</v>
      </c>
      <c r="W738" s="77">
        <f t="shared" ca="1" si="941"/>
        <v>6.7866105622280487E-2</v>
      </c>
      <c r="X738" s="45">
        <f t="shared" ca="1" si="956"/>
        <v>1.0061372845709009</v>
      </c>
      <c r="Y738" s="45">
        <f t="shared" ca="1" si="942"/>
        <v>8.696097312168782E-3</v>
      </c>
      <c r="Z738" s="77">
        <f t="shared" ca="1" si="943"/>
        <v>9.0447309452716673E-3</v>
      </c>
      <c r="AA738" s="45">
        <f t="shared" ca="1" si="957"/>
        <v>39.132327469700023</v>
      </c>
      <c r="AB738" s="45">
        <f t="shared" ca="1" si="944"/>
        <v>0</v>
      </c>
      <c r="AC738" s="45" cm="1">
        <f t="array" aca="1" ref="AC738" ca="1">pHUM*(T738+W738+Z738+AD738)</f>
        <v>1.0230702720198567E-2</v>
      </c>
      <c r="AD738" s="77">
        <f t="shared" ca="1" si="945"/>
        <v>1.0706811055502592E-2</v>
      </c>
      <c r="AE738" s="45">
        <f t="shared" ca="1" si="958"/>
        <v>6.3847072090583081</v>
      </c>
      <c r="AF738" s="45">
        <f t="shared" ca="1" si="946"/>
        <v>0</v>
      </c>
      <c r="AG738" s="76">
        <f t="shared" ca="1" si="947"/>
        <v>63.230566237176006</v>
      </c>
      <c r="AH738" s="45">
        <f t="shared" ca="1" si="948"/>
        <v>8.6522035582053972E-2</v>
      </c>
      <c r="AI738" s="77">
        <f t="shared" ca="1" si="949"/>
        <v>1.1451313113987617E-2</v>
      </c>
      <c r="AJ738" s="384">
        <f t="shared" ca="1" si="951"/>
        <v>1.8085768910275357E-2</v>
      </c>
      <c r="AU738" s="1"/>
    </row>
    <row r="739" spans="3:47" x14ac:dyDescent="0.25">
      <c r="C739" s="10">
        <f t="shared" si="887"/>
        <v>54</v>
      </c>
      <c r="D739" s="91">
        <f t="shared" si="959"/>
        <v>1</v>
      </c>
      <c r="E739" s="278"/>
      <c r="F739" s="76">
        <f t="shared" ref="F739:Q739" si="974">F667</f>
        <v>0.85587096774193583</v>
      </c>
      <c r="G739" s="46">
        <f t="shared" si="974"/>
        <v>78.439554282868485</v>
      </c>
      <c r="H739" s="46">
        <f t="shared" si="935"/>
        <v>-22.909404282868479</v>
      </c>
      <c r="I739" s="45">
        <f t="shared" si="936"/>
        <v>0</v>
      </c>
      <c r="J739" s="45">
        <f t="shared" si="937"/>
        <v>0.23072180944359474</v>
      </c>
      <c r="K739" s="45">
        <f t="shared" ca="1" si="953"/>
        <v>0.74571722023659515</v>
      </c>
      <c r="L739" s="358">
        <f t="shared" si="938"/>
        <v>0.39170179323548027</v>
      </c>
      <c r="M739" s="76">
        <f t="shared" ca="1" si="974"/>
        <v>0.25347808785320641</v>
      </c>
      <c r="N739" s="45">
        <f t="shared" ca="1" si="974"/>
        <v>0.25</v>
      </c>
      <c r="O739" s="45">
        <f t="shared" ca="1" si="974"/>
        <v>0</v>
      </c>
      <c r="P739" s="46" t="str">
        <f t="shared" ca="1" si="974"/>
        <v/>
      </c>
      <c r="Q739" s="243" t="str">
        <f t="shared" ca="1" si="974"/>
        <v/>
      </c>
      <c r="R739" s="45">
        <f t="shared" ca="1" si="954"/>
        <v>0.17230786588959235</v>
      </c>
      <c r="S739" s="45">
        <f t="shared" ca="1" si="889"/>
        <v>5.0695617570641283E-2</v>
      </c>
      <c r="T739" s="77">
        <f t="shared" ca="1" si="939"/>
        <v>0</v>
      </c>
      <c r="U739" s="45">
        <f t="shared" ca="1" si="955"/>
        <v>16.702867202196739</v>
      </c>
      <c r="V739" s="45">
        <f t="shared" ca="1" si="940"/>
        <v>0.20278247028256513</v>
      </c>
      <c r="W739" s="77">
        <f t="shared" ca="1" si="941"/>
        <v>0</v>
      </c>
      <c r="X739" s="45">
        <f t="shared" ca="1" si="956"/>
        <v>1.005788650937798</v>
      </c>
      <c r="Y739" s="45">
        <f t="shared" ca="1" si="942"/>
        <v>0</v>
      </c>
      <c r="Z739" s="77">
        <f t="shared" ca="1" si="943"/>
        <v>0</v>
      </c>
      <c r="AA739" s="45">
        <f t="shared" ca="1" si="957"/>
        <v>39.131851361364724</v>
      </c>
      <c r="AB739" s="45">
        <f t="shared" ca="1" si="944"/>
        <v>0</v>
      </c>
      <c r="AC739" s="45" cm="1">
        <f t="array" aca="1" ref="AC739" ca="1">pHUM*(T739+W739+Z739+AD739)</f>
        <v>0</v>
      </c>
      <c r="AD739" s="77">
        <f t="shared" ca="1" si="945"/>
        <v>0</v>
      </c>
      <c r="AE739" s="45">
        <f t="shared" ca="1" si="958"/>
        <v>6.3847072090583081</v>
      </c>
      <c r="AF739" s="45">
        <f t="shared" ca="1" si="946"/>
        <v>0</v>
      </c>
      <c r="AG739" s="76">
        <f t="shared" ca="1" si="947"/>
        <v>63.39752228944716</v>
      </c>
      <c r="AH739" s="45">
        <f t="shared" ca="1" si="948"/>
        <v>0</v>
      </c>
      <c r="AI739" s="77">
        <f t="shared" ca="1" si="949"/>
        <v>1.1956955561755012E-2</v>
      </c>
      <c r="AJ739" s="384">
        <f t="shared" ca="1" si="951"/>
        <v>1.2328078602645842E-2</v>
      </c>
      <c r="AU739" s="1"/>
    </row>
    <row r="740" spans="3:47" x14ac:dyDescent="0.25">
      <c r="C740" s="10">
        <f t="shared" si="887"/>
        <v>54</v>
      </c>
      <c r="D740" s="91">
        <f t="shared" si="959"/>
        <v>2</v>
      </c>
      <c r="E740" s="278"/>
      <c r="F740" s="76">
        <f t="shared" ref="F740:Q740" si="975">F668</f>
        <v>0.91042857142857181</v>
      </c>
      <c r="G740" s="46">
        <f t="shared" si="975"/>
        <v>77.312634079068317</v>
      </c>
      <c r="H740" s="46">
        <f t="shared" si="935"/>
        <v>-21.782484079068311</v>
      </c>
      <c r="I740" s="45">
        <f t="shared" si="936"/>
        <v>0</v>
      </c>
      <c r="J740" s="45">
        <f t="shared" si="937"/>
        <v>0.23463537609132465</v>
      </c>
      <c r="K740" s="45">
        <f t="shared" ca="1" si="953"/>
        <v>0.75836628037006848</v>
      </c>
      <c r="L740" s="358">
        <f t="shared" si="938"/>
        <v>0.39364266736760256</v>
      </c>
      <c r="M740" s="76">
        <f t="shared" ca="1" si="975"/>
        <v>0.25347808785320641</v>
      </c>
      <c r="N740" s="45">
        <f t="shared" ca="1" si="975"/>
        <v>0.25</v>
      </c>
      <c r="O740" s="45">
        <f t="shared" ca="1" si="975"/>
        <v>0</v>
      </c>
      <c r="P740" s="46" t="str">
        <f t="shared" ca="1" si="975"/>
        <v/>
      </c>
      <c r="Q740" s="243" t="str">
        <f t="shared" ca="1" si="975"/>
        <v/>
      </c>
      <c r="R740" s="45">
        <f t="shared" ca="1" si="954"/>
        <v>0.22300348346023363</v>
      </c>
      <c r="S740" s="45">
        <f t="shared" ca="1" si="889"/>
        <v>5.0695617570641283E-2</v>
      </c>
      <c r="T740" s="77">
        <f t="shared" ca="1" si="939"/>
        <v>0</v>
      </c>
      <c r="U740" s="45">
        <f t="shared" ca="1" si="955"/>
        <v>16.905649672479303</v>
      </c>
      <c r="V740" s="45">
        <f t="shared" ca="1" si="940"/>
        <v>0.20278247028256513</v>
      </c>
      <c r="W740" s="77">
        <f t="shared" ca="1" si="941"/>
        <v>0</v>
      </c>
      <c r="X740" s="45">
        <f t="shared" ca="1" si="956"/>
        <v>1.005788650937798</v>
      </c>
      <c r="Y740" s="45">
        <f t="shared" ca="1" si="942"/>
        <v>0</v>
      </c>
      <c r="Z740" s="77">
        <f t="shared" ca="1" si="943"/>
        <v>0</v>
      </c>
      <c r="AA740" s="45">
        <f t="shared" ca="1" si="957"/>
        <v>39.131851361364724</v>
      </c>
      <c r="AB740" s="45">
        <f t="shared" ca="1" si="944"/>
        <v>0</v>
      </c>
      <c r="AC740" s="45" cm="1">
        <f t="array" aca="1" ref="AC740" ca="1">pHUM*(T740+W740+Z740+AD740)</f>
        <v>0</v>
      </c>
      <c r="AD740" s="77">
        <f t="shared" ca="1" si="945"/>
        <v>0</v>
      </c>
      <c r="AE740" s="45">
        <f t="shared" ca="1" si="958"/>
        <v>6.3847072090583081</v>
      </c>
      <c r="AF740" s="45">
        <f t="shared" ca="1" si="946"/>
        <v>0</v>
      </c>
      <c r="AG740" s="76">
        <f t="shared" ca="1" si="947"/>
        <v>63.651000377300363</v>
      </c>
      <c r="AH740" s="45">
        <f t="shared" ca="1" si="948"/>
        <v>0</v>
      </c>
      <c r="AI740" s="77">
        <f t="shared" ca="1" si="949"/>
        <v>1.2730274054190943E-2</v>
      </c>
      <c r="AJ740" s="384">
        <f t="shared" ca="1" si="951"/>
        <v>1.3414161674678571E-2</v>
      </c>
      <c r="AU740" s="1"/>
    </row>
    <row r="741" spans="3:47" x14ac:dyDescent="0.25">
      <c r="C741" s="10">
        <f t="shared" ref="C741:C804" si="976">IF(D741=1,C740+1,C740)</f>
        <v>54</v>
      </c>
      <c r="D741" s="91">
        <f t="shared" si="959"/>
        <v>3</v>
      </c>
      <c r="E741" s="278"/>
      <c r="F741" s="76">
        <f t="shared" ref="F741:Q741" si="977">F669</f>
        <v>1.7499333333333336</v>
      </c>
      <c r="G741" s="46">
        <f t="shared" si="977"/>
        <v>89.127050621045186</v>
      </c>
      <c r="H741" s="46">
        <f t="shared" si="935"/>
        <v>-33.596900621045179</v>
      </c>
      <c r="I741" s="45">
        <f t="shared" si="936"/>
        <v>0</v>
      </c>
      <c r="J741" s="45">
        <f t="shared" si="937"/>
        <v>0.19161115755788954</v>
      </c>
      <c r="K741" s="45">
        <f t="shared" ca="1" si="953"/>
        <v>0.61930746869995335</v>
      </c>
      <c r="L741" s="358">
        <f t="shared" si="938"/>
        <v>0.42389567243620196</v>
      </c>
      <c r="M741" s="76">
        <f t="shared" ca="1" si="977"/>
        <v>0.25347808785320641</v>
      </c>
      <c r="N741" s="45">
        <f t="shared" ca="1" si="977"/>
        <v>0.25</v>
      </c>
      <c r="O741" s="45">
        <f t="shared" ca="1" si="977"/>
        <v>0</v>
      </c>
      <c r="P741" s="46" t="str">
        <f t="shared" ca="1" si="977"/>
        <v/>
      </c>
      <c r="Q741" s="243" t="str">
        <f t="shared" ca="1" si="977"/>
        <v/>
      </c>
      <c r="R741" s="45">
        <f t="shared" ca="1" si="954"/>
        <v>0.27369910103087491</v>
      </c>
      <c r="S741" s="45">
        <f t="shared" ref="S741:S804" ca="1" si="978">M741*N741/(1+N741) +   IF(O741&gt;0,O741*P741*(1-Q741)/(1+P741),0)</f>
        <v>5.0695617570641283E-2</v>
      </c>
      <c r="T741" s="77">
        <f t="shared" ca="1" si="939"/>
        <v>0</v>
      </c>
      <c r="U741" s="45">
        <f t="shared" ca="1" si="955"/>
        <v>17.108432142761867</v>
      </c>
      <c r="V741" s="45">
        <f t="shared" ca="1" si="940"/>
        <v>0.20278247028256513</v>
      </c>
      <c r="W741" s="77">
        <f t="shared" ca="1" si="941"/>
        <v>0</v>
      </c>
      <c r="X741" s="45">
        <f t="shared" ca="1" si="956"/>
        <v>1.005788650937798</v>
      </c>
      <c r="Y741" s="45">
        <f t="shared" ca="1" si="942"/>
        <v>0</v>
      </c>
      <c r="Z741" s="77">
        <f t="shared" ca="1" si="943"/>
        <v>0</v>
      </c>
      <c r="AA741" s="45">
        <f t="shared" ca="1" si="957"/>
        <v>39.131851361364724</v>
      </c>
      <c r="AB741" s="45">
        <f t="shared" ca="1" si="944"/>
        <v>0</v>
      </c>
      <c r="AC741" s="45" cm="1">
        <f t="array" aca="1" ref="AC741" ca="1">pHUM*(T741+W741+Z741+AD741)</f>
        <v>0</v>
      </c>
      <c r="AD741" s="77">
        <f t="shared" ca="1" si="945"/>
        <v>0</v>
      </c>
      <c r="AE741" s="45">
        <f t="shared" ca="1" si="958"/>
        <v>6.3847072090583081</v>
      </c>
      <c r="AF741" s="45">
        <f t="shared" ca="1" si="946"/>
        <v>0</v>
      </c>
      <c r="AG741" s="76">
        <f t="shared" ca="1" si="947"/>
        <v>63.904478465153574</v>
      </c>
      <c r="AH741" s="45">
        <f t="shared" ca="1" si="948"/>
        <v>0</v>
      </c>
      <c r="AI741" s="77">
        <f t="shared" ca="1" si="949"/>
        <v>1.3496776827840673E-2</v>
      </c>
      <c r="AJ741" s="384">
        <f t="shared" ca="1" si="951"/>
        <v>1.2506631153561543E-2</v>
      </c>
      <c r="AU741" s="1"/>
    </row>
    <row r="742" spans="3:47" x14ac:dyDescent="0.25">
      <c r="C742" s="10">
        <f t="shared" si="976"/>
        <v>54</v>
      </c>
      <c r="D742" s="91">
        <f t="shared" si="959"/>
        <v>4</v>
      </c>
      <c r="E742" s="278"/>
      <c r="F742" s="76">
        <f t="shared" ref="F742:Q742" si="979">F670</f>
        <v>5.3144</v>
      </c>
      <c r="G742" s="46">
        <f t="shared" si="979"/>
        <v>88.517400984298064</v>
      </c>
      <c r="H742" s="46">
        <f t="shared" si="935"/>
        <v>-32.987250984298058</v>
      </c>
      <c r="I742" s="45">
        <f t="shared" si="936"/>
        <v>0</v>
      </c>
      <c r="J742" s="45">
        <f t="shared" si="937"/>
        <v>0.19391725365845511</v>
      </c>
      <c r="K742" s="45">
        <f t="shared" ca="1" si="953"/>
        <v>0.62676101449980381</v>
      </c>
      <c r="L742" s="358">
        <f t="shared" si="938"/>
        <v>0.55593677468735669</v>
      </c>
      <c r="M742" s="76">
        <f t="shared" ca="1" si="979"/>
        <v>0.25347808785320641</v>
      </c>
      <c r="N742" s="45">
        <f t="shared" ca="1" si="979"/>
        <v>0.25</v>
      </c>
      <c r="O742" s="45">
        <f t="shared" ca="1" si="979"/>
        <v>0</v>
      </c>
      <c r="P742" s="46" t="str">
        <f t="shared" ca="1" si="979"/>
        <v/>
      </c>
      <c r="Q742" s="243" t="str">
        <f t="shared" ca="1" si="979"/>
        <v/>
      </c>
      <c r="R742" s="45">
        <f t="shared" ca="1" si="954"/>
        <v>0.3243947186015162</v>
      </c>
      <c r="S742" s="45">
        <f t="shared" ca="1" si="978"/>
        <v>5.0695617570641283E-2</v>
      </c>
      <c r="T742" s="77">
        <f t="shared" ca="1" si="939"/>
        <v>0</v>
      </c>
      <c r="U742" s="45">
        <f t="shared" ca="1" si="955"/>
        <v>17.311214613044431</v>
      </c>
      <c r="V742" s="45">
        <f t="shared" ca="1" si="940"/>
        <v>0.20278247028256513</v>
      </c>
      <c r="W742" s="77">
        <f t="shared" ca="1" si="941"/>
        <v>0</v>
      </c>
      <c r="X742" s="45">
        <f t="shared" ca="1" si="956"/>
        <v>1.005788650937798</v>
      </c>
      <c r="Y742" s="45">
        <f t="shared" ca="1" si="942"/>
        <v>0</v>
      </c>
      <c r="Z742" s="77">
        <f t="shared" ca="1" si="943"/>
        <v>0</v>
      </c>
      <c r="AA742" s="45">
        <f t="shared" ca="1" si="957"/>
        <v>39.131851361364724</v>
      </c>
      <c r="AB742" s="45">
        <f t="shared" ca="1" si="944"/>
        <v>0</v>
      </c>
      <c r="AC742" s="45" cm="1">
        <f t="array" aca="1" ref="AC742" ca="1">pHUM*(T742+W742+Z742+AD742)</f>
        <v>0</v>
      </c>
      <c r="AD742" s="77">
        <f t="shared" ca="1" si="945"/>
        <v>0</v>
      </c>
      <c r="AE742" s="45">
        <f t="shared" ca="1" si="958"/>
        <v>6.3847072090583081</v>
      </c>
      <c r="AF742" s="45">
        <f t="shared" ca="1" si="946"/>
        <v>0</v>
      </c>
      <c r="AG742" s="76">
        <f t="shared" ca="1" si="947"/>
        <v>64.157956553006784</v>
      </c>
      <c r="AH742" s="45">
        <f t="shared" ca="1" si="948"/>
        <v>0</v>
      </c>
      <c r="AI742" s="77">
        <f t="shared" ca="1" si="949"/>
        <v>1.4256553593879432E-2</v>
      </c>
      <c r="AJ742" s="384">
        <f t="shared" ca="1" si="951"/>
        <v>1.7534155097520543E-2</v>
      </c>
      <c r="AU742" s="1"/>
    </row>
    <row r="743" spans="3:47" x14ac:dyDescent="0.25">
      <c r="C743" s="10">
        <f t="shared" si="976"/>
        <v>54</v>
      </c>
      <c r="D743" s="91">
        <f t="shared" si="959"/>
        <v>5</v>
      </c>
      <c r="E743" s="278"/>
      <c r="F743" s="76">
        <f t="shared" ref="F743:Q743" si="980">F671</f>
        <v>12.662516129032257</v>
      </c>
      <c r="G743" s="46">
        <f t="shared" si="980"/>
        <v>89.413014608233681</v>
      </c>
      <c r="H743" s="46">
        <f t="shared" si="935"/>
        <v>-33.882864608233675</v>
      </c>
      <c r="I743" s="45">
        <f t="shared" si="936"/>
        <v>0</v>
      </c>
      <c r="J743" s="45">
        <f t="shared" si="937"/>
        <v>0.19052718077467024</v>
      </c>
      <c r="K743" s="45">
        <f t="shared" ca="1" si="953"/>
        <v>0.6158039414194908</v>
      </c>
      <c r="L743" s="358">
        <f t="shared" si="938"/>
        <v>0.78870900469063665</v>
      </c>
      <c r="M743" s="76">
        <f t="shared" ca="1" si="980"/>
        <v>0.25347808785320641</v>
      </c>
      <c r="N743" s="45">
        <f t="shared" ca="1" si="980"/>
        <v>0.25</v>
      </c>
      <c r="O743" s="45">
        <f t="shared" ca="1" si="980"/>
        <v>0</v>
      </c>
      <c r="P743" s="46" t="str">
        <f t="shared" ca="1" si="980"/>
        <v/>
      </c>
      <c r="Q743" s="243" t="str">
        <f t="shared" ca="1" si="980"/>
        <v/>
      </c>
      <c r="R743" s="45">
        <f t="shared" ca="1" si="954"/>
        <v>0.37509033617215748</v>
      </c>
      <c r="S743" s="45">
        <f t="shared" ca="1" si="978"/>
        <v>5.0695617570641283E-2</v>
      </c>
      <c r="T743" s="77">
        <f t="shared" ca="1" si="939"/>
        <v>0</v>
      </c>
      <c r="U743" s="45">
        <f t="shared" ca="1" si="955"/>
        <v>17.513997083326995</v>
      </c>
      <c r="V743" s="45">
        <f t="shared" ca="1" si="940"/>
        <v>0.20278247028256513</v>
      </c>
      <c r="W743" s="77">
        <f t="shared" ca="1" si="941"/>
        <v>0</v>
      </c>
      <c r="X743" s="45">
        <f t="shared" ca="1" si="956"/>
        <v>1.005788650937798</v>
      </c>
      <c r="Y743" s="45">
        <f t="shared" ca="1" si="942"/>
        <v>0</v>
      </c>
      <c r="Z743" s="77">
        <f t="shared" ca="1" si="943"/>
        <v>0</v>
      </c>
      <c r="AA743" s="45">
        <f t="shared" ca="1" si="957"/>
        <v>39.131851361364724</v>
      </c>
      <c r="AB743" s="45">
        <f t="shared" ca="1" si="944"/>
        <v>0</v>
      </c>
      <c r="AC743" s="45" cm="1">
        <f t="array" aca="1" ref="AC743" ca="1">pHUM*(T743+W743+Z743+AD743)</f>
        <v>0</v>
      </c>
      <c r="AD743" s="77">
        <f t="shared" ca="1" si="945"/>
        <v>0</v>
      </c>
      <c r="AE743" s="45">
        <f t="shared" ca="1" si="958"/>
        <v>6.3847072090583081</v>
      </c>
      <c r="AF743" s="45">
        <f t="shared" ca="1" si="946"/>
        <v>0</v>
      </c>
      <c r="AG743" s="76">
        <f t="shared" ca="1" si="947"/>
        <v>64.41143464085998</v>
      </c>
      <c r="AH743" s="45">
        <f t="shared" ca="1" si="948"/>
        <v>0</v>
      </c>
      <c r="AI743" s="77">
        <f t="shared" ca="1" si="949"/>
        <v>1.5009692495941553E-2</v>
      </c>
      <c r="AJ743" s="384">
        <f t="shared" ca="1" si="951"/>
        <v>2.5731826491037779E-2</v>
      </c>
      <c r="AU743" s="1"/>
    </row>
    <row r="744" spans="3:47" x14ac:dyDescent="0.25">
      <c r="C744" s="10">
        <f t="shared" si="976"/>
        <v>54</v>
      </c>
      <c r="D744" s="91">
        <f t="shared" si="959"/>
        <v>6</v>
      </c>
      <c r="E744" s="278"/>
      <c r="F744" s="76">
        <f t="shared" ref="F744:Q744" si="981">F672</f>
        <v>17.952400000000004</v>
      </c>
      <c r="G744" s="46">
        <f t="shared" si="981"/>
        <v>83.948488098886401</v>
      </c>
      <c r="H744" s="46">
        <f t="shared" si="935"/>
        <v>-28.418338098886395</v>
      </c>
      <c r="I744" s="45">
        <f t="shared" si="936"/>
        <v>0</v>
      </c>
      <c r="J744" s="45">
        <f t="shared" si="937"/>
        <v>0.21095121603234232</v>
      </c>
      <c r="K744" s="45">
        <f t="shared" ca="1" si="953"/>
        <v>0.68181657730811884</v>
      </c>
      <c r="L744" s="358">
        <f t="shared" si="938"/>
        <v>0.89013124354981255</v>
      </c>
      <c r="M744" s="76">
        <f t="shared" ca="1" si="981"/>
        <v>0.25347808785320641</v>
      </c>
      <c r="N744" s="45">
        <f t="shared" ca="1" si="981"/>
        <v>0.25</v>
      </c>
      <c r="O744" s="45">
        <f t="shared" ca="1" si="981"/>
        <v>0</v>
      </c>
      <c r="P744" s="46" t="str">
        <f t="shared" ca="1" si="981"/>
        <v/>
      </c>
      <c r="Q744" s="243" t="str">
        <f t="shared" ca="1" si="981"/>
        <v/>
      </c>
      <c r="R744" s="45">
        <f t="shared" ca="1" si="954"/>
        <v>0.42578595374279876</v>
      </c>
      <c r="S744" s="45">
        <f t="shared" ca="1" si="978"/>
        <v>5.0695617570641283E-2</v>
      </c>
      <c r="T744" s="77">
        <f t="shared" ca="1" si="939"/>
        <v>0</v>
      </c>
      <c r="U744" s="45">
        <f t="shared" ca="1" si="955"/>
        <v>17.716779553609559</v>
      </c>
      <c r="V744" s="45">
        <f t="shared" ca="1" si="940"/>
        <v>0.20278247028256513</v>
      </c>
      <c r="W744" s="77">
        <f t="shared" ca="1" si="941"/>
        <v>0</v>
      </c>
      <c r="X744" s="45">
        <f t="shared" ca="1" si="956"/>
        <v>1.005788650937798</v>
      </c>
      <c r="Y744" s="45">
        <f t="shared" ca="1" si="942"/>
        <v>0</v>
      </c>
      <c r="Z744" s="77">
        <f t="shared" ca="1" si="943"/>
        <v>0</v>
      </c>
      <c r="AA744" s="45">
        <f t="shared" ca="1" si="957"/>
        <v>39.131851361364724</v>
      </c>
      <c r="AB744" s="45">
        <f t="shared" ca="1" si="944"/>
        <v>0</v>
      </c>
      <c r="AC744" s="45" cm="1">
        <f t="array" aca="1" ref="AC744" ca="1">pHUM*(T744+W744+Z744+AD744)</f>
        <v>0</v>
      </c>
      <c r="AD744" s="77">
        <f t="shared" ca="1" si="945"/>
        <v>0</v>
      </c>
      <c r="AE744" s="45">
        <f t="shared" ca="1" si="958"/>
        <v>6.3847072090583081</v>
      </c>
      <c r="AF744" s="45">
        <f t="shared" ca="1" si="946"/>
        <v>0</v>
      </c>
      <c r="AG744" s="76">
        <f t="shared" ca="1" si="947"/>
        <v>64.66491272871319</v>
      </c>
      <c r="AH744" s="45">
        <f t="shared" ca="1" si="948"/>
        <v>0</v>
      </c>
      <c r="AI744" s="77">
        <f t="shared" ca="1" si="949"/>
        <v>1.5756280144209E-2</v>
      </c>
      <c r="AJ744" s="384">
        <f t="shared" ca="1" si="951"/>
        <v>3.3752936670231604E-2</v>
      </c>
      <c r="AU744" s="1"/>
    </row>
    <row r="745" spans="3:47" x14ac:dyDescent="0.25">
      <c r="C745" s="10">
        <f t="shared" si="976"/>
        <v>54</v>
      </c>
      <c r="D745" s="91">
        <f t="shared" si="959"/>
        <v>7</v>
      </c>
      <c r="E745" s="278"/>
      <c r="F745" s="76">
        <f t="shared" ref="F745:Q745" si="982">F673</f>
        <v>21.363032258064525</v>
      </c>
      <c r="G745" s="46">
        <f t="shared" si="982"/>
        <v>73.679575814389409</v>
      </c>
      <c r="H745" s="46">
        <f t="shared" si="935"/>
        <v>-18.149425814389403</v>
      </c>
      <c r="I745" s="45">
        <f t="shared" si="936"/>
        <v>0</v>
      </c>
      <c r="J745" s="45">
        <f t="shared" si="937"/>
        <v>0.2468878570948656</v>
      </c>
      <c r="K745" s="45">
        <f t="shared" ca="1" si="953"/>
        <v>0.79796759113040194</v>
      </c>
      <c r="L745" s="358">
        <f t="shared" si="938"/>
        <v>0.92905557700722019</v>
      </c>
      <c r="M745" s="76">
        <f t="shared" ca="1" si="982"/>
        <v>0.25347808785320641</v>
      </c>
      <c r="N745" s="45">
        <f t="shared" ca="1" si="982"/>
        <v>0.25</v>
      </c>
      <c r="O745" s="45">
        <f t="shared" ca="1" si="982"/>
        <v>0</v>
      </c>
      <c r="P745" s="46" t="str">
        <f t="shared" ca="1" si="982"/>
        <v/>
      </c>
      <c r="Q745" s="243" t="str">
        <f t="shared" ca="1" si="982"/>
        <v/>
      </c>
      <c r="R745" s="45">
        <f t="shared" ca="1" si="954"/>
        <v>0.47648157131344004</v>
      </c>
      <c r="S745" s="45">
        <f t="shared" ca="1" si="978"/>
        <v>5.0695617570641283E-2</v>
      </c>
      <c r="T745" s="77">
        <f t="shared" ca="1" si="939"/>
        <v>0</v>
      </c>
      <c r="U745" s="45">
        <f t="shared" ca="1" si="955"/>
        <v>17.919562023892123</v>
      </c>
      <c r="V745" s="45">
        <f t="shared" ca="1" si="940"/>
        <v>0.20278247028256513</v>
      </c>
      <c r="W745" s="77">
        <f t="shared" ca="1" si="941"/>
        <v>0</v>
      </c>
      <c r="X745" s="45">
        <f t="shared" ca="1" si="956"/>
        <v>1.005788650937798</v>
      </c>
      <c r="Y745" s="45">
        <f t="shared" ca="1" si="942"/>
        <v>0</v>
      </c>
      <c r="Z745" s="77">
        <f t="shared" ca="1" si="943"/>
        <v>0</v>
      </c>
      <c r="AA745" s="45">
        <f t="shared" ca="1" si="957"/>
        <v>39.131851361364724</v>
      </c>
      <c r="AB745" s="45">
        <f t="shared" ca="1" si="944"/>
        <v>0</v>
      </c>
      <c r="AC745" s="45" cm="1">
        <f t="array" aca="1" ref="AC745" ca="1">pHUM*(T745+W745+Z745+AD745)</f>
        <v>0</v>
      </c>
      <c r="AD745" s="77">
        <f t="shared" ca="1" si="945"/>
        <v>0</v>
      </c>
      <c r="AE745" s="45">
        <f t="shared" ca="1" si="958"/>
        <v>6.3847072090583081</v>
      </c>
      <c r="AF745" s="45">
        <f t="shared" ca="1" si="946"/>
        <v>0</v>
      </c>
      <c r="AG745" s="76">
        <f t="shared" ca="1" si="947"/>
        <v>64.918390816566387</v>
      </c>
      <c r="AH745" s="45">
        <f t="shared" ca="1" si="948"/>
        <v>0</v>
      </c>
      <c r="AI745" s="77">
        <f t="shared" ca="1" si="949"/>
        <v>1.649640164861417E-2</v>
      </c>
      <c r="AJ745" s="384">
        <f t="shared" ca="1" si="951"/>
        <v>4.3166673479425599E-2</v>
      </c>
      <c r="AU745" s="1"/>
    </row>
    <row r="746" spans="3:47" x14ac:dyDescent="0.25">
      <c r="C746" s="10">
        <f t="shared" si="976"/>
        <v>54</v>
      </c>
      <c r="D746" s="91">
        <f t="shared" si="959"/>
        <v>8</v>
      </c>
      <c r="E746" s="278"/>
      <c r="F746" s="76">
        <f t="shared" ref="F746:Q746" si="983">F674</f>
        <v>21.84690322580645</v>
      </c>
      <c r="G746" s="46">
        <f t="shared" si="983"/>
        <v>71.917724933598876</v>
      </c>
      <c r="H746" s="46">
        <f t="shared" si="935"/>
        <v>-16.38757493359887</v>
      </c>
      <c r="I746" s="45">
        <f t="shared" si="936"/>
        <v>0</v>
      </c>
      <c r="J746" s="45">
        <f t="shared" si="937"/>
        <v>0.25260629061506468</v>
      </c>
      <c r="K746" s="45">
        <f t="shared" ca="1" si="953"/>
        <v>0.81645017133846476</v>
      </c>
      <c r="L746" s="358">
        <f t="shared" si="938"/>
        <v>0.93325603418156189</v>
      </c>
      <c r="M746" s="76">
        <f t="shared" ca="1" si="983"/>
        <v>0.25347808785320641</v>
      </c>
      <c r="N746" s="45">
        <f t="shared" ca="1" si="983"/>
        <v>0.25</v>
      </c>
      <c r="O746" s="45">
        <f t="shared" ca="1" si="983"/>
        <v>0</v>
      </c>
      <c r="P746" s="46" t="str">
        <f t="shared" ca="1" si="983"/>
        <v/>
      </c>
      <c r="Q746" s="243" t="str">
        <f t="shared" ca="1" si="983"/>
        <v/>
      </c>
      <c r="R746" s="45">
        <f t="shared" ca="1" si="954"/>
        <v>0.52717718888408127</v>
      </c>
      <c r="S746" s="45">
        <f t="shared" ca="1" si="978"/>
        <v>5.0695617570641283E-2</v>
      </c>
      <c r="T746" s="77">
        <f t="shared" ca="1" si="939"/>
        <v>0</v>
      </c>
      <c r="U746" s="45">
        <f t="shared" ca="1" si="955"/>
        <v>18.122344494174687</v>
      </c>
      <c r="V746" s="45">
        <f t="shared" ca="1" si="940"/>
        <v>0.20278247028256513</v>
      </c>
      <c r="W746" s="77">
        <f t="shared" ca="1" si="941"/>
        <v>0</v>
      </c>
      <c r="X746" s="45">
        <f t="shared" ca="1" si="956"/>
        <v>1.005788650937798</v>
      </c>
      <c r="Y746" s="45">
        <f t="shared" ca="1" si="942"/>
        <v>0</v>
      </c>
      <c r="Z746" s="77">
        <f t="shared" ca="1" si="943"/>
        <v>0</v>
      </c>
      <c r="AA746" s="45">
        <f t="shared" ca="1" si="957"/>
        <v>39.131851361364724</v>
      </c>
      <c r="AB746" s="45">
        <f t="shared" ca="1" si="944"/>
        <v>0</v>
      </c>
      <c r="AC746" s="45" cm="1">
        <f t="array" aca="1" ref="AC746" ca="1">pHUM*(T746+W746+Z746+AD746)</f>
        <v>0</v>
      </c>
      <c r="AD746" s="77">
        <f t="shared" ca="1" si="945"/>
        <v>0</v>
      </c>
      <c r="AE746" s="45">
        <f t="shared" ca="1" si="958"/>
        <v>6.3847072090583081</v>
      </c>
      <c r="AF746" s="45">
        <f t="shared" ca="1" si="946"/>
        <v>0</v>
      </c>
      <c r="AG746" s="76">
        <f t="shared" ca="1" si="947"/>
        <v>65.171868904419597</v>
      </c>
      <c r="AH746" s="45">
        <f t="shared" ca="1" si="948"/>
        <v>0</v>
      </c>
      <c r="AI746" s="77">
        <f t="shared" ca="1" si="949"/>
        <v>1.7230140651183723E-2</v>
      </c>
      <c r="AJ746" s="384">
        <f t="shared" ca="1" si="951"/>
        <v>4.633940211369425E-2</v>
      </c>
      <c r="AU746" s="1"/>
    </row>
    <row r="747" spans="3:47" x14ac:dyDescent="0.25">
      <c r="C747" s="10">
        <f t="shared" si="976"/>
        <v>54</v>
      </c>
      <c r="D747" s="91">
        <f t="shared" si="959"/>
        <v>9</v>
      </c>
      <c r="E747" s="278"/>
      <c r="F747" s="76">
        <f t="shared" ref="F747:Q747" si="984">F675</f>
        <v>19.915099999999999</v>
      </c>
      <c r="G747" s="46">
        <f t="shared" si="984"/>
        <v>90.121120170480822</v>
      </c>
      <c r="H747" s="46">
        <f t="shared" si="935"/>
        <v>-34.590970170480816</v>
      </c>
      <c r="I747" s="45">
        <f t="shared" si="936"/>
        <v>0</v>
      </c>
      <c r="J747" s="45">
        <f t="shared" si="937"/>
        <v>0.18783711693191202</v>
      </c>
      <c r="K747" s="45">
        <f t="shared" ca="1" si="953"/>
        <v>0.60710937138331467</v>
      </c>
      <c r="L747" s="358">
        <f t="shared" si="938"/>
        <v>0.91464137695305081</v>
      </c>
      <c r="M747" s="76">
        <f t="shared" ca="1" si="984"/>
        <v>0.25347808785320641</v>
      </c>
      <c r="N747" s="45">
        <f t="shared" ca="1" si="984"/>
        <v>0.25</v>
      </c>
      <c r="O747" s="45">
        <f t="shared" ca="1" si="984"/>
        <v>0</v>
      </c>
      <c r="P747" s="46" t="str">
        <f t="shared" ca="1" si="984"/>
        <v/>
      </c>
      <c r="Q747" s="243" t="str">
        <f t="shared" ca="1" si="984"/>
        <v/>
      </c>
      <c r="R747" s="45">
        <f t="shared" ca="1" si="954"/>
        <v>0.5778728064547225</v>
      </c>
      <c r="S747" s="45">
        <f t="shared" ca="1" si="978"/>
        <v>5.0695617570641283E-2</v>
      </c>
      <c r="T747" s="77">
        <f t="shared" ca="1" si="939"/>
        <v>0</v>
      </c>
      <c r="U747" s="45">
        <f t="shared" ca="1" si="955"/>
        <v>18.325126964457251</v>
      </c>
      <c r="V747" s="45">
        <f t="shared" ca="1" si="940"/>
        <v>0.20278247028256513</v>
      </c>
      <c r="W747" s="77">
        <f t="shared" ca="1" si="941"/>
        <v>0</v>
      </c>
      <c r="X747" s="45">
        <f t="shared" ca="1" si="956"/>
        <v>1.005788650937798</v>
      </c>
      <c r="Y747" s="45">
        <f t="shared" ca="1" si="942"/>
        <v>0</v>
      </c>
      <c r="Z747" s="77">
        <f t="shared" ca="1" si="943"/>
        <v>0</v>
      </c>
      <c r="AA747" s="45">
        <f t="shared" ca="1" si="957"/>
        <v>39.131851361364724</v>
      </c>
      <c r="AB747" s="45">
        <f t="shared" ca="1" si="944"/>
        <v>0</v>
      </c>
      <c r="AC747" s="45" cm="1">
        <f t="array" aca="1" ref="AC747" ca="1">pHUM*(T747+W747+Z747+AD747)</f>
        <v>0</v>
      </c>
      <c r="AD747" s="77">
        <f t="shared" ca="1" si="945"/>
        <v>0</v>
      </c>
      <c r="AE747" s="45">
        <f t="shared" ca="1" si="958"/>
        <v>6.3847072090583081</v>
      </c>
      <c r="AF747" s="45">
        <f t="shared" ca="1" si="946"/>
        <v>0</v>
      </c>
      <c r="AG747" s="76">
        <f t="shared" ca="1" si="947"/>
        <v>65.425346992272807</v>
      </c>
      <c r="AH747" s="45">
        <f t="shared" ca="1" si="948"/>
        <v>0</v>
      </c>
      <c r="AI747" s="77">
        <f t="shared" ca="1" si="949"/>
        <v>1.7957579357549248E-2</v>
      </c>
      <c r="AJ747" s="384">
        <f t="shared" ca="1" si="951"/>
        <v>3.5196643819241924E-2</v>
      </c>
      <c r="AU747" s="1"/>
    </row>
    <row r="748" spans="3:47" x14ac:dyDescent="0.25">
      <c r="C748" s="10">
        <f t="shared" si="976"/>
        <v>54</v>
      </c>
      <c r="D748" s="91">
        <f t="shared" si="959"/>
        <v>10</v>
      </c>
      <c r="E748" s="278"/>
      <c r="F748" s="76">
        <f t="shared" ref="F748:Q748" si="985">F676</f>
        <v>16.404967741935486</v>
      </c>
      <c r="G748" s="46">
        <f t="shared" si="985"/>
        <v>93.270963763991602</v>
      </c>
      <c r="H748" s="46">
        <f t="shared" si="935"/>
        <v>-37.740813763991596</v>
      </c>
      <c r="I748" s="45">
        <f t="shared" si="936"/>
        <v>0</v>
      </c>
      <c r="J748" s="45">
        <f t="shared" si="937"/>
        <v>0.1757835150476853</v>
      </c>
      <c r="K748" s="45">
        <f t="shared" ca="1" si="953"/>
        <v>0.56815085891056294</v>
      </c>
      <c r="L748" s="358">
        <f t="shared" si="938"/>
        <v>0.86618676922472848</v>
      </c>
      <c r="M748" s="76">
        <f t="shared" ca="1" si="985"/>
        <v>0.25347808785320641</v>
      </c>
      <c r="N748" s="45">
        <f t="shared" ca="1" si="985"/>
        <v>0.25</v>
      </c>
      <c r="O748" s="45">
        <f t="shared" ca="1" si="985"/>
        <v>0</v>
      </c>
      <c r="P748" s="46" t="str">
        <f t="shared" ca="1" si="985"/>
        <v/>
      </c>
      <c r="Q748" s="243" t="str">
        <f t="shared" ca="1" si="985"/>
        <v/>
      </c>
      <c r="R748" s="45">
        <f t="shared" ca="1" si="954"/>
        <v>0.62856842402536373</v>
      </c>
      <c r="S748" s="45">
        <f t="shared" ca="1" si="978"/>
        <v>5.0695617570641283E-2</v>
      </c>
      <c r="T748" s="77">
        <f t="shared" ca="1" si="939"/>
        <v>0</v>
      </c>
      <c r="U748" s="45">
        <f t="shared" ca="1" si="955"/>
        <v>18.527909434739815</v>
      </c>
      <c r="V748" s="45">
        <f t="shared" ca="1" si="940"/>
        <v>0.20278247028256513</v>
      </c>
      <c r="W748" s="77">
        <f t="shared" ca="1" si="941"/>
        <v>0</v>
      </c>
      <c r="X748" s="45">
        <f t="shared" ca="1" si="956"/>
        <v>1.005788650937798</v>
      </c>
      <c r="Y748" s="45">
        <f t="shared" ca="1" si="942"/>
        <v>0</v>
      </c>
      <c r="Z748" s="77">
        <f t="shared" ca="1" si="943"/>
        <v>0</v>
      </c>
      <c r="AA748" s="45">
        <f t="shared" ca="1" si="957"/>
        <v>39.131851361364724</v>
      </c>
      <c r="AB748" s="45">
        <f t="shared" ca="1" si="944"/>
        <v>0</v>
      </c>
      <c r="AC748" s="45" cm="1">
        <f t="array" aca="1" ref="AC748" ca="1">pHUM*(T748+W748+Z748+AD748)</f>
        <v>0</v>
      </c>
      <c r="AD748" s="77">
        <f t="shared" ca="1" si="945"/>
        <v>0</v>
      </c>
      <c r="AE748" s="45">
        <f t="shared" ca="1" si="958"/>
        <v>6.3847072090583081</v>
      </c>
      <c r="AF748" s="45">
        <f t="shared" ca="1" si="946"/>
        <v>0</v>
      </c>
      <c r="AG748" s="76">
        <f t="shared" ca="1" si="947"/>
        <v>65.678825080126003</v>
      </c>
      <c r="AH748" s="45">
        <f t="shared" ca="1" si="948"/>
        <v>0</v>
      </c>
      <c r="AI748" s="77">
        <f t="shared" ca="1" si="949"/>
        <v>1.8678798567649705E-2</v>
      </c>
      <c r="AJ748" s="384">
        <f t="shared" ca="1" si="951"/>
        <v>3.2445984538788109E-2</v>
      </c>
      <c r="AU748" s="1"/>
    </row>
    <row r="749" spans="3:47" x14ac:dyDescent="0.25">
      <c r="C749" s="10">
        <f t="shared" si="976"/>
        <v>54</v>
      </c>
      <c r="D749" s="91">
        <f t="shared" si="959"/>
        <v>11</v>
      </c>
      <c r="E749" s="278"/>
      <c r="F749" s="76">
        <f t="shared" ref="F749:Q749" si="986">F677</f>
        <v>8.5982333333333347</v>
      </c>
      <c r="G749" s="46">
        <f t="shared" si="986"/>
        <v>93.768190396309464</v>
      </c>
      <c r="H749" s="46">
        <f t="shared" si="935"/>
        <v>-38.238040396309458</v>
      </c>
      <c r="I749" s="45">
        <f t="shared" si="936"/>
        <v>0</v>
      </c>
      <c r="J749" s="45">
        <f t="shared" si="937"/>
        <v>0.17386998013358751</v>
      </c>
      <c r="K749" s="45">
        <f t="shared" ca="1" si="953"/>
        <v>0.56196611226520721</v>
      </c>
      <c r="L749" s="358">
        <f t="shared" si="938"/>
        <v>0.6712335176859634</v>
      </c>
      <c r="M749" s="76">
        <f t="shared" ca="1" si="986"/>
        <v>0.25347808785320641</v>
      </c>
      <c r="N749" s="45">
        <f t="shared" ca="1" si="986"/>
        <v>0.25</v>
      </c>
      <c r="O749" s="45">
        <f t="shared" ca="1" si="986"/>
        <v>0</v>
      </c>
      <c r="P749" s="46" t="str">
        <f t="shared" ca="1" si="986"/>
        <v/>
      </c>
      <c r="Q749" s="243" t="str">
        <f t="shared" ca="1" si="986"/>
        <v/>
      </c>
      <c r="R749" s="45">
        <f t="shared" ca="1" si="954"/>
        <v>0.67926404159600495</v>
      </c>
      <c r="S749" s="45">
        <f t="shared" ca="1" si="978"/>
        <v>5.0695617570641283E-2</v>
      </c>
      <c r="T749" s="77">
        <f t="shared" ca="1" si="939"/>
        <v>0</v>
      </c>
      <c r="U749" s="45">
        <f t="shared" ca="1" si="955"/>
        <v>18.730691905022379</v>
      </c>
      <c r="V749" s="45">
        <f t="shared" ca="1" si="940"/>
        <v>0.20278247028256513</v>
      </c>
      <c r="W749" s="77">
        <f t="shared" ca="1" si="941"/>
        <v>0</v>
      </c>
      <c r="X749" s="45">
        <f t="shared" ca="1" si="956"/>
        <v>1.005788650937798</v>
      </c>
      <c r="Y749" s="45">
        <f t="shared" ca="1" si="942"/>
        <v>0</v>
      </c>
      <c r="Z749" s="77">
        <f t="shared" ca="1" si="943"/>
        <v>0</v>
      </c>
      <c r="AA749" s="45">
        <f t="shared" ca="1" si="957"/>
        <v>39.131851361364724</v>
      </c>
      <c r="AB749" s="45">
        <f t="shared" ca="1" si="944"/>
        <v>0</v>
      </c>
      <c r="AC749" s="45" cm="1">
        <f t="array" aca="1" ref="AC749" ca="1">pHUM*(T749+W749+Z749+AD749)</f>
        <v>0</v>
      </c>
      <c r="AD749" s="77">
        <f t="shared" ca="1" si="945"/>
        <v>0</v>
      </c>
      <c r="AE749" s="45">
        <f t="shared" ca="1" si="958"/>
        <v>6.3847072090583081</v>
      </c>
      <c r="AF749" s="45">
        <f t="shared" ca="1" si="946"/>
        <v>0</v>
      </c>
      <c r="AG749" s="76">
        <f t="shared" ca="1" si="947"/>
        <v>65.932303167979214</v>
      </c>
      <c r="AH749" s="45">
        <f t="shared" ca="1" si="948"/>
        <v>0</v>
      </c>
      <c r="AI749" s="77">
        <f t="shared" ca="1" si="949"/>
        <v>1.9393877705649671E-2</v>
      </c>
      <c r="AJ749" s="384">
        <f t="shared" ca="1" si="951"/>
        <v>2.5821884477665868E-2</v>
      </c>
      <c r="AU749" s="1"/>
    </row>
    <row r="750" spans="3:47" x14ac:dyDescent="0.25">
      <c r="C750" s="10">
        <f t="shared" si="976"/>
        <v>54</v>
      </c>
      <c r="D750" s="91">
        <f t="shared" si="959"/>
        <v>12</v>
      </c>
      <c r="E750" s="278"/>
      <c r="F750" s="76">
        <f t="shared" ref="F750:Q750" si="987">F678</f>
        <v>5.8543548387096775</v>
      </c>
      <c r="G750" s="46">
        <f t="shared" si="987"/>
        <v>92.353978821555827</v>
      </c>
      <c r="H750" s="46">
        <f t="shared" si="935"/>
        <v>-36.823828821555821</v>
      </c>
      <c r="I750" s="45">
        <f t="shared" si="936"/>
        <v>0</v>
      </c>
      <c r="J750" s="45">
        <f t="shared" si="937"/>
        <v>0.17930557122010893</v>
      </c>
      <c r="K750" s="45">
        <f t="shared" ca="1" si="953"/>
        <v>0.57953451589882432</v>
      </c>
      <c r="L750" s="358">
        <f t="shared" si="938"/>
        <v>0.57570255434605899</v>
      </c>
      <c r="M750" s="76">
        <f t="shared" ca="1" si="987"/>
        <v>0.25347808785320641</v>
      </c>
      <c r="N750" s="45">
        <f t="shared" ca="1" si="987"/>
        <v>0.25</v>
      </c>
      <c r="O750" s="45">
        <f t="shared" ca="1" si="987"/>
        <v>0</v>
      </c>
      <c r="P750" s="46" t="str">
        <f t="shared" ca="1" si="987"/>
        <v/>
      </c>
      <c r="Q750" s="243" t="str">
        <f t="shared" ca="1" si="987"/>
        <v/>
      </c>
      <c r="R750" s="45">
        <f t="shared" ca="1" si="954"/>
        <v>0.72995965916664618</v>
      </c>
      <c r="S750" s="45">
        <f t="shared" ca="1" si="978"/>
        <v>5.0695617570641283E-2</v>
      </c>
      <c r="T750" s="77">
        <f t="shared" ca="1" si="939"/>
        <v>0</v>
      </c>
      <c r="U750" s="45">
        <f t="shared" ca="1" si="955"/>
        <v>18.933474375304943</v>
      </c>
      <c r="V750" s="45">
        <f t="shared" ca="1" si="940"/>
        <v>0.20278247028256513</v>
      </c>
      <c r="W750" s="77">
        <f t="shared" ca="1" si="941"/>
        <v>0</v>
      </c>
      <c r="X750" s="45">
        <f t="shared" ca="1" si="956"/>
        <v>1.005788650937798</v>
      </c>
      <c r="Y750" s="45">
        <f t="shared" ca="1" si="942"/>
        <v>0</v>
      </c>
      <c r="Z750" s="77">
        <f t="shared" ca="1" si="943"/>
        <v>0</v>
      </c>
      <c r="AA750" s="45">
        <f t="shared" ca="1" si="957"/>
        <v>39.131851361364724</v>
      </c>
      <c r="AB750" s="45">
        <f t="shared" ca="1" si="944"/>
        <v>0</v>
      </c>
      <c r="AC750" s="45" cm="1">
        <f t="array" aca="1" ref="AC750" ca="1">pHUM*(T750+W750+Z750+AD750)</f>
        <v>0</v>
      </c>
      <c r="AD750" s="77">
        <f t="shared" ca="1" si="945"/>
        <v>0</v>
      </c>
      <c r="AE750" s="45">
        <f t="shared" ca="1" si="958"/>
        <v>6.3847072090583081</v>
      </c>
      <c r="AF750" s="45">
        <f t="shared" ca="1" si="946"/>
        <v>0</v>
      </c>
      <c r="AG750" s="76">
        <f t="shared" ca="1" si="947"/>
        <v>66.185781255832424</v>
      </c>
      <c r="AH750" s="45">
        <f t="shared" ca="1" si="948"/>
        <v>0</v>
      </c>
      <c r="AI750" s="77">
        <f t="shared" ca="1" si="949"/>
        <v>2.0102894849096754E-2</v>
      </c>
      <c r="AJ750" s="384">
        <f t="shared" ca="1" si="951"/>
        <v>2.3674262739428187E-2</v>
      </c>
      <c r="AU750" s="1"/>
    </row>
    <row r="751" spans="3:47" x14ac:dyDescent="0.25">
      <c r="C751" s="10">
        <f t="shared" si="976"/>
        <v>55</v>
      </c>
      <c r="D751" s="91">
        <f t="shared" si="959"/>
        <v>1</v>
      </c>
      <c r="E751" s="278"/>
      <c r="F751" s="76">
        <f t="shared" ref="F751:Q751" si="988">F679</f>
        <v>2.2624333333333326</v>
      </c>
      <c r="G751" s="46">
        <f t="shared" si="988"/>
        <v>87.461548542671366</v>
      </c>
      <c r="H751" s="46">
        <f t="shared" si="935"/>
        <v>-31.93139854267136</v>
      </c>
      <c r="I751" s="45">
        <f t="shared" si="936"/>
        <v>0</v>
      </c>
      <c r="J751" s="45">
        <f t="shared" si="937"/>
        <v>0.19789456043296222</v>
      </c>
      <c r="K751" s="45">
        <f t="shared" ca="1" si="953"/>
        <v>0.63961608944510806</v>
      </c>
      <c r="L751" s="358">
        <f t="shared" si="938"/>
        <v>0.44266298791276926</v>
      </c>
      <c r="M751" s="76">
        <f t="shared" ca="1" si="988"/>
        <v>0.25347808785320641</v>
      </c>
      <c r="N751" s="45">
        <f t="shared" ca="1" si="988"/>
        <v>0.25</v>
      </c>
      <c r="O751" s="45">
        <f t="shared" ca="1" si="988"/>
        <v>0</v>
      </c>
      <c r="P751" s="46" t="str">
        <f t="shared" ca="1" si="988"/>
        <v/>
      </c>
      <c r="Q751" s="243" t="str">
        <f t="shared" ca="1" si="988"/>
        <v/>
      </c>
      <c r="R751" s="45">
        <f t="shared" ca="1" si="954"/>
        <v>0.78065527673728741</v>
      </c>
      <c r="S751" s="45">
        <f t="shared" ca="1" si="978"/>
        <v>5.0695617570641283E-2</v>
      </c>
      <c r="T751" s="77">
        <f t="shared" ca="1" si="939"/>
        <v>0</v>
      </c>
      <c r="U751" s="45">
        <f t="shared" ca="1" si="955"/>
        <v>19.136256845587507</v>
      </c>
      <c r="V751" s="45">
        <f t="shared" ca="1" si="940"/>
        <v>0.20278247028256513</v>
      </c>
      <c r="W751" s="77">
        <f t="shared" ca="1" si="941"/>
        <v>0</v>
      </c>
      <c r="X751" s="45">
        <f t="shared" ca="1" si="956"/>
        <v>1.005788650937798</v>
      </c>
      <c r="Y751" s="45">
        <f t="shared" ca="1" si="942"/>
        <v>0</v>
      </c>
      <c r="Z751" s="77">
        <f t="shared" ca="1" si="943"/>
        <v>0</v>
      </c>
      <c r="AA751" s="45">
        <f t="shared" ca="1" si="957"/>
        <v>39.131851361364724</v>
      </c>
      <c r="AB751" s="45">
        <f t="shared" ca="1" si="944"/>
        <v>0</v>
      </c>
      <c r="AC751" s="45" cm="1">
        <f t="array" aca="1" ref="AC751" ca="1">pHUM*(T751+W751+Z751+AD751)</f>
        <v>0</v>
      </c>
      <c r="AD751" s="77">
        <f t="shared" ca="1" si="945"/>
        <v>0</v>
      </c>
      <c r="AE751" s="45">
        <f t="shared" ca="1" si="958"/>
        <v>6.3847072090583081</v>
      </c>
      <c r="AF751" s="45">
        <f t="shared" ca="1" si="946"/>
        <v>0</v>
      </c>
      <c r="AG751" s="76">
        <f t="shared" ca="1" si="947"/>
        <v>66.43925934368562</v>
      </c>
      <c r="AH751" s="45">
        <f t="shared" ca="1" si="948"/>
        <v>0</v>
      </c>
      <c r="AI751" s="77">
        <f t="shared" ca="1" si="949"/>
        <v>2.0805926757340582E-2</v>
      </c>
      <c r="AJ751" s="384">
        <f t="shared" ca="1" si="951"/>
        <v>2.0793195442657675E-2</v>
      </c>
      <c r="AU751" s="1"/>
    </row>
    <row r="752" spans="3:47" x14ac:dyDescent="0.25">
      <c r="C752" s="10">
        <f t="shared" si="976"/>
        <v>55</v>
      </c>
      <c r="D752" s="91">
        <f t="shared" si="959"/>
        <v>2</v>
      </c>
      <c r="E752" s="278"/>
      <c r="F752" s="76">
        <f t="shared" ref="F752:Q752" si="989">F680</f>
        <v>1.5363448275862068</v>
      </c>
      <c r="G752" s="46">
        <f t="shared" si="989"/>
        <v>89.651029216467379</v>
      </c>
      <c r="H752" s="46">
        <f t="shared" si="935"/>
        <v>-34.120879216467372</v>
      </c>
      <c r="I752" s="45">
        <f t="shared" si="936"/>
        <v>0</v>
      </c>
      <c r="J752" s="45">
        <f t="shared" si="937"/>
        <v>0.18962389606700991</v>
      </c>
      <c r="K752" s="45">
        <f t="shared" ca="1" si="953"/>
        <v>0.61288442998317227</v>
      </c>
      <c r="L752" s="358">
        <f t="shared" si="938"/>
        <v>0.41613501220093307</v>
      </c>
      <c r="M752" s="76">
        <f t="shared" ca="1" si="989"/>
        <v>0.25347808785320641</v>
      </c>
      <c r="N752" s="45">
        <f t="shared" ca="1" si="989"/>
        <v>0.25</v>
      </c>
      <c r="O752" s="45">
        <f t="shared" ca="1" si="989"/>
        <v>0</v>
      </c>
      <c r="P752" s="46" t="str">
        <f t="shared" ca="1" si="989"/>
        <v/>
      </c>
      <c r="Q752" s="243" t="str">
        <f t="shared" ca="1" si="989"/>
        <v/>
      </c>
      <c r="R752" s="45">
        <f t="shared" ca="1" si="954"/>
        <v>0.83135089430792863</v>
      </c>
      <c r="S752" s="45">
        <f t="shared" ca="1" si="978"/>
        <v>5.0695617570641283E-2</v>
      </c>
      <c r="T752" s="77">
        <f t="shared" ca="1" si="939"/>
        <v>0</v>
      </c>
      <c r="U752" s="45">
        <f t="shared" ca="1" si="955"/>
        <v>19.339039315870071</v>
      </c>
      <c r="V752" s="45">
        <f t="shared" ca="1" si="940"/>
        <v>0.20278247028256513</v>
      </c>
      <c r="W752" s="77">
        <f t="shared" ca="1" si="941"/>
        <v>0</v>
      </c>
      <c r="X752" s="45">
        <f t="shared" ca="1" si="956"/>
        <v>1.005788650937798</v>
      </c>
      <c r="Y752" s="45">
        <f t="shared" ca="1" si="942"/>
        <v>0</v>
      </c>
      <c r="Z752" s="77">
        <f t="shared" ca="1" si="943"/>
        <v>0</v>
      </c>
      <c r="AA752" s="45">
        <f t="shared" ca="1" si="957"/>
        <v>39.131851361364724</v>
      </c>
      <c r="AB752" s="45">
        <f t="shared" ca="1" si="944"/>
        <v>0</v>
      </c>
      <c r="AC752" s="45" cm="1">
        <f t="array" aca="1" ref="AC752" ca="1">pHUM*(T752+W752+Z752+AD752)</f>
        <v>0</v>
      </c>
      <c r="AD752" s="77">
        <f t="shared" ca="1" si="945"/>
        <v>0</v>
      </c>
      <c r="AE752" s="45">
        <f t="shared" ca="1" si="958"/>
        <v>6.3847072090583081</v>
      </c>
      <c r="AF752" s="45">
        <f t="shared" ca="1" si="946"/>
        <v>0</v>
      </c>
      <c r="AG752" s="76">
        <f t="shared" ca="1" si="947"/>
        <v>66.692737431538831</v>
      </c>
      <c r="AH752" s="45">
        <f t="shared" ca="1" si="948"/>
        <v>0</v>
      </c>
      <c r="AI752" s="77">
        <f t="shared" ca="1" si="949"/>
        <v>2.1503048899235083E-2</v>
      </c>
      <c r="AJ752" s="384">
        <f t="shared" ca="1" si="951"/>
        <v>1.9357757986798729E-2</v>
      </c>
      <c r="AU752" s="1"/>
    </row>
    <row r="753" spans="3:47" x14ac:dyDescent="0.25">
      <c r="C753" s="10">
        <f t="shared" si="976"/>
        <v>55</v>
      </c>
      <c r="D753" s="91">
        <f t="shared" si="959"/>
        <v>3</v>
      </c>
      <c r="E753" s="278"/>
      <c r="F753" s="76">
        <f t="shared" ref="F753:Q753" ca="1" si="990">F681</f>
        <v>-0.57999999999999996</v>
      </c>
      <c r="G753" s="46">
        <f t="shared" ca="1" si="990"/>
        <v>55.530150000000006</v>
      </c>
      <c r="H753" s="46">
        <f t="shared" ca="1" si="935"/>
        <v>0</v>
      </c>
      <c r="I753" s="45">
        <f t="shared" ca="1" si="936"/>
        <v>8.1834107856600266E-2</v>
      </c>
      <c r="J753" s="45">
        <f t="shared" ca="1" si="937"/>
        <v>0.29595601705647312</v>
      </c>
      <c r="K753" s="45">
        <f t="shared" ca="1" si="953"/>
        <v>0.95656105889548582</v>
      </c>
      <c r="L753" s="358">
        <f t="shared" ca="1" si="938"/>
        <v>0.34200470507454295</v>
      </c>
      <c r="M753" s="76">
        <f t="shared" ca="1" si="990"/>
        <v>0.25347808785320641</v>
      </c>
      <c r="N753" s="45">
        <f t="shared" ca="1" si="990"/>
        <v>0.25</v>
      </c>
      <c r="O753" s="45">
        <f t="shared" ca="1" si="990"/>
        <v>0</v>
      </c>
      <c r="P753" s="46" t="str">
        <f t="shared" ca="1" si="990"/>
        <v/>
      </c>
      <c r="Q753" s="243" t="str">
        <f t="shared" ca="1" si="990"/>
        <v/>
      </c>
      <c r="R753" s="45">
        <f t="shared" ca="1" si="954"/>
        <v>0.88204651187856986</v>
      </c>
      <c r="S753" s="45">
        <f t="shared" ca="1" si="978"/>
        <v>5.0695617570641283E-2</v>
      </c>
      <c r="T753" s="77">
        <f t="shared" ca="1" si="939"/>
        <v>5.8146070292331417E-2</v>
      </c>
      <c r="U753" s="45">
        <f t="shared" ca="1" si="955"/>
        <v>19.541821786152635</v>
      </c>
      <c r="V753" s="45">
        <f t="shared" ca="1" si="940"/>
        <v>0.20278247028256513</v>
      </c>
      <c r="W753" s="77">
        <f t="shared" ca="1" si="941"/>
        <v>3.9938820391994805E-2</v>
      </c>
      <c r="X753" s="45">
        <f t="shared" ca="1" si="956"/>
        <v>1.005788650937798</v>
      </c>
      <c r="Y753" s="45">
        <f t="shared" ca="1" si="942"/>
        <v>8.9014123323570681E-3</v>
      </c>
      <c r="Z753" s="77">
        <f t="shared" ca="1" si="943"/>
        <v>4.5167576239644094E-3</v>
      </c>
      <c r="AA753" s="45">
        <f t="shared" ca="1" si="957"/>
        <v>39.131851361364724</v>
      </c>
      <c r="AB753" s="45">
        <f t="shared" ca="1" si="944"/>
        <v>0</v>
      </c>
      <c r="AC753" s="45" cm="1">
        <f t="array" aca="1" ref="AC753" ca="1">pHUM*(T753+W753+Z753+AD753)</f>
        <v>1.0472249802773021E-2</v>
      </c>
      <c r="AD753" s="77">
        <f t="shared" ca="1" si="945"/>
        <v>5.3368362872558365E-3</v>
      </c>
      <c r="AE753" s="45">
        <f t="shared" ca="1" si="958"/>
        <v>6.3847072090583081</v>
      </c>
      <c r="AF753" s="45">
        <f t="shared" ca="1" si="946"/>
        <v>0</v>
      </c>
      <c r="AG753" s="76">
        <f t="shared" ca="1" si="947"/>
        <v>66.946215519392041</v>
      </c>
      <c r="AH753" s="45">
        <f t="shared" ca="1" si="948"/>
        <v>8.8564822460416387E-2</v>
      </c>
      <c r="AI753" s="77">
        <f t="shared" ca="1" si="949"/>
        <v>2.2194335480145138E-2</v>
      </c>
      <c r="AJ753" s="384">
        <f t="shared" ca="1" si="951"/>
        <v>2.5628696750956692E-2</v>
      </c>
      <c r="AU753" s="1"/>
    </row>
    <row r="754" spans="3:47" x14ac:dyDescent="0.25">
      <c r="C754" s="10">
        <f t="shared" si="976"/>
        <v>55</v>
      </c>
      <c r="D754" s="91">
        <f t="shared" si="959"/>
        <v>4</v>
      </c>
      <c r="E754" s="278"/>
      <c r="F754" s="76">
        <f t="shared" ref="F754:Q754" ca="1" si="991">F682</f>
        <v>7.18</v>
      </c>
      <c r="G754" s="46">
        <f t="shared" ca="1" si="991"/>
        <v>29.828585295978598</v>
      </c>
      <c r="H754" s="46">
        <f t="shared" ca="1" si="935"/>
        <v>25.701564704021408</v>
      </c>
      <c r="I754" s="45">
        <f t="shared" ca="1" si="936"/>
        <v>0.34975431431902781</v>
      </c>
      <c r="J754" s="45">
        <f t="shared" ca="1" si="937"/>
        <v>0.29147915612483932</v>
      </c>
      <c r="K754" s="45">
        <f t="shared" ca="1" si="953"/>
        <v>0.94209137223094908</v>
      </c>
      <c r="L754" s="358">
        <f t="shared" ca="1" si="938"/>
        <v>0.62308014794471589</v>
      </c>
      <c r="M754" s="76">
        <f t="shared" ca="1" si="991"/>
        <v>0.25347808785320641</v>
      </c>
      <c r="N754" s="45">
        <f t="shared" ca="1" si="991"/>
        <v>0.25</v>
      </c>
      <c r="O754" s="45">
        <f t="shared" ca="1" si="991"/>
        <v>0</v>
      </c>
      <c r="P754" s="46" t="str">
        <f t="shared" ca="1" si="991"/>
        <v/>
      </c>
      <c r="Q754" s="243" t="str">
        <f t="shared" ca="1" si="991"/>
        <v/>
      </c>
      <c r="R754" s="45">
        <f t="shared" ca="1" si="954"/>
        <v>0.87459605915687966</v>
      </c>
      <c r="S754" s="45">
        <f t="shared" ca="1" si="978"/>
        <v>5.0695617570641283E-2</v>
      </c>
      <c r="T754" s="77">
        <f t="shared" ca="1" si="939"/>
        <v>0.22112372029543051</v>
      </c>
      <c r="U754" s="45">
        <f t="shared" ca="1" si="955"/>
        <v>19.704665436043204</v>
      </c>
      <c r="V754" s="45">
        <f t="shared" ca="1" si="940"/>
        <v>0.20278247028256513</v>
      </c>
      <c r="W754" s="77">
        <f t="shared" ca="1" si="941"/>
        <v>0.17154372379580285</v>
      </c>
      <c r="X754" s="45">
        <f t="shared" ca="1" si="956"/>
        <v>1.0101733056461906</v>
      </c>
      <c r="Y754" s="45">
        <f t="shared" ca="1" si="942"/>
        <v>3.5850348093773757E-2</v>
      </c>
      <c r="Z754" s="77">
        <f t="shared" ca="1" si="943"/>
        <v>1.9246475167440082E-2</v>
      </c>
      <c r="AA754" s="45">
        <f t="shared" ca="1" si="957"/>
        <v>39.136986774880242</v>
      </c>
      <c r="AB754" s="45">
        <f t="shared" ca="1" si="944"/>
        <v>0</v>
      </c>
      <c r="AC754" s="45" cm="1">
        <f t="array" aca="1" ref="AC754" ca="1">pHUM*(T754+W754+Z754+AD754)</f>
        <v>4.2176880110322071E-2</v>
      </c>
      <c r="AD754" s="77">
        <f t="shared" ca="1" si="945"/>
        <v>2.2807235203352261E-2</v>
      </c>
      <c r="AE754" s="45">
        <f t="shared" ca="1" si="958"/>
        <v>6.3847072090583081</v>
      </c>
      <c r="AF754" s="45">
        <f t="shared" ca="1" si="946"/>
        <v>0</v>
      </c>
      <c r="AG754" s="76">
        <f t="shared" ca="1" si="947"/>
        <v>67.111128784784825</v>
      </c>
      <c r="AH754" s="45">
        <f t="shared" ca="1" si="948"/>
        <v>0.35669392625792989</v>
      </c>
      <c r="AI754" s="77">
        <f t="shared" ca="1" si="949"/>
        <v>2.2102974182773242E-2</v>
      </c>
      <c r="AJ754" s="384">
        <f t="shared" ca="1" si="951"/>
        <v>4.5795097982496147E-2</v>
      </c>
      <c r="AU754" s="1"/>
    </row>
    <row r="755" spans="3:47" x14ac:dyDescent="0.25">
      <c r="C755" s="10">
        <f t="shared" si="976"/>
        <v>55</v>
      </c>
      <c r="D755" s="91">
        <f t="shared" si="959"/>
        <v>5</v>
      </c>
      <c r="E755" s="278"/>
      <c r="F755" s="76">
        <f t="shared" ref="F755:Q755" ca="1" si="992">F683</f>
        <v>14.05</v>
      </c>
      <c r="G755" s="46">
        <f t="shared" ca="1" si="992"/>
        <v>27.012600000000003</v>
      </c>
      <c r="H755" s="46">
        <f t="shared" ca="1" si="935"/>
        <v>28.517550000000004</v>
      </c>
      <c r="I755" s="45">
        <f t="shared" ca="1" si="936"/>
        <v>0.75173784437395219</v>
      </c>
      <c r="J755" s="45">
        <f t="shared" ca="1" si="937"/>
        <v>0.27952512346894071</v>
      </c>
      <c r="K755" s="45">
        <f t="shared" ca="1" si="953"/>
        <v>0.90345467800480783</v>
      </c>
      <c r="L755" s="358">
        <f t="shared" ca="1" si="938"/>
        <v>0.82085140481213359</v>
      </c>
      <c r="M755" s="76">
        <f t="shared" ca="1" si="992"/>
        <v>0.25347808785320641</v>
      </c>
      <c r="N755" s="45">
        <f t="shared" ca="1" si="992"/>
        <v>0.25</v>
      </c>
      <c r="O755" s="45">
        <f t="shared" ca="1" si="992"/>
        <v>0</v>
      </c>
      <c r="P755" s="46" t="str">
        <f t="shared" ca="1" si="992"/>
        <v/>
      </c>
      <c r="Q755" s="243" t="str">
        <f t="shared" ca="1" si="992"/>
        <v/>
      </c>
      <c r="R755" s="45">
        <f t="shared" ca="1" si="954"/>
        <v>0.70416795643209051</v>
      </c>
      <c r="S755" s="45">
        <f t="shared" ca="1" si="978"/>
        <v>5.0695617570641283E-2</v>
      </c>
      <c r="T755" s="77">
        <f t="shared" ca="1" si="939"/>
        <v>0.32779946324687731</v>
      </c>
      <c r="U755" s="45">
        <f t="shared" ca="1" si="955"/>
        <v>19.735904182529964</v>
      </c>
      <c r="V755" s="45">
        <f t="shared" ca="1" si="940"/>
        <v>0.20278247028256513</v>
      </c>
      <c r="W755" s="77">
        <f t="shared" ca="1" si="941"/>
        <v>0.36744208537251249</v>
      </c>
      <c r="X755" s="45">
        <f t="shared" ca="1" si="956"/>
        <v>1.0267771785725242</v>
      </c>
      <c r="Y755" s="45">
        <f t="shared" ca="1" si="942"/>
        <v>6.4807607025947539E-2</v>
      </c>
      <c r="Z755" s="77">
        <f t="shared" ca="1" si="943"/>
        <v>4.1587054870881351E-2</v>
      </c>
      <c r="AA755" s="45">
        <f t="shared" ca="1" si="957"/>
        <v>39.156356419787215</v>
      </c>
      <c r="AB755" s="45">
        <f t="shared" ca="1" si="944"/>
        <v>0</v>
      </c>
      <c r="AC755" s="45" cm="1">
        <f t="array" aca="1" ref="AC755" ca="1">pHUM*(T755+W755+Z755+AD755)</f>
        <v>7.624424355993828E-2</v>
      </c>
      <c r="AD755" s="77">
        <f t="shared" ca="1" si="945"/>
        <v>4.9028138278273604E-2</v>
      </c>
      <c r="AE755" s="45">
        <f t="shared" ca="1" si="958"/>
        <v>6.3847072090583081</v>
      </c>
      <c r="AF755" s="45">
        <f t="shared" ca="1" si="946"/>
        <v>0</v>
      </c>
      <c r="AG755" s="76">
        <f t="shared" ca="1" si="947"/>
        <v>67.007912946380102</v>
      </c>
      <c r="AH755" s="45">
        <f t="shared" ca="1" si="948"/>
        <v>0.64480489118265893</v>
      </c>
      <c r="AI755" s="77">
        <f t="shared" ca="1" si="949"/>
        <v>1.9826361195508947E-2</v>
      </c>
      <c r="AJ755" s="384">
        <f t="shared" ca="1" si="951"/>
        <v>5.189706121662363E-2</v>
      </c>
      <c r="AU755" s="1"/>
    </row>
    <row r="756" spans="3:47" x14ac:dyDescent="0.25">
      <c r="C756" s="10">
        <f t="shared" si="976"/>
        <v>55</v>
      </c>
      <c r="D756" s="91">
        <f t="shared" si="959"/>
        <v>6</v>
      </c>
      <c r="E756" s="278"/>
      <c r="F756" s="76">
        <f t="shared" ref="F756:Q756" ca="1" si="993">F684</f>
        <v>17.96</v>
      </c>
      <c r="G756" s="46">
        <f t="shared" ca="1" si="993"/>
        <v>27.012600000000003</v>
      </c>
      <c r="H756" s="46">
        <f t="shared" ca="1" si="935"/>
        <v>28.517550000000004</v>
      </c>
      <c r="I756" s="45">
        <f t="shared" ca="1" si="936"/>
        <v>1.0549705763362276</v>
      </c>
      <c r="J756" s="45">
        <f t="shared" ca="1" si="937"/>
        <v>0.27952512346894071</v>
      </c>
      <c r="K756" s="45">
        <f t="shared" ca="1" si="953"/>
        <v>0.90345467800480783</v>
      </c>
      <c r="L756" s="358">
        <f t="shared" ca="1" si="938"/>
        <v>0.89023829243059249</v>
      </c>
      <c r="M756" s="76">
        <f t="shared" ca="1" si="993"/>
        <v>0.25347808785320641</v>
      </c>
      <c r="N756" s="45">
        <f t="shared" ca="1" si="993"/>
        <v>0.25</v>
      </c>
      <c r="O756" s="45">
        <f t="shared" ca="1" si="993"/>
        <v>0</v>
      </c>
      <c r="P756" s="46" t="str">
        <f t="shared" ca="1" si="993"/>
        <v/>
      </c>
      <c r="Q756" s="243" t="str">
        <f t="shared" ca="1" si="993"/>
        <v/>
      </c>
      <c r="R756" s="45">
        <f t="shared" ca="1" si="954"/>
        <v>0.42706411075585454</v>
      </c>
      <c r="S756" s="45">
        <f t="shared" ca="1" si="978"/>
        <v>5.0695617570641283E-2</v>
      </c>
      <c r="T756" s="77">
        <f t="shared" ca="1" si="939"/>
        <v>0.24977319108169391</v>
      </c>
      <c r="U756" s="45">
        <f t="shared" ca="1" si="955"/>
        <v>19.571244567440015</v>
      </c>
      <c r="V756" s="45">
        <f t="shared" ca="1" si="940"/>
        <v>0.20278247028256513</v>
      </c>
      <c r="W756" s="77">
        <f t="shared" ca="1" si="941"/>
        <v>0.5094297321185175</v>
      </c>
      <c r="X756" s="45">
        <f t="shared" ca="1" si="956"/>
        <v>1.0499977307275903</v>
      </c>
      <c r="Y756" s="45">
        <f t="shared" ca="1" si="942"/>
        <v>7.3167506496843449E-2</v>
      </c>
      <c r="Z756" s="77">
        <f t="shared" ca="1" si="943"/>
        <v>5.919059434231036E-2</v>
      </c>
      <c r="AA756" s="45">
        <f t="shared" ca="1" si="957"/>
        <v>39.183572525068882</v>
      </c>
      <c r="AB756" s="45">
        <f t="shared" ca="1" si="944"/>
        <v>0</v>
      </c>
      <c r="AC756" s="45" cm="1">
        <f t="array" aca="1" ref="AC756" ca="1">pHUM*(T756+W756+Z756+AD756)</f>
        <v>8.6079419408051111E-2</v>
      </c>
      <c r="AD756" s="77">
        <f t="shared" ca="1" si="945"/>
        <v>6.8835326378791487E-2</v>
      </c>
      <c r="AE756" s="45">
        <f t="shared" ca="1" si="958"/>
        <v>6.3847072090583081</v>
      </c>
      <c r="AF756" s="45">
        <f t="shared" ca="1" si="946"/>
        <v>0</v>
      </c>
      <c r="AG756" s="76">
        <f t="shared" ca="1" si="947"/>
        <v>66.616586143050654</v>
      </c>
      <c r="AH756" s="45">
        <f t="shared" ca="1" si="948"/>
        <v>0.72798191801641876</v>
      </c>
      <c r="AI756" s="77">
        <f t="shared" ca="1" si="949"/>
        <v>1.6074937718757655E-2</v>
      </c>
      <c r="AJ756" s="384">
        <f t="shared" ca="1" si="951"/>
        <v>4.5634504780394103E-2</v>
      </c>
      <c r="AU756" s="1"/>
    </row>
    <row r="757" spans="3:47" x14ac:dyDescent="0.25">
      <c r="C757" s="10">
        <f t="shared" si="976"/>
        <v>55</v>
      </c>
      <c r="D757" s="91">
        <f t="shared" si="959"/>
        <v>7</v>
      </c>
      <c r="E757" s="278"/>
      <c r="F757" s="76">
        <f t="shared" ref="F757:Q757" ca="1" si="994">F685</f>
        <v>21.89</v>
      </c>
      <c r="G757" s="46">
        <f t="shared" ca="1" si="994"/>
        <v>27.012600000000003</v>
      </c>
      <c r="H757" s="46">
        <f t="shared" ca="1" si="935"/>
        <v>28.517550000000004</v>
      </c>
      <c r="I757" s="45">
        <f t="shared" ca="1" si="936"/>
        <v>1.3816368002949853</v>
      </c>
      <c r="J757" s="45">
        <f t="shared" ca="1" si="937"/>
        <v>0.27952512346894071</v>
      </c>
      <c r="K757" s="45">
        <f t="shared" ca="1" si="953"/>
        <v>0.90345467800480783</v>
      </c>
      <c r="L757" s="358">
        <f t="shared" ca="1" si="938"/>
        <v>0.9336160920992449</v>
      </c>
      <c r="M757" s="76">
        <f t="shared" ca="1" si="994"/>
        <v>0.25347808785320641</v>
      </c>
      <c r="N757" s="45">
        <f t="shared" ca="1" si="994"/>
        <v>0.25</v>
      </c>
      <c r="O757" s="45">
        <f t="shared" ca="1" si="994"/>
        <v>0</v>
      </c>
      <c r="P757" s="46" t="str">
        <f t="shared" ca="1" si="994"/>
        <v/>
      </c>
      <c r="Q757" s="243" t="str">
        <f t="shared" ca="1" si="994"/>
        <v/>
      </c>
      <c r="R757" s="45">
        <f t="shared" ca="1" si="954"/>
        <v>0.22798653724480192</v>
      </c>
      <c r="S757" s="45">
        <f t="shared" ca="1" si="978"/>
        <v>5.0695617570641283E-2</v>
      </c>
      <c r="T757" s="77">
        <f t="shared" ca="1" si="939"/>
        <v>0.15589601521205412</v>
      </c>
      <c r="U757" s="45">
        <f t="shared" ca="1" si="955"/>
        <v>19.264597305604063</v>
      </c>
      <c r="V757" s="45">
        <f t="shared" ca="1" si="940"/>
        <v>0.20278247028256513</v>
      </c>
      <c r="W757" s="77">
        <f t="shared" ca="1" si="941"/>
        <v>0.65405603897144515</v>
      </c>
      <c r="X757" s="45">
        <f t="shared" ca="1" si="956"/>
        <v>1.0639746428821233</v>
      </c>
      <c r="Y757" s="45">
        <f t="shared" ca="1" si="942"/>
        <v>8.0650936612988708E-2</v>
      </c>
      <c r="Z757" s="77">
        <f t="shared" ca="1" si="943"/>
        <v>7.7855863034860834E-2</v>
      </c>
      <c r="AA757" s="45">
        <f t="shared" ca="1" si="957"/>
        <v>39.200816618098145</v>
      </c>
      <c r="AB757" s="45">
        <f t="shared" ca="1" si="944"/>
        <v>0</v>
      </c>
      <c r="AC757" s="45" cm="1">
        <f t="array" aca="1" ref="AC757" ca="1">pHUM*(T757+W757+Z757+AD757)</f>
        <v>9.4883454838810249E-2</v>
      </c>
      <c r="AD757" s="77">
        <f t="shared" ca="1" si="945"/>
        <v>9.0164965531171967E-2</v>
      </c>
      <c r="AE757" s="45">
        <f t="shared" ca="1" si="958"/>
        <v>6.3847072090583081</v>
      </c>
      <c r="AF757" s="45">
        <f t="shared" ca="1" si="946"/>
        <v>0</v>
      </c>
      <c r="AG757" s="76">
        <f t="shared" ca="1" si="947"/>
        <v>66.142082312887439</v>
      </c>
      <c r="AH757" s="45">
        <f t="shared" ca="1" si="948"/>
        <v>0.80243849129773315</v>
      </c>
      <c r="AI757" s="77">
        <f t="shared" ca="1" si="949"/>
        <v>1.3311445022766384E-2</v>
      </c>
      <c r="AJ757" s="384">
        <f t="shared" ca="1" si="951"/>
        <v>3.9630884348746953E-2</v>
      </c>
      <c r="AU757" s="1"/>
    </row>
    <row r="758" spans="3:47" x14ac:dyDescent="0.25">
      <c r="C758" s="10">
        <f t="shared" si="976"/>
        <v>55</v>
      </c>
      <c r="D758" s="91">
        <f t="shared" si="959"/>
        <v>8</v>
      </c>
      <c r="E758" s="278"/>
      <c r="F758" s="76">
        <f t="shared" ref="F758:Q758" ca="1" si="995">F686</f>
        <v>20.350000000000001</v>
      </c>
      <c r="G758" s="46">
        <f t="shared" ca="1" si="995"/>
        <v>27.012600000000003</v>
      </c>
      <c r="H758" s="46">
        <f t="shared" ca="1" si="935"/>
        <v>28.517550000000004</v>
      </c>
      <c r="I758" s="45">
        <f t="shared" ca="1" si="936"/>
        <v>1.2518642054104028</v>
      </c>
      <c r="J758" s="45">
        <f t="shared" ca="1" si="937"/>
        <v>0.27952512346894071</v>
      </c>
      <c r="K758" s="45">
        <f t="shared" ca="1" si="953"/>
        <v>0.90345467800480783</v>
      </c>
      <c r="L758" s="358">
        <f t="shared" ca="1" si="938"/>
        <v>0.91927514332007565</v>
      </c>
      <c r="M758" s="76">
        <f t="shared" ca="1" si="995"/>
        <v>0.25347808785320641</v>
      </c>
      <c r="N758" s="45">
        <f t="shared" ca="1" si="995"/>
        <v>0.25</v>
      </c>
      <c r="O758" s="45">
        <f t="shared" ca="1" si="995"/>
        <v>0</v>
      </c>
      <c r="P758" s="46" t="str">
        <f t="shared" ca="1" si="995"/>
        <v/>
      </c>
      <c r="Q758" s="243" t="str">
        <f t="shared" ca="1" si="995"/>
        <v/>
      </c>
      <c r="R758" s="45">
        <f t="shared" ca="1" si="954"/>
        <v>0.12278613960338911</v>
      </c>
      <c r="S758" s="45">
        <f t="shared" ca="1" si="978"/>
        <v>5.0695617570641283E-2</v>
      </c>
      <c r="T758" s="77">
        <f t="shared" ca="1" si="939"/>
        <v>7.9526332198068456E-2</v>
      </c>
      <c r="U758" s="45">
        <f t="shared" ca="1" si="955"/>
        <v>18.813323736915184</v>
      </c>
      <c r="V758" s="45">
        <f t="shared" ca="1" si="940"/>
        <v>0.20278247028256513</v>
      </c>
      <c r="W758" s="77">
        <f t="shared" ca="1" si="941"/>
        <v>0.5796749216060233</v>
      </c>
      <c r="X758" s="45">
        <f t="shared" ca="1" si="956"/>
        <v>1.066769716460251</v>
      </c>
      <c r="Y758" s="45">
        <f t="shared" ca="1" si="942"/>
        <v>6.69548523943687E-2</v>
      </c>
      <c r="Z758" s="77">
        <f t="shared" ca="1" si="943"/>
        <v>7.0978241338930645E-2</v>
      </c>
      <c r="AA758" s="45">
        <f t="shared" ca="1" si="957"/>
        <v>39.20553510740578</v>
      </c>
      <c r="AB758" s="45">
        <f t="shared" ca="1" si="944"/>
        <v>0</v>
      </c>
      <c r="AC758" s="45" cm="1">
        <f t="array" aca="1" ref="AC758" ca="1">pHUM*(T758+W758+Z758+AD758)</f>
        <v>7.8770414581610229E-2</v>
      </c>
      <c r="AD758" s="77">
        <f t="shared" ca="1" si="945"/>
        <v>8.1714733989149829E-2</v>
      </c>
      <c r="AE758" s="45">
        <f t="shared" ca="1" si="958"/>
        <v>6.3847072090583081</v>
      </c>
      <c r="AF758" s="45">
        <f t="shared" ca="1" si="946"/>
        <v>0</v>
      </c>
      <c r="AG758" s="76">
        <f t="shared" ca="1" si="947"/>
        <v>65.593121909442914</v>
      </c>
      <c r="AH758" s="45">
        <f t="shared" ca="1" si="948"/>
        <v>0.66616896215619337</v>
      </c>
      <c r="AI758" s="77">
        <f t="shared" ca="1" si="949"/>
        <v>1.1766397949831194E-2</v>
      </c>
      <c r="AJ758" s="384">
        <f t="shared" ca="1" si="951"/>
        <v>3.44930332353377E-2</v>
      </c>
      <c r="AU758" s="1"/>
    </row>
    <row r="759" spans="3:47" x14ac:dyDescent="0.25">
      <c r="C759" s="10">
        <f t="shared" si="976"/>
        <v>55</v>
      </c>
      <c r="D759" s="91">
        <f t="shared" si="959"/>
        <v>9</v>
      </c>
      <c r="E759" s="278"/>
      <c r="F759" s="76">
        <f t="shared" ref="F759:Q759" ca="1" si="996">F687</f>
        <v>17.38</v>
      </c>
      <c r="G759" s="46">
        <f t="shared" ca="1" si="996"/>
        <v>27.012600000000003</v>
      </c>
      <c r="H759" s="46">
        <f t="shared" ca="1" si="935"/>
        <v>28.517550000000004</v>
      </c>
      <c r="I759" s="45">
        <f t="shared" ca="1" si="936"/>
        <v>1.0082864185928893</v>
      </c>
      <c r="J759" s="45">
        <f t="shared" ca="1" si="937"/>
        <v>0.27952512346894071</v>
      </c>
      <c r="K759" s="45">
        <f t="shared" ca="1" si="953"/>
        <v>0.90345467800480783</v>
      </c>
      <c r="L759" s="358">
        <f t="shared" ca="1" si="938"/>
        <v>0.88177917719725518</v>
      </c>
      <c r="M759" s="76">
        <f t="shared" ca="1" si="996"/>
        <v>0.25347808785320641</v>
      </c>
      <c r="N759" s="45">
        <f t="shared" ca="1" si="996"/>
        <v>0.25</v>
      </c>
      <c r="O759" s="45">
        <f t="shared" ca="1" si="996"/>
        <v>0</v>
      </c>
      <c r="P759" s="46" t="str">
        <f t="shared" ca="1" si="996"/>
        <v/>
      </c>
      <c r="Q759" s="243" t="str">
        <f t="shared" ca="1" si="996"/>
        <v/>
      </c>
      <c r="R759" s="45">
        <f t="shared" ca="1" si="954"/>
        <v>9.3955424975961932E-2</v>
      </c>
      <c r="S759" s="45">
        <f t="shared" ca="1" si="978"/>
        <v>5.0695617570641283E-2</v>
      </c>
      <c r="T759" s="77">
        <f t="shared" ca="1" si="939"/>
        <v>5.340355944267039E-2</v>
      </c>
      <c r="U759" s="45">
        <f t="shared" ca="1" si="955"/>
        <v>18.436431285591723</v>
      </c>
      <c r="V759" s="45">
        <f t="shared" ca="1" si="940"/>
        <v>0.20278247028256513</v>
      </c>
      <c r="W759" s="77">
        <f t="shared" ca="1" si="941"/>
        <v>0.45892172534487446</v>
      </c>
      <c r="X759" s="45">
        <f t="shared" ca="1" si="956"/>
        <v>1.062746327515689</v>
      </c>
      <c r="Y759" s="45">
        <f t="shared" ca="1" si="942"/>
        <v>5.2406424994206065E-2</v>
      </c>
      <c r="Z759" s="77">
        <f t="shared" ca="1" si="943"/>
        <v>5.7331037970848368E-2</v>
      </c>
      <c r="AA759" s="45">
        <f t="shared" ca="1" si="957"/>
        <v>39.20259078799824</v>
      </c>
      <c r="AB759" s="45">
        <f t="shared" ca="1" si="944"/>
        <v>0</v>
      </c>
      <c r="AC759" s="45" cm="1">
        <f t="array" aca="1" ref="AC759" ca="1">pHUM*(T759+W759+Z759+AD759)</f>
        <v>6.165461764024243E-2</v>
      </c>
      <c r="AD759" s="77">
        <f t="shared" ca="1" si="945"/>
        <v>6.5823743296125087E-2</v>
      </c>
      <c r="AE759" s="45">
        <f t="shared" ca="1" si="958"/>
        <v>6.3847072090583081</v>
      </c>
      <c r="AF759" s="45">
        <f t="shared" ca="1" si="946"/>
        <v>0</v>
      </c>
      <c r="AG759" s="76">
        <f t="shared" ca="1" si="947"/>
        <v>65.180431035139918</v>
      </c>
      <c r="AH759" s="45">
        <f t="shared" ca="1" si="948"/>
        <v>0.52141902342006974</v>
      </c>
      <c r="AI759" s="77">
        <f t="shared" ca="1" si="949"/>
        <v>1.1276256601714826E-2</v>
      </c>
      <c r="AJ759" s="384">
        <f t="shared" ca="1" si="951"/>
        <v>3.17079574940482E-2</v>
      </c>
      <c r="AU759" s="1"/>
    </row>
    <row r="760" spans="3:47" x14ac:dyDescent="0.25">
      <c r="C760" s="10">
        <f t="shared" si="976"/>
        <v>55</v>
      </c>
      <c r="D760" s="91">
        <f t="shared" si="959"/>
        <v>10</v>
      </c>
      <c r="E760" s="278"/>
      <c r="F760" s="76">
        <f t="shared" ref="F760:Q760" ca="1" si="997">F688</f>
        <v>9.61</v>
      </c>
      <c r="G760" s="46">
        <f t="shared" ca="1" si="997"/>
        <v>27.012600000000003</v>
      </c>
      <c r="H760" s="46">
        <f t="shared" ca="1" si="935"/>
        <v>28.517550000000004</v>
      </c>
      <c r="I760" s="45">
        <f t="shared" ca="1" si="936"/>
        <v>0.45243046736638293</v>
      </c>
      <c r="J760" s="45">
        <f t="shared" ca="1" si="937"/>
        <v>0.27952512346894071</v>
      </c>
      <c r="K760" s="45">
        <f t="shared" ca="1" si="953"/>
        <v>0.90345467800480783</v>
      </c>
      <c r="L760" s="358">
        <f t="shared" ca="1" si="938"/>
        <v>0.70354868513849667</v>
      </c>
      <c r="M760" s="76">
        <f t="shared" ca="1" si="997"/>
        <v>0.25347808785320641</v>
      </c>
      <c r="N760" s="45">
        <f t="shared" ca="1" si="997"/>
        <v>0.25</v>
      </c>
      <c r="O760" s="45">
        <f t="shared" ca="1" si="997"/>
        <v>0</v>
      </c>
      <c r="P760" s="46" t="str">
        <f t="shared" ca="1" si="997"/>
        <v/>
      </c>
      <c r="Q760" s="243" t="str">
        <f t="shared" ca="1" si="997"/>
        <v/>
      </c>
      <c r="R760" s="45">
        <f t="shared" ca="1" si="954"/>
        <v>9.1247483103932825E-2</v>
      </c>
      <c r="S760" s="45">
        <f t="shared" ca="1" si="978"/>
        <v>5.0695617570641283E-2</v>
      </c>
      <c r="T760" s="77">
        <f t="shared" ca="1" si="939"/>
        <v>2.8660956799418685E-2</v>
      </c>
      <c r="U760" s="45">
        <f t="shared" ca="1" si="955"/>
        <v>18.180292030529412</v>
      </c>
      <c r="V760" s="45">
        <f t="shared" ca="1" si="940"/>
        <v>0.20278247028256513</v>
      </c>
      <c r="W760" s="77">
        <f t="shared" ca="1" si="941"/>
        <v>0.20447439003814138</v>
      </c>
      <c r="X760" s="45">
        <f t="shared" ca="1" si="956"/>
        <v>1.0578217145390467</v>
      </c>
      <c r="Y760" s="45">
        <f t="shared" ca="1" si="942"/>
        <v>2.380666407802148E-2</v>
      </c>
      <c r="Z760" s="77">
        <f t="shared" ca="1" si="943"/>
        <v>2.5997691969186353E-2</v>
      </c>
      <c r="AA760" s="45">
        <f t="shared" ca="1" si="957"/>
        <v>39.198421662342355</v>
      </c>
      <c r="AB760" s="45">
        <f t="shared" ca="1" si="944"/>
        <v>0</v>
      </c>
      <c r="AC760" s="45" cm="1">
        <f t="array" aca="1" ref="AC760" ca="1">pHUM*(T760+W760+Z760+AD760)</f>
        <v>2.8007840091789974E-2</v>
      </c>
      <c r="AD760" s="77">
        <f t="shared" ca="1" si="945"/>
        <v>2.9546459222577343E-2</v>
      </c>
      <c r="AE760" s="45">
        <f t="shared" ca="1" si="958"/>
        <v>6.3847072090583081</v>
      </c>
      <c r="AF760" s="45">
        <f t="shared" ca="1" si="946"/>
        <v>0</v>
      </c>
      <c r="AG760" s="76">
        <f t="shared" ca="1" si="947"/>
        <v>64.912490099573048</v>
      </c>
      <c r="AH760" s="45">
        <f t="shared" ca="1" si="948"/>
        <v>0.23686499385951237</v>
      </c>
      <c r="AI760" s="77">
        <f t="shared" ca="1" si="949"/>
        <v>1.1175167327117907E-2</v>
      </c>
      <c r="AJ760" s="384">
        <f t="shared" ca="1" si="951"/>
        <v>2.5072312225938864E-2</v>
      </c>
      <c r="AU760" s="1"/>
    </row>
    <row r="761" spans="3:47" x14ac:dyDescent="0.25">
      <c r="C761" s="10">
        <f t="shared" si="976"/>
        <v>55</v>
      </c>
      <c r="D761" s="91">
        <f t="shared" si="959"/>
        <v>11</v>
      </c>
      <c r="E761" s="278"/>
      <c r="F761" s="76">
        <f t="shared" ref="F761:Q761" ca="1" si="998">F689</f>
        <v>5.71</v>
      </c>
      <c r="G761" s="46">
        <f t="shared" ca="1" si="998"/>
        <v>27.012600000000003</v>
      </c>
      <c r="H761" s="46">
        <f t="shared" ca="1" si="935"/>
        <v>28.517550000000004</v>
      </c>
      <c r="I761" s="45">
        <f t="shared" ca="1" si="936"/>
        <v>0.24617612464957264</v>
      </c>
      <c r="J761" s="45">
        <f t="shared" ca="1" si="937"/>
        <v>0.27952512346894071</v>
      </c>
      <c r="K761" s="45">
        <f t="shared" ca="1" si="953"/>
        <v>0.90345467800480783</v>
      </c>
      <c r="L761" s="358">
        <f t="shared" ca="1" si="938"/>
        <v>0.57043958344737544</v>
      </c>
      <c r="M761" s="76">
        <f t="shared" ca="1" si="998"/>
        <v>0.25347808785320641</v>
      </c>
      <c r="N761" s="45">
        <f t="shared" ca="1" si="998"/>
        <v>0.25</v>
      </c>
      <c r="O761" s="45">
        <f t="shared" ca="1" si="998"/>
        <v>0</v>
      </c>
      <c r="P761" s="46" t="str">
        <f t="shared" ca="1" si="998"/>
        <v/>
      </c>
      <c r="Q761" s="243" t="str">
        <f t="shared" ca="1" si="998"/>
        <v/>
      </c>
      <c r="R761" s="45">
        <f t="shared" ca="1" si="954"/>
        <v>0.11328214387515542</v>
      </c>
      <c r="S761" s="45">
        <f t="shared" ca="1" si="978"/>
        <v>5.0695617570641283E-2</v>
      </c>
      <c r="T761" s="77">
        <f t="shared" ca="1" si="939"/>
        <v>2.1010693094592452E-2</v>
      </c>
      <c r="U761" s="45">
        <f t="shared" ca="1" si="955"/>
        <v>18.178600110773836</v>
      </c>
      <c r="V761" s="45">
        <f t="shared" ca="1" si="940"/>
        <v>0.20278247028256513</v>
      </c>
      <c r="W761" s="77">
        <f t="shared" ca="1" si="941"/>
        <v>0.11153486586031283</v>
      </c>
      <c r="X761" s="45">
        <f t="shared" ca="1" si="956"/>
        <v>1.0556306866478817</v>
      </c>
      <c r="Y761" s="45">
        <f t="shared" ca="1" si="942"/>
        <v>1.3427439708731077E-2</v>
      </c>
      <c r="Z761" s="77">
        <f t="shared" ca="1" si="943"/>
        <v>1.4196583406136616E-2</v>
      </c>
      <c r="AA761" s="45">
        <f t="shared" ca="1" si="957"/>
        <v>39.196883043211564</v>
      </c>
      <c r="AB761" s="45">
        <f t="shared" ca="1" si="944"/>
        <v>0</v>
      </c>
      <c r="AC761" s="45" cm="1">
        <f t="array" aca="1" ref="AC761" ca="1">pHUM*(T761+W761+Z761+AD761)</f>
        <v>1.5796987892624795E-2</v>
      </c>
      <c r="AD761" s="77">
        <f t="shared" ca="1" si="945"/>
        <v>1.607892917724487E-2</v>
      </c>
      <c r="AE761" s="45">
        <f t="shared" ca="1" si="958"/>
        <v>6.3847072090583081</v>
      </c>
      <c r="AF761" s="45">
        <f t="shared" ca="1" si="946"/>
        <v>0</v>
      </c>
      <c r="AG761" s="76">
        <f t="shared" ca="1" si="947"/>
        <v>64.929103193566746</v>
      </c>
      <c r="AH761" s="45">
        <f t="shared" ca="1" si="948"/>
        <v>0.13359664393693091</v>
      </c>
      <c r="AI761" s="77">
        <f t="shared" ca="1" si="949"/>
        <v>1.1482817513069028E-2</v>
      </c>
      <c r="AJ761" s="384">
        <f t="shared" ca="1" si="951"/>
        <v>2.0888441030079141E-2</v>
      </c>
      <c r="AU761" s="1"/>
    </row>
    <row r="762" spans="3:47" x14ac:dyDescent="0.25">
      <c r="C762" s="10">
        <f t="shared" si="976"/>
        <v>55</v>
      </c>
      <c r="D762" s="91">
        <f t="shared" si="959"/>
        <v>12</v>
      </c>
      <c r="E762" s="278"/>
      <c r="F762" s="76">
        <f t="shared" ref="F762:Q762" ca="1" si="999">F690</f>
        <v>-0.46</v>
      </c>
      <c r="G762" s="46">
        <f t="shared" ca="1" si="999"/>
        <v>27.012600000000003</v>
      </c>
      <c r="H762" s="46">
        <f t="shared" ca="1" si="935"/>
        <v>28.517550000000004</v>
      </c>
      <c r="I762" s="45">
        <f t="shared" ca="1" si="936"/>
        <v>5.3686278337302371E-2</v>
      </c>
      <c r="J762" s="45">
        <f t="shared" ca="1" si="937"/>
        <v>0.27952512346894071</v>
      </c>
      <c r="K762" s="45">
        <f t="shared" ca="1" si="953"/>
        <v>0.90345467800480783</v>
      </c>
      <c r="L762" s="358">
        <f t="shared" ca="1" si="938"/>
        <v>0.34604490353891793</v>
      </c>
      <c r="M762" s="76">
        <f t="shared" ca="1" si="999"/>
        <v>0.25347808785320641</v>
      </c>
      <c r="N762" s="45">
        <f t="shared" ca="1" si="999"/>
        <v>0.25</v>
      </c>
      <c r="O762" s="45">
        <f t="shared" ca="1" si="999"/>
        <v>0</v>
      </c>
      <c r="P762" s="46" t="str">
        <f t="shared" ca="1" si="999"/>
        <v/>
      </c>
      <c r="Q762" s="243" t="str">
        <f t="shared" ca="1" si="999"/>
        <v/>
      </c>
      <c r="R762" s="45">
        <f t="shared" ca="1" si="954"/>
        <v>0.14296706835120426</v>
      </c>
      <c r="S762" s="45">
        <f t="shared" ca="1" si="978"/>
        <v>5.0695617570641283E-2</v>
      </c>
      <c r="T762" s="77">
        <f t="shared" ca="1" si="939"/>
        <v>6.255174458432983E-3</v>
      </c>
      <c r="U762" s="45">
        <f t="shared" ca="1" si="955"/>
        <v>18.269847715196086</v>
      </c>
      <c r="V762" s="45">
        <f t="shared" ca="1" si="940"/>
        <v>0.20278247028256513</v>
      </c>
      <c r="W762" s="77">
        <f t="shared" ca="1" si="941"/>
        <v>2.4504555082383597E-2</v>
      </c>
      <c r="X762" s="45">
        <f t="shared" ca="1" si="956"/>
        <v>1.0548615429504762</v>
      </c>
      <c r="Y762" s="45">
        <f t="shared" ca="1" si="942"/>
        <v>3.0823791713626984E-3</v>
      </c>
      <c r="Z762" s="77">
        <f t="shared" ca="1" si="943"/>
        <v>3.1101434816297553E-3</v>
      </c>
      <c r="AA762" s="45">
        <f t="shared" ca="1" si="957"/>
        <v>39.196601101926944</v>
      </c>
      <c r="AB762" s="45">
        <f t="shared" ca="1" si="944"/>
        <v>0</v>
      </c>
      <c r="AC762" s="45" cm="1">
        <f t="array" aca="1" ref="AC762" ca="1">pHUM*(T762+W762+Z762+AD762)</f>
        <v>3.6263284368972925E-3</v>
      </c>
      <c r="AD762" s="77">
        <f t="shared" ca="1" si="945"/>
        <v>3.5070424920005719E-3</v>
      </c>
      <c r="AE762" s="45">
        <f t="shared" ca="1" si="958"/>
        <v>6.3847072090583081</v>
      </c>
      <c r="AF762" s="45">
        <f t="shared" ca="1" si="946"/>
        <v>0</v>
      </c>
      <c r="AG762" s="76">
        <f t="shared" ca="1" si="947"/>
        <v>65.048984637483017</v>
      </c>
      <c r="AH762" s="45">
        <f t="shared" ca="1" si="948"/>
        <v>3.0668207906186917E-2</v>
      </c>
      <c r="AI762" s="77">
        <f t="shared" ca="1" si="949"/>
        <v>1.1919186607633796E-2</v>
      </c>
      <c r="AJ762" s="384">
        <f t="shared" ca="1" si="951"/>
        <v>1.3153161642378564E-2</v>
      </c>
      <c r="AU762" s="1"/>
    </row>
    <row r="763" spans="3:47" x14ac:dyDescent="0.25">
      <c r="C763" s="10">
        <f t="shared" si="976"/>
        <v>56</v>
      </c>
      <c r="D763" s="91">
        <f t="shared" si="959"/>
        <v>1</v>
      </c>
      <c r="E763" s="278"/>
      <c r="F763" s="76">
        <f t="shared" ref="F763:Q763" ca="1" si="1000">F691</f>
        <v>-3.44</v>
      </c>
      <c r="G763" s="46">
        <f t="shared" ca="1" si="1000"/>
        <v>27.012600000000003</v>
      </c>
      <c r="H763" s="46">
        <f t="shared" ca="1" si="935"/>
        <v>28.517550000000004</v>
      </c>
      <c r="I763" s="45">
        <f t="shared" ca="1" si="936"/>
        <v>1.6253779081695344E-2</v>
      </c>
      <c r="J763" s="45">
        <f t="shared" ca="1" si="937"/>
        <v>0.27952512346894071</v>
      </c>
      <c r="K763" s="45">
        <f t="shared" ca="1" si="953"/>
        <v>0.90345467800480783</v>
      </c>
      <c r="L763" s="358">
        <f t="shared" ca="1" si="938"/>
        <v>0.25329647647379749</v>
      </c>
      <c r="M763" s="76">
        <f t="shared" ca="1" si="1000"/>
        <v>0.25347808785320641</v>
      </c>
      <c r="N763" s="45">
        <f t="shared" ca="1" si="1000"/>
        <v>0.25</v>
      </c>
      <c r="O763" s="45">
        <f t="shared" ca="1" si="1000"/>
        <v>0</v>
      </c>
      <c r="P763" s="46" t="str">
        <f t="shared" ca="1" si="1000"/>
        <v/>
      </c>
      <c r="Q763" s="243" t="str">
        <f t="shared" ca="1" si="1000"/>
        <v/>
      </c>
      <c r="R763" s="45">
        <f t="shared" ca="1" si="954"/>
        <v>0.18740751146341256</v>
      </c>
      <c r="S763" s="45">
        <f t="shared" ca="1" si="978"/>
        <v>5.0695617570641283E-2</v>
      </c>
      <c r="T763" s="77">
        <f t="shared" ca="1" si="939"/>
        <v>2.5212865139021302E-3</v>
      </c>
      <c r="U763" s="45">
        <f t="shared" ca="1" si="955"/>
        <v>18.448125630396266</v>
      </c>
      <c r="V763" s="45">
        <f t="shared" ca="1" si="940"/>
        <v>0.20278247028256513</v>
      </c>
      <c r="W763" s="77">
        <f t="shared" ca="1" si="941"/>
        <v>7.4947711291429488E-3</v>
      </c>
      <c r="X763" s="45">
        <f t="shared" ca="1" si="956"/>
        <v>1.0548337786402091</v>
      </c>
      <c r="Y763" s="45">
        <f t="shared" ca="1" si="942"/>
        <v>9.91293762141565E-4</v>
      </c>
      <c r="Z763" s="77">
        <f t="shared" ca="1" si="943"/>
        <v>9.4255557107921081E-4</v>
      </c>
      <c r="AA763" s="45">
        <f t="shared" ca="1" si="957"/>
        <v>39.196720387871835</v>
      </c>
      <c r="AB763" s="45">
        <f t="shared" ca="1" si="944"/>
        <v>0</v>
      </c>
      <c r="AC763" s="45" cm="1">
        <f t="array" aca="1" ref="AC763" ca="1">pHUM*(T763+W763+Z763+AD763)</f>
        <v>1.1662279554606647E-3</v>
      </c>
      <c r="AD763" s="77">
        <f t="shared" ca="1" si="945"/>
        <v>1.0618103410943525E-3</v>
      </c>
      <c r="AE763" s="45">
        <f t="shared" ca="1" si="958"/>
        <v>6.3847072090583081</v>
      </c>
      <c r="AF763" s="45">
        <f t="shared" ca="1" si="946"/>
        <v>0</v>
      </c>
      <c r="AG763" s="76">
        <f t="shared" ca="1" si="947"/>
        <v>65.271794517430024</v>
      </c>
      <c r="AH763" s="45">
        <f t="shared" ca="1" si="948"/>
        <v>9.862901837616414E-3</v>
      </c>
      <c r="AI763" s="77">
        <f t="shared" ca="1" si="949"/>
        <v>1.2578645437816437E-2</v>
      </c>
      <c r="AJ763" s="384">
        <f t="shared" ca="1" si="951"/>
        <v>1.0160505865492997E-2</v>
      </c>
      <c r="AU763" s="1"/>
    </row>
    <row r="764" spans="3:47" x14ac:dyDescent="0.25">
      <c r="C764" s="10">
        <f t="shared" si="976"/>
        <v>56</v>
      </c>
      <c r="D764" s="91">
        <f t="shared" si="959"/>
        <v>2</v>
      </c>
      <c r="E764" s="278"/>
      <c r="F764" s="76">
        <f t="shared" ref="F764:Q764" ca="1" si="1001">F692</f>
        <v>-1.65</v>
      </c>
      <c r="G764" s="46">
        <f t="shared" ca="1" si="1001"/>
        <v>27.012600000000003</v>
      </c>
      <c r="H764" s="46">
        <f t="shared" ca="1" si="935"/>
        <v>28.517550000000004</v>
      </c>
      <c r="I764" s="45">
        <f t="shared" ca="1" si="936"/>
        <v>3.508132091145684E-2</v>
      </c>
      <c r="J764" s="45">
        <f t="shared" ca="1" si="937"/>
        <v>0.27952512346894071</v>
      </c>
      <c r="K764" s="45">
        <f t="shared" ca="1" si="953"/>
        <v>0.90345467800480783</v>
      </c>
      <c r="L764" s="358">
        <f t="shared" ca="1" si="938"/>
        <v>0.30703519550320224</v>
      </c>
      <c r="M764" s="76">
        <f t="shared" ca="1" si="1001"/>
        <v>0.25347808785320641</v>
      </c>
      <c r="N764" s="45">
        <f t="shared" ca="1" si="1001"/>
        <v>0.25</v>
      </c>
      <c r="O764" s="45">
        <f t="shared" ca="1" si="1001"/>
        <v>0</v>
      </c>
      <c r="P764" s="46" t="str">
        <f t="shared" ca="1" si="1001"/>
        <v/>
      </c>
      <c r="Q764" s="243" t="str">
        <f t="shared" ca="1" si="1001"/>
        <v/>
      </c>
      <c r="R764" s="45">
        <f t="shared" ca="1" si="954"/>
        <v>0.23558184252015171</v>
      </c>
      <c r="S764" s="45">
        <f t="shared" ca="1" si="978"/>
        <v>5.0695617570641283E-2</v>
      </c>
      <c r="T764" s="77">
        <f t="shared" ca="1" si="939"/>
        <v>6.7874054706907241E-3</v>
      </c>
      <c r="U764" s="45">
        <f t="shared" ca="1" si="955"/>
        <v>18.643413329549688</v>
      </c>
      <c r="V764" s="45">
        <f t="shared" ca="1" si="940"/>
        <v>0.20278247028256513</v>
      </c>
      <c r="W764" s="77">
        <f t="shared" ca="1" si="941"/>
        <v>1.6343721108293408E-2</v>
      </c>
      <c r="X764" s="45">
        <f t="shared" ca="1" si="956"/>
        <v>1.0548825168312714</v>
      </c>
      <c r="Y764" s="45">
        <f t="shared" ca="1" si="942"/>
        <v>2.2642477912196432E-3</v>
      </c>
      <c r="Z764" s="77">
        <f t="shared" ca="1" si="943"/>
        <v>2.0334046351704296E-3</v>
      </c>
      <c r="AA764" s="45">
        <f t="shared" ca="1" si="957"/>
        <v>39.196824805486202</v>
      </c>
      <c r="AB764" s="45">
        <f t="shared" ca="1" si="944"/>
        <v>0</v>
      </c>
      <c r="AC764" s="45" cm="1">
        <f t="array" aca="1" ref="AC764" ca="1">pHUM*(T764+W764+Z764+AD764)</f>
        <v>2.6638209308466393E-3</v>
      </c>
      <c r="AD764" s="77">
        <f t="shared" ca="1" si="945"/>
        <v>2.2917269848570236E-3</v>
      </c>
      <c r="AE764" s="45">
        <f t="shared" ca="1" si="958"/>
        <v>6.3847072090583081</v>
      </c>
      <c r="AF764" s="45">
        <f t="shared" ca="1" si="946"/>
        <v>0</v>
      </c>
      <c r="AG764" s="76">
        <f t="shared" ca="1" si="947"/>
        <v>65.515409703445613</v>
      </c>
      <c r="AH764" s="45">
        <f t="shared" ca="1" si="948"/>
        <v>2.2528189476945307E-2</v>
      </c>
      <c r="AI764" s="77">
        <f t="shared" ca="1" si="949"/>
        <v>1.328836090154094E-2</v>
      </c>
      <c r="AJ764" s="384">
        <f t="shared" ca="1" si="951"/>
        <v>1.3011001148939272E-2</v>
      </c>
      <c r="AU764" s="1"/>
    </row>
    <row r="765" spans="3:47" x14ac:dyDescent="0.25">
      <c r="C765" s="10">
        <f t="shared" si="976"/>
        <v>56</v>
      </c>
      <c r="D765" s="91">
        <f t="shared" si="959"/>
        <v>3</v>
      </c>
      <c r="E765" s="278"/>
      <c r="F765" s="76">
        <f t="shared" ref="F765:Q765" ca="1" si="1002">F693</f>
        <v>4.68</v>
      </c>
      <c r="G765" s="46">
        <f t="shared" ca="1" si="1002"/>
        <v>27.012600000000003</v>
      </c>
      <c r="H765" s="46">
        <f t="shared" ca="1" si="935"/>
        <v>28.517550000000004</v>
      </c>
      <c r="I765" s="45">
        <f t="shared" ca="1" si="936"/>
        <v>0.20228669449817699</v>
      </c>
      <c r="J765" s="45">
        <f t="shared" ca="1" si="937"/>
        <v>0.27952512346894071</v>
      </c>
      <c r="K765" s="45">
        <f t="shared" ca="1" si="953"/>
        <v>0.90345467800480783</v>
      </c>
      <c r="L765" s="358">
        <f t="shared" ca="1" si="938"/>
        <v>0.53248567772813127</v>
      </c>
      <c r="M765" s="76">
        <f t="shared" ca="1" si="1002"/>
        <v>0.25347808785320641</v>
      </c>
      <c r="N765" s="45">
        <f t="shared" ca="1" si="1002"/>
        <v>0.25</v>
      </c>
      <c r="O765" s="45">
        <f t="shared" ca="1" si="1002"/>
        <v>0</v>
      </c>
      <c r="P765" s="46" t="str">
        <f t="shared" ca="1" si="1002"/>
        <v/>
      </c>
      <c r="Q765" s="243" t="str">
        <f t="shared" ca="1" si="1002"/>
        <v/>
      </c>
      <c r="R765" s="45">
        <f t="shared" ca="1" si="954"/>
        <v>0.27949005462010229</v>
      </c>
      <c r="S765" s="45">
        <f t="shared" ca="1" si="978"/>
        <v>5.0695617570641283E-2</v>
      </c>
      <c r="T765" s="77">
        <f t="shared" ca="1" si="939"/>
        <v>4.3357229787122406E-2</v>
      </c>
      <c r="U765" s="45">
        <f t="shared" ca="1" si="955"/>
        <v>18.82985207872396</v>
      </c>
      <c r="V765" s="45">
        <f t="shared" ca="1" si="940"/>
        <v>0.20278247028256513</v>
      </c>
      <c r="W765" s="77">
        <f t="shared" ca="1" si="941"/>
        <v>9.4985332573523512E-2</v>
      </c>
      <c r="X765" s="45">
        <f t="shared" ca="1" si="956"/>
        <v>1.0551133599873206</v>
      </c>
      <c r="Y765" s="45">
        <f t="shared" ca="1" si="942"/>
        <v>1.3461108543512908E-2</v>
      </c>
      <c r="Z765" s="77">
        <f t="shared" ca="1" si="943"/>
        <v>1.1673885773133635E-2</v>
      </c>
      <c r="AA765" s="45">
        <f t="shared" ca="1" si="957"/>
        <v>39.197196899432193</v>
      </c>
      <c r="AB765" s="45">
        <f t="shared" ca="1" si="944"/>
        <v>0</v>
      </c>
      <c r="AC765" s="45" cm="1">
        <f t="array" aca="1" ref="AC765" ca="1">pHUM*(T765+W765+Z765+AD765)</f>
        <v>1.5836598286485773E-2</v>
      </c>
      <c r="AD765" s="77">
        <f t="shared" ca="1" si="945"/>
        <v>1.3212891538681654E-2</v>
      </c>
      <c r="AE765" s="45">
        <f t="shared" ca="1" si="958"/>
        <v>6.3847072090583081</v>
      </c>
      <c r="AF765" s="45">
        <f t="shared" ca="1" si="946"/>
        <v>0</v>
      </c>
      <c r="AG765" s="76">
        <f t="shared" ca="1" si="947"/>
        <v>65.746359601821879</v>
      </c>
      <c r="AH765" s="45">
        <f t="shared" ca="1" si="948"/>
        <v>0.13393163284246254</v>
      </c>
      <c r="AI765" s="77">
        <f t="shared" ca="1" si="949"/>
        <v>1.3931798455417607E-2</v>
      </c>
      <c r="AJ765" s="384">
        <f t="shared" ca="1" si="951"/>
        <v>2.3657120995824732E-2</v>
      </c>
      <c r="AU765" s="1"/>
    </row>
    <row r="766" spans="3:47" x14ac:dyDescent="0.25">
      <c r="C766" s="10">
        <f t="shared" si="976"/>
        <v>56</v>
      </c>
      <c r="D766" s="91">
        <f t="shared" si="959"/>
        <v>4</v>
      </c>
      <c r="E766" s="278"/>
      <c r="F766" s="76">
        <f t="shared" ref="F766:Q766" ca="1" si="1003">F694</f>
        <v>7.69</v>
      </c>
      <c r="G766" s="46">
        <f t="shared" ca="1" si="1003"/>
        <v>27.012600000000003</v>
      </c>
      <c r="H766" s="46">
        <f t="shared" ca="1" si="935"/>
        <v>28.517550000000004</v>
      </c>
      <c r="I766" s="45">
        <f t="shared" ca="1" si="936"/>
        <v>0.3433111911106958</v>
      </c>
      <c r="J766" s="45">
        <f t="shared" ca="1" si="937"/>
        <v>0.27952512346894071</v>
      </c>
      <c r="K766" s="45">
        <f t="shared" ca="1" si="953"/>
        <v>0.90345467800480783</v>
      </c>
      <c r="L766" s="358">
        <f t="shared" ca="1" si="938"/>
        <v>0.64074183470648283</v>
      </c>
      <c r="M766" s="76">
        <f t="shared" ca="1" si="1003"/>
        <v>0.25347808785320641</v>
      </c>
      <c r="N766" s="45">
        <f t="shared" ca="1" si="1003"/>
        <v>0.25</v>
      </c>
      <c r="O766" s="45">
        <f t="shared" ca="1" si="1003"/>
        <v>0</v>
      </c>
      <c r="P766" s="46" t="str">
        <f t="shared" ca="1" si="1003"/>
        <v/>
      </c>
      <c r="Q766" s="243" t="str">
        <f t="shared" ca="1" si="1003"/>
        <v/>
      </c>
      <c r="R766" s="45">
        <f t="shared" ca="1" si="954"/>
        <v>0.28682844240362115</v>
      </c>
      <c r="S766" s="45">
        <f t="shared" ca="1" si="978"/>
        <v>5.0695617570641283E-2</v>
      </c>
      <c r="T766" s="77">
        <f t="shared" ca="1" si="939"/>
        <v>7.1364922050609986E-2</v>
      </c>
      <c r="U766" s="45">
        <f t="shared" ca="1" si="955"/>
        <v>18.937649216433002</v>
      </c>
      <c r="V766" s="45">
        <f t="shared" ca="1" si="940"/>
        <v>0.20278247028256513</v>
      </c>
      <c r="W766" s="77">
        <f t="shared" ca="1" si="941"/>
        <v>0.16184215146559289</v>
      </c>
      <c r="X766" s="45">
        <f t="shared" ca="1" si="956"/>
        <v>1.0569005827577</v>
      </c>
      <c r="Y766" s="45">
        <f t="shared" ca="1" si="942"/>
        <v>2.2711497086184682E-2</v>
      </c>
      <c r="Z766" s="77">
        <f t="shared" ca="1" si="943"/>
        <v>1.9769288526990544E-2</v>
      </c>
      <c r="AA766" s="45">
        <f t="shared" ca="1" si="957"/>
        <v>39.199820606179998</v>
      </c>
      <c r="AB766" s="45">
        <f t="shared" ca="1" si="944"/>
        <v>0</v>
      </c>
      <c r="AC766" s="45" cm="1">
        <f t="array" aca="1" ref="AC766" ca="1">pHUM*(T766+W766+Z766+AD766)</f>
        <v>2.6719408336687858E-2</v>
      </c>
      <c r="AD766" s="77">
        <f t="shared" ca="1" si="945"/>
        <v>2.2423146130113335E-2</v>
      </c>
      <c r="AE766" s="45">
        <f t="shared" ca="1" si="958"/>
        <v>6.3847072090583081</v>
      </c>
      <c r="AF766" s="45">
        <f t="shared" ca="1" si="946"/>
        <v>0</v>
      </c>
      <c r="AG766" s="76">
        <f t="shared" ca="1" si="947"/>
        <v>65.865906056832628</v>
      </c>
      <c r="AH766" s="45">
        <f t="shared" ca="1" si="948"/>
        <v>0.22596860275043421</v>
      </c>
      <c r="AI766" s="77">
        <f t="shared" ca="1" si="949"/>
        <v>1.4053642411419359E-2</v>
      </c>
      <c r="AJ766" s="384">
        <f t="shared" ca="1" si="951"/>
        <v>2.8715519905868625E-2</v>
      </c>
      <c r="AU766" s="1"/>
    </row>
    <row r="767" spans="3:47" x14ac:dyDescent="0.25">
      <c r="C767" s="10">
        <f t="shared" si="976"/>
        <v>56</v>
      </c>
      <c r="D767" s="91">
        <f t="shared" si="959"/>
        <v>5</v>
      </c>
      <c r="E767" s="278"/>
      <c r="F767" s="76">
        <f t="shared" ref="F767:Q767" ca="1" si="1004">F695</f>
        <v>15.52</v>
      </c>
      <c r="G767" s="46">
        <f t="shared" ca="1" si="1004"/>
        <v>27.012600000000003</v>
      </c>
      <c r="H767" s="46">
        <f t="shared" ca="1" si="935"/>
        <v>28.517550000000004</v>
      </c>
      <c r="I767" s="45">
        <f t="shared" ca="1" si="936"/>
        <v>0.86230369296737164</v>
      </c>
      <c r="J767" s="45">
        <f t="shared" ca="1" si="937"/>
        <v>0.27952512346894071</v>
      </c>
      <c r="K767" s="45">
        <f t="shared" ca="1" si="953"/>
        <v>0.90345467800480783</v>
      </c>
      <c r="L767" s="358">
        <f t="shared" ca="1" si="938"/>
        <v>0.85046529796407655</v>
      </c>
      <c r="M767" s="76">
        <f t="shared" ca="1" si="1004"/>
        <v>0.25347808785320641</v>
      </c>
      <c r="N767" s="45">
        <f t="shared" ca="1" si="1004"/>
        <v>0.25</v>
      </c>
      <c r="O767" s="45">
        <f t="shared" ca="1" si="1004"/>
        <v>0</v>
      </c>
      <c r="P767" s="46" t="str">
        <f t="shared" ca="1" si="1004"/>
        <v/>
      </c>
      <c r="Q767" s="243" t="str">
        <f t="shared" ca="1" si="1004"/>
        <v/>
      </c>
      <c r="R767" s="45">
        <f t="shared" ca="1" si="954"/>
        <v>0.26615913792365242</v>
      </c>
      <c r="S767" s="45">
        <f t="shared" ca="1" si="978"/>
        <v>5.0695617570641283E-2</v>
      </c>
      <c r="T767" s="77">
        <f t="shared" ca="1" si="939"/>
        <v>0.13642231208113587</v>
      </c>
      <c r="U767" s="45">
        <f t="shared" ca="1" si="955"/>
        <v>18.978589535249974</v>
      </c>
      <c r="V767" s="45">
        <f t="shared" ca="1" si="940"/>
        <v>0.20278247028256513</v>
      </c>
      <c r="W767" s="77">
        <f t="shared" ca="1" si="941"/>
        <v>0.4047542574601416</v>
      </c>
      <c r="X767" s="45">
        <f t="shared" ca="1" si="956"/>
        <v>1.0598427913168942</v>
      </c>
      <c r="Y767" s="45">
        <f t="shared" ca="1" si="942"/>
        <v>5.3321042711468841E-2</v>
      </c>
      <c r="Z767" s="77">
        <f t="shared" ca="1" si="943"/>
        <v>4.9091523436758815E-2</v>
      </c>
      <c r="AA767" s="45">
        <f t="shared" ca="1" si="957"/>
        <v>39.204116868386571</v>
      </c>
      <c r="AB767" s="45">
        <f t="shared" ca="1" si="944"/>
        <v>0</v>
      </c>
      <c r="AC767" s="45" cm="1">
        <f t="array" aca="1" ref="AC767" ca="1">pHUM*(T767+W767+Z767+AD767)</f>
        <v>6.2730638484080989E-2</v>
      </c>
      <c r="AD767" s="77">
        <f t="shared" ca="1" si="945"/>
        <v>5.6302623267656837E-2</v>
      </c>
      <c r="AE767" s="45">
        <f t="shared" ca="1" si="958"/>
        <v>6.3847072090583081</v>
      </c>
      <c r="AF767" s="45">
        <f t="shared" ca="1" si="946"/>
        <v>0</v>
      </c>
      <c r="AG767" s="76">
        <f t="shared" ca="1" si="947"/>
        <v>65.893415541935397</v>
      </c>
      <c r="AH767" s="45">
        <f t="shared" ca="1" si="948"/>
        <v>0.53051903505014331</v>
      </c>
      <c r="AI767" s="77">
        <f t="shared" ca="1" si="949"/>
        <v>1.3777740960214968E-2</v>
      </c>
      <c r="AJ767" s="384">
        <f t="shared" ca="1" si="951"/>
        <v>3.7365928010162364E-2</v>
      </c>
      <c r="AU767" s="1"/>
    </row>
    <row r="768" spans="3:47" x14ac:dyDescent="0.25">
      <c r="C768" s="10">
        <f t="shared" si="976"/>
        <v>56</v>
      </c>
      <c r="D768" s="91">
        <f t="shared" si="959"/>
        <v>6</v>
      </c>
      <c r="E768" s="278"/>
      <c r="F768" s="76">
        <f t="shared" ref="F768:Q768" ca="1" si="1005">F696</f>
        <v>17.8</v>
      </c>
      <c r="G768" s="46">
        <f t="shared" ca="1" si="1005"/>
        <v>27.012600000000003</v>
      </c>
      <c r="H768" s="46">
        <f t="shared" ca="1" si="935"/>
        <v>28.517550000000004</v>
      </c>
      <c r="I768" s="45">
        <f t="shared" ca="1" si="936"/>
        <v>1.0420430221807615</v>
      </c>
      <c r="J768" s="45">
        <f t="shared" ca="1" si="937"/>
        <v>0.27952512346894071</v>
      </c>
      <c r="K768" s="45">
        <f t="shared" ca="1" si="953"/>
        <v>0.90345467800480783</v>
      </c>
      <c r="L768" s="358">
        <f t="shared" ca="1" si="938"/>
        <v>0.88796358149435028</v>
      </c>
      <c r="M768" s="76">
        <f t="shared" ca="1" si="1005"/>
        <v>0.25347808785320641</v>
      </c>
      <c r="N768" s="45">
        <f t="shared" ca="1" si="1005"/>
        <v>0.25</v>
      </c>
      <c r="O768" s="45">
        <f t="shared" ca="1" si="1005"/>
        <v>0</v>
      </c>
      <c r="P768" s="46" t="str">
        <f t="shared" ca="1" si="1005"/>
        <v/>
      </c>
      <c r="Q768" s="243" t="str">
        <f t="shared" ca="1" si="1005"/>
        <v/>
      </c>
      <c r="R768" s="45">
        <f t="shared" ca="1" si="954"/>
        <v>0.18043244341315784</v>
      </c>
      <c r="S768" s="45">
        <f t="shared" ca="1" si="978"/>
        <v>5.0695617570641283E-2</v>
      </c>
      <c r="T768" s="77">
        <f t="shared" ca="1" si="939"/>
        <v>0.10471661384205616</v>
      </c>
      <c r="U768" s="45">
        <f t="shared" ca="1" si="955"/>
        <v>18.776617748072397</v>
      </c>
      <c r="V768" s="45">
        <f t="shared" ca="1" si="940"/>
        <v>0.20278247028256513</v>
      </c>
      <c r="W768" s="77">
        <f t="shared" ca="1" si="941"/>
        <v>0.48283460093555108</v>
      </c>
      <c r="X768" s="45">
        <f t="shared" ca="1" si="956"/>
        <v>1.0640723105916041</v>
      </c>
      <c r="Y768" s="45">
        <f t="shared" ca="1" si="942"/>
        <v>5.895271961519042E-2</v>
      </c>
      <c r="Z768" s="77">
        <f t="shared" ca="1" si="943"/>
        <v>5.9269832007392706E-2</v>
      </c>
      <c r="AA768" s="45">
        <f t="shared" ca="1" si="957"/>
        <v>39.210544883602999</v>
      </c>
      <c r="AB768" s="45">
        <f t="shared" ca="1" si="944"/>
        <v>0</v>
      </c>
      <c r="AC768" s="45" cm="1">
        <f t="array" aca="1" ref="AC768" ca="1">pHUM*(T768+W768+Z768+AD768)</f>
        <v>6.9356140723753443E-2</v>
      </c>
      <c r="AD768" s="77">
        <f t="shared" ca="1" si="945"/>
        <v>6.8039357436363315E-2</v>
      </c>
      <c r="AE768" s="45">
        <f t="shared" ca="1" si="958"/>
        <v>6.3847072090583081</v>
      </c>
      <c r="AF768" s="45">
        <f t="shared" ca="1" si="946"/>
        <v>0</v>
      </c>
      <c r="AG768" s="76">
        <f t="shared" ca="1" si="947"/>
        <v>65.61637459473846</v>
      </c>
      <c r="AH768" s="45">
        <f t="shared" ca="1" si="948"/>
        <v>0.58655154388241937</v>
      </c>
      <c r="AI768" s="77">
        <f t="shared" ca="1" si="949"/>
        <v>1.2554951282942208E-2</v>
      </c>
      <c r="AJ768" s="384">
        <f t="shared" ca="1" si="951"/>
        <v>3.5551021969639773E-2</v>
      </c>
      <c r="AU768" s="1"/>
    </row>
    <row r="769" spans="3:47" x14ac:dyDescent="0.25">
      <c r="C769" s="10">
        <f t="shared" si="976"/>
        <v>56</v>
      </c>
      <c r="D769" s="91">
        <f t="shared" si="959"/>
        <v>7</v>
      </c>
      <c r="E769" s="278"/>
      <c r="F769" s="76">
        <f t="shared" ref="F769:Q769" ca="1" si="1006">F697</f>
        <v>22.99</v>
      </c>
      <c r="G769" s="46">
        <f t="shared" ca="1" si="1006"/>
        <v>27.012600000000003</v>
      </c>
      <c r="H769" s="46">
        <f t="shared" ca="1" si="935"/>
        <v>28.517550000000004</v>
      </c>
      <c r="I769" s="45">
        <f t="shared" ca="1" si="936"/>
        <v>1.4752596357037575</v>
      </c>
      <c r="J769" s="45">
        <f t="shared" ca="1" si="937"/>
        <v>0.27952512346894071</v>
      </c>
      <c r="K769" s="45">
        <f t="shared" ca="1" si="953"/>
        <v>0.90345467800480783</v>
      </c>
      <c r="L769" s="358">
        <f t="shared" ca="1" si="938"/>
        <v>0.94206720469222516</v>
      </c>
      <c r="M769" s="76">
        <f t="shared" ca="1" si="1006"/>
        <v>0.25347808785320641</v>
      </c>
      <c r="N769" s="45">
        <f t="shared" ca="1" si="1006"/>
        <v>0.25</v>
      </c>
      <c r="O769" s="45">
        <f t="shared" ca="1" si="1006"/>
        <v>0</v>
      </c>
      <c r="P769" s="46" t="str">
        <f t="shared" ca="1" si="1006"/>
        <v/>
      </c>
      <c r="Q769" s="243" t="str">
        <f t="shared" ca="1" si="1006"/>
        <v/>
      </c>
      <c r="R769" s="45">
        <f t="shared" ca="1" si="954"/>
        <v>0.12641144714174296</v>
      </c>
      <c r="S769" s="45">
        <f t="shared" ca="1" si="978"/>
        <v>5.0695617570641283E-2</v>
      </c>
      <c r="T769" s="77">
        <f t="shared" ca="1" si="939"/>
        <v>8.9439515862024505E-2</v>
      </c>
      <c r="U769" s="45">
        <f t="shared" ca="1" si="955"/>
        <v>18.49656561741941</v>
      </c>
      <c r="V769" s="45">
        <f t="shared" ca="1" si="940"/>
        <v>0.20278247028256513</v>
      </c>
      <c r="W769" s="77">
        <f t="shared" ca="1" si="941"/>
        <v>0.6697542316678381</v>
      </c>
      <c r="X769" s="45">
        <f t="shared" ca="1" si="956"/>
        <v>1.0637551981994018</v>
      </c>
      <c r="Y769" s="45">
        <f t="shared" ca="1" si="942"/>
        <v>7.7386768769475506E-2</v>
      </c>
      <c r="Z769" s="77">
        <f t="shared" ca="1" si="943"/>
        <v>8.2903487683314889E-2</v>
      </c>
      <c r="AA769" s="45">
        <f t="shared" ca="1" si="957"/>
        <v>39.211861666890393</v>
      </c>
      <c r="AB769" s="45">
        <f t="shared" ca="1" si="944"/>
        <v>0</v>
      </c>
      <c r="AC769" s="45" cm="1">
        <f t="array" aca="1" ref="AC769" ca="1">pHUM*(T769+W769+Z769+AD769)</f>
        <v>9.1043257375853545E-2</v>
      </c>
      <c r="AD769" s="77">
        <f t="shared" ca="1" si="945"/>
        <v>9.6294363427809837E-2</v>
      </c>
      <c r="AE769" s="45">
        <f t="shared" ca="1" si="958"/>
        <v>6.3847072090583081</v>
      </c>
      <c r="AF769" s="45">
        <f t="shared" ca="1" si="946"/>
        <v>0</v>
      </c>
      <c r="AG769" s="76">
        <f t="shared" ca="1" si="947"/>
        <v>65.283301138709248</v>
      </c>
      <c r="AH769" s="45">
        <f t="shared" ca="1" si="948"/>
        <v>0.76996157249565833</v>
      </c>
      <c r="AI769" s="77">
        <f t="shared" ca="1" si="949"/>
        <v>1.1742498514630008E-2</v>
      </c>
      <c r="AJ769" s="384">
        <f t="shared" ca="1" si="951"/>
        <v>3.5276412755004261E-2</v>
      </c>
      <c r="AU769" s="1"/>
    </row>
    <row r="770" spans="3:47" x14ac:dyDescent="0.25">
      <c r="C770" s="10">
        <f t="shared" si="976"/>
        <v>56</v>
      </c>
      <c r="D770" s="91">
        <f t="shared" si="959"/>
        <v>8</v>
      </c>
      <c r="E770" s="278"/>
      <c r="F770" s="76">
        <f t="shared" ref="F770:Q770" ca="1" si="1007">F698</f>
        <v>21.76</v>
      </c>
      <c r="G770" s="46">
        <f t="shared" ca="1" si="1007"/>
        <v>27.012600000000003</v>
      </c>
      <c r="H770" s="46">
        <f t="shared" ca="1" si="935"/>
        <v>28.517550000000004</v>
      </c>
      <c r="I770" s="45">
        <f t="shared" ca="1" si="936"/>
        <v>1.3706166748122235</v>
      </c>
      <c r="J770" s="45">
        <f t="shared" ca="1" si="937"/>
        <v>0.27952512346894071</v>
      </c>
      <c r="K770" s="45">
        <f t="shared" ca="1" si="953"/>
        <v>0.90345467800480783</v>
      </c>
      <c r="L770" s="358">
        <f t="shared" ca="1" si="938"/>
        <v>0.93252308258228611</v>
      </c>
      <c r="M770" s="76">
        <f t="shared" ca="1" si="1007"/>
        <v>0.25347808785320641</v>
      </c>
      <c r="N770" s="45">
        <f t="shared" ca="1" si="1007"/>
        <v>0.25</v>
      </c>
      <c r="O770" s="45">
        <f t="shared" ca="1" si="1007"/>
        <v>0</v>
      </c>
      <c r="P770" s="46" t="str">
        <f t="shared" ca="1" si="1007"/>
        <v/>
      </c>
      <c r="Q770" s="243" t="str">
        <f t="shared" ca="1" si="1007"/>
        <v/>
      </c>
      <c r="R770" s="45">
        <f t="shared" ca="1" si="954"/>
        <v>8.7667548850359739E-2</v>
      </c>
      <c r="S770" s="45">
        <f t="shared" ca="1" si="978"/>
        <v>5.0695617570641283E-2</v>
      </c>
      <c r="T770" s="77">
        <f t="shared" ca="1" si="939"/>
        <v>5.9690870583984493E-2</v>
      </c>
      <c r="U770" s="45">
        <f t="shared" ca="1" si="955"/>
        <v>18.029593856034136</v>
      </c>
      <c r="V770" s="45">
        <f t="shared" ca="1" si="940"/>
        <v>0.20278247028256513</v>
      </c>
      <c r="W770" s="77">
        <f t="shared" ca="1" si="941"/>
        <v>0.60732697187390328</v>
      </c>
      <c r="X770" s="45">
        <f t="shared" ca="1" si="956"/>
        <v>1.0582384792855626</v>
      </c>
      <c r="Y770" s="45">
        <f t="shared" ca="1" si="942"/>
        <v>6.8721711286481676E-2</v>
      </c>
      <c r="Z770" s="77">
        <f t="shared" ca="1" si="943"/>
        <v>7.6841470588538352E-2</v>
      </c>
      <c r="AA770" s="45">
        <f t="shared" ca="1" si="957"/>
        <v>39.206610560838435</v>
      </c>
      <c r="AB770" s="45">
        <f t="shared" ca="1" si="944"/>
        <v>0</v>
      </c>
      <c r="AC770" s="45" cm="1">
        <f t="array" aca="1" ref="AC770" ca="1">pHUM*(T770+W770+Z770+AD770)</f>
        <v>8.084907210174315E-2</v>
      </c>
      <c r="AD770" s="77">
        <f t="shared" ca="1" si="945"/>
        <v>8.9459838804536784E-2</v>
      </c>
      <c r="AE770" s="45">
        <f t="shared" ca="1" si="958"/>
        <v>6.3847072090583081</v>
      </c>
      <c r="AF770" s="45">
        <f t="shared" ca="1" si="946"/>
        <v>0</v>
      </c>
      <c r="AG770" s="76">
        <f t="shared" ca="1" si="947"/>
        <v>64.766817654066799</v>
      </c>
      <c r="AH770" s="45">
        <f t="shared" ca="1" si="948"/>
        <v>0.68374836846273823</v>
      </c>
      <c r="AI770" s="77">
        <f t="shared" ca="1" si="949"/>
        <v>1.1088047339684159E-2</v>
      </c>
      <c r="AJ770" s="384">
        <f t="shared" ca="1" si="951"/>
        <v>3.2972936186345114E-2</v>
      </c>
      <c r="AU770" s="1"/>
    </row>
    <row r="771" spans="3:47" x14ac:dyDescent="0.25">
      <c r="C771" s="10">
        <f t="shared" si="976"/>
        <v>56</v>
      </c>
      <c r="D771" s="91">
        <f t="shared" si="959"/>
        <v>9</v>
      </c>
      <c r="E771" s="278"/>
      <c r="F771" s="76">
        <f t="shared" ref="F771:Q771" ca="1" si="1008">F699</f>
        <v>16.16</v>
      </c>
      <c r="G771" s="46">
        <f t="shared" ca="1" si="1008"/>
        <v>27.012600000000003</v>
      </c>
      <c r="H771" s="46">
        <f t="shared" ca="1" si="935"/>
        <v>28.517550000000004</v>
      </c>
      <c r="I771" s="45">
        <f t="shared" ca="1" si="936"/>
        <v>0.91183635166446475</v>
      </c>
      <c r="J771" s="45">
        <f t="shared" ca="1" si="937"/>
        <v>0.27952512346894071</v>
      </c>
      <c r="K771" s="45">
        <f t="shared" ca="1" si="953"/>
        <v>0.90345467800480783</v>
      </c>
      <c r="L771" s="358">
        <f t="shared" ca="1" si="938"/>
        <v>0.86198800670670384</v>
      </c>
      <c r="M771" s="76">
        <f t="shared" ca="1" si="1008"/>
        <v>0.25347808785320641</v>
      </c>
      <c r="N771" s="45">
        <f t="shared" ca="1" si="1008"/>
        <v>0.25</v>
      </c>
      <c r="O771" s="45">
        <f t="shared" ca="1" si="1008"/>
        <v>0</v>
      </c>
      <c r="P771" s="46" t="str">
        <f t="shared" ca="1" si="1008"/>
        <v/>
      </c>
      <c r="Q771" s="243" t="str">
        <f t="shared" ca="1" si="1008"/>
        <v/>
      </c>
      <c r="R771" s="45">
        <f t="shared" ca="1" si="954"/>
        <v>7.8672295837016529E-2</v>
      </c>
      <c r="S771" s="45">
        <f t="shared" ca="1" si="978"/>
        <v>5.0695617570641283E-2</v>
      </c>
      <c r="T771" s="77">
        <f t="shared" ca="1" si="939"/>
        <v>4.1874886484751211E-2</v>
      </c>
      <c r="U771" s="45">
        <f t="shared" ca="1" si="955"/>
        <v>17.625049354442798</v>
      </c>
      <c r="V771" s="45">
        <f t="shared" ca="1" si="940"/>
        <v>0.20278247028256513</v>
      </c>
      <c r="W771" s="77">
        <f t="shared" ca="1" si="941"/>
        <v>0.39723415884486685</v>
      </c>
      <c r="X771" s="45">
        <f t="shared" ca="1" si="956"/>
        <v>1.050118719983506</v>
      </c>
      <c r="Y771" s="45">
        <f t="shared" ca="1" si="942"/>
        <v>4.5357083864627556E-2</v>
      </c>
      <c r="Z771" s="77">
        <f t="shared" ca="1" si="943"/>
        <v>5.136571674878166E-2</v>
      </c>
      <c r="AA771" s="45">
        <f t="shared" ca="1" si="957"/>
        <v>39.19799979413564</v>
      </c>
      <c r="AB771" s="45">
        <f t="shared" ca="1" si="944"/>
        <v>0</v>
      </c>
      <c r="AC771" s="45" cm="1">
        <f t="array" aca="1" ref="AC771" ca="1">pHUM*(T771+W771+Z771+AD771)</f>
        <v>5.3361275134855952E-2</v>
      </c>
      <c r="AD771" s="77">
        <f t="shared" ca="1" si="945"/>
        <v>5.9525026182686742E-2</v>
      </c>
      <c r="AE771" s="45">
        <f t="shared" ca="1" si="958"/>
        <v>6.3847072090583081</v>
      </c>
      <c r="AF771" s="45">
        <f t="shared" ca="1" si="946"/>
        <v>0</v>
      </c>
      <c r="AG771" s="76">
        <f t="shared" ca="1" si="947"/>
        <v>64.336547373457265</v>
      </c>
      <c r="AH771" s="45">
        <f t="shared" ca="1" si="948"/>
        <v>0.45128142926160297</v>
      </c>
      <c r="AI771" s="77">
        <f t="shared" ca="1" si="949"/>
        <v>1.0858550959948263E-2</v>
      </c>
      <c r="AJ771" s="384">
        <f t="shared" ca="1" si="951"/>
        <v>2.9848144427654377E-2</v>
      </c>
      <c r="AU771" s="1"/>
    </row>
    <row r="772" spans="3:47" x14ac:dyDescent="0.25">
      <c r="C772" s="10">
        <f t="shared" si="976"/>
        <v>56</v>
      </c>
      <c r="D772" s="91">
        <f t="shared" si="959"/>
        <v>10</v>
      </c>
      <c r="E772" s="278"/>
      <c r="F772" s="76">
        <f t="shared" ref="F772:Q772" ca="1" si="1009">F700</f>
        <v>11.21</v>
      </c>
      <c r="G772" s="46">
        <f t="shared" ca="1" si="1009"/>
        <v>27.012600000000003</v>
      </c>
      <c r="H772" s="46">
        <f t="shared" ca="1" si="935"/>
        <v>28.517550000000004</v>
      </c>
      <c r="I772" s="45">
        <f t="shared" ca="1" si="936"/>
        <v>0.55341948356365211</v>
      </c>
      <c r="J772" s="45">
        <f t="shared" ca="1" si="937"/>
        <v>0.27952512346894071</v>
      </c>
      <c r="K772" s="45">
        <f t="shared" ca="1" si="953"/>
        <v>0.90345467800480783</v>
      </c>
      <c r="L772" s="358">
        <f t="shared" ca="1" si="938"/>
        <v>0.75061725573145499</v>
      </c>
      <c r="M772" s="76">
        <f t="shared" ca="1" si="1009"/>
        <v>0.25347808785320641</v>
      </c>
      <c r="N772" s="45">
        <f t="shared" ca="1" si="1009"/>
        <v>0.25</v>
      </c>
      <c r="O772" s="45">
        <f t="shared" ca="1" si="1009"/>
        <v>0</v>
      </c>
      <c r="P772" s="46" t="str">
        <f t="shared" ca="1" si="1009"/>
        <v/>
      </c>
      <c r="Q772" s="243" t="str">
        <f t="shared" ca="1" si="1009"/>
        <v/>
      </c>
      <c r="R772" s="45">
        <f t="shared" ca="1" si="954"/>
        <v>8.7493026922906586E-2</v>
      </c>
      <c r="S772" s="45">
        <f t="shared" ca="1" si="978"/>
        <v>5.0695617570641283E-2</v>
      </c>
      <c r="T772" s="77">
        <f t="shared" ca="1" si="939"/>
        <v>3.2325406484756646E-2</v>
      </c>
      <c r="U772" s="45">
        <f t="shared" ca="1" si="955"/>
        <v>17.430597665880494</v>
      </c>
      <c r="V772" s="45">
        <f t="shared" ca="1" si="940"/>
        <v>0.20278247028256513</v>
      </c>
      <c r="W772" s="77">
        <f t="shared" ca="1" si="941"/>
        <v>0.23950018765536188</v>
      </c>
      <c r="X772" s="45">
        <f t="shared" ca="1" si="956"/>
        <v>1.0441100870993518</v>
      </c>
      <c r="Y772" s="45">
        <f t="shared" ca="1" si="942"/>
        <v>2.7977912213378461E-2</v>
      </c>
      <c r="Z772" s="77">
        <f t="shared" ca="1" si="943"/>
        <v>3.1301896237998519E-2</v>
      </c>
      <c r="AA772" s="45">
        <f t="shared" ca="1" si="957"/>
        <v>39.191836043087811</v>
      </c>
      <c r="AB772" s="45">
        <f t="shared" ca="1" si="944"/>
        <v>0</v>
      </c>
      <c r="AC772" s="45" cm="1">
        <f t="array" aca="1" ref="AC772" ca="1">pHUM*(T772+W772+Z772+AD772)</f>
        <v>3.2915190839268776E-2</v>
      </c>
      <c r="AD772" s="77">
        <f t="shared" ca="1" si="945"/>
        <v>3.6132543165306438E-2</v>
      </c>
      <c r="AE772" s="45">
        <f t="shared" ca="1" si="958"/>
        <v>6.3847072090583081</v>
      </c>
      <c r="AF772" s="45">
        <f t="shared" ca="1" si="946"/>
        <v>0</v>
      </c>
      <c r="AG772" s="76">
        <f t="shared" ca="1" si="947"/>
        <v>64.138744032048876</v>
      </c>
      <c r="AH772" s="45">
        <f t="shared" ca="1" si="948"/>
        <v>0.27836693049077627</v>
      </c>
      <c r="AI772" s="77">
        <f t="shared" ca="1" si="949"/>
        <v>1.0932942763469145E-2</v>
      </c>
      <c r="AJ772" s="384">
        <f t="shared" ca="1" si="951"/>
        <v>2.6169857990250289E-2</v>
      </c>
      <c r="AU772" s="1"/>
    </row>
    <row r="773" spans="3:47" x14ac:dyDescent="0.25">
      <c r="C773" s="10">
        <f t="shared" si="976"/>
        <v>56</v>
      </c>
      <c r="D773" s="91">
        <f t="shared" si="959"/>
        <v>11</v>
      </c>
      <c r="E773" s="278"/>
      <c r="F773" s="76">
        <f t="shared" ref="F773:Q773" ca="1" si="1010">F701</f>
        <v>1.8</v>
      </c>
      <c r="G773" s="46">
        <f t="shared" ca="1" si="1010"/>
        <v>27.012600000000003</v>
      </c>
      <c r="H773" s="46">
        <f t="shared" ca="1" si="935"/>
        <v>28.517550000000004</v>
      </c>
      <c r="I773" s="45">
        <f t="shared" ca="1" si="936"/>
        <v>0.10471759589279002</v>
      </c>
      <c r="J773" s="45">
        <f t="shared" ca="1" si="937"/>
        <v>0.27952512346894071</v>
      </c>
      <c r="K773" s="45">
        <f t="shared" ca="1" si="953"/>
        <v>0.90345467800480783</v>
      </c>
      <c r="L773" s="358">
        <f t="shared" ca="1" si="938"/>
        <v>0.42572038710161686</v>
      </c>
      <c r="M773" s="76">
        <f t="shared" ca="1" si="1010"/>
        <v>0.25347808785320641</v>
      </c>
      <c r="N773" s="45">
        <f t="shared" ca="1" si="1010"/>
        <v>0.25</v>
      </c>
      <c r="O773" s="45">
        <f t="shared" ca="1" si="1010"/>
        <v>0</v>
      </c>
      <c r="P773" s="46" t="str">
        <f t="shared" ca="1" si="1010"/>
        <v/>
      </c>
      <c r="Q773" s="243" t="str">
        <f t="shared" ca="1" si="1010"/>
        <v/>
      </c>
      <c r="R773" s="45">
        <f t="shared" ca="1" si="954"/>
        <v>0.10586323800879122</v>
      </c>
      <c r="S773" s="45">
        <f t="shared" ca="1" si="978"/>
        <v>5.0695617570641283E-2</v>
      </c>
      <c r="T773" s="77">
        <f t="shared" ca="1" si="939"/>
        <v>8.8465126159825002E-3</v>
      </c>
      <c r="U773" s="45">
        <f t="shared" ca="1" si="955"/>
        <v>17.393879948507696</v>
      </c>
      <c r="V773" s="45">
        <f t="shared" ca="1" si="940"/>
        <v>0.20278247028256513</v>
      </c>
      <c r="W773" s="77">
        <f t="shared" ca="1" si="941"/>
        <v>4.5476578838099573E-2</v>
      </c>
      <c r="X773" s="45">
        <f t="shared" ca="1" si="956"/>
        <v>1.0407861030747318</v>
      </c>
      <c r="Y773" s="45">
        <f t="shared" ca="1" si="942"/>
        <v>5.5367993148580878E-3</v>
      </c>
      <c r="Z773" s="77">
        <f t="shared" ca="1" si="943"/>
        <v>5.9771449110979794E-3</v>
      </c>
      <c r="AA773" s="45">
        <f t="shared" ca="1" si="957"/>
        <v>39.188618690761771</v>
      </c>
      <c r="AB773" s="45">
        <f t="shared" ca="1" si="944"/>
        <v>0</v>
      </c>
      <c r="AC773" s="45" cm="1">
        <f t="array" aca="1" ref="AC773" ca="1">pHUM*(T773+W773+Z773+AD773)</f>
        <v>6.5138815468918686E-3</v>
      </c>
      <c r="AD773" s="77">
        <f t="shared" ca="1" si="945"/>
        <v>6.8389664086330624E-3</v>
      </c>
      <c r="AE773" s="45">
        <f t="shared" ca="1" si="958"/>
        <v>6.3847072090583081</v>
      </c>
      <c r="AF773" s="45">
        <f t="shared" ca="1" si="946"/>
        <v>0</v>
      </c>
      <c r="AG773" s="76">
        <f t="shared" ca="1" si="947"/>
        <v>64.113855189411296</v>
      </c>
      <c r="AH773" s="45">
        <f t="shared" ca="1" si="948"/>
        <v>5.5088521912063169E-2</v>
      </c>
      <c r="AI773" s="77">
        <f t="shared" ca="1" si="949"/>
        <v>1.1183673871186482E-2</v>
      </c>
      <c r="AJ773" s="384">
        <f t="shared" ca="1" si="951"/>
        <v>1.5183055915265475E-2</v>
      </c>
      <c r="AU773" s="1"/>
    </row>
    <row r="774" spans="3:47" x14ac:dyDescent="0.25">
      <c r="C774" s="10">
        <f t="shared" si="976"/>
        <v>56</v>
      </c>
      <c r="D774" s="91">
        <f t="shared" si="959"/>
        <v>12</v>
      </c>
      <c r="E774" s="278"/>
      <c r="F774" s="76">
        <f t="shared" ref="F774:Q774" ca="1" si="1011">F702</f>
        <v>-0.63</v>
      </c>
      <c r="G774" s="46">
        <f t="shared" ca="1" si="1011"/>
        <v>27.012600000000003</v>
      </c>
      <c r="H774" s="46">
        <f t="shared" ca="1" si="935"/>
        <v>28.517550000000004</v>
      </c>
      <c r="I774" s="45">
        <f t="shared" ca="1" si="936"/>
        <v>5.069926650983797E-2</v>
      </c>
      <c r="J774" s="45">
        <f t="shared" ca="1" si="937"/>
        <v>0.27952512346894071</v>
      </c>
      <c r="K774" s="45">
        <f t="shared" ca="1" si="953"/>
        <v>0.90345467800480783</v>
      </c>
      <c r="L774" s="358">
        <f t="shared" ca="1" si="938"/>
        <v>0.3403279781726225</v>
      </c>
      <c r="M774" s="76">
        <f t="shared" ca="1" si="1011"/>
        <v>0.25347808785320641</v>
      </c>
      <c r="N774" s="45">
        <f t="shared" ca="1" si="1011"/>
        <v>0.25</v>
      </c>
      <c r="O774" s="45">
        <f t="shared" ca="1" si="1011"/>
        <v>0</v>
      </c>
      <c r="P774" s="46" t="str">
        <f t="shared" ca="1" si="1011"/>
        <v/>
      </c>
      <c r="Q774" s="243" t="str">
        <f t="shared" ca="1" si="1011"/>
        <v/>
      </c>
      <c r="R774" s="45">
        <f t="shared" ca="1" si="954"/>
        <v>0.14771234296345001</v>
      </c>
      <c r="S774" s="45">
        <f t="shared" ca="1" si="978"/>
        <v>5.0695617570641283E-2</v>
      </c>
      <c r="T774" s="77">
        <f t="shared" ca="1" si="939"/>
        <v>6.1107593251454049E-3</v>
      </c>
      <c r="U774" s="45">
        <f t="shared" ca="1" si="955"/>
        <v>17.551185839952161</v>
      </c>
      <c r="V774" s="45">
        <f t="shared" ca="1" si="940"/>
        <v>0.20278247028256513</v>
      </c>
      <c r="W774" s="77">
        <f t="shared" ca="1" si="941"/>
        <v>2.2231714090327051E-2</v>
      </c>
      <c r="X774" s="45">
        <f t="shared" ca="1" si="956"/>
        <v>1.040345757478492</v>
      </c>
      <c r="Y774" s="45">
        <f t="shared" ca="1" si="942"/>
        <v>2.8493015815441564E-3</v>
      </c>
      <c r="Z774" s="77">
        <f t="shared" ca="1" si="943"/>
        <v>2.8969213239349607E-3</v>
      </c>
      <c r="AA774" s="45">
        <f t="shared" ca="1" si="957"/>
        <v>39.188293605900036</v>
      </c>
      <c r="AB774" s="45">
        <f t="shared" ca="1" si="944"/>
        <v>0</v>
      </c>
      <c r="AC774" s="45" cm="1">
        <f t="array" aca="1" ref="AC774" ca="1">pHUM*(T774+W774+Z774+AD774)</f>
        <v>3.3521195076990076E-3</v>
      </c>
      <c r="AD774" s="77">
        <f t="shared" ca="1" si="945"/>
        <v>3.3112230035336043E-3</v>
      </c>
      <c r="AE774" s="45">
        <f t="shared" ca="1" si="958"/>
        <v>6.3847072090583081</v>
      </c>
      <c r="AF774" s="45">
        <f t="shared" ca="1" si="946"/>
        <v>0</v>
      </c>
      <c r="AG774" s="76">
        <f t="shared" ca="1" si="947"/>
        <v>64.312244755352452</v>
      </c>
      <c r="AH774" s="45">
        <f t="shared" ca="1" si="948"/>
        <v>2.834919665369786E-2</v>
      </c>
      <c r="AI774" s="77">
        <f t="shared" ca="1" si="949"/>
        <v>1.1814866183908998E-2</v>
      </c>
      <c r="AJ774" s="384">
        <f t="shared" ca="1" si="951"/>
        <v>1.2822646715181518E-2</v>
      </c>
      <c r="AU774" s="1"/>
    </row>
    <row r="775" spans="3:47" x14ac:dyDescent="0.25">
      <c r="C775" s="10">
        <f t="shared" si="976"/>
        <v>57</v>
      </c>
      <c r="D775" s="91">
        <f t="shared" si="959"/>
        <v>1</v>
      </c>
      <c r="E775" s="278"/>
      <c r="F775" s="76">
        <f t="shared" ref="F775:Q775" ca="1" si="1012">F703</f>
        <v>-5.04</v>
      </c>
      <c r="G775" s="46">
        <f t="shared" ca="1" si="1012"/>
        <v>27.012600000000003</v>
      </c>
      <c r="H775" s="46">
        <f t="shared" ca="1" si="935"/>
        <v>28.517550000000004</v>
      </c>
      <c r="I775" s="45">
        <f t="shared" ca="1" si="936"/>
        <v>6.847402527399577E-3</v>
      </c>
      <c r="J775" s="45">
        <f t="shared" ca="1" si="937"/>
        <v>0.27952512346894071</v>
      </c>
      <c r="K775" s="45">
        <f t="shared" ca="1" si="953"/>
        <v>0.90345467800480783</v>
      </c>
      <c r="L775" s="358">
        <f t="shared" ca="1" si="938"/>
        <v>0.21084054547214914</v>
      </c>
      <c r="M775" s="76">
        <f t="shared" ca="1" si="1012"/>
        <v>0.25347808785320641</v>
      </c>
      <c r="N775" s="45">
        <f t="shared" ca="1" si="1012"/>
        <v>0.25</v>
      </c>
      <c r="O775" s="45">
        <f t="shared" ca="1" si="1012"/>
        <v>0</v>
      </c>
      <c r="P775" s="46" t="str">
        <f t="shared" ca="1" si="1012"/>
        <v/>
      </c>
      <c r="Q775" s="243" t="str">
        <f t="shared" ca="1" si="1012"/>
        <v/>
      </c>
      <c r="R775" s="45">
        <f t="shared" ca="1" si="954"/>
        <v>0.19229720120894589</v>
      </c>
      <c r="S775" s="45">
        <f t="shared" ca="1" si="978"/>
        <v>5.0695617570641283E-2</v>
      </c>
      <c r="T775" s="77">
        <f t="shared" ca="1" si="939"/>
        <v>1.0941555975497383E-3</v>
      </c>
      <c r="U775" s="45">
        <f t="shared" ca="1" si="955"/>
        <v>17.731736596144398</v>
      </c>
      <c r="V775" s="45">
        <f t="shared" ca="1" si="940"/>
        <v>0.20278247028256513</v>
      </c>
      <c r="W775" s="77">
        <f t="shared" ca="1" si="941"/>
        <v>3.0351486561214064E-3</v>
      </c>
      <c r="X775" s="45">
        <f t="shared" ca="1" si="956"/>
        <v>1.0402981377361011</v>
      </c>
      <c r="Y775" s="45">
        <f t="shared" ca="1" si="942"/>
        <v>4.0971829509978694E-4</v>
      </c>
      <c r="Z775" s="77">
        <f t="shared" ca="1" si="943"/>
        <v>3.9170994035727671E-4</v>
      </c>
      <c r="AA775" s="45">
        <f t="shared" ca="1" si="957"/>
        <v>39.188334502404196</v>
      </c>
      <c r="AB775" s="45">
        <f t="shared" ca="1" si="944"/>
        <v>0</v>
      </c>
      <c r="AC775" s="45" cm="1">
        <f t="array" aca="1" ref="AC775" ca="1">pHUM*(T775+W775+Z775+AD775)</f>
        <v>4.8202152364680822E-4</v>
      </c>
      <c r="AD775" s="77">
        <f t="shared" ca="1" si="945"/>
        <v>4.4722794923059367E-4</v>
      </c>
      <c r="AE775" s="45">
        <f t="shared" ca="1" si="958"/>
        <v>6.3847072090583081</v>
      </c>
      <c r="AF775" s="45">
        <f t="shared" ca="1" si="946"/>
        <v>0</v>
      </c>
      <c r="AG775" s="76">
        <f t="shared" ca="1" si="947"/>
        <v>64.537373646551941</v>
      </c>
      <c r="AH775" s="45">
        <f t="shared" ca="1" si="948"/>
        <v>4.0765023245124214E-3</v>
      </c>
      <c r="AI775" s="77">
        <f t="shared" ca="1" si="949"/>
        <v>1.2485607547694949E-2</v>
      </c>
      <c r="AJ775" s="384">
        <f t="shared" ca="1" si="951"/>
        <v>8.394925400576625E-3</v>
      </c>
      <c r="AU775" s="1"/>
    </row>
    <row r="776" spans="3:47" x14ac:dyDescent="0.25">
      <c r="C776" s="10">
        <f t="shared" si="976"/>
        <v>57</v>
      </c>
      <c r="D776" s="91">
        <f t="shared" si="959"/>
        <v>2</v>
      </c>
      <c r="E776" s="278"/>
      <c r="F776" s="76">
        <f t="shared" ref="F776:Q776" ca="1" si="1013">F704</f>
        <v>-4.4400000000000004</v>
      </c>
      <c r="G776" s="46">
        <f t="shared" ca="1" si="1013"/>
        <v>27.012600000000003</v>
      </c>
      <c r="H776" s="46">
        <f t="shared" ca="1" si="935"/>
        <v>28.517550000000004</v>
      </c>
      <c r="I776" s="45">
        <f t="shared" ca="1" si="936"/>
        <v>9.6941753008840392E-3</v>
      </c>
      <c r="J776" s="45">
        <f t="shared" ca="1" si="937"/>
        <v>0.27952512346894071</v>
      </c>
      <c r="K776" s="45">
        <f t="shared" ca="1" si="953"/>
        <v>0.90345467800480783</v>
      </c>
      <c r="L776" s="358">
        <f t="shared" ca="1" si="938"/>
        <v>0.22612365929309886</v>
      </c>
      <c r="M776" s="76">
        <f t="shared" ca="1" si="1013"/>
        <v>0.25347808785320641</v>
      </c>
      <c r="N776" s="45">
        <f t="shared" ca="1" si="1013"/>
        <v>0.25</v>
      </c>
      <c r="O776" s="45">
        <f t="shared" ca="1" si="1013"/>
        <v>0</v>
      </c>
      <c r="P776" s="46" t="str">
        <f t="shared" ca="1" si="1013"/>
        <v/>
      </c>
      <c r="Q776" s="243" t="str">
        <f t="shared" ca="1" si="1013"/>
        <v/>
      </c>
      <c r="R776" s="45">
        <f t="shared" ca="1" si="954"/>
        <v>0.24189866318203743</v>
      </c>
      <c r="S776" s="45">
        <f t="shared" ca="1" si="978"/>
        <v>5.0695617570641283E-2</v>
      </c>
      <c r="T776" s="77">
        <f t="shared" ca="1" si="939"/>
        <v>1.9463012095627269E-3</v>
      </c>
      <c r="U776" s="45">
        <f t="shared" ca="1" si="955"/>
        <v>17.931483917770841</v>
      </c>
      <c r="V776" s="45">
        <f t="shared" ca="1" si="940"/>
        <v>0.20278247028256513</v>
      </c>
      <c r="W776" s="77">
        <f t="shared" ca="1" si="941"/>
        <v>4.3452471464841529E-3</v>
      </c>
      <c r="X776" s="45">
        <f t="shared" ca="1" si="956"/>
        <v>1.0403161460908437</v>
      </c>
      <c r="Y776" s="45">
        <f t="shared" ca="1" si="942"/>
        <v>6.1679354452340502E-4</v>
      </c>
      <c r="Z776" s="77">
        <f t="shared" ca="1" si="943"/>
        <v>5.54527545334306E-4</v>
      </c>
      <c r="AA776" s="45">
        <f t="shared" ca="1" si="957"/>
        <v>39.18836929597861</v>
      </c>
      <c r="AB776" s="45">
        <f t="shared" ca="1" si="944"/>
        <v>0</v>
      </c>
      <c r="AC776" s="45" cm="1">
        <f t="array" aca="1" ref="AC776" ca="1">pHUM*(T776+W776+Z776+AD776)</f>
        <v>7.2563946414518239E-4</v>
      </c>
      <c r="AD776" s="77">
        <f t="shared" ca="1" si="945"/>
        <v>6.3315975453444046E-4</v>
      </c>
      <c r="AE776" s="45">
        <f t="shared" ca="1" si="958"/>
        <v>6.3847072090583081</v>
      </c>
      <c r="AF776" s="45">
        <f t="shared" ca="1" si="946"/>
        <v>0</v>
      </c>
      <c r="AG776" s="76">
        <f t="shared" ca="1" si="947"/>
        <v>64.786775232080643</v>
      </c>
      <c r="AH776" s="45">
        <f t="shared" ca="1" si="948"/>
        <v>6.1368026472470392E-3</v>
      </c>
      <c r="AI776" s="77">
        <f t="shared" ca="1" si="949"/>
        <v>1.3225570262679386E-2</v>
      </c>
      <c r="AJ776" s="384">
        <f t="shared" ca="1" si="951"/>
        <v>9.5370261684513125E-3</v>
      </c>
      <c r="AU776" s="1"/>
    </row>
    <row r="777" spans="3:47" x14ac:dyDescent="0.25">
      <c r="C777" s="10">
        <f t="shared" si="976"/>
        <v>57</v>
      </c>
      <c r="D777" s="91">
        <f t="shared" si="959"/>
        <v>3</v>
      </c>
      <c r="E777" s="278"/>
      <c r="F777" s="76">
        <f t="shared" ref="F777:Q777" ca="1" si="1014">F705</f>
        <v>-0.82</v>
      </c>
      <c r="G777" s="46">
        <f t="shared" ca="1" si="1014"/>
        <v>27.012600000000003</v>
      </c>
      <c r="H777" s="46">
        <f t="shared" ca="1" si="935"/>
        <v>28.517550000000004</v>
      </c>
      <c r="I777" s="45">
        <f t="shared" ca="1" si="936"/>
        <v>4.749388171975074E-2</v>
      </c>
      <c r="J777" s="45">
        <f t="shared" ca="1" si="937"/>
        <v>0.27952512346894071</v>
      </c>
      <c r="K777" s="45">
        <f t="shared" ca="1" si="953"/>
        <v>0.90345467800480783</v>
      </c>
      <c r="L777" s="358">
        <f t="shared" ca="1" si="938"/>
        <v>0.33399301288143546</v>
      </c>
      <c r="M777" s="76">
        <f t="shared" ca="1" si="1014"/>
        <v>0.25347808785320641</v>
      </c>
      <c r="N777" s="45">
        <f t="shared" ca="1" si="1014"/>
        <v>0.25</v>
      </c>
      <c r="O777" s="45">
        <f t="shared" ca="1" si="1014"/>
        <v>0</v>
      </c>
      <c r="P777" s="46" t="str">
        <f t="shared" ca="1" si="1014"/>
        <v/>
      </c>
      <c r="Q777" s="243" t="str">
        <f t="shared" ca="1" si="1014"/>
        <v/>
      </c>
      <c r="R777" s="45">
        <f t="shared" ca="1" si="954"/>
        <v>0.29064797954311594</v>
      </c>
      <c r="S777" s="45">
        <f t="shared" ca="1" si="978"/>
        <v>5.0695617570641283E-2</v>
      </c>
      <c r="T777" s="77">
        <f t="shared" ca="1" si="939"/>
        <v>1.1278666868164679E-2</v>
      </c>
      <c r="U777" s="45">
        <f t="shared" ca="1" si="955"/>
        <v>18.129921140906919</v>
      </c>
      <c r="V777" s="45">
        <f t="shared" ca="1" si="940"/>
        <v>0.20278247028256513</v>
      </c>
      <c r="W777" s="77">
        <f t="shared" ca="1" si="941"/>
        <v>2.1513733594890252E-2</v>
      </c>
      <c r="X777" s="45">
        <f t="shared" ca="1" si="956"/>
        <v>1.0403784120900328</v>
      </c>
      <c r="Y777" s="45">
        <f t="shared" ca="1" si="942"/>
        <v>3.183935749856124E-3</v>
      </c>
      <c r="Z777" s="77">
        <f t="shared" ca="1" si="943"/>
        <v>2.7140921391364324E-3</v>
      </c>
      <c r="AA777" s="45">
        <f t="shared" ca="1" si="957"/>
        <v>39.188461775688218</v>
      </c>
      <c r="AB777" s="45">
        <f t="shared" ca="1" si="944"/>
        <v>0</v>
      </c>
      <c r="AC777" s="45" cm="1">
        <f t="array" aca="1" ref="AC777" ca="1">pHUM*(T777+W777+Z777+AD777)</f>
        <v>3.7458067645366167E-3</v>
      </c>
      <c r="AD777" s="77">
        <f t="shared" ca="1" si="945"/>
        <v>3.1018975113415938E-3</v>
      </c>
      <c r="AE777" s="45">
        <f t="shared" ca="1" si="958"/>
        <v>6.3847072090583081</v>
      </c>
      <c r="AF777" s="45">
        <f t="shared" ca="1" si="946"/>
        <v>0</v>
      </c>
      <c r="AG777" s="76">
        <f t="shared" ca="1" si="947"/>
        <v>65.034116517286591</v>
      </c>
      <c r="AH777" s="45">
        <f t="shared" ca="1" si="948"/>
        <v>3.1678647599140214E-2</v>
      </c>
      <c r="AI777" s="77">
        <f t="shared" ca="1" si="949"/>
        <v>1.3947107113517128E-2</v>
      </c>
      <c r="AJ777" s="384">
        <f t="shared" ca="1" si="951"/>
        <v>1.4854974176892188E-2</v>
      </c>
      <c r="AU777" s="1"/>
    </row>
    <row r="778" spans="3:47" x14ac:dyDescent="0.25">
      <c r="C778" s="10">
        <f t="shared" si="976"/>
        <v>57</v>
      </c>
      <c r="D778" s="91">
        <f t="shared" si="959"/>
        <v>4</v>
      </c>
      <c r="E778" s="278"/>
      <c r="F778" s="76">
        <f t="shared" ref="F778:Q778" ca="1" si="1015">F706</f>
        <v>6.18</v>
      </c>
      <c r="G778" s="46">
        <f t="shared" ca="1" si="1015"/>
        <v>27.012600000000003</v>
      </c>
      <c r="H778" s="46">
        <f t="shared" ca="1" si="935"/>
        <v>28.517550000000004</v>
      </c>
      <c r="I778" s="45">
        <f t="shared" ca="1" si="936"/>
        <v>0.26773980091806004</v>
      </c>
      <c r="J778" s="45">
        <f t="shared" ca="1" si="937"/>
        <v>0.27952512346894071</v>
      </c>
      <c r="K778" s="45">
        <f t="shared" ca="1" si="953"/>
        <v>0.90345467800480783</v>
      </c>
      <c r="L778" s="358">
        <f t="shared" ca="1" si="938"/>
        <v>0.58750950384279488</v>
      </c>
      <c r="M778" s="76">
        <f t="shared" ca="1" si="1015"/>
        <v>0.25347808785320641</v>
      </c>
      <c r="N778" s="45">
        <f t="shared" ca="1" si="1015"/>
        <v>0.25</v>
      </c>
      <c r="O778" s="45">
        <f t="shared" ca="1" si="1015"/>
        <v>0</v>
      </c>
      <c r="P778" s="46" t="str">
        <f t="shared" ca="1" si="1015"/>
        <v/>
      </c>
      <c r="Q778" s="243" t="str">
        <f t="shared" ca="1" si="1015"/>
        <v/>
      </c>
      <c r="R778" s="45">
        <f t="shared" ca="1" si="954"/>
        <v>0.33006493024559252</v>
      </c>
      <c r="S778" s="45">
        <f t="shared" ca="1" si="978"/>
        <v>5.0695617570641283E-2</v>
      </c>
      <c r="T778" s="77">
        <f t="shared" ca="1" si="939"/>
        <v>6.6005843202412762E-2</v>
      </c>
      <c r="U778" s="45">
        <f t="shared" ca="1" si="955"/>
        <v>18.311189877594593</v>
      </c>
      <c r="V778" s="45">
        <f t="shared" ca="1" si="940"/>
        <v>0.20278247028256513</v>
      </c>
      <c r="W778" s="77">
        <f t="shared" ca="1" si="941"/>
        <v>0.12215657501640703</v>
      </c>
      <c r="X778" s="45">
        <f t="shared" ca="1" si="956"/>
        <v>1.0408482557007526</v>
      </c>
      <c r="Y778" s="45">
        <f t="shared" ca="1" si="942"/>
        <v>1.8213836527831161E-2</v>
      </c>
      <c r="Z778" s="77">
        <f t="shared" ca="1" si="943"/>
        <v>1.5214907821547394E-2</v>
      </c>
      <c r="AA778" s="45">
        <f t="shared" ca="1" si="957"/>
        <v>39.18910568494141</v>
      </c>
      <c r="AB778" s="45">
        <f t="shared" ca="1" si="944"/>
        <v>0</v>
      </c>
      <c r="AC778" s="45" cm="1">
        <f t="array" aca="1" ref="AC778" ca="1">pHUM*(T778+W778+Z778+AD778)</f>
        <v>2.1428042973919016E-2</v>
      </c>
      <c r="AD778" s="77">
        <f t="shared" ca="1" si="945"/>
        <v>1.7483571093753262E-2</v>
      </c>
      <c r="AE778" s="45">
        <f t="shared" ca="1" si="958"/>
        <v>6.3847072090583081</v>
      </c>
      <c r="AF778" s="45">
        <f t="shared" ca="1" si="946"/>
        <v>0</v>
      </c>
      <c r="AG778" s="76">
        <f t="shared" ca="1" si="947"/>
        <v>65.255915957540651</v>
      </c>
      <c r="AH778" s="45">
        <f t="shared" ca="1" si="948"/>
        <v>0.18121901763237028</v>
      </c>
      <c r="AI778" s="77">
        <f t="shared" ca="1" si="949"/>
        <v>1.452994942464164E-2</v>
      </c>
      <c r="AJ778" s="384">
        <f t="shared" ca="1" si="951"/>
        <v>2.7222268623902091E-2</v>
      </c>
      <c r="AU778" s="1"/>
    </row>
    <row r="779" spans="3:47" x14ac:dyDescent="0.25">
      <c r="C779" s="10">
        <f t="shared" si="976"/>
        <v>57</v>
      </c>
      <c r="D779" s="91">
        <f t="shared" si="959"/>
        <v>5</v>
      </c>
      <c r="E779" s="278"/>
      <c r="F779" s="76">
        <f t="shared" ref="F779:Q779" ca="1" si="1016">F707</f>
        <v>13.58</v>
      </c>
      <c r="G779" s="46">
        <f t="shared" ca="1" si="1016"/>
        <v>27.012600000000003</v>
      </c>
      <c r="H779" s="46">
        <f t="shared" ca="1" si="935"/>
        <v>28.517550000000004</v>
      </c>
      <c r="I779" s="45">
        <f t="shared" ca="1" si="936"/>
        <v>0.71743035359667851</v>
      </c>
      <c r="J779" s="45">
        <f t="shared" ca="1" si="937"/>
        <v>0.27952512346894071</v>
      </c>
      <c r="K779" s="45">
        <f t="shared" ca="1" si="953"/>
        <v>0.90345467800480783</v>
      </c>
      <c r="L779" s="358">
        <f t="shared" ca="1" si="938"/>
        <v>0.81042644426030708</v>
      </c>
      <c r="M779" s="76">
        <f t="shared" ca="1" si="1016"/>
        <v>0.25347808785320641</v>
      </c>
      <c r="N779" s="45">
        <f t="shared" ca="1" si="1016"/>
        <v>0.25</v>
      </c>
      <c r="O779" s="45">
        <f t="shared" ca="1" si="1016"/>
        <v>0</v>
      </c>
      <c r="P779" s="46" t="str">
        <f t="shared" ca="1" si="1016"/>
        <v/>
      </c>
      <c r="Q779" s="243" t="str">
        <f t="shared" ca="1" si="1016"/>
        <v/>
      </c>
      <c r="R779" s="45">
        <f t="shared" ca="1" si="954"/>
        <v>0.31475470461382105</v>
      </c>
      <c r="S779" s="45">
        <f t="shared" ca="1" si="978"/>
        <v>5.0695617570641283E-2</v>
      </c>
      <c r="T779" s="77">
        <f t="shared" ca="1" si="939"/>
        <v>0.14164336103755834</v>
      </c>
      <c r="U779" s="45">
        <f t="shared" ca="1" si="955"/>
        <v>18.391815772860749</v>
      </c>
      <c r="V779" s="45">
        <f t="shared" ca="1" si="940"/>
        <v>0.20278247028256513</v>
      </c>
      <c r="W779" s="77">
        <f t="shared" ca="1" si="941"/>
        <v>0.32693053453511045</v>
      </c>
      <c r="X779" s="45">
        <f t="shared" ca="1" si="956"/>
        <v>1.0438471844070365</v>
      </c>
      <c r="Y779" s="45">
        <f t="shared" ca="1" si="942"/>
        <v>4.5835121627751385E-2</v>
      </c>
      <c r="Z779" s="77">
        <f t="shared" ca="1" si="943"/>
        <v>4.0386776763178624E-2</v>
      </c>
      <c r="AA779" s="45">
        <f t="shared" ca="1" si="957"/>
        <v>39.19305015682157</v>
      </c>
      <c r="AB779" s="45">
        <f t="shared" ca="1" si="944"/>
        <v>0</v>
      </c>
      <c r="AC779" s="45" cm="1">
        <f t="array" aca="1" ref="AC779" ca="1">pHUM*(T779+W779+Z779+AD779)</f>
        <v>5.392367250323693E-2</v>
      </c>
      <c r="AD779" s="77">
        <f t="shared" ca="1" si="945"/>
        <v>4.6835799620417035E-2</v>
      </c>
      <c r="AE779" s="45">
        <f t="shared" ca="1" si="958"/>
        <v>6.3847072090583081</v>
      </c>
      <c r="AF779" s="45">
        <f t="shared" ca="1" si="946"/>
        <v>0</v>
      </c>
      <c r="AG779" s="76">
        <f t="shared" ca="1" si="947"/>
        <v>65.328175027761489</v>
      </c>
      <c r="AH779" s="45">
        <f t="shared" ca="1" si="948"/>
        <v>0.45603767782527621</v>
      </c>
      <c r="AI779" s="77">
        <f t="shared" ca="1" si="949"/>
        <v>1.4332789674030523E-2</v>
      </c>
      <c r="AJ779" s="384">
        <f t="shared" ca="1" si="951"/>
        <v>3.7041249193994208E-2</v>
      </c>
      <c r="AU779" s="1"/>
    </row>
    <row r="780" spans="3:47" x14ac:dyDescent="0.25">
      <c r="C780" s="10">
        <f t="shared" si="976"/>
        <v>57</v>
      </c>
      <c r="D780" s="91">
        <f t="shared" si="959"/>
        <v>6</v>
      </c>
      <c r="E780" s="278"/>
      <c r="F780" s="76">
        <f t="shared" ref="F780:Q780" ca="1" si="1017">F708</f>
        <v>18.37</v>
      </c>
      <c r="G780" s="46">
        <f t="shared" ca="1" si="1017"/>
        <v>27.012600000000003</v>
      </c>
      <c r="H780" s="46">
        <f t="shared" ca="1" si="935"/>
        <v>28.517550000000004</v>
      </c>
      <c r="I780" s="45">
        <f t="shared" ca="1" si="936"/>
        <v>1.0882596087882719</v>
      </c>
      <c r="J780" s="45">
        <f t="shared" ca="1" si="937"/>
        <v>0.27952512346894071</v>
      </c>
      <c r="K780" s="45">
        <f t="shared" ca="1" si="953"/>
        <v>0.90345467800480783</v>
      </c>
      <c r="L780" s="358">
        <f t="shared" ca="1" si="938"/>
        <v>0.89586760620832129</v>
      </c>
      <c r="M780" s="76">
        <f t="shared" ca="1" si="1017"/>
        <v>0.25347808785320641</v>
      </c>
      <c r="N780" s="45">
        <f t="shared" ca="1" si="1017"/>
        <v>0.25</v>
      </c>
      <c r="O780" s="45">
        <f t="shared" ca="1" si="1017"/>
        <v>0</v>
      </c>
      <c r="P780" s="46" t="str">
        <f t="shared" ca="1" si="1017"/>
        <v/>
      </c>
      <c r="Q780" s="243" t="str">
        <f t="shared" ca="1" si="1017"/>
        <v/>
      </c>
      <c r="R780" s="45">
        <f t="shared" ca="1" si="954"/>
        <v>0.22380696114690399</v>
      </c>
      <c r="S780" s="45">
        <f t="shared" ca="1" si="978"/>
        <v>5.0695617570641283E-2</v>
      </c>
      <c r="T780" s="77">
        <f t="shared" ca="1" si="939"/>
        <v>0.1334379969187959</v>
      </c>
      <c r="U780" s="45">
        <f t="shared" ca="1" si="955"/>
        <v>18.267667708608201</v>
      </c>
      <c r="V780" s="45">
        <f t="shared" ca="1" si="940"/>
        <v>0.20278247028256513</v>
      </c>
      <c r="W780" s="77">
        <f t="shared" ca="1" si="941"/>
        <v>0.4902992197520385</v>
      </c>
      <c r="X780" s="45">
        <f t="shared" ca="1" si="956"/>
        <v>1.0492955292716093</v>
      </c>
      <c r="Y780" s="45">
        <f t="shared" ca="1" si="942"/>
        <v>6.232353188188005E-2</v>
      </c>
      <c r="Z780" s="77">
        <f t="shared" ca="1" si="943"/>
        <v>6.096220361693052E-2</v>
      </c>
      <c r="AA780" s="45">
        <f t="shared" ca="1" si="957"/>
        <v>39.200138029704391</v>
      </c>
      <c r="AB780" s="45">
        <f t="shared" ca="1" si="944"/>
        <v>0</v>
      </c>
      <c r="AC780" s="45" cm="1">
        <f t="array" aca="1" ref="AC780" ca="1">pHUM*(T780+W780+Z780+AD780)</f>
        <v>7.3321802213976536E-2</v>
      </c>
      <c r="AD780" s="77">
        <f t="shared" ca="1" si="945"/>
        <v>7.1035437822222366E-2</v>
      </c>
      <c r="AE780" s="45">
        <f t="shared" ca="1" si="958"/>
        <v>6.3847072090583081</v>
      </c>
      <c r="AF780" s="45">
        <f t="shared" ca="1" si="946"/>
        <v>0</v>
      </c>
      <c r="AG780" s="76">
        <f t="shared" ca="1" si="947"/>
        <v>65.125615437789406</v>
      </c>
      <c r="AH780" s="45">
        <f t="shared" ca="1" si="948"/>
        <v>0.62008952401413064</v>
      </c>
      <c r="AI780" s="77">
        <f t="shared" ca="1" si="949"/>
        <v>1.304444099127763E-2</v>
      </c>
      <c r="AJ780" s="384">
        <f t="shared" ca="1" si="951"/>
        <v>3.7265804966649663E-2</v>
      </c>
      <c r="AU780" s="1"/>
    </row>
    <row r="781" spans="3:47" x14ac:dyDescent="0.25">
      <c r="C781" s="10">
        <f t="shared" si="976"/>
        <v>57</v>
      </c>
      <c r="D781" s="91">
        <f t="shared" si="959"/>
        <v>7</v>
      </c>
      <c r="E781" s="278"/>
      <c r="F781" s="76">
        <f t="shared" ref="F781:Q781" ca="1" si="1018">F709</f>
        <v>22.71</v>
      </c>
      <c r="G781" s="46">
        <f t="shared" ca="1" si="1018"/>
        <v>27.012600000000003</v>
      </c>
      <c r="H781" s="46">
        <f t="shared" ca="1" si="935"/>
        <v>28.517550000000004</v>
      </c>
      <c r="I781" s="45">
        <f t="shared" ca="1" si="936"/>
        <v>1.4513708414333564</v>
      </c>
      <c r="J781" s="45">
        <f t="shared" ca="1" si="937"/>
        <v>0.27952512346894071</v>
      </c>
      <c r="K781" s="45">
        <f t="shared" ca="1" si="953"/>
        <v>0.90345467800480783</v>
      </c>
      <c r="L781" s="358">
        <f t="shared" ca="1" si="938"/>
        <v>0.94004721434733285</v>
      </c>
      <c r="M781" s="76">
        <f t="shared" ca="1" si="1018"/>
        <v>0.25347808785320641</v>
      </c>
      <c r="N781" s="45">
        <f t="shared" ca="1" si="1018"/>
        <v>0.25</v>
      </c>
      <c r="O781" s="45">
        <f t="shared" ca="1" si="1018"/>
        <v>0</v>
      </c>
      <c r="P781" s="46" t="str">
        <f t="shared" ca="1" si="1018"/>
        <v/>
      </c>
      <c r="Q781" s="243" t="str">
        <f t="shared" ca="1" si="1018"/>
        <v/>
      </c>
      <c r="R781" s="45">
        <f t="shared" ca="1" si="954"/>
        <v>0.14106458179874934</v>
      </c>
      <c r="S781" s="45">
        <f t="shared" ca="1" si="978"/>
        <v>5.0695617570641283E-2</v>
      </c>
      <c r="T781" s="77">
        <f t="shared" ca="1" si="939"/>
        <v>9.8977446831495092E-2</v>
      </c>
      <c r="U781" s="45">
        <f t="shared" ca="1" si="955"/>
        <v>17.980150959138726</v>
      </c>
      <c r="V781" s="45">
        <f t="shared" ca="1" si="940"/>
        <v>0.20278247028256513</v>
      </c>
      <c r="W781" s="77">
        <f t="shared" ca="1" si="941"/>
        <v>0.64070266463874326</v>
      </c>
      <c r="X781" s="45">
        <f t="shared" ca="1" si="956"/>
        <v>1.0506568575365587</v>
      </c>
      <c r="Y781" s="45">
        <f t="shared" ca="1" si="942"/>
        <v>7.5457991051833206E-2</v>
      </c>
      <c r="Z781" s="77">
        <f t="shared" ca="1" si="943"/>
        <v>8.0608978717798319E-2</v>
      </c>
      <c r="AA781" s="45">
        <f t="shared" ca="1" si="957"/>
        <v>39.202424394096141</v>
      </c>
      <c r="AB781" s="45">
        <f t="shared" ca="1" si="944"/>
        <v>0</v>
      </c>
      <c r="AC781" s="45" cm="1">
        <f t="array" aca="1" ref="AC781" ca="1">pHUM*(T781+W781+Z781+AD781)</f>
        <v>8.8774107119803783E-2</v>
      </c>
      <c r="AD781" s="77">
        <f t="shared" ca="1" si="945"/>
        <v>9.4714158807896215E-2</v>
      </c>
      <c r="AE781" s="45">
        <f t="shared" ca="1" si="958"/>
        <v>6.3847072090583081</v>
      </c>
      <c r="AF781" s="45">
        <f t="shared" ca="1" si="946"/>
        <v>0</v>
      </c>
      <c r="AG781" s="76">
        <f t="shared" ca="1" si="947"/>
        <v>64.759004001628483</v>
      </c>
      <c r="AH781" s="45">
        <f t="shared" ca="1" si="948"/>
        <v>0.75077115082429602</v>
      </c>
      <c r="AI781" s="77">
        <f t="shared" ca="1" si="949"/>
        <v>1.1823373149166727E-2</v>
      </c>
      <c r="AJ781" s="384">
        <f t="shared" ca="1" si="951"/>
        <v>3.5443206978920117E-2</v>
      </c>
      <c r="AU781" s="1"/>
    </row>
    <row r="782" spans="3:47" x14ac:dyDescent="0.25">
      <c r="C782" s="10">
        <f t="shared" si="976"/>
        <v>57</v>
      </c>
      <c r="D782" s="91">
        <f t="shared" si="959"/>
        <v>8</v>
      </c>
      <c r="E782" s="278"/>
      <c r="F782" s="76">
        <f t="shared" ref="F782:Q782" ca="1" si="1019">F710</f>
        <v>19.329999999999998</v>
      </c>
      <c r="G782" s="46">
        <f t="shared" ca="1" si="1019"/>
        <v>27.012600000000003</v>
      </c>
      <c r="H782" s="46">
        <f t="shared" ca="1" si="935"/>
        <v>28.517550000000004</v>
      </c>
      <c r="I782" s="45">
        <f t="shared" ca="1" si="936"/>
        <v>1.1670427279291871</v>
      </c>
      <c r="J782" s="45">
        <f t="shared" ca="1" si="937"/>
        <v>0.27952512346894071</v>
      </c>
      <c r="K782" s="45">
        <f t="shared" ca="1" si="953"/>
        <v>0.90345467800480783</v>
      </c>
      <c r="L782" s="358">
        <f t="shared" ca="1" si="938"/>
        <v>0.9079689727892073</v>
      </c>
      <c r="M782" s="76">
        <f t="shared" ca="1" si="1019"/>
        <v>0.25347808785320641</v>
      </c>
      <c r="N782" s="45">
        <f t="shared" ca="1" si="1019"/>
        <v>0.25</v>
      </c>
      <c r="O782" s="45">
        <f t="shared" ca="1" si="1019"/>
        <v>0</v>
      </c>
      <c r="P782" s="46" t="str">
        <f t="shared" ca="1" si="1019"/>
        <v/>
      </c>
      <c r="Q782" s="243" t="str">
        <f t="shared" ca="1" si="1019"/>
        <v/>
      </c>
      <c r="R782" s="45">
        <f t="shared" ca="1" si="954"/>
        <v>9.278275253789553E-2</v>
      </c>
      <c r="S782" s="45">
        <f t="shared" ca="1" si="978"/>
        <v>5.0695617570641283E-2</v>
      </c>
      <c r="T782" s="77">
        <f t="shared" ca="1" si="939"/>
        <v>5.7699455138857644E-2</v>
      </c>
      <c r="U782" s="45">
        <f t="shared" ca="1" si="955"/>
        <v>17.542230764782545</v>
      </c>
      <c r="V782" s="45">
        <f t="shared" ca="1" si="940"/>
        <v>0.20278247028256513</v>
      </c>
      <c r="W782" s="77">
        <f t="shared" ca="1" si="941"/>
        <v>0.50441905731096093</v>
      </c>
      <c r="X782" s="45">
        <f t="shared" ca="1" si="956"/>
        <v>1.0455058698705935</v>
      </c>
      <c r="Y782" s="45">
        <f t="shared" ca="1" si="942"/>
        <v>5.7998061118434772E-2</v>
      </c>
      <c r="Z782" s="77">
        <f t="shared" ca="1" si="943"/>
        <v>6.4999851940086201E-2</v>
      </c>
      <c r="AA782" s="45">
        <f t="shared" ca="1" si="957"/>
        <v>39.196484342408048</v>
      </c>
      <c r="AB782" s="45">
        <f t="shared" ca="1" si="944"/>
        <v>0</v>
      </c>
      <c r="AC782" s="45" cm="1">
        <f t="array" aca="1" ref="AC782" ca="1">pHUM*(T782+W782+Z782+AD782)</f>
        <v>6.8233013080511495E-2</v>
      </c>
      <c r="AD782" s="77">
        <f t="shared" ca="1" si="945"/>
        <v>7.6165855334140414E-2</v>
      </c>
      <c r="AE782" s="45">
        <f t="shared" ca="1" si="958"/>
        <v>6.3847072090583081</v>
      </c>
      <c r="AF782" s="45">
        <f t="shared" ca="1" si="946"/>
        <v>0</v>
      </c>
      <c r="AG782" s="76">
        <f t="shared" ca="1" si="947"/>
        <v>64.261710938657387</v>
      </c>
      <c r="AH782" s="45">
        <f t="shared" ca="1" si="948"/>
        <v>0.57705314552509901</v>
      </c>
      <c r="AI782" s="77">
        <f t="shared" ca="1" si="949"/>
        <v>1.1035557909990138E-2</v>
      </c>
      <c r="AJ782" s="384">
        <f t="shared" ca="1" si="951"/>
        <v>3.1952782271235103E-2</v>
      </c>
      <c r="AU782" s="1"/>
    </row>
    <row r="783" spans="3:47" x14ac:dyDescent="0.25">
      <c r="C783" s="10">
        <f t="shared" si="976"/>
        <v>57</v>
      </c>
      <c r="D783" s="91">
        <f t="shared" si="959"/>
        <v>9</v>
      </c>
      <c r="E783" s="278"/>
      <c r="F783" s="76">
        <f t="shared" ref="F783:Q783" ca="1" si="1020">F711</f>
        <v>15.36</v>
      </c>
      <c r="G783" s="46">
        <f t="shared" ca="1" si="1020"/>
        <v>27.012600000000003</v>
      </c>
      <c r="H783" s="46">
        <f t="shared" ca="1" si="935"/>
        <v>28.517550000000004</v>
      </c>
      <c r="I783" s="45">
        <f t="shared" ca="1" si="936"/>
        <v>0.85004563012661705</v>
      </c>
      <c r="J783" s="45">
        <f t="shared" ca="1" si="937"/>
        <v>0.27952512346894071</v>
      </c>
      <c r="K783" s="45">
        <f t="shared" ca="1" si="953"/>
        <v>0.90345467800480783</v>
      </c>
      <c r="L783" s="358">
        <f t="shared" ca="1" si="938"/>
        <v>0.84745728919304408</v>
      </c>
      <c r="M783" s="76">
        <f t="shared" ca="1" si="1020"/>
        <v>0.25347808785320641</v>
      </c>
      <c r="N783" s="45">
        <f t="shared" ca="1" si="1020"/>
        <v>0.25</v>
      </c>
      <c r="O783" s="45">
        <f t="shared" ca="1" si="1020"/>
        <v>0</v>
      </c>
      <c r="P783" s="46" t="str">
        <f t="shared" ca="1" si="1020"/>
        <v/>
      </c>
      <c r="Q783" s="243" t="str">
        <f t="shared" ca="1" si="1020"/>
        <v/>
      </c>
      <c r="R783" s="45">
        <f t="shared" ca="1" si="954"/>
        <v>8.5778914969679168E-2</v>
      </c>
      <c r="S783" s="45">
        <f t="shared" ca="1" si="978"/>
        <v>5.0695617570641283E-2</v>
      </c>
      <c r="T783" s="77">
        <f t="shared" ca="1" si="939"/>
        <v>4.3537468977546526E-2</v>
      </c>
      <c r="U783" s="45">
        <f t="shared" ca="1" si="955"/>
        <v>17.240594177754147</v>
      </c>
      <c r="V783" s="45">
        <f t="shared" ca="1" si="940"/>
        <v>0.20278247028256513</v>
      </c>
      <c r="W783" s="77">
        <f t="shared" ca="1" si="941"/>
        <v>0.36251670384915197</v>
      </c>
      <c r="X783" s="45">
        <f t="shared" ca="1" si="956"/>
        <v>1.0385040790489419</v>
      </c>
      <c r="Y783" s="45">
        <f t="shared" ca="1" si="942"/>
        <v>4.1973472512321738E-2</v>
      </c>
      <c r="Z783" s="77">
        <f t="shared" ca="1" si="943"/>
        <v>4.7435175248887768E-2</v>
      </c>
      <c r="AA783" s="45">
        <f t="shared" ca="1" si="957"/>
        <v>39.188551500154418</v>
      </c>
      <c r="AB783" s="45">
        <f t="shared" ca="1" si="944"/>
        <v>0</v>
      </c>
      <c r="AC783" s="45" cm="1">
        <f t="array" aca="1" ref="AC783" ca="1">pHUM*(T783+W783+Z783+AD783)</f>
        <v>4.9380555896849108E-2</v>
      </c>
      <c r="AD783" s="77">
        <f t="shared" ca="1" si="945"/>
        <v>5.5480784644145374E-2</v>
      </c>
      <c r="AE783" s="45">
        <f t="shared" ca="1" si="958"/>
        <v>6.3847072090583081</v>
      </c>
      <c r="AF783" s="45">
        <f t="shared" ca="1" si="946"/>
        <v>0</v>
      </c>
      <c r="AG783" s="76">
        <f t="shared" ca="1" si="947"/>
        <v>63.938135880985492</v>
      </c>
      <c r="AH783" s="45">
        <f t="shared" ca="1" si="948"/>
        <v>0.4176161043105609</v>
      </c>
      <c r="AI783" s="77">
        <f t="shared" ca="1" si="949"/>
        <v>1.0858245544248931E-2</v>
      </c>
      <c r="AJ783" s="384">
        <f t="shared" ca="1" si="951"/>
        <v>2.9344176400345479E-2</v>
      </c>
      <c r="AU783" s="1"/>
    </row>
    <row r="784" spans="3:47" x14ac:dyDescent="0.25">
      <c r="C784" s="10">
        <f t="shared" si="976"/>
        <v>57</v>
      </c>
      <c r="D784" s="91">
        <f t="shared" si="959"/>
        <v>10</v>
      </c>
      <c r="E784" s="278"/>
      <c r="F784" s="76">
        <f t="shared" ref="F784:Q784" ca="1" si="1021">F712</f>
        <v>10.24</v>
      </c>
      <c r="G784" s="46">
        <f t="shared" ca="1" si="1021"/>
        <v>27.012600000000003</v>
      </c>
      <c r="H784" s="46">
        <f t="shared" ca="1" si="935"/>
        <v>28.517550000000004</v>
      </c>
      <c r="I784" s="45">
        <f t="shared" ca="1" si="936"/>
        <v>0.49116850915432075</v>
      </c>
      <c r="J784" s="45">
        <f t="shared" ca="1" si="937"/>
        <v>0.27952512346894071</v>
      </c>
      <c r="K784" s="45">
        <f t="shared" ca="1" si="953"/>
        <v>0.90345467800480783</v>
      </c>
      <c r="L784" s="358">
        <f t="shared" ca="1" si="938"/>
        <v>0.72269796343841763</v>
      </c>
      <c r="M784" s="76">
        <f t="shared" ca="1" si="1021"/>
        <v>0.25347808785320641</v>
      </c>
      <c r="N784" s="45">
        <f t="shared" ca="1" si="1021"/>
        <v>0.25</v>
      </c>
      <c r="O784" s="45">
        <f t="shared" ca="1" si="1021"/>
        <v>0</v>
      </c>
      <c r="P784" s="46" t="str">
        <f t="shared" ca="1" si="1021"/>
        <v/>
      </c>
      <c r="Q784" s="243" t="str">
        <f t="shared" ca="1" si="1021"/>
        <v/>
      </c>
      <c r="R784" s="45">
        <f t="shared" ca="1" si="954"/>
        <v>9.2937063562773911E-2</v>
      </c>
      <c r="S784" s="45">
        <f t="shared" ca="1" si="978"/>
        <v>5.0695617570641283E-2</v>
      </c>
      <c r="T784" s="77">
        <f t="shared" ca="1" si="939"/>
        <v>3.1216606232968552E-2</v>
      </c>
      <c r="U784" s="45">
        <f t="shared" ca="1" si="955"/>
        <v>17.080859944187559</v>
      </c>
      <c r="V784" s="45">
        <f t="shared" ca="1" si="940"/>
        <v>0.20278247028256513</v>
      </c>
      <c r="W784" s="77">
        <f t="shared" ca="1" si="941"/>
        <v>0.2084570493794238</v>
      </c>
      <c r="X784" s="45">
        <f t="shared" ca="1" si="956"/>
        <v>1.0330423763123759</v>
      </c>
      <c r="Y784" s="45">
        <f t="shared" ca="1" si="942"/>
        <v>2.4679966067916177E-2</v>
      </c>
      <c r="Z784" s="77">
        <f t="shared" ca="1" si="943"/>
        <v>2.753331306688097E-2</v>
      </c>
      <c r="AA784" s="45">
        <f t="shared" ca="1" si="957"/>
        <v>39.182451271407118</v>
      </c>
      <c r="AB784" s="45">
        <f t="shared" ca="1" si="944"/>
        <v>0</v>
      </c>
      <c r="AC784" s="45" cm="1">
        <f t="array" aca="1" ref="AC784" ca="1">pHUM*(T784+W784+Z784+AD784)</f>
        <v>2.9035254197548443E-2</v>
      </c>
      <c r="AD784" s="77">
        <f t="shared" ca="1" si="945"/>
        <v>3.2062185223069528E-2</v>
      </c>
      <c r="AE784" s="45">
        <f t="shared" ca="1" si="958"/>
        <v>6.3847072090583081</v>
      </c>
      <c r="AF784" s="45">
        <f t="shared" ca="1" si="946"/>
        <v>0</v>
      </c>
      <c r="AG784" s="76">
        <f t="shared" ca="1" si="947"/>
        <v>63.773997864528134</v>
      </c>
      <c r="AH784" s="45">
        <f t="shared" ca="1" si="948"/>
        <v>0.24555393363687822</v>
      </c>
      <c r="AI784" s="77">
        <f t="shared" ca="1" si="949"/>
        <v>1.0918247299567765E-2</v>
      </c>
      <c r="AJ784" s="384">
        <f t="shared" ca="1" si="951"/>
        <v>2.5162623409743512E-2</v>
      </c>
      <c r="AU784" s="1"/>
    </row>
    <row r="785" spans="3:47" x14ac:dyDescent="0.25">
      <c r="C785" s="10">
        <f t="shared" si="976"/>
        <v>57</v>
      </c>
      <c r="D785" s="91">
        <f t="shared" si="959"/>
        <v>11</v>
      </c>
      <c r="E785" s="278"/>
      <c r="F785" s="76">
        <f t="shared" ref="F785:Q785" ca="1" si="1022">F713</f>
        <v>1.6</v>
      </c>
      <c r="G785" s="46">
        <f t="shared" ca="1" si="1022"/>
        <v>27.012600000000003</v>
      </c>
      <c r="H785" s="46">
        <f t="shared" ca="1" si="935"/>
        <v>28.517550000000004</v>
      </c>
      <c r="I785" s="45">
        <f t="shared" ca="1" si="936"/>
        <v>9.9319080037688343E-2</v>
      </c>
      <c r="J785" s="45">
        <f t="shared" ca="1" si="937"/>
        <v>0.27952512346894071</v>
      </c>
      <c r="K785" s="45">
        <f t="shared" ca="1" si="953"/>
        <v>0.90345467800480783</v>
      </c>
      <c r="L785" s="358">
        <f t="shared" ca="1" si="938"/>
        <v>0.41844375967031366</v>
      </c>
      <c r="M785" s="76">
        <f t="shared" ca="1" si="1022"/>
        <v>0.25347808785320641</v>
      </c>
      <c r="N785" s="45">
        <f t="shared" ca="1" si="1022"/>
        <v>0.25</v>
      </c>
      <c r="O785" s="45">
        <f t="shared" ca="1" si="1022"/>
        <v>0</v>
      </c>
      <c r="P785" s="46" t="str">
        <f t="shared" ca="1" si="1022"/>
        <v/>
      </c>
      <c r="Q785" s="243" t="str">
        <f t="shared" ca="1" si="1022"/>
        <v/>
      </c>
      <c r="R785" s="45">
        <f t="shared" ca="1" si="954"/>
        <v>0.11241607490044665</v>
      </c>
      <c r="S785" s="45">
        <f t="shared" ca="1" si="978"/>
        <v>5.0695617570641283E-2</v>
      </c>
      <c r="T785" s="77">
        <f t="shared" ca="1" si="939"/>
        <v>8.9295880519691829E-3</v>
      </c>
      <c r="U785" s="45">
        <f t="shared" ca="1" si="955"/>
        <v>17.0751853650907</v>
      </c>
      <c r="V785" s="45">
        <f t="shared" ca="1" si="940"/>
        <v>0.20278247028256513</v>
      </c>
      <c r="W785" s="77">
        <f t="shared" ca="1" si="941"/>
        <v>4.2344700334619553E-2</v>
      </c>
      <c r="X785" s="45">
        <f t="shared" ca="1" si="956"/>
        <v>1.0301890293134113</v>
      </c>
      <c r="Y785" s="45">
        <f t="shared" ca="1" si="942"/>
        <v>5.2260706608845608E-3</v>
      </c>
      <c r="Z785" s="77">
        <f t="shared" ca="1" si="943"/>
        <v>5.6121162796875911E-3</v>
      </c>
      <c r="AA785" s="45">
        <f t="shared" ca="1" si="957"/>
        <v>39.179424340381594</v>
      </c>
      <c r="AB785" s="45">
        <f t="shared" ca="1" si="944"/>
        <v>0</v>
      </c>
      <c r="AC785" s="45" cm="1">
        <f t="array" aca="1" ref="AC785" ca="1">pHUM*(T785+W785+Z785+AD785)</f>
        <v>6.1483184245700716E-3</v>
      </c>
      <c r="AD785" s="77">
        <f t="shared" ca="1" si="945"/>
        <v>6.4849038927728697E-3</v>
      </c>
      <c r="AE785" s="45">
        <f t="shared" ca="1" si="958"/>
        <v>6.3847072090583081</v>
      </c>
      <c r="AF785" s="45">
        <f t="shared" ca="1" si="946"/>
        <v>0</v>
      </c>
      <c r="AG785" s="76">
        <f t="shared" ca="1" si="947"/>
        <v>63.78192201874446</v>
      </c>
      <c r="AH785" s="45">
        <f t="shared" ca="1" si="948"/>
        <v>5.1996919473594569E-2</v>
      </c>
      <c r="AI785" s="77">
        <f t="shared" ca="1" si="949"/>
        <v>1.119425630414766E-2</v>
      </c>
      <c r="AJ785" s="384">
        <f t="shared" ca="1" si="951"/>
        <v>1.4937664170190379E-2</v>
      </c>
      <c r="AU785" s="1"/>
    </row>
    <row r="786" spans="3:47" x14ac:dyDescent="0.25">
      <c r="C786" s="10">
        <f t="shared" si="976"/>
        <v>57</v>
      </c>
      <c r="D786" s="91">
        <f t="shared" si="959"/>
        <v>12</v>
      </c>
      <c r="E786" s="278"/>
      <c r="F786" s="76">
        <f t="shared" ref="F786:Q786" ca="1" si="1023">F714</f>
        <v>-3.59</v>
      </c>
      <c r="G786" s="46">
        <f t="shared" ca="1" si="1023"/>
        <v>27.012600000000003</v>
      </c>
      <c r="H786" s="46">
        <f t="shared" ref="H786:H849" ca="1" si="1024">FC-G786</f>
        <v>28.517550000000004</v>
      </c>
      <c r="I786" s="45">
        <f t="shared" ref="I786:I849" ca="1" si="1025">PRODUCT(47.91/(1+EXP(106.06/(F786+18.27))), IF(IF(H786&lt;=0,1-((1-RM_PWP)*(G786-FC)/(WSAT-FC)),IF(H786&lt;=Wat1bar,1,1-((1-RM_PWP)*(H786-Wat1bar)/(FC-Wat1bar))))&lt;=RM_PWP,RM_PWP,IF(H786&lt;=0,1-((1-RM_PWP)*(G786-FC)/(WSAT-FC)),IF(H786&lt;=Wat1bar,1,1-((1-RM_PWP)*(H786-Wat1bar)/(FC-Wat1bar))))),0.56+(ATAN(3.14*0.45*(SoilpH-5)))/3.14,EXP(-0.09*SoilSal))</f>
        <v>1.5109209527995384E-2</v>
      </c>
      <c r="J786" s="45">
        <f t="shared" ref="J786:J849" ca="1" si="1026">POWER(((G786/150)-$J$9),$M$9)*POWER(($L$9-(G786/150)),$N$9)</f>
        <v>0.27952512346894071</v>
      </c>
      <c r="K786" s="45">
        <f t="shared" ca="1" si="953"/>
        <v>0.90345467800480783</v>
      </c>
      <c r="L786" s="358">
        <f t="shared" ref="L786:L849" ca="1" si="1027">1/(1+EXP(-(F786-3.8)/6.7))+1/(1+EXP((F786-62.2)/7.1))-1</f>
        <v>0.24908644075501707</v>
      </c>
      <c r="M786" s="76">
        <f t="shared" ca="1" si="1023"/>
        <v>0.25347808785320641</v>
      </c>
      <c r="N786" s="45">
        <f t="shared" ca="1" si="1023"/>
        <v>0.25</v>
      </c>
      <c r="O786" s="45">
        <f t="shared" ca="1" si="1023"/>
        <v>0</v>
      </c>
      <c r="P786" s="46" t="str">
        <f t="shared" ca="1" si="1023"/>
        <v/>
      </c>
      <c r="Q786" s="243" t="str">
        <f t="shared" ca="1" si="1023"/>
        <v/>
      </c>
      <c r="R786" s="45">
        <f t="shared" ca="1" si="954"/>
        <v>0.15418210441911873</v>
      </c>
      <c r="S786" s="45">
        <f t="shared" ca="1" si="978"/>
        <v>5.0695617570641283E-2</v>
      </c>
      <c r="T786" s="77">
        <f t="shared" ref="T786:T849" ca="1" si="1028">R786*(1-EXP(-kDPM*I786))</f>
        <v>1.9291377207575763E-3</v>
      </c>
      <c r="U786" s="45">
        <f t="shared" ca="1" si="955"/>
        <v>17.235623135038644</v>
      </c>
      <c r="V786" s="45">
        <f t="shared" ref="V786:V849" ca="1" si="1029">M786*1/(1+N786)</f>
        <v>0.20278247028256513</v>
      </c>
      <c r="W786" s="77">
        <f t="shared" ref="W786:W849" ca="1" si="1030">U786*(1-EXP(-kRPM*I786))</f>
        <v>6.5091865966256119E-3</v>
      </c>
      <c r="X786" s="45">
        <f t="shared" ca="1" si="956"/>
        <v>1.0298029836946083</v>
      </c>
      <c r="Y786" s="45">
        <f t="shared" ref="Y786:Y849" ca="1" si="1031">pBIO*(T786+W786+Z786+AD786)</f>
        <v>8.4779331708626014E-4</v>
      </c>
      <c r="Z786" s="77">
        <f t="shared" ref="Z786:Z849" ca="1" si="1032">X786*(1-EXP(-kBIO*I786))</f>
        <v>8.5541751992861484E-4</v>
      </c>
      <c r="AA786" s="45">
        <f t="shared" ca="1" si="957"/>
        <v>39.17908775491339</v>
      </c>
      <c r="AB786" s="45">
        <f t="shared" ref="AB786:AB849" ca="1" si="1033">IF(O786&gt;0,O786*(1-Q786)/(1+P786),0)</f>
        <v>0</v>
      </c>
      <c r="AC786" s="45" cm="1">
        <f t="array" aca="1" ref="AC786" ca="1">pHUM*(T786+W786+Z786+AD786)</f>
        <v>9.974039024544237E-4</v>
      </c>
      <c r="AD786" s="77">
        <f t="shared" ref="AD786:AD849" ca="1" si="1034">AA786*(1-EXP(-kHUM*I786))</f>
        <v>9.8659598771860834E-4</v>
      </c>
      <c r="AE786" s="45">
        <f t="shared" ca="1" si="958"/>
        <v>6.3847072090583081</v>
      </c>
      <c r="AF786" s="45">
        <f t="shared" ref="AF786:AF849" ca="1" si="1035">IF(O786&gt;0,O786*Q786,0)</f>
        <v>0</v>
      </c>
      <c r="AG786" s="76">
        <f t="shared" ref="AG786:AG849" ca="1" si="1036">R786+U786+X786+AA786+AE786</f>
        <v>63.983403187124068</v>
      </c>
      <c r="AH786" s="45">
        <f t="shared" ref="AH786:AH849" ca="1" si="1037">p_CO2*(T786+W786+Z786+AD786)</f>
        <v>8.4351406054897285E-3</v>
      </c>
      <c r="AI786" s="77">
        <f t="shared" ref="AI786:AI849" ca="1" si="1038">((kRPM*U786)+(kDPM*R786)+(kBIO*X786)+(kHUM*AA786))/(U786+R786+AA786+X786)</f>
        <v>1.1828623851937134E-2</v>
      </c>
      <c r="AJ786" s="384">
        <f t="shared" ca="1" si="951"/>
        <v>9.3958684704942286E-3</v>
      </c>
      <c r="AU786" s="1"/>
    </row>
    <row r="787" spans="3:47" x14ac:dyDescent="0.25">
      <c r="C787" s="10">
        <f t="shared" si="976"/>
        <v>58</v>
      </c>
      <c r="D787" s="91">
        <f t="shared" si="959"/>
        <v>1</v>
      </c>
      <c r="E787" s="278"/>
      <c r="F787" s="76">
        <f t="shared" ref="F787:Q787" ca="1" si="1039">F715</f>
        <v>-7.32</v>
      </c>
      <c r="G787" s="46">
        <f t="shared" ca="1" si="1039"/>
        <v>27.012600000000003</v>
      </c>
      <c r="H787" s="46">
        <f t="shared" ca="1" si="1024"/>
        <v>28.517550000000004</v>
      </c>
      <c r="I787" s="45">
        <f t="shared" ca="1" si="1025"/>
        <v>1.2903599790233234E-3</v>
      </c>
      <c r="J787" s="45">
        <f t="shared" ca="1" si="1026"/>
        <v>0.27952512346894071</v>
      </c>
      <c r="K787" s="45">
        <f t="shared" ca="1" si="953"/>
        <v>0.90345467800480783</v>
      </c>
      <c r="L787" s="358">
        <f t="shared" ca="1" si="1027"/>
        <v>0.15974615302556239</v>
      </c>
      <c r="M787" s="76">
        <f t="shared" ca="1" si="1039"/>
        <v>0.25347808785320641</v>
      </c>
      <c r="N787" s="45">
        <f t="shared" ca="1" si="1039"/>
        <v>0.25</v>
      </c>
      <c r="O787" s="45">
        <f t="shared" ca="1" si="1039"/>
        <v>0</v>
      </c>
      <c r="P787" s="46" t="str">
        <f t="shared" ca="1" si="1039"/>
        <v/>
      </c>
      <c r="Q787" s="243" t="str">
        <f t="shared" ca="1" si="1039"/>
        <v/>
      </c>
      <c r="R787" s="45">
        <f t="shared" ca="1" si="954"/>
        <v>0.20294858426900242</v>
      </c>
      <c r="S787" s="45">
        <f t="shared" ca="1" si="978"/>
        <v>5.0695617570641283E-2</v>
      </c>
      <c r="T787" s="77">
        <f t="shared" ca="1" si="1028"/>
        <v>2.1811331947600471E-4</v>
      </c>
      <c r="U787" s="45">
        <f t="shared" ca="1" si="955"/>
        <v>17.43189641872458</v>
      </c>
      <c r="V787" s="45">
        <f t="shared" ca="1" si="1029"/>
        <v>0.20278247028256513</v>
      </c>
      <c r="W787" s="77">
        <f t="shared" ca="1" si="1030"/>
        <v>5.6232646733684179E-4</v>
      </c>
      <c r="X787" s="45">
        <f t="shared" ca="1" si="956"/>
        <v>1.0297953594917659</v>
      </c>
      <c r="Y787" s="45">
        <f t="shared" ca="1" si="1031"/>
        <v>7.7336335116197846E-5</v>
      </c>
      <c r="Z787" s="77">
        <f t="shared" ca="1" si="1032"/>
        <v>7.3081776185802426E-5</v>
      </c>
      <c r="AA787" s="45">
        <f t="shared" ca="1" si="957"/>
        <v>39.179098562828123</v>
      </c>
      <c r="AB787" s="45">
        <f t="shared" ca="1" si="1033"/>
        <v>0</v>
      </c>
      <c r="AC787" s="45" cm="1">
        <f t="array" aca="1" ref="AC787" ca="1">pHUM*(T787+W787+Z787+AD787)</f>
        <v>9.0983923666115117E-5</v>
      </c>
      <c r="AD787" s="77">
        <f t="shared" ca="1" si="1034"/>
        <v>8.4258477396955333E-5</v>
      </c>
      <c r="AE787" s="45">
        <f t="shared" ca="1" si="958"/>
        <v>6.3847072090583081</v>
      </c>
      <c r="AF787" s="45">
        <f t="shared" ca="1" si="1035"/>
        <v>0</v>
      </c>
      <c r="AG787" s="76">
        <f t="shared" ca="1" si="1036"/>
        <v>64.228446134371779</v>
      </c>
      <c r="AH787" s="45">
        <f t="shared" ca="1" si="1037"/>
        <v>7.6945978161329135E-4</v>
      </c>
      <c r="AI787" s="77">
        <f t="shared" ca="1" si="1038"/>
        <v>1.2565897132056887E-2</v>
      </c>
      <c r="AJ787" s="384">
        <f t="shared" ref="AJ787:AJ850" ca="1" si="1040">(530)*(1-EXP((-$AJ$9*L787*K787*AI787)))</f>
        <v>6.4014411236834601E-3</v>
      </c>
      <c r="AU787" s="1"/>
    </row>
    <row r="788" spans="3:47" x14ac:dyDescent="0.25">
      <c r="C788" s="10">
        <f t="shared" si="976"/>
        <v>58</v>
      </c>
      <c r="D788" s="91">
        <f t="shared" si="959"/>
        <v>2</v>
      </c>
      <c r="E788" s="278"/>
      <c r="F788" s="76">
        <f t="shared" ref="F788:Q788" ca="1" si="1041">F716</f>
        <v>-7.56</v>
      </c>
      <c r="G788" s="46">
        <f t="shared" ca="1" si="1041"/>
        <v>27.012600000000003</v>
      </c>
      <c r="H788" s="46">
        <f t="shared" ca="1" si="1024"/>
        <v>28.517550000000004</v>
      </c>
      <c r="I788" s="45">
        <f t="shared" ca="1" si="1025"/>
        <v>1.0386103497602255E-3</v>
      </c>
      <c r="J788" s="45">
        <f t="shared" ca="1" si="1026"/>
        <v>0.27952512346894071</v>
      </c>
      <c r="K788" s="45">
        <f t="shared" ref="K788:K851" ca="1" si="1042">J788/$I$15</f>
        <v>0.90345467800480783</v>
      </c>
      <c r="L788" s="358">
        <f t="shared" ca="1" si="1027"/>
        <v>0.15499691161362872</v>
      </c>
      <c r="M788" s="76">
        <f t="shared" ca="1" si="1041"/>
        <v>0.25347808785320641</v>
      </c>
      <c r="N788" s="45">
        <f t="shared" ca="1" si="1041"/>
        <v>0.25</v>
      </c>
      <c r="O788" s="45">
        <f t="shared" ca="1" si="1041"/>
        <v>0</v>
      </c>
      <c r="P788" s="46" t="str">
        <f t="shared" ca="1" si="1041"/>
        <v/>
      </c>
      <c r="Q788" s="243" t="str">
        <f t="shared" ca="1" si="1041"/>
        <v/>
      </c>
      <c r="R788" s="45">
        <f t="shared" ref="R788:R851" ca="1" si="1043">R787+S788-T787</f>
        <v>0.25342608852016768</v>
      </c>
      <c r="S788" s="45">
        <f t="shared" ca="1" si="978"/>
        <v>5.0695617570641283E-2</v>
      </c>
      <c r="T788" s="77">
        <f t="shared" ca="1" si="1028"/>
        <v>2.1924757134496564E-4</v>
      </c>
      <c r="U788" s="45">
        <f t="shared" ref="U788:U851" ca="1" si="1044">U787+V788-W787</f>
        <v>17.634116562539809</v>
      </c>
      <c r="V788" s="45">
        <f t="shared" ca="1" si="1029"/>
        <v>0.20278247028256513</v>
      </c>
      <c r="W788" s="77">
        <f t="shared" ca="1" si="1030"/>
        <v>4.5786845490687579E-4</v>
      </c>
      <c r="X788" s="45">
        <f t="shared" ref="X788:X851" ca="1" si="1045">X787+Y787-Z787</f>
        <v>1.0297996140506964</v>
      </c>
      <c r="Y788" s="45">
        <f t="shared" ca="1" si="1031"/>
        <v>6.6284028693087068E-5</v>
      </c>
      <c r="Z788" s="77">
        <f t="shared" ca="1" si="1032"/>
        <v>5.8824149414574576E-5</v>
      </c>
      <c r="AA788" s="45">
        <f t="shared" ref="AA788:AA851" ca="1" si="1046">AA787+AC787+AB788-AD787</f>
        <v>39.179105288274393</v>
      </c>
      <c r="AB788" s="45">
        <f t="shared" ca="1" si="1033"/>
        <v>0</v>
      </c>
      <c r="AC788" s="45" cm="1">
        <f t="array" aca="1" ref="AC788" ca="1">pHUM*(T788+W788+Z788+AD788)</f>
        <v>7.7981210227161252E-5</v>
      </c>
      <c r="AD788" s="77">
        <f t="shared" ca="1" si="1034"/>
        <v>6.7819648379957752E-5</v>
      </c>
      <c r="AE788" s="45">
        <f t="shared" ref="AE788:AE851" ca="1" si="1047">AE787+AF788</f>
        <v>6.3847072090583081</v>
      </c>
      <c r="AF788" s="45">
        <f t="shared" ca="1" si="1035"/>
        <v>0</v>
      </c>
      <c r="AG788" s="76">
        <f t="shared" ca="1" si="1036"/>
        <v>64.481154762443367</v>
      </c>
      <c r="AH788" s="45">
        <f t="shared" ca="1" si="1037"/>
        <v>6.5949458512612545E-4</v>
      </c>
      <c r="AI788" s="77">
        <f t="shared" ca="1" si="1038"/>
        <v>1.3322308701216224E-2</v>
      </c>
      <c r="AJ788" s="384">
        <f t="shared" ca="1" si="1040"/>
        <v>6.5850080362472863E-3</v>
      </c>
      <c r="AU788" s="1"/>
    </row>
    <row r="789" spans="3:47" x14ac:dyDescent="0.25">
      <c r="C789" s="10">
        <f t="shared" si="976"/>
        <v>58</v>
      </c>
      <c r="D789" s="91">
        <f t="shared" ref="D789:D852" si="1048">IF(D788+1&lt;13,D788+1,1)</f>
        <v>3</v>
      </c>
      <c r="E789" s="278"/>
      <c r="F789" s="76">
        <f t="shared" ref="F789:Q789" ca="1" si="1049">F717</f>
        <v>-3.72</v>
      </c>
      <c r="G789" s="46">
        <f t="shared" ca="1" si="1049"/>
        <v>27.012600000000003</v>
      </c>
      <c r="H789" s="46">
        <f t="shared" ca="1" si="1024"/>
        <v>28.517550000000004</v>
      </c>
      <c r="I789" s="45">
        <f t="shared" ca="1" si="1025"/>
        <v>1.416534540335657E-2</v>
      </c>
      <c r="J789" s="45">
        <f t="shared" ca="1" si="1026"/>
        <v>0.27952512346894071</v>
      </c>
      <c r="K789" s="45">
        <f t="shared" ca="1" si="1042"/>
        <v>0.90345467800480783</v>
      </c>
      <c r="L789" s="358">
        <f t="shared" ca="1" si="1027"/>
        <v>0.24547574864616473</v>
      </c>
      <c r="M789" s="76">
        <f t="shared" ca="1" si="1049"/>
        <v>0.25347808785320641</v>
      </c>
      <c r="N789" s="45">
        <f t="shared" ca="1" si="1049"/>
        <v>0.25</v>
      </c>
      <c r="O789" s="45">
        <f t="shared" ca="1" si="1049"/>
        <v>0</v>
      </c>
      <c r="P789" s="46" t="str">
        <f t="shared" ca="1" si="1049"/>
        <v/>
      </c>
      <c r="Q789" s="243" t="str">
        <f t="shared" ca="1" si="1049"/>
        <v/>
      </c>
      <c r="R789" s="45">
        <f t="shared" ca="1" si="1043"/>
        <v>0.30390245851946401</v>
      </c>
      <c r="S789" s="45">
        <f t="shared" ca="1" si="978"/>
        <v>5.0695617570641283E-2</v>
      </c>
      <c r="T789" s="77">
        <f t="shared" ca="1" si="1028"/>
        <v>3.5663121478739478E-3</v>
      </c>
      <c r="U789" s="45">
        <f t="shared" ca="1" si="1044"/>
        <v>17.836441164367468</v>
      </c>
      <c r="V789" s="45">
        <f t="shared" ca="1" si="1029"/>
        <v>0.20278247028256513</v>
      </c>
      <c r="W789" s="77">
        <f t="shared" ca="1" si="1030"/>
        <v>6.3153654388370985E-3</v>
      </c>
      <c r="X789" s="45">
        <f t="shared" ca="1" si="1045"/>
        <v>1.0298070739299749</v>
      </c>
      <c r="Y789" s="45">
        <f t="shared" ca="1" si="1031"/>
        <v>9.5733558774755269E-4</v>
      </c>
      <c r="Z789" s="77">
        <f t="shared" ca="1" si="1032"/>
        <v>8.0200405071903969E-4</v>
      </c>
      <c r="AA789" s="45">
        <f t="shared" ca="1" si="1046"/>
        <v>39.179115449836239</v>
      </c>
      <c r="AB789" s="45">
        <f t="shared" ca="1" si="1033"/>
        <v>0</v>
      </c>
      <c r="AC789" s="45" cm="1">
        <f t="array" aca="1" ref="AC789" ca="1">pHUM*(T789+W789+Z789+AD789)</f>
        <v>1.1262771620559444E-3</v>
      </c>
      <c r="AD789" s="77">
        <f t="shared" ca="1" si="1034"/>
        <v>9.2496525282078561E-4</v>
      </c>
      <c r="AE789" s="45">
        <f t="shared" ca="1" si="1047"/>
        <v>6.3847072090583081</v>
      </c>
      <c r="AF789" s="45">
        <f t="shared" ca="1" si="1035"/>
        <v>0</v>
      </c>
      <c r="AG789" s="76">
        <f t="shared" ca="1" si="1036"/>
        <v>64.733973355711456</v>
      </c>
      <c r="AH789" s="45">
        <f t="shared" ca="1" si="1037"/>
        <v>9.5250341404473759E-3</v>
      </c>
      <c r="AI789" s="77">
        <f t="shared" ca="1" si="1038"/>
        <v>1.4072173429354776E-2</v>
      </c>
      <c r="AJ789" s="384">
        <f t="shared" ca="1" si="1040"/>
        <v>1.1015944225426511E-2</v>
      </c>
      <c r="AU789" s="1"/>
    </row>
    <row r="790" spans="3:47" x14ac:dyDescent="0.25">
      <c r="C790" s="10">
        <f t="shared" si="976"/>
        <v>58</v>
      </c>
      <c r="D790" s="91">
        <f t="shared" si="1048"/>
        <v>4</v>
      </c>
      <c r="E790" s="278"/>
      <c r="F790" s="76">
        <f t="shared" ref="F790:Q790" ca="1" si="1050">F718</f>
        <v>5.88</v>
      </c>
      <c r="G790" s="46">
        <f t="shared" ca="1" si="1050"/>
        <v>27.012600000000003</v>
      </c>
      <c r="H790" s="46">
        <f t="shared" ca="1" si="1024"/>
        <v>28.517550000000004</v>
      </c>
      <c r="I790" s="45">
        <f t="shared" ca="1" si="1025"/>
        <v>0.2538659245156123</v>
      </c>
      <c r="J790" s="45">
        <f t="shared" ca="1" si="1026"/>
        <v>0.27952512346894071</v>
      </c>
      <c r="K790" s="45">
        <f t="shared" ca="1" si="1042"/>
        <v>0.90345467800480783</v>
      </c>
      <c r="L790" s="358">
        <f t="shared" ca="1" si="1027"/>
        <v>0.57663575359475594</v>
      </c>
      <c r="M790" s="76">
        <f t="shared" ca="1" si="1050"/>
        <v>0.25347808785320641</v>
      </c>
      <c r="N790" s="45">
        <f t="shared" ca="1" si="1050"/>
        <v>0.25</v>
      </c>
      <c r="O790" s="45">
        <f t="shared" ca="1" si="1050"/>
        <v>0</v>
      </c>
      <c r="P790" s="46" t="str">
        <f t="shared" ca="1" si="1050"/>
        <v/>
      </c>
      <c r="Q790" s="243" t="str">
        <f t="shared" ca="1" si="1050"/>
        <v/>
      </c>
      <c r="R790" s="45">
        <f t="shared" ca="1" si="1043"/>
        <v>0.35103176394223135</v>
      </c>
      <c r="S790" s="45">
        <f t="shared" ca="1" si="978"/>
        <v>5.0695617570641283E-2</v>
      </c>
      <c r="T790" s="77">
        <f t="shared" ca="1" si="1028"/>
        <v>6.6933045521027232E-2</v>
      </c>
      <c r="U790" s="45">
        <f t="shared" ca="1" si="1044"/>
        <v>18.032908269211195</v>
      </c>
      <c r="V790" s="45">
        <f t="shared" ca="1" si="1029"/>
        <v>0.20278247028256513</v>
      </c>
      <c r="W790" s="77">
        <f t="shared" ca="1" si="1030"/>
        <v>0.11408610809715231</v>
      </c>
      <c r="X790" s="45">
        <f t="shared" ca="1" si="1045"/>
        <v>1.0299624054670034</v>
      </c>
      <c r="Y790" s="45">
        <f t="shared" ca="1" si="1031"/>
        <v>1.7472697617729769E-2</v>
      </c>
      <c r="Z790" s="77">
        <f t="shared" ca="1" si="1032"/>
        <v>1.4281047233176296E-2</v>
      </c>
      <c r="AA790" s="45">
        <f t="shared" ca="1" si="1046"/>
        <v>39.179316761745476</v>
      </c>
      <c r="AB790" s="45">
        <f t="shared" ca="1" si="1033"/>
        <v>0</v>
      </c>
      <c r="AC790" s="45" cm="1">
        <f t="array" aca="1" ref="AC790" ca="1">pHUM*(T790+W790+Z790+AD790)</f>
        <v>2.0556114844387966E-2</v>
      </c>
      <c r="AD790" s="77">
        <f t="shared" ca="1" si="1034"/>
        <v>1.6573649301428281E-2</v>
      </c>
      <c r="AE790" s="45">
        <f t="shared" ca="1" si="1047"/>
        <v>6.3847072090583081</v>
      </c>
      <c r="AF790" s="45">
        <f t="shared" ca="1" si="1035"/>
        <v>0</v>
      </c>
      <c r="AG790" s="76">
        <f t="shared" ca="1" si="1036"/>
        <v>64.977926409424214</v>
      </c>
      <c r="AH790" s="45">
        <f t="shared" ca="1" si="1037"/>
        <v>0.17384503769066642</v>
      </c>
      <c r="AI790" s="77">
        <f t="shared" ca="1" si="1038"/>
        <v>1.476785167398682E-2</v>
      </c>
      <c r="AJ790" s="384">
        <f t="shared" ca="1" si="1040"/>
        <v>2.7155901949036387E-2</v>
      </c>
      <c r="AU790" s="1"/>
    </row>
    <row r="791" spans="3:47" x14ac:dyDescent="0.25">
      <c r="C791" s="10">
        <f t="shared" si="976"/>
        <v>58</v>
      </c>
      <c r="D791" s="91">
        <f t="shared" si="1048"/>
        <v>5</v>
      </c>
      <c r="E791" s="278"/>
      <c r="F791" s="76">
        <f t="shared" ref="F791:Q791" ca="1" si="1051">F719</f>
        <v>13.3</v>
      </c>
      <c r="G791" s="46">
        <f t="shared" ca="1" si="1051"/>
        <v>27.012600000000003</v>
      </c>
      <c r="H791" s="46">
        <f t="shared" ca="1" si="1024"/>
        <v>28.517550000000004</v>
      </c>
      <c r="I791" s="45">
        <f t="shared" ca="1" si="1025"/>
        <v>0.69725265541392489</v>
      </c>
      <c r="J791" s="45">
        <f t="shared" ca="1" si="1026"/>
        <v>0.27952512346894071</v>
      </c>
      <c r="K791" s="45">
        <f t="shared" ca="1" si="1042"/>
        <v>0.90345467800480783</v>
      </c>
      <c r="L791" s="358">
        <f t="shared" ca="1" si="1027"/>
        <v>0.80399103068855049</v>
      </c>
      <c r="M791" s="76">
        <f t="shared" ca="1" si="1051"/>
        <v>0.25347808785320641</v>
      </c>
      <c r="N791" s="45">
        <f t="shared" ca="1" si="1051"/>
        <v>0.25</v>
      </c>
      <c r="O791" s="45">
        <f t="shared" ca="1" si="1051"/>
        <v>0</v>
      </c>
      <c r="P791" s="46" t="str">
        <f t="shared" ca="1" si="1051"/>
        <v/>
      </c>
      <c r="Q791" s="243" t="str">
        <f t="shared" ca="1" si="1051"/>
        <v/>
      </c>
      <c r="R791" s="45">
        <f t="shared" ca="1" si="1043"/>
        <v>0.33479433599184538</v>
      </c>
      <c r="S791" s="45">
        <f t="shared" ca="1" si="978"/>
        <v>5.0695617570641283E-2</v>
      </c>
      <c r="T791" s="77">
        <f t="shared" ca="1" si="1028"/>
        <v>0.14753910809057297</v>
      </c>
      <c r="U791" s="45">
        <f t="shared" ca="1" si="1044"/>
        <v>18.121604631396607</v>
      </c>
      <c r="V791" s="45">
        <f t="shared" ca="1" si="1029"/>
        <v>0.20278247028256513</v>
      </c>
      <c r="W791" s="77">
        <f t="shared" ca="1" si="1030"/>
        <v>0.3131462192252582</v>
      </c>
      <c r="X791" s="45">
        <f t="shared" ca="1" si="1045"/>
        <v>1.0331540558515568</v>
      </c>
      <c r="Y791" s="45">
        <f t="shared" ca="1" si="1031"/>
        <v>4.4950004932009908E-2</v>
      </c>
      <c r="Z791" s="77">
        <f t="shared" ca="1" si="1032"/>
        <v>3.8870238566595904E-2</v>
      </c>
      <c r="AA791" s="45">
        <f t="shared" ca="1" si="1046"/>
        <v>39.183299227288437</v>
      </c>
      <c r="AB791" s="45">
        <f t="shared" ca="1" si="1033"/>
        <v>0</v>
      </c>
      <c r="AC791" s="45" cm="1">
        <f t="array" aca="1" ref="AC791" ca="1">pHUM*(T791+W791+Z791+AD791)</f>
        <v>5.2882358743541073E-2</v>
      </c>
      <c r="AD791" s="77">
        <f t="shared" ca="1" si="1034"/>
        <v>4.5507985132599037E-2</v>
      </c>
      <c r="AE791" s="45">
        <f t="shared" ca="1" si="1047"/>
        <v>6.3847072090583081</v>
      </c>
      <c r="AF791" s="45">
        <f t="shared" ca="1" si="1035"/>
        <v>0</v>
      </c>
      <c r="AG791" s="76">
        <f t="shared" ca="1" si="1036"/>
        <v>65.057559459586756</v>
      </c>
      <c r="AH791" s="45">
        <f t="shared" ca="1" si="1037"/>
        <v>0.4472311873394752</v>
      </c>
      <c r="AI791" s="77">
        <f t="shared" ca="1" si="1038"/>
        <v>1.4558084954092368E-2</v>
      </c>
      <c r="AJ791" s="384">
        <f t="shared" ca="1" si="1040"/>
        <v>3.7324726157274002E-2</v>
      </c>
      <c r="AU791" s="1"/>
    </row>
    <row r="792" spans="3:47" x14ac:dyDescent="0.25">
      <c r="C792" s="10">
        <f t="shared" si="976"/>
        <v>58</v>
      </c>
      <c r="D792" s="91">
        <f t="shared" si="1048"/>
        <v>6</v>
      </c>
      <c r="E792" s="278"/>
      <c r="F792" s="76">
        <f t="shared" ref="F792:Q792" ca="1" si="1052">F720</f>
        <v>18.579999999999998</v>
      </c>
      <c r="G792" s="46">
        <f t="shared" ca="1" si="1052"/>
        <v>27.012600000000003</v>
      </c>
      <c r="H792" s="46">
        <f t="shared" ca="1" si="1024"/>
        <v>28.517550000000004</v>
      </c>
      <c r="I792" s="45">
        <f t="shared" ca="1" si="1025"/>
        <v>1.1053966357180092</v>
      </c>
      <c r="J792" s="45">
        <f t="shared" ca="1" si="1026"/>
        <v>0.27952512346894071</v>
      </c>
      <c r="K792" s="45">
        <f t="shared" ca="1" si="1042"/>
        <v>0.90345467800480783</v>
      </c>
      <c r="L792" s="358">
        <f t="shared" ca="1" si="1027"/>
        <v>0.89864190578209513</v>
      </c>
      <c r="M792" s="76">
        <f t="shared" ca="1" si="1052"/>
        <v>0.25347808785320641</v>
      </c>
      <c r="N792" s="45">
        <f t="shared" ca="1" si="1052"/>
        <v>0.25</v>
      </c>
      <c r="O792" s="45">
        <f t="shared" ca="1" si="1052"/>
        <v>0</v>
      </c>
      <c r="P792" s="46" t="str">
        <f t="shared" ca="1" si="1052"/>
        <v/>
      </c>
      <c r="Q792" s="243" t="str">
        <f t="shared" ca="1" si="1052"/>
        <v/>
      </c>
      <c r="R792" s="45">
        <f t="shared" ca="1" si="1043"/>
        <v>0.2379508454719137</v>
      </c>
      <c r="S792" s="45">
        <f t="shared" ca="1" si="978"/>
        <v>5.0695617570641283E-2</v>
      </c>
      <c r="T792" s="77">
        <f t="shared" ca="1" si="1028"/>
        <v>0.14323320525148991</v>
      </c>
      <c r="U792" s="45">
        <f t="shared" ca="1" si="1044"/>
        <v>18.011240882453912</v>
      </c>
      <c r="V792" s="45">
        <f t="shared" ca="1" si="1029"/>
        <v>0.20278247028256513</v>
      </c>
      <c r="W792" s="77">
        <f t="shared" ca="1" si="1030"/>
        <v>0.49092455512702377</v>
      </c>
      <c r="X792" s="45">
        <f t="shared" ca="1" si="1045"/>
        <v>1.0392338222169708</v>
      </c>
      <c r="Y792" s="45">
        <f t="shared" ca="1" si="1031"/>
        <v>6.3301456311131959E-2</v>
      </c>
      <c r="Z792" s="77">
        <f t="shared" ca="1" si="1032"/>
        <v>6.1299809342086974E-2</v>
      </c>
      <c r="AA792" s="45">
        <f t="shared" ca="1" si="1046"/>
        <v>39.190673600899373</v>
      </c>
      <c r="AB792" s="45">
        <f t="shared" ca="1" si="1033"/>
        <v>0</v>
      </c>
      <c r="AC792" s="45" cm="1">
        <f t="array" aca="1" ref="AC792" ca="1">pHUM*(T792+W792+Z792+AD792)</f>
        <v>7.4472301542508196E-2</v>
      </c>
      <c r="AD792" s="77">
        <f t="shared" ca="1" si="1034"/>
        <v>7.2135595476085057E-2</v>
      </c>
      <c r="AE792" s="45">
        <f t="shared" ca="1" si="1047"/>
        <v>6.3847072090583081</v>
      </c>
      <c r="AF792" s="45">
        <f t="shared" ca="1" si="1035"/>
        <v>0</v>
      </c>
      <c r="AG792" s="76">
        <f t="shared" ca="1" si="1036"/>
        <v>64.863806360100483</v>
      </c>
      <c r="AH792" s="45">
        <f t="shared" ca="1" si="1037"/>
        <v>0.62981940734304565</v>
      </c>
      <c r="AI792" s="77">
        <f t="shared" ca="1" si="1038"/>
        <v>1.3185036261472011E-2</v>
      </c>
      <c r="AJ792" s="384">
        <f t="shared" ca="1" si="1040"/>
        <v>3.7784091486076088E-2</v>
      </c>
      <c r="AU792" s="1"/>
    </row>
    <row r="793" spans="3:47" x14ac:dyDescent="0.25">
      <c r="C793" s="10">
        <f t="shared" si="976"/>
        <v>58</v>
      </c>
      <c r="D793" s="91">
        <f t="shared" si="1048"/>
        <v>7</v>
      </c>
      <c r="E793" s="278"/>
      <c r="F793" s="76">
        <f t="shared" ref="F793:Q793" ca="1" si="1053">F721</f>
        <v>20.88</v>
      </c>
      <c r="G793" s="46">
        <f t="shared" ca="1" si="1053"/>
        <v>27.012600000000003</v>
      </c>
      <c r="H793" s="46">
        <f t="shared" ca="1" si="1024"/>
        <v>28.517550000000004</v>
      </c>
      <c r="I793" s="45">
        <f t="shared" ca="1" si="1025"/>
        <v>1.2963209464812457</v>
      </c>
      <c r="J793" s="45">
        <f t="shared" ca="1" si="1026"/>
        <v>0.27952512346894071</v>
      </c>
      <c r="K793" s="45">
        <f t="shared" ca="1" si="1042"/>
        <v>0.90345467800480783</v>
      </c>
      <c r="L793" s="358">
        <f t="shared" ca="1" si="1027"/>
        <v>0.92456370800230281</v>
      </c>
      <c r="M793" s="76">
        <f t="shared" ca="1" si="1053"/>
        <v>0.25347808785320641</v>
      </c>
      <c r="N793" s="45">
        <f t="shared" ca="1" si="1053"/>
        <v>0.25</v>
      </c>
      <c r="O793" s="45">
        <f t="shared" ca="1" si="1053"/>
        <v>0</v>
      </c>
      <c r="P793" s="46" t="str">
        <f t="shared" ca="1" si="1053"/>
        <v/>
      </c>
      <c r="Q793" s="243" t="str">
        <f t="shared" ca="1" si="1053"/>
        <v/>
      </c>
      <c r="R793" s="45">
        <f t="shared" ca="1" si="1043"/>
        <v>0.14541325779106506</v>
      </c>
      <c r="S793" s="45">
        <f t="shared" ca="1" si="978"/>
        <v>5.0695617570641283E-2</v>
      </c>
      <c r="T793" s="77">
        <f t="shared" ca="1" si="1028"/>
        <v>9.6044771709889135E-2</v>
      </c>
      <c r="U793" s="45">
        <f t="shared" ca="1" si="1044"/>
        <v>17.723098797609453</v>
      </c>
      <c r="V793" s="45">
        <f t="shared" ca="1" si="1029"/>
        <v>0.20278247028256513</v>
      </c>
      <c r="W793" s="77">
        <f t="shared" ca="1" si="1030"/>
        <v>0.56516322943742048</v>
      </c>
      <c r="X793" s="45">
        <f t="shared" ca="1" si="1045"/>
        <v>1.0412354691860159</v>
      </c>
      <c r="Y793" s="45">
        <f t="shared" ca="1" si="1031"/>
        <v>6.7412809046366748E-2</v>
      </c>
      <c r="Z793" s="77">
        <f t="shared" ca="1" si="1032"/>
        <v>7.165295009356247E-2</v>
      </c>
      <c r="AA793" s="45">
        <f t="shared" ca="1" si="1046"/>
        <v>39.193010306965796</v>
      </c>
      <c r="AB793" s="45">
        <f t="shared" ca="1" si="1033"/>
        <v>0</v>
      </c>
      <c r="AC793" s="45" cm="1">
        <f t="array" aca="1" ref="AC793" ca="1">pHUM*(T793+W793+Z793+AD793)</f>
        <v>7.9309187113372648E-2</v>
      </c>
      <c r="AD793" s="77">
        <f t="shared" ca="1" si="1034"/>
        <v>8.4586458126242936E-2</v>
      </c>
      <c r="AE793" s="45">
        <f t="shared" ca="1" si="1047"/>
        <v>6.3847072090583081</v>
      </c>
      <c r="AF793" s="45">
        <f t="shared" ca="1" si="1035"/>
        <v>0</v>
      </c>
      <c r="AG793" s="76">
        <f t="shared" ca="1" si="1036"/>
        <v>64.487465040610644</v>
      </c>
      <c r="AH793" s="45">
        <f t="shared" ca="1" si="1037"/>
        <v>0.67072541320737555</v>
      </c>
      <c r="AI793" s="77">
        <f t="shared" ca="1" si="1038"/>
        <v>1.1821208580280348E-2</v>
      </c>
      <c r="AJ793" s="384">
        <f t="shared" ca="1" si="1040"/>
        <v>3.4853059845904033E-2</v>
      </c>
      <c r="AU793" s="1"/>
    </row>
    <row r="794" spans="3:47" x14ac:dyDescent="0.25">
      <c r="C794" s="10">
        <f t="shared" si="976"/>
        <v>58</v>
      </c>
      <c r="D794" s="91">
        <f t="shared" si="1048"/>
        <v>8</v>
      </c>
      <c r="E794" s="278"/>
      <c r="F794" s="76">
        <f t="shared" ref="F794:Q794" ca="1" si="1054">F722</f>
        <v>19.38</v>
      </c>
      <c r="G794" s="46">
        <f t="shared" ca="1" si="1054"/>
        <v>27.012600000000003</v>
      </c>
      <c r="H794" s="46">
        <f t="shared" ca="1" si="1024"/>
        <v>28.517550000000004</v>
      </c>
      <c r="I794" s="45">
        <f t="shared" ca="1" si="1025"/>
        <v>1.1711755949831784</v>
      </c>
      <c r="J794" s="45">
        <f t="shared" ca="1" si="1026"/>
        <v>0.27952512346894071</v>
      </c>
      <c r="K794" s="45">
        <f t="shared" ca="1" si="1042"/>
        <v>0.90345467800480783</v>
      </c>
      <c r="L794" s="358">
        <f t="shared" ca="1" si="1027"/>
        <v>0.9085593811553081</v>
      </c>
      <c r="M794" s="76">
        <f t="shared" ca="1" si="1054"/>
        <v>0.25347808785320641</v>
      </c>
      <c r="N794" s="45">
        <f t="shared" ca="1" si="1054"/>
        <v>0.25</v>
      </c>
      <c r="O794" s="45">
        <f t="shared" ca="1" si="1054"/>
        <v>0</v>
      </c>
      <c r="P794" s="46" t="str">
        <f t="shared" ca="1" si="1054"/>
        <v/>
      </c>
      <c r="Q794" s="243" t="str">
        <f t="shared" ca="1" si="1054"/>
        <v/>
      </c>
      <c r="R794" s="45">
        <f t="shared" ca="1" si="1043"/>
        <v>0.10006410365181721</v>
      </c>
      <c r="S794" s="45">
        <f t="shared" ca="1" si="978"/>
        <v>5.0695617570641283E-2</v>
      </c>
      <c r="T794" s="77">
        <f t="shared" ca="1" si="1028"/>
        <v>6.2357646589744672E-2</v>
      </c>
      <c r="U794" s="45">
        <f t="shared" ca="1" si="1044"/>
        <v>17.360718038454596</v>
      </c>
      <c r="V794" s="45">
        <f t="shared" ca="1" si="1029"/>
        <v>0.20278247028256513</v>
      </c>
      <c r="W794" s="77">
        <f t="shared" ca="1" si="1030"/>
        <v>0.50094180979079572</v>
      </c>
      <c r="X794" s="45">
        <f t="shared" ca="1" si="1045"/>
        <v>1.0369953281388202</v>
      </c>
      <c r="Y794" s="45">
        <f t="shared" ca="1" si="1031"/>
        <v>5.8090859544708363E-2</v>
      </c>
      <c r="Z794" s="77">
        <f t="shared" ca="1" si="1032"/>
        <v>6.4691782630878158E-2</v>
      </c>
      <c r="AA794" s="45">
        <f t="shared" ca="1" si="1046"/>
        <v>39.187733035952924</v>
      </c>
      <c r="AB794" s="45">
        <f t="shared" ca="1" si="1033"/>
        <v>0</v>
      </c>
      <c r="AC794" s="45" cm="1">
        <f t="array" aca="1" ref="AC794" ca="1">pHUM*(T794+W794+Z794+AD794)</f>
        <v>6.8342187699656901E-2</v>
      </c>
      <c r="AD794" s="77">
        <f t="shared" ca="1" si="1034"/>
        <v>7.6418253998576227E-2</v>
      </c>
      <c r="AE794" s="45">
        <f t="shared" ca="1" si="1047"/>
        <v>6.3847072090583081</v>
      </c>
      <c r="AF794" s="45">
        <f t="shared" ca="1" si="1035"/>
        <v>0</v>
      </c>
      <c r="AG794" s="76">
        <f t="shared" ca="1" si="1036"/>
        <v>64.070217715256462</v>
      </c>
      <c r="AH794" s="45">
        <f t="shared" ca="1" si="1037"/>
        <v>0.57797644576562957</v>
      </c>
      <c r="AI794" s="77">
        <f t="shared" ca="1" si="1038"/>
        <v>1.1090347122379997E-2</v>
      </c>
      <c r="AJ794" s="384">
        <f t="shared" ca="1" si="1040"/>
        <v>3.2132296145329642E-2</v>
      </c>
      <c r="AU794" s="1"/>
    </row>
    <row r="795" spans="3:47" x14ac:dyDescent="0.25">
      <c r="C795" s="10">
        <f t="shared" si="976"/>
        <v>58</v>
      </c>
      <c r="D795" s="91">
        <f t="shared" si="1048"/>
        <v>9</v>
      </c>
      <c r="E795" s="278"/>
      <c r="F795" s="76">
        <f t="shared" ref="F795:Q795" ca="1" si="1055">F723</f>
        <v>16.57</v>
      </c>
      <c r="G795" s="46">
        <f t="shared" ca="1" si="1055"/>
        <v>27.012600000000003</v>
      </c>
      <c r="H795" s="46">
        <f t="shared" ca="1" si="1024"/>
        <v>28.517550000000004</v>
      </c>
      <c r="I795" s="45">
        <f t="shared" ca="1" si="1025"/>
        <v>0.9439672665218134</v>
      </c>
      <c r="J795" s="45">
        <f t="shared" ca="1" si="1026"/>
        <v>0.27952512346894071</v>
      </c>
      <c r="K795" s="45">
        <f t="shared" ca="1" si="1042"/>
        <v>0.90345467800480783</v>
      </c>
      <c r="L795" s="358">
        <f t="shared" ca="1" si="1027"/>
        <v>0.86895066774150642</v>
      </c>
      <c r="M795" s="76">
        <f t="shared" ca="1" si="1055"/>
        <v>0.25347808785320641</v>
      </c>
      <c r="N795" s="45">
        <f t="shared" ca="1" si="1055"/>
        <v>0.25</v>
      </c>
      <c r="O795" s="45">
        <f t="shared" ca="1" si="1055"/>
        <v>0</v>
      </c>
      <c r="P795" s="46" t="str">
        <f t="shared" ca="1" si="1055"/>
        <v/>
      </c>
      <c r="Q795" s="243" t="str">
        <f t="shared" ca="1" si="1055"/>
        <v/>
      </c>
      <c r="R795" s="45">
        <f t="shared" ca="1" si="1043"/>
        <v>8.8402074632713837E-2</v>
      </c>
      <c r="S795" s="45">
        <f t="shared" ca="1" si="978"/>
        <v>5.0695617570641283E-2</v>
      </c>
      <c r="T795" s="77">
        <f t="shared" ca="1" si="1028"/>
        <v>4.8146195874830794E-2</v>
      </c>
      <c r="U795" s="45">
        <f t="shared" ca="1" si="1044"/>
        <v>17.062558698946365</v>
      </c>
      <c r="V795" s="45">
        <f t="shared" ca="1" si="1029"/>
        <v>0.20278247028256513</v>
      </c>
      <c r="W795" s="77">
        <f t="shared" ca="1" si="1030"/>
        <v>0.39794832629444482</v>
      </c>
      <c r="X795" s="45">
        <f t="shared" ca="1" si="1045"/>
        <v>1.0303944050526503</v>
      </c>
      <c r="Y795" s="45">
        <f t="shared" ca="1" si="1031"/>
        <v>4.6166751534135873E-2</v>
      </c>
      <c r="Z795" s="77">
        <f t="shared" ca="1" si="1032"/>
        <v>5.2131233114253266E-2</v>
      </c>
      <c r="AA795" s="45">
        <f t="shared" ca="1" si="1046"/>
        <v>39.179656969654005</v>
      </c>
      <c r="AB795" s="45">
        <f t="shared" ca="1" si="1033"/>
        <v>0</v>
      </c>
      <c r="AC795" s="45" cm="1">
        <f t="array" aca="1" ref="AC795" ca="1">pHUM*(T795+W795+Z795+AD795)</f>
        <v>5.4313825334277498E-2</v>
      </c>
      <c r="AD795" s="77">
        <f t="shared" ca="1" si="1034"/>
        <v>6.1592059377149483E-2</v>
      </c>
      <c r="AE795" s="45">
        <f t="shared" ca="1" si="1047"/>
        <v>6.3847072090583081</v>
      </c>
      <c r="AF795" s="45">
        <f t="shared" ca="1" si="1035"/>
        <v>0</v>
      </c>
      <c r="AG795" s="76">
        <f t="shared" ca="1" si="1036"/>
        <v>63.745719357344043</v>
      </c>
      <c r="AH795" s="45">
        <f t="shared" ca="1" si="1037"/>
        <v>0.45933723779226504</v>
      </c>
      <c r="AI795" s="77">
        <f t="shared" ca="1" si="1038"/>
        <v>1.0847149662441373E-2</v>
      </c>
      <c r="AJ795" s="384">
        <f t="shared" ca="1" si="1040"/>
        <v>3.0057642041150245E-2</v>
      </c>
      <c r="AU795" s="1"/>
    </row>
    <row r="796" spans="3:47" x14ac:dyDescent="0.25">
      <c r="C796" s="10">
        <f t="shared" si="976"/>
        <v>58</v>
      </c>
      <c r="D796" s="91">
        <f t="shared" si="1048"/>
        <v>10</v>
      </c>
      <c r="E796" s="278"/>
      <c r="F796" s="76">
        <f t="shared" ref="F796:Q796" ca="1" si="1056">F724</f>
        <v>10.87</v>
      </c>
      <c r="G796" s="46">
        <f t="shared" ca="1" si="1056"/>
        <v>27.012600000000003</v>
      </c>
      <c r="H796" s="46">
        <f t="shared" ca="1" si="1024"/>
        <v>28.517550000000004</v>
      </c>
      <c r="I796" s="45">
        <f t="shared" ca="1" si="1025"/>
        <v>0.53125146958099567</v>
      </c>
      <c r="J796" s="45">
        <f t="shared" ca="1" si="1026"/>
        <v>0.27952512346894071</v>
      </c>
      <c r="K796" s="45">
        <f t="shared" ca="1" si="1042"/>
        <v>0.90345467800480783</v>
      </c>
      <c r="L796" s="358">
        <f t="shared" ca="1" si="1027"/>
        <v>0.74105246316705919</v>
      </c>
      <c r="M796" s="76">
        <f t="shared" ca="1" si="1056"/>
        <v>0.25347808785320641</v>
      </c>
      <c r="N796" s="45">
        <f t="shared" ca="1" si="1056"/>
        <v>0.25</v>
      </c>
      <c r="O796" s="45">
        <f t="shared" ca="1" si="1056"/>
        <v>0</v>
      </c>
      <c r="P796" s="46" t="str">
        <f t="shared" ca="1" si="1056"/>
        <v/>
      </c>
      <c r="Q796" s="243" t="str">
        <f t="shared" ca="1" si="1056"/>
        <v/>
      </c>
      <c r="R796" s="45">
        <f t="shared" ca="1" si="1043"/>
        <v>9.0951496328524312E-2</v>
      </c>
      <c r="S796" s="45">
        <f t="shared" ca="1" si="978"/>
        <v>5.0695617570641283E-2</v>
      </c>
      <c r="T796" s="77">
        <f t="shared" ca="1" si="1028"/>
        <v>3.2533920585815154E-2</v>
      </c>
      <c r="U796" s="45">
        <f t="shared" ca="1" si="1044"/>
        <v>16.867392842934485</v>
      </c>
      <c r="V796" s="45">
        <f t="shared" ca="1" si="1029"/>
        <v>0.20278247028256513</v>
      </c>
      <c r="W796" s="77">
        <f t="shared" ca="1" si="1030"/>
        <v>0.2225396035673792</v>
      </c>
      <c r="X796" s="45">
        <f t="shared" ca="1" si="1045"/>
        <v>1.0244299234725331</v>
      </c>
      <c r="Y796" s="45">
        <f t="shared" ca="1" si="1031"/>
        <v>2.6327052892127181E-2</v>
      </c>
      <c r="Z796" s="77">
        <f t="shared" ca="1" si="1032"/>
        <v>2.9499574373924222E-2</v>
      </c>
      <c r="AA796" s="45">
        <f t="shared" ca="1" si="1046"/>
        <v>39.172378735611133</v>
      </c>
      <c r="AB796" s="45">
        <f t="shared" ca="1" si="1033"/>
        <v>0</v>
      </c>
      <c r="AC796" s="45" cm="1">
        <f t="array" aca="1" ref="AC796" ca="1">pHUM*(T796+W796+Z796+AD796)</f>
        <v>3.0973003402502565E-2</v>
      </c>
      <c r="AD796" s="77">
        <f t="shared" ca="1" si="1034"/>
        <v>3.4668622554970947E-2</v>
      </c>
      <c r="AE796" s="45">
        <f t="shared" ca="1" si="1047"/>
        <v>6.3847072090583081</v>
      </c>
      <c r="AF796" s="45">
        <f t="shared" ca="1" si="1035"/>
        <v>0</v>
      </c>
      <c r="AG796" s="76">
        <f t="shared" ca="1" si="1036"/>
        <v>63.539860207404985</v>
      </c>
      <c r="AH796" s="45">
        <f t="shared" ca="1" si="1037"/>
        <v>0.26194166478745978</v>
      </c>
      <c r="AI796" s="77">
        <f t="shared" ca="1" si="1038"/>
        <v>1.0832071053716698E-2</v>
      </c>
      <c r="AJ796" s="384">
        <f t="shared" ca="1" si="1040"/>
        <v>2.5598023710875495E-2</v>
      </c>
      <c r="AU796" s="1"/>
    </row>
    <row r="797" spans="3:47" x14ac:dyDescent="0.25">
      <c r="C797" s="10">
        <f t="shared" si="976"/>
        <v>58</v>
      </c>
      <c r="D797" s="91">
        <f t="shared" si="1048"/>
        <v>11</v>
      </c>
      <c r="E797" s="278"/>
      <c r="F797" s="76">
        <f t="shared" ref="F797:Q797" ca="1" si="1057">F725</f>
        <v>1.4</v>
      </c>
      <c r="G797" s="46">
        <f t="shared" ca="1" si="1057"/>
        <v>28.536243189942063</v>
      </c>
      <c r="H797" s="46">
        <f t="shared" ca="1" si="1024"/>
        <v>26.993906810057943</v>
      </c>
      <c r="I797" s="45">
        <f t="shared" ca="1" si="1025"/>
        <v>9.940372096718314E-2</v>
      </c>
      <c r="J797" s="45">
        <f t="shared" ca="1" si="1026"/>
        <v>0.28648639837560558</v>
      </c>
      <c r="K797" s="45">
        <f t="shared" ca="1" si="1042"/>
        <v>0.92595425264501963</v>
      </c>
      <c r="L797" s="358">
        <f t="shared" ca="1" si="1027"/>
        <v>0.41120226021724715</v>
      </c>
      <c r="M797" s="76">
        <f t="shared" ca="1" si="1057"/>
        <v>0.25347808785320641</v>
      </c>
      <c r="N797" s="45">
        <f t="shared" ca="1" si="1057"/>
        <v>0.25</v>
      </c>
      <c r="O797" s="45">
        <f t="shared" ca="1" si="1057"/>
        <v>0</v>
      </c>
      <c r="P797" s="46" t="str">
        <f t="shared" ca="1" si="1057"/>
        <v/>
      </c>
      <c r="Q797" s="243" t="str">
        <f t="shared" ca="1" si="1057"/>
        <v/>
      </c>
      <c r="R797" s="45">
        <f t="shared" ca="1" si="1043"/>
        <v>0.10911319331335044</v>
      </c>
      <c r="S797" s="45">
        <f t="shared" ca="1" si="978"/>
        <v>5.0695617570641283E-2</v>
      </c>
      <c r="T797" s="77">
        <f t="shared" ca="1" si="1028"/>
        <v>8.6743136422450483E-3</v>
      </c>
      <c r="U797" s="45">
        <f t="shared" ca="1" si="1044"/>
        <v>16.847635709649669</v>
      </c>
      <c r="V797" s="45">
        <f t="shared" ca="1" si="1029"/>
        <v>0.20278247028256513</v>
      </c>
      <c r="W797" s="77">
        <f t="shared" ca="1" si="1030"/>
        <v>4.181596217782544E-2</v>
      </c>
      <c r="X797" s="45">
        <f t="shared" ca="1" si="1045"/>
        <v>1.0212574019907361</v>
      </c>
      <c r="Y797" s="45">
        <f t="shared" ca="1" si="1031"/>
        <v>5.1581014749240229E-3</v>
      </c>
      <c r="Z797" s="77">
        <f t="shared" ca="1" si="1032"/>
        <v>5.5681881386495666E-3</v>
      </c>
      <c r="AA797" s="45">
        <f t="shared" ca="1" si="1046"/>
        <v>39.168683116458666</v>
      </c>
      <c r="AB797" s="45">
        <f t="shared" ca="1" si="1033"/>
        <v>0</v>
      </c>
      <c r="AC797" s="45" cm="1">
        <f t="array" aca="1" ref="AC797" ca="1">pHUM*(T797+W797+Z797+AD797)</f>
        <v>6.0683546763812034E-3</v>
      </c>
      <c r="AD797" s="77">
        <f t="shared" ca="1" si="1034"/>
        <v>6.488650567085124E-3</v>
      </c>
      <c r="AE797" s="45">
        <f t="shared" ca="1" si="1047"/>
        <v>6.3847072090583081</v>
      </c>
      <c r="AF797" s="45">
        <f t="shared" ca="1" si="1035"/>
        <v>0</v>
      </c>
      <c r="AG797" s="76">
        <f t="shared" ca="1" si="1036"/>
        <v>63.531396630470731</v>
      </c>
      <c r="AH797" s="45">
        <f t="shared" ca="1" si="1037"/>
        <v>5.1320658374499957E-2</v>
      </c>
      <c r="AI797" s="77">
        <f t="shared" ca="1" si="1038"/>
        <v>1.1086711336864048E-2</v>
      </c>
      <c r="AJ797" s="384">
        <f t="shared" ca="1" si="1040"/>
        <v>1.4900188330057018E-2</v>
      </c>
      <c r="AU797" s="1"/>
    </row>
    <row r="798" spans="3:47" x14ac:dyDescent="0.25">
      <c r="C798" s="10">
        <f t="shared" si="976"/>
        <v>58</v>
      </c>
      <c r="D798" s="91">
        <f t="shared" si="1048"/>
        <v>12</v>
      </c>
      <c r="E798" s="278"/>
      <c r="F798" s="76">
        <f t="shared" ref="F798:Q798" ca="1" si="1058">F726</f>
        <v>-1.78</v>
      </c>
      <c r="G798" s="46">
        <f t="shared" ca="1" si="1058"/>
        <v>32.216243189942062</v>
      </c>
      <c r="H798" s="46">
        <f t="shared" ca="1" si="1024"/>
        <v>23.313906810057944</v>
      </c>
      <c r="I798" s="45">
        <f t="shared" ca="1" si="1025"/>
        <v>3.9789790397057247E-2</v>
      </c>
      <c r="J798" s="45">
        <f t="shared" ca="1" si="1026"/>
        <v>0.29882189650486002</v>
      </c>
      <c r="K798" s="45">
        <f t="shared" ca="1" si="1042"/>
        <v>0.96582388351071458</v>
      </c>
      <c r="L798" s="358">
        <f t="shared" ca="1" si="1027"/>
        <v>0.30292377267304249</v>
      </c>
      <c r="M798" s="76">
        <f t="shared" ca="1" si="1058"/>
        <v>0.25347808785320641</v>
      </c>
      <c r="N798" s="45">
        <f t="shared" ca="1" si="1058"/>
        <v>0.25</v>
      </c>
      <c r="O798" s="45">
        <f t="shared" ca="1" si="1058"/>
        <v>0</v>
      </c>
      <c r="P798" s="46" t="str">
        <f t="shared" ca="1" si="1058"/>
        <v/>
      </c>
      <c r="Q798" s="243" t="str">
        <f t="shared" ca="1" si="1058"/>
        <v/>
      </c>
      <c r="R798" s="45">
        <f t="shared" ca="1" si="1043"/>
        <v>0.15113449724174668</v>
      </c>
      <c r="S798" s="45">
        <f t="shared" ca="1" si="978"/>
        <v>5.0695617570641283E-2</v>
      </c>
      <c r="T798" s="77">
        <f t="shared" ca="1" si="1028"/>
        <v>4.9291689443774654E-3</v>
      </c>
      <c r="U798" s="45">
        <f t="shared" ca="1" si="1044"/>
        <v>17.008602217754408</v>
      </c>
      <c r="V798" s="45">
        <f t="shared" ca="1" si="1029"/>
        <v>0.20278247028256513</v>
      </c>
      <c r="W798" s="77">
        <f t="shared" ca="1" si="1030"/>
        <v>1.6910805567711521E-2</v>
      </c>
      <c r="X798" s="45">
        <f t="shared" ca="1" si="1045"/>
        <v>1.0208473153270106</v>
      </c>
      <c r="Y798" s="45">
        <f t="shared" ca="1" si="1031"/>
        <v>2.1993247827732688E-3</v>
      </c>
      <c r="Z798" s="77">
        <f t="shared" ca="1" si="1032"/>
        <v>2.2316187679005785E-3</v>
      </c>
      <c r="AA798" s="45">
        <f t="shared" ca="1" si="1046"/>
        <v>39.168262820567961</v>
      </c>
      <c r="AB798" s="45">
        <f t="shared" ca="1" si="1033"/>
        <v>0</v>
      </c>
      <c r="AC798" s="45" cm="1">
        <f t="array" aca="1" ref="AC798" ca="1">pHUM*(T798+W798+Z798+AD798)</f>
        <v>2.5874409209097281E-3</v>
      </c>
      <c r="AD798" s="77">
        <f t="shared" ca="1" si="1034"/>
        <v>2.5974088201654146E-3</v>
      </c>
      <c r="AE798" s="45">
        <f t="shared" ca="1" si="1047"/>
        <v>6.3847072090583081</v>
      </c>
      <c r="AF798" s="45">
        <f t="shared" ca="1" si="1035"/>
        <v>0</v>
      </c>
      <c r="AG798" s="76">
        <f t="shared" ca="1" si="1036"/>
        <v>63.733554059949427</v>
      </c>
      <c r="AH798" s="45">
        <f t="shared" ca="1" si="1037"/>
        <v>2.1882236396471983E-2</v>
      </c>
      <c r="AI798" s="77">
        <f t="shared" ca="1" si="1038"/>
        <v>1.1728004085905989E-2</v>
      </c>
      <c r="AJ798" s="384">
        <f t="shared" ca="1" si="1040"/>
        <v>1.2111572766124734E-2</v>
      </c>
      <c r="AU798" s="1"/>
    </row>
    <row r="799" spans="3:47" x14ac:dyDescent="0.25">
      <c r="C799" s="10">
        <f t="shared" si="976"/>
        <v>59</v>
      </c>
      <c r="D799" s="91">
        <f t="shared" si="1048"/>
        <v>1</v>
      </c>
      <c r="E799" s="278"/>
      <c r="F799" s="76">
        <f t="shared" ref="F799:Q799" ca="1" si="1059">F727</f>
        <v>-8.2799999999999994</v>
      </c>
      <c r="G799" s="46">
        <f t="shared" ca="1" si="1059"/>
        <v>27.676243189942063</v>
      </c>
      <c r="H799" s="46">
        <f t="shared" ca="1" si="1024"/>
        <v>27.853906810057943</v>
      </c>
      <c r="I799" s="45">
        <f t="shared" ca="1" si="1025"/>
        <v>5.2124139735228647E-4</v>
      </c>
      <c r="J799" s="45">
        <f t="shared" ca="1" si="1026"/>
        <v>0.28271042830183513</v>
      </c>
      <c r="K799" s="45">
        <f t="shared" ca="1" si="1042"/>
        <v>0.91374991914963299</v>
      </c>
      <c r="L799" s="358">
        <f t="shared" ca="1" si="1027"/>
        <v>0.14143923467074027</v>
      </c>
      <c r="M799" s="76">
        <f t="shared" ca="1" si="1059"/>
        <v>0.25347808785320641</v>
      </c>
      <c r="N799" s="45">
        <f t="shared" ca="1" si="1059"/>
        <v>0.25</v>
      </c>
      <c r="O799" s="45">
        <f t="shared" ca="1" si="1059"/>
        <v>0</v>
      </c>
      <c r="P799" s="46" t="str">
        <f t="shared" ca="1" si="1059"/>
        <v/>
      </c>
      <c r="Q799" s="243" t="str">
        <f t="shared" ca="1" si="1059"/>
        <v/>
      </c>
      <c r="R799" s="45">
        <f t="shared" ca="1" si="1043"/>
        <v>0.19690094586801049</v>
      </c>
      <c r="S799" s="45">
        <f t="shared" ca="1" si="978"/>
        <v>5.0695617570641283E-2</v>
      </c>
      <c r="T799" s="77">
        <f t="shared" ca="1" si="1028"/>
        <v>8.5508864309104358E-5</v>
      </c>
      <c r="U799" s="45">
        <f t="shared" ca="1" si="1044"/>
        <v>17.194473882469261</v>
      </c>
      <c r="V799" s="45">
        <f t="shared" ca="1" si="1029"/>
        <v>0.20278247028256513</v>
      </c>
      <c r="W799" s="77">
        <f t="shared" ca="1" si="1030"/>
        <v>2.2406032995882902E-4</v>
      </c>
      <c r="X799" s="45">
        <f t="shared" ca="1" si="1045"/>
        <v>1.0208150213418832</v>
      </c>
      <c r="Y799" s="45">
        <f t="shared" ca="1" si="1031"/>
        <v>3.0748867603611056E-5</v>
      </c>
      <c r="Z799" s="77">
        <f t="shared" ca="1" si="1032"/>
        <v>2.9264588164278657E-5</v>
      </c>
      <c r="AA799" s="45">
        <f t="shared" ca="1" si="1046"/>
        <v>39.168252852668708</v>
      </c>
      <c r="AB799" s="45">
        <f t="shared" ca="1" si="1033"/>
        <v>0</v>
      </c>
      <c r="AC799" s="45" cm="1">
        <f t="array" aca="1" ref="AC799" ca="1">pHUM*(T799+W799+Z799+AD799)</f>
        <v>3.6175138357189473E-5</v>
      </c>
      <c r="AD799" s="77">
        <f t="shared" ca="1" si="1034"/>
        <v>3.4026843302222577E-5</v>
      </c>
      <c r="AE799" s="45">
        <f t="shared" ca="1" si="1047"/>
        <v>6.3847072090583081</v>
      </c>
      <c r="AF799" s="45">
        <f t="shared" ca="1" si="1035"/>
        <v>0</v>
      </c>
      <c r="AG799" s="76">
        <f t="shared" ca="1" si="1036"/>
        <v>63.965149911406165</v>
      </c>
      <c r="AH799" s="45">
        <f t="shared" ca="1" si="1037"/>
        <v>3.0593661977363414E-4</v>
      </c>
      <c r="AI799" s="77">
        <f t="shared" ca="1" si="1038"/>
        <v>1.2423857522445821E-2</v>
      </c>
      <c r="AJ799" s="384">
        <f t="shared" ca="1" si="1040"/>
        <v>5.6676299699176536E-3</v>
      </c>
      <c r="AU799" s="1"/>
    </row>
    <row r="800" spans="3:47" x14ac:dyDescent="0.25">
      <c r="C800" s="10">
        <f t="shared" si="976"/>
        <v>59</v>
      </c>
      <c r="D800" s="91">
        <f t="shared" si="1048"/>
        <v>2</v>
      </c>
      <c r="E800" s="278"/>
      <c r="F800" s="76">
        <f t="shared" ref="F800:Q800" ca="1" si="1060">F728</f>
        <v>-13.02</v>
      </c>
      <c r="G800" s="46">
        <f t="shared" ca="1" si="1060"/>
        <v>27.012600000000003</v>
      </c>
      <c r="H800" s="46">
        <f t="shared" ca="1" si="1024"/>
        <v>28.517550000000004</v>
      </c>
      <c r="I800" s="45">
        <f t="shared" ca="1" si="1025"/>
        <v>3.4968020066039631E-8</v>
      </c>
      <c r="J800" s="45">
        <f t="shared" ca="1" si="1026"/>
        <v>0.27952512346894071</v>
      </c>
      <c r="K800" s="45">
        <f t="shared" ca="1" si="1042"/>
        <v>0.90345467800480783</v>
      </c>
      <c r="L800" s="358">
        <f t="shared" ca="1" si="1027"/>
        <v>7.5103934893711255E-2</v>
      </c>
      <c r="M800" s="76">
        <f t="shared" ca="1" si="1060"/>
        <v>0.25347808785320641</v>
      </c>
      <c r="N800" s="45">
        <f t="shared" ca="1" si="1060"/>
        <v>0.25</v>
      </c>
      <c r="O800" s="45">
        <f t="shared" ca="1" si="1060"/>
        <v>0</v>
      </c>
      <c r="P800" s="46" t="str">
        <f t="shared" ca="1" si="1060"/>
        <v/>
      </c>
      <c r="Q800" s="243" t="str">
        <f t="shared" ca="1" si="1060"/>
        <v/>
      </c>
      <c r="R800" s="45">
        <f t="shared" ca="1" si="1043"/>
        <v>0.24751105457434266</v>
      </c>
      <c r="S800" s="45">
        <f t="shared" ca="1" si="978"/>
        <v>5.0695617570641283E-2</v>
      </c>
      <c r="T800" s="77">
        <f t="shared" ca="1" si="1028"/>
        <v>7.2124761619648606E-9</v>
      </c>
      <c r="U800" s="45">
        <f t="shared" ca="1" si="1044"/>
        <v>17.397032292421866</v>
      </c>
      <c r="V800" s="45">
        <f t="shared" ca="1" si="1029"/>
        <v>0.20278247028256513</v>
      </c>
      <c r="W800" s="77">
        <f t="shared" ca="1" si="1030"/>
        <v>1.5208494150675202E-8</v>
      </c>
      <c r="X800" s="45">
        <f t="shared" ca="1" si="1045"/>
        <v>1.0208165056213225</v>
      </c>
      <c r="Y800" s="45">
        <f t="shared" ca="1" si="1031"/>
        <v>2.1991575597336631E-9</v>
      </c>
      <c r="Z800" s="77">
        <f t="shared" ca="1" si="1032"/>
        <v>1.9632762815405005E-9</v>
      </c>
      <c r="AA800" s="45">
        <f t="shared" ca="1" si="1046"/>
        <v>39.168255000963761</v>
      </c>
      <c r="AB800" s="45">
        <f t="shared" ca="1" si="1033"/>
        <v>0</v>
      </c>
      <c r="AC800" s="45" cm="1">
        <f t="array" aca="1" ref="AC800" ca="1">pHUM*(T800+W800+Z800+AD800)</f>
        <v>2.587244187921957E-9</v>
      </c>
      <c r="AD800" s="77">
        <f t="shared" ca="1" si="1034"/>
        <v>2.2827277601728998E-9</v>
      </c>
      <c r="AE800" s="45">
        <f t="shared" ca="1" si="1047"/>
        <v>6.3847072090583081</v>
      </c>
      <c r="AF800" s="45">
        <f t="shared" ca="1" si="1035"/>
        <v>0</v>
      </c>
      <c r="AG800" s="76">
        <f t="shared" ca="1" si="1036"/>
        <v>64.218322062639601</v>
      </c>
      <c r="AH800" s="45">
        <f t="shared" ca="1" si="1037"/>
        <v>2.1880572606697845E-8</v>
      </c>
      <c r="AI800" s="77">
        <f t="shared" ca="1" si="1038"/>
        <v>1.3186281960713151E-2</v>
      </c>
      <c r="AJ800" s="384">
        <f t="shared" ca="1" si="1040"/>
        <v>3.1582043340583343E-3</v>
      </c>
      <c r="AU800" s="1"/>
    </row>
    <row r="801" spans="3:47" x14ac:dyDescent="0.25">
      <c r="C801" s="10">
        <f t="shared" si="976"/>
        <v>59</v>
      </c>
      <c r="D801" s="91">
        <f t="shared" si="1048"/>
        <v>3</v>
      </c>
      <c r="E801" s="278"/>
      <c r="F801" s="76">
        <f t="shared" ref="F801:Q801" ca="1" si="1061">F729</f>
        <v>-3.52</v>
      </c>
      <c r="G801" s="46">
        <f t="shared" ca="1" si="1061"/>
        <v>29.742600000000003</v>
      </c>
      <c r="H801" s="46">
        <f t="shared" ca="1" si="1024"/>
        <v>25.787550000000003</v>
      </c>
      <c r="I801" s="45">
        <f t="shared" ca="1" si="1025"/>
        <v>1.7216068766348798E-2</v>
      </c>
      <c r="J801" s="45">
        <f t="shared" ca="1" si="1026"/>
        <v>0.2911707845539237</v>
      </c>
      <c r="K801" s="45">
        <f t="shared" ca="1" si="1042"/>
        <v>0.94109468279262609</v>
      </c>
      <c r="L801" s="358">
        <f t="shared" ca="1" si="1027"/>
        <v>0.2510452916114092</v>
      </c>
      <c r="M801" s="76">
        <f t="shared" ca="1" si="1061"/>
        <v>0.25347808785320641</v>
      </c>
      <c r="N801" s="45">
        <f t="shared" ca="1" si="1061"/>
        <v>0.25</v>
      </c>
      <c r="O801" s="45">
        <f t="shared" ca="1" si="1061"/>
        <v>0</v>
      </c>
      <c r="P801" s="46" t="str">
        <f t="shared" ca="1" si="1061"/>
        <v/>
      </c>
      <c r="Q801" s="243" t="str">
        <f t="shared" ca="1" si="1061"/>
        <v/>
      </c>
      <c r="R801" s="45">
        <f t="shared" ca="1" si="1043"/>
        <v>0.2982066649325078</v>
      </c>
      <c r="S801" s="45">
        <f t="shared" ca="1" si="978"/>
        <v>5.0695617570641283E-2</v>
      </c>
      <c r="T801" s="77">
        <f t="shared" ca="1" si="1028"/>
        <v>4.2477452355207971E-3</v>
      </c>
      <c r="U801" s="45">
        <f t="shared" ca="1" si="1044"/>
        <v>17.599814747495934</v>
      </c>
      <c r="V801" s="45">
        <f t="shared" ca="1" si="1029"/>
        <v>0.20278247028256513</v>
      </c>
      <c r="W801" s="77">
        <f t="shared" ca="1" si="1030"/>
        <v>7.573360613572503E-3</v>
      </c>
      <c r="X801" s="45">
        <f t="shared" ca="1" si="1045"/>
        <v>1.0208165058572038</v>
      </c>
      <c r="Y801" s="45">
        <f t="shared" ca="1" si="1031"/>
        <v>1.1472129681691747E-3</v>
      </c>
      <c r="Z801" s="77">
        <f t="shared" ca="1" si="1032"/>
        <v>9.661371119794312E-4</v>
      </c>
      <c r="AA801" s="45">
        <f t="shared" ca="1" si="1046"/>
        <v>39.168255001268278</v>
      </c>
      <c r="AB801" s="45">
        <f t="shared" ca="1" si="1033"/>
        <v>0</v>
      </c>
      <c r="AC801" s="45" cm="1">
        <f t="array" aca="1" ref="AC801" ca="1">pHUM*(T801+W801+Z801+AD801)</f>
        <v>1.3496623154931465E-3</v>
      </c>
      <c r="AD801" s="77">
        <f t="shared" ca="1" si="1034"/>
        <v>1.1238561621997865E-3</v>
      </c>
      <c r="AE801" s="45">
        <f t="shared" ca="1" si="1047"/>
        <v>6.3847072090583081</v>
      </c>
      <c r="AF801" s="45">
        <f t="shared" ca="1" si="1035"/>
        <v>0</v>
      </c>
      <c r="AG801" s="76">
        <f t="shared" ca="1" si="1036"/>
        <v>64.47180012861223</v>
      </c>
      <c r="AH801" s="45">
        <f t="shared" ca="1" si="1037"/>
        <v>1.1414223839610198E-2</v>
      </c>
      <c r="AI801" s="77">
        <f t="shared" ca="1" si="1038"/>
        <v>1.3943308485824311E-2</v>
      </c>
      <c r="AJ801" s="384">
        <f t="shared" ca="1" si="1040"/>
        <v>1.1627773696718524E-2</v>
      </c>
      <c r="AU801" s="1"/>
    </row>
    <row r="802" spans="3:47" x14ac:dyDescent="0.25">
      <c r="C802" s="10">
        <f t="shared" si="976"/>
        <v>59</v>
      </c>
      <c r="D802" s="91">
        <f t="shared" si="1048"/>
        <v>4</v>
      </c>
      <c r="E802" s="278"/>
      <c r="F802" s="76">
        <f t="shared" ref="F802:Q802" ca="1" si="1062">F730</f>
        <v>6.08</v>
      </c>
      <c r="G802" s="46">
        <f t="shared" ca="1" si="1062"/>
        <v>27.012600000000003</v>
      </c>
      <c r="H802" s="46">
        <f t="shared" ca="1" si="1024"/>
        <v>28.517550000000004</v>
      </c>
      <c r="I802" s="45">
        <f t="shared" ca="1" si="1025"/>
        <v>0.26307228538649535</v>
      </c>
      <c r="J802" s="45">
        <f t="shared" ca="1" si="1026"/>
        <v>0.27952512346894071</v>
      </c>
      <c r="K802" s="45">
        <f t="shared" ca="1" si="1042"/>
        <v>0.90345467800480783</v>
      </c>
      <c r="L802" s="358">
        <f t="shared" ca="1" si="1027"/>
        <v>0.58389398806465831</v>
      </c>
      <c r="M802" s="76">
        <f t="shared" ca="1" si="1062"/>
        <v>0.25347808785320641</v>
      </c>
      <c r="N802" s="45">
        <f t="shared" ca="1" si="1062"/>
        <v>0.25</v>
      </c>
      <c r="O802" s="45">
        <f t="shared" ca="1" si="1062"/>
        <v>0</v>
      </c>
      <c r="P802" s="46" t="str">
        <f t="shared" ca="1" si="1062"/>
        <v/>
      </c>
      <c r="Q802" s="243" t="str">
        <f t="shared" ca="1" si="1062"/>
        <v/>
      </c>
      <c r="R802" s="45">
        <f t="shared" ca="1" si="1043"/>
        <v>0.34465453726762829</v>
      </c>
      <c r="S802" s="45">
        <f t="shared" ca="1" si="978"/>
        <v>5.0695617570641283E-2</v>
      </c>
      <c r="T802" s="77">
        <f t="shared" ca="1" si="1028"/>
        <v>6.7848877793297319E-2</v>
      </c>
      <c r="U802" s="45">
        <f t="shared" ca="1" si="1044"/>
        <v>17.795023857164924</v>
      </c>
      <c r="V802" s="45">
        <f t="shared" ca="1" si="1029"/>
        <v>0.20278247028256513</v>
      </c>
      <c r="W802" s="77">
        <f t="shared" ca="1" si="1030"/>
        <v>0.11665042571925502</v>
      </c>
      <c r="X802" s="45">
        <f t="shared" ca="1" si="1045"/>
        <v>1.0209975817133936</v>
      </c>
      <c r="Y802" s="45">
        <f t="shared" ca="1" si="1031"/>
        <v>1.7840641666504592E-2</v>
      </c>
      <c r="Z802" s="77">
        <f t="shared" ca="1" si="1032"/>
        <v>1.4666429223034804E-2</v>
      </c>
      <c r="AA802" s="45">
        <f t="shared" ca="1" si="1046"/>
        <v>39.168480807421567</v>
      </c>
      <c r="AB802" s="45">
        <f t="shared" ca="1" si="1033"/>
        <v>0</v>
      </c>
      <c r="AC802" s="45" cm="1">
        <f t="array" aca="1" ref="AC802" ca="1">pHUM*(T802+W802+Z802+AD802)</f>
        <v>2.0988990195887756E-2</v>
      </c>
      <c r="AD802" s="77">
        <f t="shared" ca="1" si="1034"/>
        <v>1.7169805243558784E-2</v>
      </c>
      <c r="AE802" s="45">
        <f t="shared" ca="1" si="1047"/>
        <v>6.3847072090583081</v>
      </c>
      <c r="AF802" s="45">
        <f t="shared" ca="1" si="1035"/>
        <v>0</v>
      </c>
      <c r="AG802" s="76">
        <f t="shared" ca="1" si="1036"/>
        <v>64.713863992625818</v>
      </c>
      <c r="AH802" s="45">
        <f t="shared" ca="1" si="1037"/>
        <v>0.1775059061167536</v>
      </c>
      <c r="AI802" s="77">
        <f t="shared" ca="1" si="1038"/>
        <v>1.4632877041678871E-2</v>
      </c>
      <c r="AJ802" s="384">
        <f t="shared" ca="1" si="1040"/>
        <v>2.7246394048666689E-2</v>
      </c>
      <c r="AU802" s="1"/>
    </row>
    <row r="803" spans="3:47" x14ac:dyDescent="0.25">
      <c r="C803" s="10">
        <f t="shared" si="976"/>
        <v>59</v>
      </c>
      <c r="D803" s="91">
        <f t="shared" si="1048"/>
        <v>5</v>
      </c>
      <c r="E803" s="278"/>
      <c r="F803" s="76">
        <f t="shared" ref="F803:Q803" ca="1" si="1063">F731</f>
        <v>16.079999999999998</v>
      </c>
      <c r="G803" s="46">
        <f t="shared" ca="1" si="1063"/>
        <v>27.012600000000003</v>
      </c>
      <c r="H803" s="46">
        <f t="shared" ca="1" si="1024"/>
        <v>28.517550000000004</v>
      </c>
      <c r="I803" s="45">
        <f t="shared" ca="1" si="1025"/>
        <v>0.90560233354751607</v>
      </c>
      <c r="J803" s="45">
        <f t="shared" ca="1" si="1026"/>
        <v>0.27952512346894071</v>
      </c>
      <c r="K803" s="45">
        <f t="shared" ca="1" si="1042"/>
        <v>0.90345467800480783</v>
      </c>
      <c r="L803" s="358">
        <f t="shared" ca="1" si="1027"/>
        <v>0.86059167822175908</v>
      </c>
      <c r="M803" s="76">
        <f t="shared" ca="1" si="1063"/>
        <v>0.25347808785320641</v>
      </c>
      <c r="N803" s="45">
        <f t="shared" ca="1" si="1063"/>
        <v>0.25</v>
      </c>
      <c r="O803" s="45">
        <f t="shared" ca="1" si="1063"/>
        <v>0</v>
      </c>
      <c r="P803" s="46" t="str">
        <f t="shared" ca="1" si="1063"/>
        <v/>
      </c>
      <c r="Q803" s="243" t="str">
        <f t="shared" ca="1" si="1063"/>
        <v/>
      </c>
      <c r="R803" s="45">
        <f t="shared" ca="1" si="1043"/>
        <v>0.32750127704497223</v>
      </c>
      <c r="S803" s="45">
        <f t="shared" ca="1" si="978"/>
        <v>5.0695617570641283E-2</v>
      </c>
      <c r="T803" s="77">
        <f t="shared" ca="1" si="1028"/>
        <v>0.17352118168479536</v>
      </c>
      <c r="U803" s="45">
        <f t="shared" ca="1" si="1044"/>
        <v>17.881155901728235</v>
      </c>
      <c r="V803" s="45">
        <f t="shared" ca="1" si="1029"/>
        <v>0.20278247028256513</v>
      </c>
      <c r="W803" s="77">
        <f t="shared" ca="1" si="1030"/>
        <v>0.40028210997198194</v>
      </c>
      <c r="X803" s="45">
        <f t="shared" ca="1" si="1045"/>
        <v>1.0241717941568635</v>
      </c>
      <c r="Y803" s="45">
        <f t="shared" ca="1" si="1031"/>
        <v>5.6296030933454796E-2</v>
      </c>
      <c r="Z803" s="77">
        <f t="shared" ca="1" si="1032"/>
        <v>4.9762504223331325E-2</v>
      </c>
      <c r="AA803" s="45">
        <f t="shared" ca="1" si="1046"/>
        <v>39.172299992373894</v>
      </c>
      <c r="AB803" s="45">
        <f t="shared" ca="1" si="1033"/>
        <v>0</v>
      </c>
      <c r="AC803" s="45" cm="1">
        <f t="array" aca="1" ref="AC803" ca="1">pHUM*(T803+W803+Z803+AD803)</f>
        <v>6.6230624627593881E-2</v>
      </c>
      <c r="AD803" s="77">
        <f t="shared" ca="1" si="1034"/>
        <v>5.9079613726714636E-2</v>
      </c>
      <c r="AE803" s="45">
        <f t="shared" ca="1" si="1047"/>
        <v>6.3847072090583081</v>
      </c>
      <c r="AF803" s="45">
        <f t="shared" ca="1" si="1035"/>
        <v>0</v>
      </c>
      <c r="AG803" s="76">
        <f t="shared" ca="1" si="1036"/>
        <v>64.789836174362279</v>
      </c>
      <c r="AH803" s="45">
        <f t="shared" ca="1" si="1037"/>
        <v>0.5601187540457746</v>
      </c>
      <c r="AI803" s="77">
        <f t="shared" ca="1" si="1038"/>
        <v>1.4409064043785223E-2</v>
      </c>
      <c r="AJ803" s="384">
        <f t="shared" ca="1" si="1040"/>
        <v>3.9543324780454414E-2</v>
      </c>
      <c r="AU803" s="1"/>
    </row>
    <row r="804" spans="3:47" x14ac:dyDescent="0.25">
      <c r="C804" s="10">
        <f t="shared" si="976"/>
        <v>59</v>
      </c>
      <c r="D804" s="91">
        <f t="shared" si="1048"/>
        <v>6</v>
      </c>
      <c r="E804" s="278"/>
      <c r="F804" s="76">
        <f t="shared" ref="F804:Q804" ca="1" si="1064">F732</f>
        <v>17.399999999999999</v>
      </c>
      <c r="G804" s="46">
        <f t="shared" ca="1" si="1064"/>
        <v>27.012600000000003</v>
      </c>
      <c r="H804" s="46">
        <f t="shared" ca="1" si="1024"/>
        <v>28.517550000000004</v>
      </c>
      <c r="I804" s="45">
        <f t="shared" ca="1" si="1025"/>
        <v>1.0098878501236044</v>
      </c>
      <c r="J804" s="45">
        <f t="shared" ca="1" si="1026"/>
        <v>0.27952512346894071</v>
      </c>
      <c r="K804" s="45">
        <f t="shared" ca="1" si="1042"/>
        <v>0.90345467800480783</v>
      </c>
      <c r="L804" s="358">
        <f t="shared" ca="1" si="1027"/>
        <v>0.88208077264421947</v>
      </c>
      <c r="M804" s="76">
        <f t="shared" ca="1" si="1064"/>
        <v>0.25347808785320641</v>
      </c>
      <c r="N804" s="45">
        <f t="shared" ca="1" si="1064"/>
        <v>0.25</v>
      </c>
      <c r="O804" s="45">
        <f t="shared" ca="1" si="1064"/>
        <v>0</v>
      </c>
      <c r="P804" s="46" t="str">
        <f t="shared" ca="1" si="1064"/>
        <v/>
      </c>
      <c r="Q804" s="243" t="str">
        <f t="shared" ca="1" si="1064"/>
        <v/>
      </c>
      <c r="R804" s="45">
        <f t="shared" ca="1" si="1043"/>
        <v>0.20467571293081815</v>
      </c>
      <c r="S804" s="45">
        <f t="shared" ca="1" si="978"/>
        <v>5.0695617570641283E-2</v>
      </c>
      <c r="T804" s="77">
        <f t="shared" ca="1" si="1028"/>
        <v>0.11645395421434461</v>
      </c>
      <c r="U804" s="45">
        <f t="shared" ca="1" si="1044"/>
        <v>17.683656262038816</v>
      </c>
      <c r="V804" s="45">
        <f t="shared" ca="1" si="1029"/>
        <v>0.20278247028256513</v>
      </c>
      <c r="W804" s="77">
        <f t="shared" ca="1" si="1030"/>
        <v>0.44087390682355537</v>
      </c>
      <c r="X804" s="45">
        <f t="shared" ca="1" si="1045"/>
        <v>1.030705320866987</v>
      </c>
      <c r="Y804" s="45">
        <f t="shared" ca="1" si="1031"/>
        <v>5.5987616655194652E-2</v>
      </c>
      <c r="Z804" s="77">
        <f t="shared" ca="1" si="1032"/>
        <v>5.5688432105492354E-2</v>
      </c>
      <c r="AA804" s="45">
        <f t="shared" ca="1" si="1046"/>
        <v>39.179451003274771</v>
      </c>
      <c r="AB804" s="45">
        <f t="shared" ca="1" si="1033"/>
        <v>0</v>
      </c>
      <c r="AC804" s="45" cm="1">
        <f t="array" aca="1" ref="AC804" ca="1">pHUM*(T804+W804+Z804+AD804)</f>
        <v>6.5867784300229007E-2</v>
      </c>
      <c r="AD804" s="77">
        <f t="shared" ca="1" si="1034"/>
        <v>6.5889286357817253E-2</v>
      </c>
      <c r="AE804" s="45">
        <f t="shared" ca="1" si="1047"/>
        <v>6.3847072090583081</v>
      </c>
      <c r="AF804" s="45">
        <f t="shared" ca="1" si="1035"/>
        <v>0</v>
      </c>
      <c r="AG804" s="76">
        <f t="shared" ca="1" si="1036"/>
        <v>64.4831955081697</v>
      </c>
      <c r="AH804" s="45">
        <f t="shared" ca="1" si="1037"/>
        <v>0.55705017854578598</v>
      </c>
      <c r="AI804" s="77">
        <f t="shared" ca="1" si="1038"/>
        <v>1.2644776134809759E-2</v>
      </c>
      <c r="AJ804" s="384">
        <f t="shared" ca="1" si="1040"/>
        <v>3.5568159846276481E-2</v>
      </c>
      <c r="AU804" s="1"/>
    </row>
    <row r="805" spans="3:47" x14ac:dyDescent="0.25">
      <c r="C805" s="10">
        <f t="shared" ref="C805:C868" si="1065">IF(D805=1,C804+1,C804)</f>
        <v>59</v>
      </c>
      <c r="D805" s="91">
        <f t="shared" si="1048"/>
        <v>7</v>
      </c>
      <c r="E805" s="278"/>
      <c r="F805" s="76">
        <f t="shared" ref="F805:Q805" ca="1" si="1066">F733</f>
        <v>21.29</v>
      </c>
      <c r="G805" s="46">
        <f t="shared" ca="1" si="1066"/>
        <v>27.012600000000003</v>
      </c>
      <c r="H805" s="46">
        <f t="shared" ca="1" si="1024"/>
        <v>28.517550000000004</v>
      </c>
      <c r="I805" s="45">
        <f t="shared" ca="1" si="1025"/>
        <v>1.3308669995183955</v>
      </c>
      <c r="J805" s="45">
        <f t="shared" ca="1" si="1026"/>
        <v>0.27952512346894071</v>
      </c>
      <c r="K805" s="45">
        <f t="shared" ca="1" si="1042"/>
        <v>0.90345467800480783</v>
      </c>
      <c r="L805" s="358">
        <f t="shared" ca="1" si="1027"/>
        <v>0.92839591561968593</v>
      </c>
      <c r="M805" s="76">
        <f t="shared" ca="1" si="1066"/>
        <v>0.25347808785320641</v>
      </c>
      <c r="N805" s="45">
        <f t="shared" ca="1" si="1066"/>
        <v>0.25</v>
      </c>
      <c r="O805" s="45">
        <f t="shared" ca="1" si="1066"/>
        <v>0</v>
      </c>
      <c r="P805" s="46" t="str">
        <f t="shared" ca="1" si="1066"/>
        <v/>
      </c>
      <c r="Q805" s="243" t="str">
        <f t="shared" ca="1" si="1066"/>
        <v/>
      </c>
      <c r="R805" s="45">
        <f t="shared" ca="1" si="1043"/>
        <v>0.13891737628711481</v>
      </c>
      <c r="S805" s="45">
        <f t="shared" ref="S805:S868" ca="1" si="1067">M805*N805/(1+N805) +   IF(O805&gt;0,O805*P805*(1-Q805)/(1+P805),0)</f>
        <v>5.0695617570641283E-2</v>
      </c>
      <c r="T805" s="77">
        <f t="shared" ca="1" si="1028"/>
        <v>9.3092664317525969E-2</v>
      </c>
      <c r="U805" s="45">
        <f t="shared" ca="1" si="1044"/>
        <v>17.445564825497826</v>
      </c>
      <c r="V805" s="45">
        <f t="shared" ca="1" si="1029"/>
        <v>0.20278247028256513</v>
      </c>
      <c r="W805" s="77">
        <f t="shared" ca="1" si="1030"/>
        <v>0.57089321201935994</v>
      </c>
      <c r="X805" s="45">
        <f t="shared" ca="1" si="1045"/>
        <v>1.0310045054166892</v>
      </c>
      <c r="Y805" s="45">
        <f t="shared" ca="1" si="1031"/>
        <v>6.7917329650706584E-2</v>
      </c>
      <c r="Z805" s="77">
        <f t="shared" ca="1" si="1032"/>
        <v>7.2771308449961977E-2</v>
      </c>
      <c r="AA805" s="45">
        <f t="shared" ca="1" si="1046"/>
        <v>39.179429501217186</v>
      </c>
      <c r="AB805" s="45">
        <f t="shared" ca="1" si="1033"/>
        <v>0</v>
      </c>
      <c r="AC805" s="45" cm="1">
        <f t="array" aca="1" ref="AC805" ca="1">pHUM*(T805+W805+Z805+AD805)</f>
        <v>7.9902740765537161E-2</v>
      </c>
      <c r="AD805" s="77">
        <f t="shared" ca="1" si="1034"/>
        <v>8.6808039085018843E-2</v>
      </c>
      <c r="AE805" s="45">
        <f t="shared" ca="1" si="1047"/>
        <v>6.3847072090583081</v>
      </c>
      <c r="AF805" s="45">
        <f t="shared" ca="1" si="1035"/>
        <v>0</v>
      </c>
      <c r="AG805" s="76">
        <f t="shared" ca="1" si="1036"/>
        <v>64.179623417477117</v>
      </c>
      <c r="AH805" s="45">
        <f t="shared" ca="1" si="1037"/>
        <v>0.67574515345562303</v>
      </c>
      <c r="AI805" s="77">
        <f t="shared" ca="1" si="1038"/>
        <v>1.1660331774045466E-2</v>
      </c>
      <c r="AJ805" s="384">
        <f t="shared" ca="1" si="1040"/>
        <v>3.4521245348266838E-2</v>
      </c>
      <c r="AU805" s="1"/>
    </row>
    <row r="806" spans="3:47" x14ac:dyDescent="0.25">
      <c r="C806" s="10">
        <f t="shared" si="1065"/>
        <v>59</v>
      </c>
      <c r="D806" s="91">
        <f t="shared" si="1048"/>
        <v>8</v>
      </c>
      <c r="E806" s="278"/>
      <c r="F806" s="76">
        <f t="shared" ref="F806:Q806" ca="1" si="1068">F734</f>
        <v>21.81</v>
      </c>
      <c r="G806" s="46">
        <f t="shared" ca="1" si="1068"/>
        <v>27.012600000000003</v>
      </c>
      <c r="H806" s="46">
        <f t="shared" ca="1" si="1024"/>
        <v>28.517550000000004</v>
      </c>
      <c r="I806" s="45">
        <f t="shared" ca="1" si="1025"/>
        <v>1.3748539373542934</v>
      </c>
      <c r="J806" s="45">
        <f t="shared" ca="1" si="1026"/>
        <v>0.27952512346894071</v>
      </c>
      <c r="K806" s="45">
        <f t="shared" ca="1" si="1042"/>
        <v>0.90345467800480783</v>
      </c>
      <c r="L806" s="358">
        <f t="shared" ca="1" si="1027"/>
        <v>0.93294591915671865</v>
      </c>
      <c r="M806" s="76">
        <f t="shared" ca="1" si="1068"/>
        <v>0.25347808785320641</v>
      </c>
      <c r="N806" s="45">
        <f t="shared" ca="1" si="1068"/>
        <v>0.25</v>
      </c>
      <c r="O806" s="45">
        <f t="shared" ca="1" si="1068"/>
        <v>0</v>
      </c>
      <c r="P806" s="46" t="str">
        <f t="shared" ca="1" si="1068"/>
        <v/>
      </c>
      <c r="Q806" s="243" t="str">
        <f t="shared" ca="1" si="1068"/>
        <v/>
      </c>
      <c r="R806" s="45">
        <f t="shared" ca="1" si="1043"/>
        <v>9.6520329540230126E-2</v>
      </c>
      <c r="S806" s="45">
        <f t="shared" ca="1" si="1067"/>
        <v>5.0695617570641283E-2</v>
      </c>
      <c r="T806" s="77">
        <f t="shared" ca="1" si="1028"/>
        <v>6.5827101645662786E-2</v>
      </c>
      <c r="U806" s="45">
        <f t="shared" ca="1" si="1044"/>
        <v>17.07745408376103</v>
      </c>
      <c r="V806" s="45">
        <f t="shared" ca="1" si="1029"/>
        <v>0.20278247028256513</v>
      </c>
      <c r="W806" s="77">
        <f t="shared" ca="1" si="1030"/>
        <v>0.57700214947012818</v>
      </c>
      <c r="X806" s="45">
        <f t="shared" ca="1" si="1045"/>
        <v>1.0261505266174338</v>
      </c>
      <c r="Y806" s="45">
        <f t="shared" ca="1" si="1031"/>
        <v>6.6569426358109571E-2</v>
      </c>
      <c r="Z806" s="77">
        <f t="shared" ca="1" si="1032"/>
        <v>7.4733233319481313E-2</v>
      </c>
      <c r="AA806" s="45">
        <f t="shared" ca="1" si="1046"/>
        <v>39.172524202897705</v>
      </c>
      <c r="AB806" s="45">
        <f t="shared" ca="1" si="1033"/>
        <v>0</v>
      </c>
      <c r="AC806" s="45" cm="1">
        <f t="array" aca="1" ref="AC806" ca="1">pHUM*(T806+W806+Z806+AD806)</f>
        <v>7.8316972186011261E-2</v>
      </c>
      <c r="AD806" s="77">
        <f t="shared" ca="1" si="1034"/>
        <v>8.9658070371506457E-2</v>
      </c>
      <c r="AE806" s="45">
        <f t="shared" ca="1" si="1047"/>
        <v>6.3847072090583081</v>
      </c>
      <c r="AF806" s="45">
        <f t="shared" ca="1" si="1035"/>
        <v>0</v>
      </c>
      <c r="AG806" s="76">
        <f t="shared" ca="1" si="1036"/>
        <v>63.757356351874705</v>
      </c>
      <c r="AH806" s="45">
        <f t="shared" ca="1" si="1037"/>
        <v>0.6623341562626579</v>
      </c>
      <c r="AI806" s="77">
        <f t="shared" ca="1" si="1038"/>
        <v>1.0965081598033683E-2</v>
      </c>
      <c r="AJ806" s="384">
        <f t="shared" ca="1" si="1040"/>
        <v>3.2622064420195773E-2</v>
      </c>
      <c r="AU806" s="1"/>
    </row>
    <row r="807" spans="3:47" x14ac:dyDescent="0.25">
      <c r="C807" s="10">
        <f t="shared" si="1065"/>
        <v>59</v>
      </c>
      <c r="D807" s="91">
        <f t="shared" si="1048"/>
        <v>9</v>
      </c>
      <c r="E807" s="278"/>
      <c r="F807" s="76">
        <f t="shared" ref="F807:Q807" ca="1" si="1069">F735</f>
        <v>19.09</v>
      </c>
      <c r="G807" s="46">
        <f t="shared" ca="1" si="1069"/>
        <v>27.012600000000003</v>
      </c>
      <c r="H807" s="46">
        <f t="shared" ca="1" si="1024"/>
        <v>28.517550000000004</v>
      </c>
      <c r="I807" s="45">
        <f t="shared" ca="1" si="1025"/>
        <v>1.1472439462064867</v>
      </c>
      <c r="J807" s="45">
        <f t="shared" ca="1" si="1026"/>
        <v>0.27952512346894071</v>
      </c>
      <c r="K807" s="45">
        <f t="shared" ca="1" si="1042"/>
        <v>0.90345467800480783</v>
      </c>
      <c r="L807" s="358">
        <f t="shared" ca="1" si="1027"/>
        <v>0.90508116523032656</v>
      </c>
      <c r="M807" s="76">
        <f t="shared" ca="1" si="1069"/>
        <v>0.25347808785320641</v>
      </c>
      <c r="N807" s="45">
        <f t="shared" ca="1" si="1069"/>
        <v>0.25</v>
      </c>
      <c r="O807" s="45">
        <f t="shared" ca="1" si="1069"/>
        <v>0</v>
      </c>
      <c r="P807" s="46" t="str">
        <f t="shared" ca="1" si="1069"/>
        <v/>
      </c>
      <c r="Q807" s="243" t="str">
        <f t="shared" ca="1" si="1069"/>
        <v/>
      </c>
      <c r="R807" s="45">
        <f t="shared" ca="1" si="1043"/>
        <v>8.1388845465208623E-2</v>
      </c>
      <c r="S807" s="45">
        <f t="shared" ca="1" si="1067"/>
        <v>5.0695617570641283E-2</v>
      </c>
      <c r="T807" s="77">
        <f t="shared" ca="1" si="1028"/>
        <v>5.0101878867953413E-2</v>
      </c>
      <c r="U807" s="45">
        <f t="shared" ca="1" si="1044"/>
        <v>16.703234404573465</v>
      </c>
      <c r="V807" s="45">
        <f t="shared" ca="1" si="1029"/>
        <v>0.20278247028256513</v>
      </c>
      <c r="W807" s="77">
        <f t="shared" ca="1" si="1030"/>
        <v>0.47226224051613797</v>
      </c>
      <c r="X807" s="45">
        <f t="shared" ca="1" si="1045"/>
        <v>1.0179867196560621</v>
      </c>
      <c r="Y807" s="45">
        <f t="shared" ca="1" si="1031"/>
        <v>5.4380725658550268E-2</v>
      </c>
      <c r="Z807" s="77">
        <f t="shared" ca="1" si="1032"/>
        <v>6.2248798460059422E-2</v>
      </c>
      <c r="AA807" s="45">
        <f t="shared" ca="1" si="1046"/>
        <v>39.161183104712208</v>
      </c>
      <c r="AB807" s="45">
        <f t="shared" ca="1" si="1033"/>
        <v>0</v>
      </c>
      <c r="AC807" s="45" cm="1">
        <f t="array" aca="1" ref="AC807" ca="1">pHUM*(T807+W807+Z807+AD807)</f>
        <v>6.3977324304176783E-2</v>
      </c>
      <c r="AD807" s="77">
        <f t="shared" ca="1" si="1034"/>
        <v>7.4807508895677416E-2</v>
      </c>
      <c r="AE807" s="45">
        <f t="shared" ca="1" si="1047"/>
        <v>6.3847072090583081</v>
      </c>
      <c r="AF807" s="45">
        <f t="shared" ca="1" si="1035"/>
        <v>0</v>
      </c>
      <c r="AG807" s="76">
        <f t="shared" ca="1" si="1036"/>
        <v>63.348500283465249</v>
      </c>
      <c r="AH807" s="45">
        <f t="shared" ca="1" si="1037"/>
        <v>0.54106237677710112</v>
      </c>
      <c r="AI807" s="77">
        <f t="shared" ca="1" si="1038"/>
        <v>1.0649972084873555E-2</v>
      </c>
      <c r="AJ807" s="384">
        <f t="shared" ca="1" si="1040"/>
        <v>3.0738301940103074E-2</v>
      </c>
      <c r="AU807" s="1"/>
    </row>
    <row r="808" spans="3:47" x14ac:dyDescent="0.25">
      <c r="C808" s="10">
        <f t="shared" si="1065"/>
        <v>59</v>
      </c>
      <c r="D808" s="91">
        <f t="shared" si="1048"/>
        <v>10</v>
      </c>
      <c r="E808" s="278"/>
      <c r="F808" s="76">
        <f t="shared" ref="F808:Q808" ca="1" si="1070">F736</f>
        <v>9.02</v>
      </c>
      <c r="G808" s="46">
        <f t="shared" ca="1" si="1070"/>
        <v>27.012600000000003</v>
      </c>
      <c r="H808" s="46">
        <f t="shared" ca="1" si="1024"/>
        <v>28.517550000000004</v>
      </c>
      <c r="I808" s="45">
        <f t="shared" ca="1" si="1025"/>
        <v>0.41742778729268759</v>
      </c>
      <c r="J808" s="45">
        <f t="shared" ca="1" si="1026"/>
        <v>0.27952512346894071</v>
      </c>
      <c r="K808" s="45">
        <f t="shared" ca="1" si="1042"/>
        <v>0.90345467800480783</v>
      </c>
      <c r="L808" s="358">
        <f t="shared" ca="1" si="1027"/>
        <v>0.68492882381082199</v>
      </c>
      <c r="M808" s="76">
        <f t="shared" ca="1" si="1070"/>
        <v>0.25347808785320641</v>
      </c>
      <c r="N808" s="45">
        <f t="shared" ca="1" si="1070"/>
        <v>0.25</v>
      </c>
      <c r="O808" s="45">
        <f t="shared" ca="1" si="1070"/>
        <v>0</v>
      </c>
      <c r="P808" s="46" t="str">
        <f t="shared" ca="1" si="1070"/>
        <v/>
      </c>
      <c r="Q808" s="243" t="str">
        <f t="shared" ca="1" si="1070"/>
        <v/>
      </c>
      <c r="R808" s="45">
        <f t="shared" ca="1" si="1043"/>
        <v>8.1982584167896499E-2</v>
      </c>
      <c r="S808" s="45">
        <f t="shared" ca="1" si="1067"/>
        <v>5.0695617570641283E-2</v>
      </c>
      <c r="T808" s="77">
        <f t="shared" ca="1" si="1028"/>
        <v>2.4086465507844296E-2</v>
      </c>
      <c r="U808" s="45">
        <f t="shared" ca="1" si="1044"/>
        <v>16.433754634339891</v>
      </c>
      <c r="V808" s="45">
        <f t="shared" ca="1" si="1029"/>
        <v>0.20278247028256513</v>
      </c>
      <c r="W808" s="77">
        <f t="shared" ca="1" si="1030"/>
        <v>0.17060590199727516</v>
      </c>
      <c r="X808" s="45">
        <f t="shared" ca="1" si="1045"/>
        <v>1.0101186468545529</v>
      </c>
      <c r="Y808" s="45">
        <f t="shared" ca="1" si="1031"/>
        <v>2.0191905564768013E-2</v>
      </c>
      <c r="Z808" s="77">
        <f t="shared" ca="1" si="1032"/>
        <v>2.2926649443420412E-2</v>
      </c>
      <c r="AA808" s="45">
        <f t="shared" ca="1" si="1046"/>
        <v>39.15035292012071</v>
      </c>
      <c r="AB808" s="45">
        <f t="shared" ca="1" si="1033"/>
        <v>0</v>
      </c>
      <c r="AC808" s="45" cm="1">
        <f t="array" aca="1" ref="AC808" ca="1">pHUM*(T808+W808+Z808+AD808)</f>
        <v>2.3755183017374136E-2</v>
      </c>
      <c r="AD808" s="77">
        <f t="shared" ca="1" si="1034"/>
        <v>2.7227936139445054E-2</v>
      </c>
      <c r="AE808" s="45">
        <f t="shared" ca="1" si="1047"/>
        <v>6.3847072090583081</v>
      </c>
      <c r="AF808" s="45">
        <f t="shared" ca="1" si="1035"/>
        <v>0</v>
      </c>
      <c r="AG808" s="76">
        <f t="shared" ca="1" si="1036"/>
        <v>63.060915994541361</v>
      </c>
      <c r="AH808" s="45">
        <f t="shared" ca="1" si="1037"/>
        <v>0.20089986450584277</v>
      </c>
      <c r="AI808" s="77">
        <f t="shared" ca="1" si="1038"/>
        <v>1.0585919782434139E-2</v>
      </c>
      <c r="AJ808" s="384">
        <f t="shared" ca="1" si="1040"/>
        <v>2.3121767932935411E-2</v>
      </c>
      <c r="AU808" s="1"/>
    </row>
    <row r="809" spans="3:47" x14ac:dyDescent="0.25">
      <c r="C809" s="10">
        <f t="shared" si="1065"/>
        <v>59</v>
      </c>
      <c r="D809" s="91">
        <f t="shared" si="1048"/>
        <v>11</v>
      </c>
      <c r="E809" s="278"/>
      <c r="F809" s="76">
        <f t="shared" ref="F809:Q809" ca="1" si="1071">F737</f>
        <v>5.62</v>
      </c>
      <c r="G809" s="46">
        <f t="shared" ca="1" si="1071"/>
        <v>27.012600000000003</v>
      </c>
      <c r="H809" s="46">
        <f t="shared" ca="1" si="1024"/>
        <v>28.517550000000004</v>
      </c>
      <c r="I809" s="45">
        <f t="shared" ca="1" si="1025"/>
        <v>0.24215575259059691</v>
      </c>
      <c r="J809" s="45">
        <f t="shared" ca="1" si="1026"/>
        <v>0.27952512346894071</v>
      </c>
      <c r="K809" s="45">
        <f t="shared" ca="1" si="1042"/>
        <v>0.90345467800480783</v>
      </c>
      <c r="L809" s="358">
        <f t="shared" ca="1" si="1027"/>
        <v>0.5671500175141555</v>
      </c>
      <c r="M809" s="76">
        <f t="shared" ca="1" si="1071"/>
        <v>0.25347808785320641</v>
      </c>
      <c r="N809" s="45">
        <f t="shared" ca="1" si="1071"/>
        <v>0.25</v>
      </c>
      <c r="O809" s="45">
        <f t="shared" ca="1" si="1071"/>
        <v>0</v>
      </c>
      <c r="P809" s="46" t="str">
        <f t="shared" ca="1" si="1071"/>
        <v/>
      </c>
      <c r="Q809" s="243" t="str">
        <f t="shared" ca="1" si="1071"/>
        <v/>
      </c>
      <c r="R809" s="45">
        <f t="shared" ca="1" si="1043"/>
        <v>0.10859173623069349</v>
      </c>
      <c r="S809" s="45">
        <f t="shared" ca="1" si="1067"/>
        <v>5.0695617570641283E-2</v>
      </c>
      <c r="T809" s="77">
        <f t="shared" ca="1" si="1028"/>
        <v>1.9843917491017132E-2</v>
      </c>
      <c r="U809" s="45">
        <f t="shared" ca="1" si="1044"/>
        <v>16.465931202625182</v>
      </c>
      <c r="V809" s="45">
        <f t="shared" ca="1" si="1029"/>
        <v>0.20278247028256513</v>
      </c>
      <c r="W809" s="77">
        <f t="shared" ca="1" si="1030"/>
        <v>9.9381871886606396E-2</v>
      </c>
      <c r="X809" s="45">
        <f t="shared" ca="1" si="1045"/>
        <v>1.0073839029759004</v>
      </c>
      <c r="Y809" s="45">
        <f t="shared" ca="1" si="1031"/>
        <v>1.2234044187637102E-2</v>
      </c>
      <c r="Z809" s="77">
        <f t="shared" ca="1" si="1032"/>
        <v>1.33279577359887E-2</v>
      </c>
      <c r="AA809" s="45">
        <f t="shared" ca="1" si="1046"/>
        <v>39.146880166998635</v>
      </c>
      <c r="AB809" s="45">
        <f t="shared" ca="1" si="1033"/>
        <v>0</v>
      </c>
      <c r="AC809" s="45" cm="1">
        <f t="array" aca="1" ref="AC809" ca="1">pHUM*(T809+W809+Z809+AD809)</f>
        <v>1.4392993161926002E-2</v>
      </c>
      <c r="AD809" s="77">
        <f t="shared" ca="1" si="1034"/>
        <v>1.5796215879151518E-2</v>
      </c>
      <c r="AE809" s="45">
        <f t="shared" ca="1" si="1047"/>
        <v>6.3847072090583081</v>
      </c>
      <c r="AF809" s="45">
        <f t="shared" ca="1" si="1035"/>
        <v>0</v>
      </c>
      <c r="AG809" s="76">
        <f t="shared" ca="1" si="1036"/>
        <v>63.113494217888714</v>
      </c>
      <c r="AH809" s="45">
        <f t="shared" ca="1" si="1037"/>
        <v>0.12172292564320067</v>
      </c>
      <c r="AI809" s="77">
        <f t="shared" ca="1" si="1038"/>
        <v>1.0978417508491219E-2</v>
      </c>
      <c r="AJ809" s="384">
        <f t="shared" ca="1" si="1040"/>
        <v>1.9855737710299248E-2</v>
      </c>
      <c r="AU809" s="1"/>
    </row>
    <row r="810" spans="3:47" x14ac:dyDescent="0.25">
      <c r="C810" s="10">
        <f t="shared" si="1065"/>
        <v>59</v>
      </c>
      <c r="D810" s="91">
        <f t="shared" si="1048"/>
        <v>12</v>
      </c>
      <c r="E810" s="278"/>
      <c r="F810" s="76">
        <f t="shared" ref="F810:Q810" ca="1" si="1072">F738</f>
        <v>3.68</v>
      </c>
      <c r="G810" s="46">
        <f t="shared" ca="1" si="1072"/>
        <v>27.012600000000003</v>
      </c>
      <c r="H810" s="46">
        <f t="shared" ca="1" si="1024"/>
        <v>28.517550000000004</v>
      </c>
      <c r="I810" s="45">
        <f t="shared" ca="1" si="1025"/>
        <v>0.16418562454767627</v>
      </c>
      <c r="J810" s="45">
        <f t="shared" ca="1" si="1026"/>
        <v>0.27952512346894071</v>
      </c>
      <c r="K810" s="45">
        <f t="shared" ca="1" si="1042"/>
        <v>0.90345467800480783</v>
      </c>
      <c r="L810" s="358">
        <f t="shared" ca="1" si="1027"/>
        <v>0.49525928680467546</v>
      </c>
      <c r="M810" s="76">
        <f t="shared" ca="1" si="1072"/>
        <v>0.25347808785320641</v>
      </c>
      <c r="N810" s="45">
        <f t="shared" ca="1" si="1072"/>
        <v>0.25</v>
      </c>
      <c r="O810" s="45">
        <f t="shared" ca="1" si="1072"/>
        <v>0</v>
      </c>
      <c r="P810" s="46" t="str">
        <f t="shared" ca="1" si="1072"/>
        <v/>
      </c>
      <c r="Q810" s="243" t="str">
        <f t="shared" ca="1" si="1072"/>
        <v/>
      </c>
      <c r="R810" s="45">
        <f t="shared" ca="1" si="1043"/>
        <v>0.13944343631031764</v>
      </c>
      <c r="S810" s="45">
        <f t="shared" ca="1" si="1067"/>
        <v>5.0695617570641283E-2</v>
      </c>
      <c r="T810" s="77">
        <f t="shared" ca="1" si="1028"/>
        <v>1.7831187991366577E-2</v>
      </c>
      <c r="U810" s="45">
        <f t="shared" ca="1" si="1044"/>
        <v>16.569331801021139</v>
      </c>
      <c r="V810" s="45">
        <f t="shared" ca="1" si="1029"/>
        <v>0.20278247028256513</v>
      </c>
      <c r="W810" s="77">
        <f t="shared" ca="1" si="1030"/>
        <v>6.7871762363698379E-2</v>
      </c>
      <c r="X810" s="45">
        <f t="shared" ca="1" si="1045"/>
        <v>1.006289989427549</v>
      </c>
      <c r="Y810" s="45">
        <f t="shared" ca="1" si="1031"/>
        <v>8.6969737149752806E-3</v>
      </c>
      <c r="Z810" s="77">
        <f t="shared" ca="1" si="1032"/>
        <v>9.0461036946604418E-3</v>
      </c>
      <c r="AA810" s="45">
        <f t="shared" ca="1" si="1046"/>
        <v>39.145476944281413</v>
      </c>
      <c r="AB810" s="45">
        <f t="shared" ca="1" si="1033"/>
        <v>0</v>
      </c>
      <c r="AC810" s="45" cm="1">
        <f t="array" aca="1" ref="AC810" ca="1">pHUM*(T810+W810+Z810+AD810)</f>
        <v>1.023173378232386E-2</v>
      </c>
      <c r="AD810" s="77">
        <f t="shared" ca="1" si="1034"/>
        <v>1.0710408821056687E-2</v>
      </c>
      <c r="AE810" s="45">
        <f t="shared" ca="1" si="1047"/>
        <v>6.3847072090583081</v>
      </c>
      <c r="AF810" s="45">
        <f t="shared" ca="1" si="1035"/>
        <v>0</v>
      </c>
      <c r="AG810" s="76">
        <f t="shared" ca="1" si="1036"/>
        <v>63.245249380098727</v>
      </c>
      <c r="AH810" s="45">
        <f t="shared" ca="1" si="1037"/>
        <v>8.653075537348294E-2</v>
      </c>
      <c r="AI810" s="77">
        <f t="shared" ca="1" si="1038"/>
        <v>1.1449496342322075E-2</v>
      </c>
      <c r="AJ810" s="384">
        <f t="shared" ca="1" si="1040"/>
        <v>1.8082899619066284E-2</v>
      </c>
      <c r="AU810" s="1"/>
    </row>
    <row r="811" spans="3:47" x14ac:dyDescent="0.25">
      <c r="C811" s="10">
        <f t="shared" si="1065"/>
        <v>60</v>
      </c>
      <c r="D811" s="91">
        <f t="shared" si="1048"/>
        <v>1</v>
      </c>
      <c r="E811" s="278"/>
      <c r="F811" s="76">
        <f t="shared" ref="F811:Q811" si="1073">F739</f>
        <v>0.85587096774193583</v>
      </c>
      <c r="G811" s="46">
        <f t="shared" si="1073"/>
        <v>78.439554282868485</v>
      </c>
      <c r="H811" s="46">
        <f t="shared" si="1024"/>
        <v>-22.909404282868479</v>
      </c>
      <c r="I811" s="45">
        <f t="shared" si="1025"/>
        <v>0</v>
      </c>
      <c r="J811" s="45">
        <f t="shared" si="1026"/>
        <v>0.23072180944359474</v>
      </c>
      <c r="K811" s="45">
        <f t="shared" ca="1" si="1042"/>
        <v>0.74571722023659515</v>
      </c>
      <c r="L811" s="358">
        <f t="shared" si="1027"/>
        <v>0.39170179323548027</v>
      </c>
      <c r="M811" s="76">
        <f t="shared" ca="1" si="1073"/>
        <v>0.25347808785320641</v>
      </c>
      <c r="N811" s="45">
        <f t="shared" ca="1" si="1073"/>
        <v>0.25</v>
      </c>
      <c r="O811" s="45">
        <f t="shared" ca="1" si="1073"/>
        <v>0</v>
      </c>
      <c r="P811" s="46" t="str">
        <f t="shared" ca="1" si="1073"/>
        <v/>
      </c>
      <c r="Q811" s="243" t="str">
        <f t="shared" ca="1" si="1073"/>
        <v/>
      </c>
      <c r="R811" s="45">
        <f t="shared" ca="1" si="1043"/>
        <v>0.17230786588959235</v>
      </c>
      <c r="S811" s="45">
        <f t="shared" ca="1" si="1067"/>
        <v>5.0695617570641283E-2</v>
      </c>
      <c r="T811" s="77">
        <f t="shared" ca="1" si="1028"/>
        <v>0</v>
      </c>
      <c r="U811" s="45">
        <f t="shared" ca="1" si="1044"/>
        <v>16.704242508940006</v>
      </c>
      <c r="V811" s="45">
        <f t="shared" ca="1" si="1029"/>
        <v>0.20278247028256513</v>
      </c>
      <c r="W811" s="77">
        <f t="shared" ca="1" si="1030"/>
        <v>0</v>
      </c>
      <c r="X811" s="45">
        <f t="shared" ca="1" si="1045"/>
        <v>1.0059408594478638</v>
      </c>
      <c r="Y811" s="45">
        <f t="shared" ca="1" si="1031"/>
        <v>0</v>
      </c>
      <c r="Z811" s="77">
        <f t="shared" ca="1" si="1032"/>
        <v>0</v>
      </c>
      <c r="AA811" s="45">
        <f t="shared" ca="1" si="1046"/>
        <v>39.144998269242684</v>
      </c>
      <c r="AB811" s="45">
        <f t="shared" ca="1" si="1033"/>
        <v>0</v>
      </c>
      <c r="AC811" s="45" cm="1">
        <f t="array" aca="1" ref="AC811" ca="1">pHUM*(T811+W811+Z811+AD811)</f>
        <v>0</v>
      </c>
      <c r="AD811" s="77">
        <f t="shared" ca="1" si="1034"/>
        <v>0</v>
      </c>
      <c r="AE811" s="45">
        <f t="shared" ca="1" si="1047"/>
        <v>6.3847072090583081</v>
      </c>
      <c r="AF811" s="45">
        <f t="shared" ca="1" si="1035"/>
        <v>0</v>
      </c>
      <c r="AG811" s="76">
        <f t="shared" ca="1" si="1036"/>
        <v>63.412196712578449</v>
      </c>
      <c r="AH811" s="45">
        <f t="shared" ca="1" si="1037"/>
        <v>0</v>
      </c>
      <c r="AI811" s="77">
        <f t="shared" ca="1" si="1038"/>
        <v>1.1955012713201188E-2</v>
      </c>
      <c r="AJ811" s="384">
        <f t="shared" ca="1" si="1040"/>
        <v>1.2326075474800025E-2</v>
      </c>
      <c r="AU811" s="1"/>
    </row>
    <row r="812" spans="3:47" x14ac:dyDescent="0.25">
      <c r="C812" s="10">
        <f t="shared" si="1065"/>
        <v>60</v>
      </c>
      <c r="D812" s="91">
        <f t="shared" si="1048"/>
        <v>2</v>
      </c>
      <c r="E812" s="278"/>
      <c r="F812" s="76">
        <f t="shared" ref="F812:Q812" si="1074">F740</f>
        <v>0.91042857142857181</v>
      </c>
      <c r="G812" s="46">
        <f t="shared" si="1074"/>
        <v>77.312634079068317</v>
      </c>
      <c r="H812" s="46">
        <f t="shared" si="1024"/>
        <v>-21.782484079068311</v>
      </c>
      <c r="I812" s="45">
        <f t="shared" si="1025"/>
        <v>0</v>
      </c>
      <c r="J812" s="45">
        <f t="shared" si="1026"/>
        <v>0.23463537609132465</v>
      </c>
      <c r="K812" s="45">
        <f t="shared" ca="1" si="1042"/>
        <v>0.75836628037006848</v>
      </c>
      <c r="L812" s="358">
        <f t="shared" si="1027"/>
        <v>0.39364266736760256</v>
      </c>
      <c r="M812" s="76">
        <f t="shared" ca="1" si="1074"/>
        <v>0.25347808785320641</v>
      </c>
      <c r="N812" s="45">
        <f t="shared" ca="1" si="1074"/>
        <v>0.25</v>
      </c>
      <c r="O812" s="45">
        <f t="shared" ca="1" si="1074"/>
        <v>0</v>
      </c>
      <c r="P812" s="46" t="str">
        <f t="shared" ca="1" si="1074"/>
        <v/>
      </c>
      <c r="Q812" s="243" t="str">
        <f t="shared" ca="1" si="1074"/>
        <v/>
      </c>
      <c r="R812" s="45">
        <f t="shared" ca="1" si="1043"/>
        <v>0.22300348346023363</v>
      </c>
      <c r="S812" s="45">
        <f t="shared" ca="1" si="1067"/>
        <v>5.0695617570641283E-2</v>
      </c>
      <c r="T812" s="77">
        <f t="shared" ca="1" si="1028"/>
        <v>0</v>
      </c>
      <c r="U812" s="45">
        <f t="shared" ca="1" si="1044"/>
        <v>16.90702497922257</v>
      </c>
      <c r="V812" s="45">
        <f t="shared" ca="1" si="1029"/>
        <v>0.20278247028256513</v>
      </c>
      <c r="W812" s="77">
        <f t="shared" ca="1" si="1030"/>
        <v>0</v>
      </c>
      <c r="X812" s="45">
        <f t="shared" ca="1" si="1045"/>
        <v>1.0059408594478638</v>
      </c>
      <c r="Y812" s="45">
        <f t="shared" ca="1" si="1031"/>
        <v>0</v>
      </c>
      <c r="Z812" s="77">
        <f t="shared" ca="1" si="1032"/>
        <v>0</v>
      </c>
      <c r="AA812" s="45">
        <f t="shared" ca="1" si="1046"/>
        <v>39.144998269242684</v>
      </c>
      <c r="AB812" s="45">
        <f t="shared" ca="1" si="1033"/>
        <v>0</v>
      </c>
      <c r="AC812" s="45" cm="1">
        <f t="array" aca="1" ref="AC812" ca="1">pHUM*(T812+W812+Z812+AD812)</f>
        <v>0</v>
      </c>
      <c r="AD812" s="77">
        <f t="shared" ca="1" si="1034"/>
        <v>0</v>
      </c>
      <c r="AE812" s="45">
        <f t="shared" ca="1" si="1047"/>
        <v>6.3847072090583081</v>
      </c>
      <c r="AF812" s="45">
        <f t="shared" ca="1" si="1035"/>
        <v>0</v>
      </c>
      <c r="AG812" s="76">
        <f t="shared" ca="1" si="1036"/>
        <v>63.66567480043166</v>
      </c>
      <c r="AH812" s="45">
        <f t="shared" ca="1" si="1037"/>
        <v>0</v>
      </c>
      <c r="AI812" s="77">
        <f t="shared" ca="1" si="1038"/>
        <v>1.2728141691847581E-2</v>
      </c>
      <c r="AJ812" s="384">
        <f t="shared" ca="1" si="1040"/>
        <v>1.3411914787354595E-2</v>
      </c>
      <c r="AU812" s="1"/>
    </row>
    <row r="813" spans="3:47" x14ac:dyDescent="0.25">
      <c r="C813" s="10">
        <f t="shared" si="1065"/>
        <v>60</v>
      </c>
      <c r="D813" s="91">
        <f t="shared" si="1048"/>
        <v>3</v>
      </c>
      <c r="E813" s="278"/>
      <c r="F813" s="76">
        <f t="shared" ref="F813:Q813" si="1075">F741</f>
        <v>1.7499333333333336</v>
      </c>
      <c r="G813" s="46">
        <f t="shared" si="1075"/>
        <v>89.127050621045186</v>
      </c>
      <c r="H813" s="46">
        <f t="shared" si="1024"/>
        <v>-33.596900621045179</v>
      </c>
      <c r="I813" s="45">
        <f t="shared" si="1025"/>
        <v>0</v>
      </c>
      <c r="J813" s="45">
        <f t="shared" si="1026"/>
        <v>0.19161115755788954</v>
      </c>
      <c r="K813" s="45">
        <f t="shared" ca="1" si="1042"/>
        <v>0.61930746869995335</v>
      </c>
      <c r="L813" s="358">
        <f t="shared" si="1027"/>
        <v>0.42389567243620196</v>
      </c>
      <c r="M813" s="76">
        <f t="shared" ca="1" si="1075"/>
        <v>0.25347808785320641</v>
      </c>
      <c r="N813" s="45">
        <f t="shared" ca="1" si="1075"/>
        <v>0.25</v>
      </c>
      <c r="O813" s="45">
        <f t="shared" ca="1" si="1075"/>
        <v>0</v>
      </c>
      <c r="P813" s="46" t="str">
        <f t="shared" ca="1" si="1075"/>
        <v/>
      </c>
      <c r="Q813" s="243" t="str">
        <f t="shared" ca="1" si="1075"/>
        <v/>
      </c>
      <c r="R813" s="45">
        <f t="shared" ca="1" si="1043"/>
        <v>0.27369910103087491</v>
      </c>
      <c r="S813" s="45">
        <f t="shared" ca="1" si="1067"/>
        <v>5.0695617570641283E-2</v>
      </c>
      <c r="T813" s="77">
        <f t="shared" ca="1" si="1028"/>
        <v>0</v>
      </c>
      <c r="U813" s="45">
        <f t="shared" ca="1" si="1044"/>
        <v>17.109807449505134</v>
      </c>
      <c r="V813" s="45">
        <f t="shared" ca="1" si="1029"/>
        <v>0.20278247028256513</v>
      </c>
      <c r="W813" s="77">
        <f t="shared" ca="1" si="1030"/>
        <v>0</v>
      </c>
      <c r="X813" s="45">
        <f t="shared" ca="1" si="1045"/>
        <v>1.0059408594478638</v>
      </c>
      <c r="Y813" s="45">
        <f t="shared" ca="1" si="1031"/>
        <v>0</v>
      </c>
      <c r="Z813" s="77">
        <f t="shared" ca="1" si="1032"/>
        <v>0</v>
      </c>
      <c r="AA813" s="45">
        <f t="shared" ca="1" si="1046"/>
        <v>39.144998269242684</v>
      </c>
      <c r="AB813" s="45">
        <f t="shared" ca="1" si="1033"/>
        <v>0</v>
      </c>
      <c r="AC813" s="45" cm="1">
        <f t="array" aca="1" ref="AC813" ca="1">pHUM*(T813+W813+Z813+AD813)</f>
        <v>0</v>
      </c>
      <c r="AD813" s="77">
        <f t="shared" ca="1" si="1034"/>
        <v>0</v>
      </c>
      <c r="AE813" s="45">
        <f t="shared" ca="1" si="1047"/>
        <v>6.3847072090583081</v>
      </c>
      <c r="AF813" s="45">
        <f t="shared" ca="1" si="1035"/>
        <v>0</v>
      </c>
      <c r="AG813" s="76">
        <f t="shared" ca="1" si="1036"/>
        <v>63.919152888284863</v>
      </c>
      <c r="AH813" s="45">
        <f t="shared" ca="1" si="1037"/>
        <v>0</v>
      </c>
      <c r="AI813" s="77">
        <f t="shared" ca="1" si="1038"/>
        <v>1.3494458359960425E-2</v>
      </c>
      <c r="AJ813" s="384">
        <f t="shared" ca="1" si="1040"/>
        <v>1.2504482797630612E-2</v>
      </c>
      <c r="AU813" s="1"/>
    </row>
    <row r="814" spans="3:47" x14ac:dyDescent="0.25">
      <c r="C814" s="10">
        <f t="shared" si="1065"/>
        <v>60</v>
      </c>
      <c r="D814" s="91">
        <f t="shared" si="1048"/>
        <v>4</v>
      </c>
      <c r="E814" s="278"/>
      <c r="F814" s="76">
        <f t="shared" ref="F814:Q814" si="1076">F742</f>
        <v>5.3144</v>
      </c>
      <c r="G814" s="46">
        <f t="shared" si="1076"/>
        <v>88.517400984298064</v>
      </c>
      <c r="H814" s="46">
        <f t="shared" si="1024"/>
        <v>-32.987250984298058</v>
      </c>
      <c r="I814" s="45">
        <f t="shared" si="1025"/>
        <v>0</v>
      </c>
      <c r="J814" s="45">
        <f t="shared" si="1026"/>
        <v>0.19391725365845511</v>
      </c>
      <c r="K814" s="45">
        <f t="shared" ca="1" si="1042"/>
        <v>0.62676101449980381</v>
      </c>
      <c r="L814" s="358">
        <f t="shared" si="1027"/>
        <v>0.55593677468735669</v>
      </c>
      <c r="M814" s="76">
        <f t="shared" ca="1" si="1076"/>
        <v>0.25347808785320641</v>
      </c>
      <c r="N814" s="45">
        <f t="shared" ca="1" si="1076"/>
        <v>0.25</v>
      </c>
      <c r="O814" s="45">
        <f t="shared" ca="1" si="1076"/>
        <v>0</v>
      </c>
      <c r="P814" s="46" t="str">
        <f t="shared" ca="1" si="1076"/>
        <v/>
      </c>
      <c r="Q814" s="243" t="str">
        <f t="shared" ca="1" si="1076"/>
        <v/>
      </c>
      <c r="R814" s="45">
        <f t="shared" ca="1" si="1043"/>
        <v>0.3243947186015162</v>
      </c>
      <c r="S814" s="45">
        <f t="shared" ca="1" si="1067"/>
        <v>5.0695617570641283E-2</v>
      </c>
      <c r="T814" s="77">
        <f t="shared" ca="1" si="1028"/>
        <v>0</v>
      </c>
      <c r="U814" s="45">
        <f t="shared" ca="1" si="1044"/>
        <v>17.312589919787698</v>
      </c>
      <c r="V814" s="45">
        <f t="shared" ca="1" si="1029"/>
        <v>0.20278247028256513</v>
      </c>
      <c r="W814" s="77">
        <f t="shared" ca="1" si="1030"/>
        <v>0</v>
      </c>
      <c r="X814" s="45">
        <f t="shared" ca="1" si="1045"/>
        <v>1.0059408594478638</v>
      </c>
      <c r="Y814" s="45">
        <f t="shared" ca="1" si="1031"/>
        <v>0</v>
      </c>
      <c r="Z814" s="77">
        <f t="shared" ca="1" si="1032"/>
        <v>0</v>
      </c>
      <c r="AA814" s="45">
        <f t="shared" ca="1" si="1046"/>
        <v>39.144998269242684</v>
      </c>
      <c r="AB814" s="45">
        <f t="shared" ca="1" si="1033"/>
        <v>0</v>
      </c>
      <c r="AC814" s="45" cm="1">
        <f t="array" aca="1" ref="AC814" ca="1">pHUM*(T814+W814+Z814+AD814)</f>
        <v>0</v>
      </c>
      <c r="AD814" s="77">
        <f t="shared" ca="1" si="1034"/>
        <v>0</v>
      </c>
      <c r="AE814" s="45">
        <f t="shared" ca="1" si="1047"/>
        <v>6.3847072090583081</v>
      </c>
      <c r="AF814" s="45">
        <f t="shared" ca="1" si="1035"/>
        <v>0</v>
      </c>
      <c r="AG814" s="76">
        <f t="shared" ca="1" si="1036"/>
        <v>64.172630976138066</v>
      </c>
      <c r="AH814" s="45">
        <f t="shared" ca="1" si="1037"/>
        <v>0</v>
      </c>
      <c r="AI814" s="77">
        <f t="shared" ca="1" si="1038"/>
        <v>1.4254052361084705E-2</v>
      </c>
      <c r="AJ814" s="384">
        <f t="shared" ca="1" si="1040"/>
        <v>1.7531078878694206E-2</v>
      </c>
      <c r="AU814" s="1"/>
    </row>
    <row r="815" spans="3:47" x14ac:dyDescent="0.25">
      <c r="C815" s="10">
        <f t="shared" si="1065"/>
        <v>60</v>
      </c>
      <c r="D815" s="91">
        <f t="shared" si="1048"/>
        <v>5</v>
      </c>
      <c r="E815" s="278"/>
      <c r="F815" s="76">
        <f t="shared" ref="F815:Q815" si="1077">F743</f>
        <v>12.662516129032257</v>
      </c>
      <c r="G815" s="46">
        <f t="shared" si="1077"/>
        <v>89.413014608233681</v>
      </c>
      <c r="H815" s="46">
        <f t="shared" si="1024"/>
        <v>-33.882864608233675</v>
      </c>
      <c r="I815" s="45">
        <f t="shared" si="1025"/>
        <v>0</v>
      </c>
      <c r="J815" s="45">
        <f t="shared" si="1026"/>
        <v>0.19052718077467024</v>
      </c>
      <c r="K815" s="45">
        <f t="shared" ca="1" si="1042"/>
        <v>0.6158039414194908</v>
      </c>
      <c r="L815" s="358">
        <f t="shared" si="1027"/>
        <v>0.78870900469063665</v>
      </c>
      <c r="M815" s="76">
        <f t="shared" ca="1" si="1077"/>
        <v>0.25347808785320641</v>
      </c>
      <c r="N815" s="45">
        <f t="shared" ca="1" si="1077"/>
        <v>0.25</v>
      </c>
      <c r="O815" s="45">
        <f t="shared" ca="1" si="1077"/>
        <v>0</v>
      </c>
      <c r="P815" s="46" t="str">
        <f t="shared" ca="1" si="1077"/>
        <v/>
      </c>
      <c r="Q815" s="243" t="str">
        <f t="shared" ca="1" si="1077"/>
        <v/>
      </c>
      <c r="R815" s="45">
        <f t="shared" ca="1" si="1043"/>
        <v>0.37509033617215748</v>
      </c>
      <c r="S815" s="45">
        <f t="shared" ca="1" si="1067"/>
        <v>5.0695617570641283E-2</v>
      </c>
      <c r="T815" s="77">
        <f t="shared" ca="1" si="1028"/>
        <v>0</v>
      </c>
      <c r="U815" s="45">
        <f t="shared" ca="1" si="1044"/>
        <v>17.515372390070262</v>
      </c>
      <c r="V815" s="45">
        <f t="shared" ca="1" si="1029"/>
        <v>0.20278247028256513</v>
      </c>
      <c r="W815" s="77">
        <f t="shared" ca="1" si="1030"/>
        <v>0</v>
      </c>
      <c r="X815" s="45">
        <f t="shared" ca="1" si="1045"/>
        <v>1.0059408594478638</v>
      </c>
      <c r="Y815" s="45">
        <f t="shared" ca="1" si="1031"/>
        <v>0</v>
      </c>
      <c r="Z815" s="77">
        <f t="shared" ca="1" si="1032"/>
        <v>0</v>
      </c>
      <c r="AA815" s="45">
        <f t="shared" ca="1" si="1046"/>
        <v>39.144998269242684</v>
      </c>
      <c r="AB815" s="45">
        <f t="shared" ca="1" si="1033"/>
        <v>0</v>
      </c>
      <c r="AC815" s="45" cm="1">
        <f t="array" aca="1" ref="AC815" ca="1">pHUM*(T815+W815+Z815+AD815)</f>
        <v>0</v>
      </c>
      <c r="AD815" s="77">
        <f t="shared" ca="1" si="1034"/>
        <v>0</v>
      </c>
      <c r="AE815" s="45">
        <f t="shared" ca="1" si="1047"/>
        <v>6.3847072090583081</v>
      </c>
      <c r="AF815" s="45">
        <f t="shared" ca="1" si="1035"/>
        <v>0</v>
      </c>
      <c r="AG815" s="76">
        <f t="shared" ca="1" si="1036"/>
        <v>64.426109063991277</v>
      </c>
      <c r="AH815" s="45">
        <f t="shared" ca="1" si="1037"/>
        <v>0</v>
      </c>
      <c r="AI815" s="77">
        <f t="shared" ca="1" si="1038"/>
        <v>1.5007011772802241E-2</v>
      </c>
      <c r="AJ815" s="384">
        <f t="shared" ca="1" si="1040"/>
        <v>2.5727230911979371E-2</v>
      </c>
      <c r="AU815" s="1"/>
    </row>
    <row r="816" spans="3:47" x14ac:dyDescent="0.25">
      <c r="C816" s="10">
        <f t="shared" si="1065"/>
        <v>60</v>
      </c>
      <c r="D816" s="91">
        <f t="shared" si="1048"/>
        <v>6</v>
      </c>
      <c r="E816" s="278"/>
      <c r="F816" s="76">
        <f t="shared" ref="F816:Q816" si="1078">F744</f>
        <v>17.952400000000004</v>
      </c>
      <c r="G816" s="46">
        <f t="shared" si="1078"/>
        <v>83.948488098886401</v>
      </c>
      <c r="H816" s="46">
        <f t="shared" si="1024"/>
        <v>-28.418338098886395</v>
      </c>
      <c r="I816" s="45">
        <f t="shared" si="1025"/>
        <v>0</v>
      </c>
      <c r="J816" s="45">
        <f t="shared" si="1026"/>
        <v>0.21095121603234232</v>
      </c>
      <c r="K816" s="45">
        <f t="shared" ca="1" si="1042"/>
        <v>0.68181657730811884</v>
      </c>
      <c r="L816" s="358">
        <f t="shared" si="1027"/>
        <v>0.89013124354981255</v>
      </c>
      <c r="M816" s="76">
        <f t="shared" ca="1" si="1078"/>
        <v>0.25347808785320641</v>
      </c>
      <c r="N816" s="45">
        <f t="shared" ca="1" si="1078"/>
        <v>0.25</v>
      </c>
      <c r="O816" s="45">
        <f t="shared" ca="1" si="1078"/>
        <v>0</v>
      </c>
      <c r="P816" s="46" t="str">
        <f t="shared" ca="1" si="1078"/>
        <v/>
      </c>
      <c r="Q816" s="243" t="str">
        <f t="shared" ca="1" si="1078"/>
        <v/>
      </c>
      <c r="R816" s="45">
        <f t="shared" ca="1" si="1043"/>
        <v>0.42578595374279876</v>
      </c>
      <c r="S816" s="45">
        <f t="shared" ca="1" si="1067"/>
        <v>5.0695617570641283E-2</v>
      </c>
      <c r="T816" s="77">
        <f t="shared" ca="1" si="1028"/>
        <v>0</v>
      </c>
      <c r="U816" s="45">
        <f t="shared" ca="1" si="1044"/>
        <v>17.718154860352826</v>
      </c>
      <c r="V816" s="45">
        <f t="shared" ca="1" si="1029"/>
        <v>0.20278247028256513</v>
      </c>
      <c r="W816" s="77">
        <f t="shared" ca="1" si="1030"/>
        <v>0</v>
      </c>
      <c r="X816" s="45">
        <f t="shared" ca="1" si="1045"/>
        <v>1.0059408594478638</v>
      </c>
      <c r="Y816" s="45">
        <f t="shared" ca="1" si="1031"/>
        <v>0</v>
      </c>
      <c r="Z816" s="77">
        <f t="shared" ca="1" si="1032"/>
        <v>0</v>
      </c>
      <c r="AA816" s="45">
        <f t="shared" ca="1" si="1046"/>
        <v>39.144998269242684</v>
      </c>
      <c r="AB816" s="45">
        <f t="shared" ca="1" si="1033"/>
        <v>0</v>
      </c>
      <c r="AC816" s="45" cm="1">
        <f t="array" aca="1" ref="AC816" ca="1">pHUM*(T816+W816+Z816+AD816)</f>
        <v>0</v>
      </c>
      <c r="AD816" s="77">
        <f t="shared" ca="1" si="1034"/>
        <v>0</v>
      </c>
      <c r="AE816" s="45">
        <f t="shared" ca="1" si="1047"/>
        <v>6.3847072090583081</v>
      </c>
      <c r="AF816" s="45">
        <f t="shared" ca="1" si="1035"/>
        <v>0</v>
      </c>
      <c r="AG816" s="76">
        <f t="shared" ca="1" si="1036"/>
        <v>64.679587151844487</v>
      </c>
      <c r="AH816" s="45">
        <f t="shared" ca="1" si="1037"/>
        <v>0</v>
      </c>
      <c r="AI816" s="77">
        <f t="shared" ca="1" si="1038"/>
        <v>1.5753423140777319E-2</v>
      </c>
      <c r="AJ816" s="384">
        <f t="shared" ca="1" si="1040"/>
        <v>3.3746816622529652E-2</v>
      </c>
      <c r="AU816" s="1"/>
    </row>
    <row r="817" spans="3:47" x14ac:dyDescent="0.25">
      <c r="C817" s="10">
        <f t="shared" si="1065"/>
        <v>60</v>
      </c>
      <c r="D817" s="91">
        <f t="shared" si="1048"/>
        <v>7</v>
      </c>
      <c r="E817" s="278"/>
      <c r="F817" s="76">
        <f t="shared" ref="F817:Q817" si="1079">F745</f>
        <v>21.363032258064525</v>
      </c>
      <c r="G817" s="46">
        <f t="shared" si="1079"/>
        <v>73.679575814389409</v>
      </c>
      <c r="H817" s="46">
        <f t="shared" si="1024"/>
        <v>-18.149425814389403</v>
      </c>
      <c r="I817" s="45">
        <f t="shared" si="1025"/>
        <v>0</v>
      </c>
      <c r="J817" s="45">
        <f t="shared" si="1026"/>
        <v>0.2468878570948656</v>
      </c>
      <c r="K817" s="45">
        <f t="shared" ca="1" si="1042"/>
        <v>0.79796759113040194</v>
      </c>
      <c r="L817" s="358">
        <f t="shared" si="1027"/>
        <v>0.92905557700722019</v>
      </c>
      <c r="M817" s="76">
        <f t="shared" ca="1" si="1079"/>
        <v>0.25347808785320641</v>
      </c>
      <c r="N817" s="45">
        <f t="shared" ca="1" si="1079"/>
        <v>0.25</v>
      </c>
      <c r="O817" s="45">
        <f t="shared" ca="1" si="1079"/>
        <v>0</v>
      </c>
      <c r="P817" s="46" t="str">
        <f t="shared" ca="1" si="1079"/>
        <v/>
      </c>
      <c r="Q817" s="243" t="str">
        <f t="shared" ca="1" si="1079"/>
        <v/>
      </c>
      <c r="R817" s="45">
        <f t="shared" ca="1" si="1043"/>
        <v>0.47648157131344004</v>
      </c>
      <c r="S817" s="45">
        <f t="shared" ca="1" si="1067"/>
        <v>5.0695617570641283E-2</v>
      </c>
      <c r="T817" s="77">
        <f t="shared" ca="1" si="1028"/>
        <v>0</v>
      </c>
      <c r="U817" s="45">
        <f t="shared" ca="1" si="1044"/>
        <v>17.92093733063539</v>
      </c>
      <c r="V817" s="45">
        <f t="shared" ca="1" si="1029"/>
        <v>0.20278247028256513</v>
      </c>
      <c r="W817" s="77">
        <f t="shared" ca="1" si="1030"/>
        <v>0</v>
      </c>
      <c r="X817" s="45">
        <f t="shared" ca="1" si="1045"/>
        <v>1.0059408594478638</v>
      </c>
      <c r="Y817" s="45">
        <f t="shared" ca="1" si="1031"/>
        <v>0</v>
      </c>
      <c r="Z817" s="77">
        <f t="shared" ca="1" si="1032"/>
        <v>0</v>
      </c>
      <c r="AA817" s="45">
        <f t="shared" ca="1" si="1046"/>
        <v>39.144998269242684</v>
      </c>
      <c r="AB817" s="45">
        <f t="shared" ca="1" si="1033"/>
        <v>0</v>
      </c>
      <c r="AC817" s="45" cm="1">
        <f t="array" aca="1" ref="AC817" ca="1">pHUM*(T817+W817+Z817+AD817)</f>
        <v>0</v>
      </c>
      <c r="AD817" s="77">
        <f t="shared" ca="1" si="1034"/>
        <v>0</v>
      </c>
      <c r="AE817" s="45">
        <f t="shared" ca="1" si="1047"/>
        <v>6.3847072090583081</v>
      </c>
      <c r="AF817" s="45">
        <f t="shared" ca="1" si="1035"/>
        <v>0</v>
      </c>
      <c r="AG817" s="76">
        <f t="shared" ca="1" si="1036"/>
        <v>64.933065239697683</v>
      </c>
      <c r="AH817" s="45">
        <f t="shared" ca="1" si="1037"/>
        <v>0</v>
      </c>
      <c r="AI817" s="77">
        <f t="shared" ca="1" si="1038"/>
        <v>1.649337151191798E-2</v>
      </c>
      <c r="AJ817" s="384">
        <f t="shared" ca="1" si="1040"/>
        <v>4.315874474449588E-2</v>
      </c>
      <c r="AU817" s="1"/>
    </row>
    <row r="818" spans="3:47" x14ac:dyDescent="0.25">
      <c r="C818" s="10">
        <f t="shared" si="1065"/>
        <v>60</v>
      </c>
      <c r="D818" s="91">
        <f t="shared" si="1048"/>
        <v>8</v>
      </c>
      <c r="E818" s="278"/>
      <c r="F818" s="76">
        <f t="shared" ref="F818:Q818" si="1080">F746</f>
        <v>21.84690322580645</v>
      </c>
      <c r="G818" s="46">
        <f t="shared" si="1080"/>
        <v>71.917724933598876</v>
      </c>
      <c r="H818" s="46">
        <f t="shared" si="1024"/>
        <v>-16.38757493359887</v>
      </c>
      <c r="I818" s="45">
        <f t="shared" si="1025"/>
        <v>0</v>
      </c>
      <c r="J818" s="45">
        <f t="shared" si="1026"/>
        <v>0.25260629061506468</v>
      </c>
      <c r="K818" s="45">
        <f t="shared" ca="1" si="1042"/>
        <v>0.81645017133846476</v>
      </c>
      <c r="L818" s="358">
        <f t="shared" si="1027"/>
        <v>0.93325603418156189</v>
      </c>
      <c r="M818" s="76">
        <f t="shared" ca="1" si="1080"/>
        <v>0.25347808785320641</v>
      </c>
      <c r="N818" s="45">
        <f t="shared" ca="1" si="1080"/>
        <v>0.25</v>
      </c>
      <c r="O818" s="45">
        <f t="shared" ca="1" si="1080"/>
        <v>0</v>
      </c>
      <c r="P818" s="46" t="str">
        <f t="shared" ca="1" si="1080"/>
        <v/>
      </c>
      <c r="Q818" s="243" t="str">
        <f t="shared" ca="1" si="1080"/>
        <v/>
      </c>
      <c r="R818" s="45">
        <f t="shared" ca="1" si="1043"/>
        <v>0.52717718888408127</v>
      </c>
      <c r="S818" s="45">
        <f t="shared" ca="1" si="1067"/>
        <v>5.0695617570641283E-2</v>
      </c>
      <c r="T818" s="77">
        <f t="shared" ca="1" si="1028"/>
        <v>0</v>
      </c>
      <c r="U818" s="45">
        <f t="shared" ca="1" si="1044"/>
        <v>18.123719800917954</v>
      </c>
      <c r="V818" s="45">
        <f t="shared" ca="1" si="1029"/>
        <v>0.20278247028256513</v>
      </c>
      <c r="W818" s="77">
        <f t="shared" ca="1" si="1030"/>
        <v>0</v>
      </c>
      <c r="X818" s="45">
        <f t="shared" ca="1" si="1045"/>
        <v>1.0059408594478638</v>
      </c>
      <c r="Y818" s="45">
        <f t="shared" ca="1" si="1031"/>
        <v>0</v>
      </c>
      <c r="Z818" s="77">
        <f t="shared" ca="1" si="1032"/>
        <v>0</v>
      </c>
      <c r="AA818" s="45">
        <f t="shared" ca="1" si="1046"/>
        <v>39.144998269242684</v>
      </c>
      <c r="AB818" s="45">
        <f t="shared" ca="1" si="1033"/>
        <v>0</v>
      </c>
      <c r="AC818" s="45" cm="1">
        <f t="array" aca="1" ref="AC818" ca="1">pHUM*(T818+W818+Z818+AD818)</f>
        <v>0</v>
      </c>
      <c r="AD818" s="77">
        <f t="shared" ca="1" si="1034"/>
        <v>0</v>
      </c>
      <c r="AE818" s="45">
        <f t="shared" ca="1" si="1047"/>
        <v>6.3847072090583081</v>
      </c>
      <c r="AF818" s="45">
        <f t="shared" ca="1" si="1035"/>
        <v>0</v>
      </c>
      <c r="AG818" s="76">
        <f t="shared" ca="1" si="1036"/>
        <v>65.186543327550893</v>
      </c>
      <c r="AH818" s="45">
        <f t="shared" ca="1" si="1037"/>
        <v>0</v>
      </c>
      <c r="AI818" s="77">
        <f t="shared" ca="1" si="1038"/>
        <v>1.722694046667957E-2</v>
      </c>
      <c r="AJ818" s="384">
        <f t="shared" ca="1" si="1040"/>
        <v>4.6330795790784363E-2</v>
      </c>
      <c r="AU818" s="1"/>
    </row>
    <row r="819" spans="3:47" x14ac:dyDescent="0.25">
      <c r="C819" s="10">
        <f t="shared" si="1065"/>
        <v>60</v>
      </c>
      <c r="D819" s="91">
        <f t="shared" si="1048"/>
        <v>9</v>
      </c>
      <c r="E819" s="278"/>
      <c r="F819" s="76">
        <f t="shared" ref="F819:Q819" si="1081">F747</f>
        <v>19.915099999999999</v>
      </c>
      <c r="G819" s="46">
        <f t="shared" si="1081"/>
        <v>90.121120170480822</v>
      </c>
      <c r="H819" s="46">
        <f t="shared" si="1024"/>
        <v>-34.590970170480816</v>
      </c>
      <c r="I819" s="45">
        <f t="shared" si="1025"/>
        <v>0</v>
      </c>
      <c r="J819" s="45">
        <f t="shared" si="1026"/>
        <v>0.18783711693191202</v>
      </c>
      <c r="K819" s="45">
        <f t="shared" ca="1" si="1042"/>
        <v>0.60710937138331467</v>
      </c>
      <c r="L819" s="358">
        <f t="shared" si="1027"/>
        <v>0.91464137695305081</v>
      </c>
      <c r="M819" s="76">
        <f t="shared" ca="1" si="1081"/>
        <v>0.25347808785320641</v>
      </c>
      <c r="N819" s="45">
        <f t="shared" ca="1" si="1081"/>
        <v>0.25</v>
      </c>
      <c r="O819" s="45">
        <f t="shared" ca="1" si="1081"/>
        <v>0</v>
      </c>
      <c r="P819" s="46" t="str">
        <f t="shared" ca="1" si="1081"/>
        <v/>
      </c>
      <c r="Q819" s="243" t="str">
        <f t="shared" ca="1" si="1081"/>
        <v/>
      </c>
      <c r="R819" s="45">
        <f t="shared" ca="1" si="1043"/>
        <v>0.5778728064547225</v>
      </c>
      <c r="S819" s="45">
        <f t="shared" ca="1" si="1067"/>
        <v>5.0695617570641283E-2</v>
      </c>
      <c r="T819" s="77">
        <f t="shared" ca="1" si="1028"/>
        <v>0</v>
      </c>
      <c r="U819" s="45">
        <f t="shared" ca="1" si="1044"/>
        <v>18.326502271200518</v>
      </c>
      <c r="V819" s="45">
        <f t="shared" ca="1" si="1029"/>
        <v>0.20278247028256513</v>
      </c>
      <c r="W819" s="77">
        <f t="shared" ca="1" si="1030"/>
        <v>0</v>
      </c>
      <c r="X819" s="45">
        <f t="shared" ca="1" si="1045"/>
        <v>1.0059408594478638</v>
      </c>
      <c r="Y819" s="45">
        <f t="shared" ca="1" si="1031"/>
        <v>0</v>
      </c>
      <c r="Z819" s="77">
        <f t="shared" ca="1" si="1032"/>
        <v>0</v>
      </c>
      <c r="AA819" s="45">
        <f t="shared" ca="1" si="1046"/>
        <v>39.144998269242684</v>
      </c>
      <c r="AB819" s="45">
        <f t="shared" ca="1" si="1033"/>
        <v>0</v>
      </c>
      <c r="AC819" s="45" cm="1">
        <f t="array" aca="1" ref="AC819" ca="1">pHUM*(T819+W819+Z819+AD819)</f>
        <v>0</v>
      </c>
      <c r="AD819" s="77">
        <f t="shared" ca="1" si="1034"/>
        <v>0</v>
      </c>
      <c r="AE819" s="45">
        <f t="shared" ca="1" si="1047"/>
        <v>6.3847072090583081</v>
      </c>
      <c r="AF819" s="45">
        <f t="shared" ca="1" si="1035"/>
        <v>0</v>
      </c>
      <c r="AG819" s="76">
        <f t="shared" ca="1" si="1036"/>
        <v>65.44002141540409</v>
      </c>
      <c r="AH819" s="45">
        <f t="shared" ca="1" si="1037"/>
        <v>0</v>
      </c>
      <c r="AI819" s="77">
        <f t="shared" ca="1" si="1038"/>
        <v>1.7954212150536403E-2</v>
      </c>
      <c r="AJ819" s="384">
        <f t="shared" ca="1" si="1040"/>
        <v>3.5190044352336747E-2</v>
      </c>
      <c r="AU819" s="1"/>
    </row>
    <row r="820" spans="3:47" x14ac:dyDescent="0.25">
      <c r="C820" s="10">
        <f t="shared" si="1065"/>
        <v>60</v>
      </c>
      <c r="D820" s="91">
        <f t="shared" si="1048"/>
        <v>10</v>
      </c>
      <c r="E820" s="278"/>
      <c r="F820" s="76">
        <f t="shared" ref="F820:Q820" si="1082">F748</f>
        <v>16.404967741935486</v>
      </c>
      <c r="G820" s="46">
        <f t="shared" si="1082"/>
        <v>93.270963763991602</v>
      </c>
      <c r="H820" s="46">
        <f t="shared" si="1024"/>
        <v>-37.740813763991596</v>
      </c>
      <c r="I820" s="45">
        <f t="shared" si="1025"/>
        <v>0</v>
      </c>
      <c r="J820" s="45">
        <f t="shared" si="1026"/>
        <v>0.1757835150476853</v>
      </c>
      <c r="K820" s="45">
        <f t="shared" ca="1" si="1042"/>
        <v>0.56815085891056294</v>
      </c>
      <c r="L820" s="358">
        <f t="shared" si="1027"/>
        <v>0.86618676922472848</v>
      </c>
      <c r="M820" s="76">
        <f t="shared" ca="1" si="1082"/>
        <v>0.25347808785320641</v>
      </c>
      <c r="N820" s="45">
        <f t="shared" ca="1" si="1082"/>
        <v>0.25</v>
      </c>
      <c r="O820" s="45">
        <f t="shared" ca="1" si="1082"/>
        <v>0</v>
      </c>
      <c r="P820" s="46" t="str">
        <f t="shared" ca="1" si="1082"/>
        <v/>
      </c>
      <c r="Q820" s="243" t="str">
        <f t="shared" ca="1" si="1082"/>
        <v/>
      </c>
      <c r="R820" s="45">
        <f t="shared" ca="1" si="1043"/>
        <v>0.62856842402536373</v>
      </c>
      <c r="S820" s="45">
        <f t="shared" ca="1" si="1067"/>
        <v>5.0695617570641283E-2</v>
      </c>
      <c r="T820" s="77">
        <f t="shared" ca="1" si="1028"/>
        <v>0</v>
      </c>
      <c r="U820" s="45">
        <f t="shared" ca="1" si="1044"/>
        <v>18.529284741483082</v>
      </c>
      <c r="V820" s="45">
        <f t="shared" ca="1" si="1029"/>
        <v>0.20278247028256513</v>
      </c>
      <c r="W820" s="77">
        <f t="shared" ca="1" si="1030"/>
        <v>0</v>
      </c>
      <c r="X820" s="45">
        <f t="shared" ca="1" si="1045"/>
        <v>1.0059408594478638</v>
      </c>
      <c r="Y820" s="45">
        <f t="shared" ca="1" si="1031"/>
        <v>0</v>
      </c>
      <c r="Z820" s="77">
        <f t="shared" ca="1" si="1032"/>
        <v>0</v>
      </c>
      <c r="AA820" s="45">
        <f t="shared" ca="1" si="1046"/>
        <v>39.144998269242684</v>
      </c>
      <c r="AB820" s="45">
        <f t="shared" ca="1" si="1033"/>
        <v>0</v>
      </c>
      <c r="AC820" s="45" cm="1">
        <f t="array" aca="1" ref="AC820" ca="1">pHUM*(T820+W820+Z820+AD820)</f>
        <v>0</v>
      </c>
      <c r="AD820" s="77">
        <f t="shared" ca="1" si="1034"/>
        <v>0</v>
      </c>
      <c r="AE820" s="45">
        <f t="shared" ca="1" si="1047"/>
        <v>6.3847072090583081</v>
      </c>
      <c r="AF820" s="45">
        <f t="shared" ca="1" si="1035"/>
        <v>0</v>
      </c>
      <c r="AG820" s="76">
        <f t="shared" ca="1" si="1036"/>
        <v>65.6934995032573</v>
      </c>
      <c r="AH820" s="45">
        <f t="shared" ca="1" si="1037"/>
        <v>0</v>
      </c>
      <c r="AI820" s="77">
        <f t="shared" ca="1" si="1038"/>
        <v>1.8675267304646373E-2</v>
      </c>
      <c r="AJ820" s="384">
        <f t="shared" ca="1" si="1040"/>
        <v>3.2439850750403121E-2</v>
      </c>
      <c r="AU820" s="1"/>
    </row>
    <row r="821" spans="3:47" x14ac:dyDescent="0.25">
      <c r="C821" s="10">
        <f t="shared" si="1065"/>
        <v>60</v>
      </c>
      <c r="D821" s="91">
        <f t="shared" si="1048"/>
        <v>11</v>
      </c>
      <c r="E821" s="278"/>
      <c r="F821" s="76">
        <f t="shared" ref="F821:Q821" si="1083">F749</f>
        <v>8.5982333333333347</v>
      </c>
      <c r="G821" s="46">
        <f t="shared" si="1083"/>
        <v>93.768190396309464</v>
      </c>
      <c r="H821" s="46">
        <f t="shared" si="1024"/>
        <v>-38.238040396309458</v>
      </c>
      <c r="I821" s="45">
        <f t="shared" si="1025"/>
        <v>0</v>
      </c>
      <c r="J821" s="45">
        <f t="shared" si="1026"/>
        <v>0.17386998013358751</v>
      </c>
      <c r="K821" s="45">
        <f t="shared" ca="1" si="1042"/>
        <v>0.56196611226520721</v>
      </c>
      <c r="L821" s="358">
        <f t="shared" si="1027"/>
        <v>0.6712335176859634</v>
      </c>
      <c r="M821" s="76">
        <f t="shared" ca="1" si="1083"/>
        <v>0.25347808785320641</v>
      </c>
      <c r="N821" s="45">
        <f t="shared" ca="1" si="1083"/>
        <v>0.25</v>
      </c>
      <c r="O821" s="45">
        <f t="shared" ca="1" si="1083"/>
        <v>0</v>
      </c>
      <c r="P821" s="46" t="str">
        <f t="shared" ca="1" si="1083"/>
        <v/>
      </c>
      <c r="Q821" s="243" t="str">
        <f t="shared" ca="1" si="1083"/>
        <v/>
      </c>
      <c r="R821" s="45">
        <f t="shared" ca="1" si="1043"/>
        <v>0.67926404159600495</v>
      </c>
      <c r="S821" s="45">
        <f t="shared" ca="1" si="1067"/>
        <v>5.0695617570641283E-2</v>
      </c>
      <c r="T821" s="77">
        <f t="shared" ca="1" si="1028"/>
        <v>0</v>
      </c>
      <c r="U821" s="45">
        <f t="shared" ca="1" si="1044"/>
        <v>18.732067211765646</v>
      </c>
      <c r="V821" s="45">
        <f t="shared" ca="1" si="1029"/>
        <v>0.20278247028256513</v>
      </c>
      <c r="W821" s="77">
        <f t="shared" ca="1" si="1030"/>
        <v>0</v>
      </c>
      <c r="X821" s="45">
        <f t="shared" ca="1" si="1045"/>
        <v>1.0059408594478638</v>
      </c>
      <c r="Y821" s="45">
        <f t="shared" ca="1" si="1031"/>
        <v>0</v>
      </c>
      <c r="Z821" s="77">
        <f t="shared" ca="1" si="1032"/>
        <v>0</v>
      </c>
      <c r="AA821" s="45">
        <f t="shared" ca="1" si="1046"/>
        <v>39.144998269242684</v>
      </c>
      <c r="AB821" s="45">
        <f t="shared" ca="1" si="1033"/>
        <v>0</v>
      </c>
      <c r="AC821" s="45" cm="1">
        <f t="array" aca="1" ref="AC821" ca="1">pHUM*(T821+W821+Z821+AD821)</f>
        <v>0</v>
      </c>
      <c r="AD821" s="77">
        <f t="shared" ca="1" si="1034"/>
        <v>0</v>
      </c>
      <c r="AE821" s="45">
        <f t="shared" ca="1" si="1047"/>
        <v>6.3847072090583081</v>
      </c>
      <c r="AF821" s="45">
        <f t="shared" ca="1" si="1035"/>
        <v>0</v>
      </c>
      <c r="AG821" s="76">
        <f t="shared" ca="1" si="1036"/>
        <v>65.94697759111051</v>
      </c>
      <c r="AH821" s="45">
        <f t="shared" ca="1" si="1037"/>
        <v>0</v>
      </c>
      <c r="AI821" s="77">
        <f t="shared" ca="1" si="1038"/>
        <v>1.9390185295732564E-2</v>
      </c>
      <c r="AJ821" s="384">
        <f t="shared" ca="1" si="1040"/>
        <v>2.5816968356143777E-2</v>
      </c>
      <c r="AU821" s="1"/>
    </row>
    <row r="822" spans="3:47" x14ac:dyDescent="0.25">
      <c r="C822" s="10">
        <f t="shared" si="1065"/>
        <v>60</v>
      </c>
      <c r="D822" s="91">
        <f t="shared" si="1048"/>
        <v>12</v>
      </c>
      <c r="E822" s="278"/>
      <c r="F822" s="76">
        <f t="shared" ref="F822:Q822" si="1084">F750</f>
        <v>5.8543548387096775</v>
      </c>
      <c r="G822" s="46">
        <f t="shared" si="1084"/>
        <v>92.353978821555827</v>
      </c>
      <c r="H822" s="46">
        <f t="shared" si="1024"/>
        <v>-36.823828821555821</v>
      </c>
      <c r="I822" s="45">
        <f t="shared" si="1025"/>
        <v>0</v>
      </c>
      <c r="J822" s="45">
        <f t="shared" si="1026"/>
        <v>0.17930557122010893</v>
      </c>
      <c r="K822" s="45">
        <f t="shared" ca="1" si="1042"/>
        <v>0.57953451589882432</v>
      </c>
      <c r="L822" s="358">
        <f t="shared" si="1027"/>
        <v>0.57570255434605899</v>
      </c>
      <c r="M822" s="76">
        <f t="shared" ca="1" si="1084"/>
        <v>0.25347808785320641</v>
      </c>
      <c r="N822" s="45">
        <f t="shared" ca="1" si="1084"/>
        <v>0.25</v>
      </c>
      <c r="O822" s="45">
        <f t="shared" ca="1" si="1084"/>
        <v>0</v>
      </c>
      <c r="P822" s="46" t="str">
        <f t="shared" ca="1" si="1084"/>
        <v/>
      </c>
      <c r="Q822" s="243" t="str">
        <f t="shared" ca="1" si="1084"/>
        <v/>
      </c>
      <c r="R822" s="45">
        <f t="shared" ca="1" si="1043"/>
        <v>0.72995965916664618</v>
      </c>
      <c r="S822" s="45">
        <f t="shared" ca="1" si="1067"/>
        <v>5.0695617570641283E-2</v>
      </c>
      <c r="T822" s="77">
        <f t="shared" ca="1" si="1028"/>
        <v>0</v>
      </c>
      <c r="U822" s="45">
        <f t="shared" ca="1" si="1044"/>
        <v>18.93484968204821</v>
      </c>
      <c r="V822" s="45">
        <f t="shared" ca="1" si="1029"/>
        <v>0.20278247028256513</v>
      </c>
      <c r="W822" s="77">
        <f t="shared" ca="1" si="1030"/>
        <v>0</v>
      </c>
      <c r="X822" s="45">
        <f t="shared" ca="1" si="1045"/>
        <v>1.0059408594478638</v>
      </c>
      <c r="Y822" s="45">
        <f t="shared" ca="1" si="1031"/>
        <v>0</v>
      </c>
      <c r="Z822" s="77">
        <f t="shared" ca="1" si="1032"/>
        <v>0</v>
      </c>
      <c r="AA822" s="45">
        <f t="shared" ca="1" si="1046"/>
        <v>39.144998269242684</v>
      </c>
      <c r="AB822" s="45">
        <f t="shared" ca="1" si="1033"/>
        <v>0</v>
      </c>
      <c r="AC822" s="45" cm="1">
        <f t="array" aca="1" ref="AC822" ca="1">pHUM*(T822+W822+Z822+AD822)</f>
        <v>0</v>
      </c>
      <c r="AD822" s="77">
        <f t="shared" ca="1" si="1034"/>
        <v>0</v>
      </c>
      <c r="AE822" s="45">
        <f t="shared" ca="1" si="1047"/>
        <v>6.3847072090583081</v>
      </c>
      <c r="AF822" s="45">
        <f t="shared" ca="1" si="1035"/>
        <v>0</v>
      </c>
      <c r="AG822" s="76">
        <f t="shared" ca="1" si="1036"/>
        <v>66.200455678963706</v>
      </c>
      <c r="AH822" s="45">
        <f t="shared" ca="1" si="1037"/>
        <v>0</v>
      </c>
      <c r="AI822" s="77">
        <f t="shared" ca="1" si="1038"/>
        <v>2.0099044145205119E-2</v>
      </c>
      <c r="AJ822" s="384">
        <f t="shared" ca="1" si="1040"/>
        <v>2.3669728042294835E-2</v>
      </c>
      <c r="AU822" s="1"/>
    </row>
    <row r="823" spans="3:47" x14ac:dyDescent="0.25">
      <c r="C823" s="10">
        <f t="shared" si="1065"/>
        <v>61</v>
      </c>
      <c r="D823" s="91">
        <f t="shared" si="1048"/>
        <v>1</v>
      </c>
      <c r="E823" s="278"/>
      <c r="F823" s="76">
        <f t="shared" ref="F823:Q823" si="1085">F751</f>
        <v>2.2624333333333326</v>
      </c>
      <c r="G823" s="46">
        <f t="shared" si="1085"/>
        <v>87.461548542671366</v>
      </c>
      <c r="H823" s="46">
        <f t="shared" si="1024"/>
        <v>-31.93139854267136</v>
      </c>
      <c r="I823" s="45">
        <f t="shared" si="1025"/>
        <v>0</v>
      </c>
      <c r="J823" s="45">
        <f t="shared" si="1026"/>
        <v>0.19789456043296222</v>
      </c>
      <c r="K823" s="45">
        <f t="shared" ca="1" si="1042"/>
        <v>0.63961608944510806</v>
      </c>
      <c r="L823" s="358">
        <f t="shared" si="1027"/>
        <v>0.44266298791276926</v>
      </c>
      <c r="M823" s="76">
        <f t="shared" ca="1" si="1085"/>
        <v>0.25347808785320641</v>
      </c>
      <c r="N823" s="45">
        <f t="shared" ca="1" si="1085"/>
        <v>0.25</v>
      </c>
      <c r="O823" s="45">
        <f t="shared" ca="1" si="1085"/>
        <v>0</v>
      </c>
      <c r="P823" s="46" t="str">
        <f t="shared" ca="1" si="1085"/>
        <v/>
      </c>
      <c r="Q823" s="243" t="str">
        <f t="shared" ca="1" si="1085"/>
        <v/>
      </c>
      <c r="R823" s="45">
        <f t="shared" ca="1" si="1043"/>
        <v>0.78065527673728741</v>
      </c>
      <c r="S823" s="45">
        <f t="shared" ca="1" si="1067"/>
        <v>5.0695617570641283E-2</v>
      </c>
      <c r="T823" s="77">
        <f t="shared" ca="1" si="1028"/>
        <v>0</v>
      </c>
      <c r="U823" s="45">
        <f t="shared" ca="1" si="1044"/>
        <v>19.137632152330774</v>
      </c>
      <c r="V823" s="45">
        <f t="shared" ca="1" si="1029"/>
        <v>0.20278247028256513</v>
      </c>
      <c r="W823" s="77">
        <f t="shared" ca="1" si="1030"/>
        <v>0</v>
      </c>
      <c r="X823" s="45">
        <f t="shared" ca="1" si="1045"/>
        <v>1.0059408594478638</v>
      </c>
      <c r="Y823" s="45">
        <f t="shared" ca="1" si="1031"/>
        <v>0</v>
      </c>
      <c r="Z823" s="77">
        <f t="shared" ca="1" si="1032"/>
        <v>0</v>
      </c>
      <c r="AA823" s="45">
        <f t="shared" ca="1" si="1046"/>
        <v>39.144998269242684</v>
      </c>
      <c r="AB823" s="45">
        <f t="shared" ca="1" si="1033"/>
        <v>0</v>
      </c>
      <c r="AC823" s="45" cm="1">
        <f t="array" aca="1" ref="AC823" ca="1">pHUM*(T823+W823+Z823+AD823)</f>
        <v>0</v>
      </c>
      <c r="AD823" s="77">
        <f t="shared" ca="1" si="1034"/>
        <v>0</v>
      </c>
      <c r="AE823" s="45">
        <f t="shared" ca="1" si="1047"/>
        <v>6.3847072090583081</v>
      </c>
      <c r="AF823" s="45">
        <f t="shared" ca="1" si="1035"/>
        <v>0</v>
      </c>
      <c r="AG823" s="76">
        <f t="shared" ca="1" si="1036"/>
        <v>66.453933766816917</v>
      </c>
      <c r="AH823" s="45">
        <f t="shared" ca="1" si="1037"/>
        <v>0</v>
      </c>
      <c r="AI823" s="77">
        <f t="shared" ca="1" si="1038"/>
        <v>2.0801920557545761E-2</v>
      </c>
      <c r="AJ823" s="384">
        <f t="shared" ca="1" si="1040"/>
        <v>2.0789191772828675E-2</v>
      </c>
      <c r="AU823" s="1"/>
    </row>
    <row r="824" spans="3:47" x14ac:dyDescent="0.25">
      <c r="C824" s="10">
        <f t="shared" si="1065"/>
        <v>61</v>
      </c>
      <c r="D824" s="91">
        <f t="shared" si="1048"/>
        <v>2</v>
      </c>
      <c r="E824" s="278"/>
      <c r="F824" s="76">
        <f t="shared" ref="F824:Q824" si="1086">F752</f>
        <v>1.5363448275862068</v>
      </c>
      <c r="G824" s="46">
        <f t="shared" si="1086"/>
        <v>89.651029216467379</v>
      </c>
      <c r="H824" s="46">
        <f t="shared" si="1024"/>
        <v>-34.120879216467372</v>
      </c>
      <c r="I824" s="45">
        <f t="shared" si="1025"/>
        <v>0</v>
      </c>
      <c r="J824" s="45">
        <f t="shared" si="1026"/>
        <v>0.18962389606700991</v>
      </c>
      <c r="K824" s="45">
        <f t="shared" ca="1" si="1042"/>
        <v>0.61288442998317227</v>
      </c>
      <c r="L824" s="358">
        <f t="shared" si="1027"/>
        <v>0.41613501220093307</v>
      </c>
      <c r="M824" s="76">
        <f t="shared" ca="1" si="1086"/>
        <v>0.25347808785320641</v>
      </c>
      <c r="N824" s="45">
        <f t="shared" ca="1" si="1086"/>
        <v>0.25</v>
      </c>
      <c r="O824" s="45">
        <f t="shared" ca="1" si="1086"/>
        <v>0</v>
      </c>
      <c r="P824" s="46" t="str">
        <f t="shared" ca="1" si="1086"/>
        <v/>
      </c>
      <c r="Q824" s="243" t="str">
        <f t="shared" ca="1" si="1086"/>
        <v/>
      </c>
      <c r="R824" s="45">
        <f t="shared" ca="1" si="1043"/>
        <v>0.83135089430792863</v>
      </c>
      <c r="S824" s="45">
        <f t="shared" ca="1" si="1067"/>
        <v>5.0695617570641283E-2</v>
      </c>
      <c r="T824" s="77">
        <f t="shared" ca="1" si="1028"/>
        <v>0</v>
      </c>
      <c r="U824" s="45">
        <f t="shared" ca="1" si="1044"/>
        <v>19.340414622613338</v>
      </c>
      <c r="V824" s="45">
        <f t="shared" ca="1" si="1029"/>
        <v>0.20278247028256513</v>
      </c>
      <c r="W824" s="77">
        <f t="shared" ca="1" si="1030"/>
        <v>0</v>
      </c>
      <c r="X824" s="45">
        <f t="shared" ca="1" si="1045"/>
        <v>1.0059408594478638</v>
      </c>
      <c r="Y824" s="45">
        <f t="shared" ca="1" si="1031"/>
        <v>0</v>
      </c>
      <c r="Z824" s="77">
        <f t="shared" ca="1" si="1032"/>
        <v>0</v>
      </c>
      <c r="AA824" s="45">
        <f t="shared" ca="1" si="1046"/>
        <v>39.144998269242684</v>
      </c>
      <c r="AB824" s="45">
        <f t="shared" ca="1" si="1033"/>
        <v>0</v>
      </c>
      <c r="AC824" s="45" cm="1">
        <f t="array" aca="1" ref="AC824" ca="1">pHUM*(T824+W824+Z824+AD824)</f>
        <v>0</v>
      </c>
      <c r="AD824" s="77">
        <f t="shared" ca="1" si="1034"/>
        <v>0</v>
      </c>
      <c r="AE824" s="45">
        <f t="shared" ca="1" si="1047"/>
        <v>6.3847072090583081</v>
      </c>
      <c r="AF824" s="45">
        <f t="shared" ca="1" si="1035"/>
        <v>0</v>
      </c>
      <c r="AG824" s="76">
        <f t="shared" ca="1" si="1036"/>
        <v>66.707411854670127</v>
      </c>
      <c r="AH824" s="45">
        <f t="shared" ca="1" si="1037"/>
        <v>0</v>
      </c>
      <c r="AI824" s="77">
        <f t="shared" ca="1" si="1038"/>
        <v>2.1498889947976701E-2</v>
      </c>
      <c r="AJ824" s="384">
        <f t="shared" ca="1" si="1040"/>
        <v>1.9354014029230315E-2</v>
      </c>
      <c r="AU824" s="1"/>
    </row>
    <row r="825" spans="3:47" x14ac:dyDescent="0.25">
      <c r="C825" s="10">
        <f t="shared" si="1065"/>
        <v>61</v>
      </c>
      <c r="D825" s="91">
        <f t="shared" si="1048"/>
        <v>3</v>
      </c>
      <c r="E825" s="278"/>
      <c r="F825" s="76">
        <f t="shared" ref="F825:Q825" ca="1" si="1087">F753</f>
        <v>-0.57999999999999996</v>
      </c>
      <c r="G825" s="46">
        <f t="shared" ca="1" si="1087"/>
        <v>55.530150000000006</v>
      </c>
      <c r="H825" s="46">
        <f t="shared" ca="1" si="1024"/>
        <v>0</v>
      </c>
      <c r="I825" s="45">
        <f t="shared" ca="1" si="1025"/>
        <v>8.1834107856600266E-2</v>
      </c>
      <c r="J825" s="45">
        <f t="shared" ca="1" si="1026"/>
        <v>0.29595601705647312</v>
      </c>
      <c r="K825" s="45">
        <f t="shared" ca="1" si="1042"/>
        <v>0.95656105889548582</v>
      </c>
      <c r="L825" s="358">
        <f t="shared" ca="1" si="1027"/>
        <v>0.34200470507454295</v>
      </c>
      <c r="M825" s="76">
        <f t="shared" ca="1" si="1087"/>
        <v>0.25347808785320641</v>
      </c>
      <c r="N825" s="45">
        <f t="shared" ca="1" si="1087"/>
        <v>0.25</v>
      </c>
      <c r="O825" s="45">
        <f t="shared" ca="1" si="1087"/>
        <v>0</v>
      </c>
      <c r="P825" s="46" t="str">
        <f t="shared" ca="1" si="1087"/>
        <v/>
      </c>
      <c r="Q825" s="243" t="str">
        <f t="shared" ca="1" si="1087"/>
        <v/>
      </c>
      <c r="R825" s="45">
        <f t="shared" ca="1" si="1043"/>
        <v>0.88204651187856986</v>
      </c>
      <c r="S825" s="45">
        <f t="shared" ca="1" si="1067"/>
        <v>5.0695617570641283E-2</v>
      </c>
      <c r="T825" s="77">
        <f t="shared" ca="1" si="1028"/>
        <v>5.8146070292331417E-2</v>
      </c>
      <c r="U825" s="45">
        <f t="shared" ca="1" si="1044"/>
        <v>19.543197092895902</v>
      </c>
      <c r="V825" s="45">
        <f t="shared" ca="1" si="1029"/>
        <v>0.20278247028256513</v>
      </c>
      <c r="W825" s="77">
        <f t="shared" ca="1" si="1030"/>
        <v>3.9941631190783387E-2</v>
      </c>
      <c r="X825" s="45">
        <f t="shared" ca="1" si="1045"/>
        <v>1.0059408594478638</v>
      </c>
      <c r="Y825" s="45">
        <f t="shared" ca="1" si="1031"/>
        <v>8.9018483640151466E-3</v>
      </c>
      <c r="Z825" s="77">
        <f t="shared" ca="1" si="1032"/>
        <v>4.5174411561832613E-3</v>
      </c>
      <c r="AA825" s="45">
        <f t="shared" ca="1" si="1046"/>
        <v>39.144998269242684</v>
      </c>
      <c r="AB825" s="45">
        <f t="shared" ca="1" si="1033"/>
        <v>0</v>
      </c>
      <c r="AC825" s="45" cm="1">
        <f t="array" aca="1" ref="AC825" ca="1">pHUM*(T825+W825+Z825+AD825)</f>
        <v>1.047276278119429E-2</v>
      </c>
      <c r="AD825" s="77">
        <f t="shared" ca="1" si="1034"/>
        <v>5.3386292741089345E-3</v>
      </c>
      <c r="AE825" s="45">
        <f t="shared" ca="1" si="1047"/>
        <v>6.3847072090583081</v>
      </c>
      <c r="AF825" s="45">
        <f t="shared" ca="1" si="1035"/>
        <v>0</v>
      </c>
      <c r="AG825" s="76">
        <f t="shared" ca="1" si="1036"/>
        <v>66.960889942523323</v>
      </c>
      <c r="AH825" s="45">
        <f t="shared" ca="1" si="1037"/>
        <v>8.8569160768197555E-2</v>
      </c>
      <c r="AI825" s="77">
        <f t="shared" ca="1" si="1038"/>
        <v>2.2190026469434826E-2</v>
      </c>
      <c r="AJ825" s="384">
        <f t="shared" ca="1" si="1040"/>
        <v>2.5623721082336237E-2</v>
      </c>
      <c r="AU825" s="1"/>
    </row>
    <row r="826" spans="3:47" x14ac:dyDescent="0.25">
      <c r="C826" s="10">
        <f t="shared" si="1065"/>
        <v>61</v>
      </c>
      <c r="D826" s="91">
        <f t="shared" si="1048"/>
        <v>4</v>
      </c>
      <c r="E826" s="278"/>
      <c r="F826" s="76">
        <f t="shared" ref="F826:Q826" ca="1" si="1088">F754</f>
        <v>7.18</v>
      </c>
      <c r="G826" s="46">
        <f t="shared" ca="1" si="1088"/>
        <v>29.828585295978598</v>
      </c>
      <c r="H826" s="46">
        <f t="shared" ca="1" si="1024"/>
        <v>25.701564704021408</v>
      </c>
      <c r="I826" s="45">
        <f t="shared" ca="1" si="1025"/>
        <v>0.34975431431902781</v>
      </c>
      <c r="J826" s="45">
        <f t="shared" ca="1" si="1026"/>
        <v>0.29147915612483932</v>
      </c>
      <c r="K826" s="45">
        <f t="shared" ca="1" si="1042"/>
        <v>0.94209137223094908</v>
      </c>
      <c r="L826" s="358">
        <f t="shared" ca="1" si="1027"/>
        <v>0.62308014794471589</v>
      </c>
      <c r="M826" s="76">
        <f t="shared" ca="1" si="1088"/>
        <v>0.25347808785320641</v>
      </c>
      <c r="N826" s="45">
        <f t="shared" ca="1" si="1088"/>
        <v>0.25</v>
      </c>
      <c r="O826" s="45">
        <f t="shared" ca="1" si="1088"/>
        <v>0</v>
      </c>
      <c r="P826" s="46" t="str">
        <f t="shared" ca="1" si="1088"/>
        <v/>
      </c>
      <c r="Q826" s="243" t="str">
        <f t="shared" ca="1" si="1088"/>
        <v/>
      </c>
      <c r="R826" s="45">
        <f t="shared" ca="1" si="1043"/>
        <v>0.87459605915687966</v>
      </c>
      <c r="S826" s="45">
        <f t="shared" ca="1" si="1067"/>
        <v>5.0695617570641283E-2</v>
      </c>
      <c r="T826" s="77">
        <f t="shared" ca="1" si="1028"/>
        <v>0.22112372029543051</v>
      </c>
      <c r="U826" s="45">
        <f t="shared" ca="1" si="1044"/>
        <v>19.706037931987684</v>
      </c>
      <c r="V826" s="45">
        <f t="shared" ca="1" si="1029"/>
        <v>0.20278247028256513</v>
      </c>
      <c r="W826" s="77">
        <f t="shared" ca="1" si="1030"/>
        <v>0.17155567239071684</v>
      </c>
      <c r="X826" s="45">
        <f t="shared" ca="1" si="1045"/>
        <v>1.0103252666556957</v>
      </c>
      <c r="Y826" s="45">
        <f t="shared" ca="1" si="1031"/>
        <v>3.5852203984427268E-2</v>
      </c>
      <c r="Z826" s="77">
        <f t="shared" ca="1" si="1032"/>
        <v>1.9249370426876765E-2</v>
      </c>
      <c r="AA826" s="45">
        <f t="shared" ca="1" si="1046"/>
        <v>39.150132402749769</v>
      </c>
      <c r="AB826" s="45">
        <f t="shared" ca="1" si="1033"/>
        <v>0</v>
      </c>
      <c r="AC826" s="45" cm="1">
        <f t="array" aca="1" ref="AC826" ca="1">pHUM*(T826+W826+Z826+AD826)</f>
        <v>4.2179063511090908E-2</v>
      </c>
      <c r="AD826" s="77">
        <f t="shared" ca="1" si="1034"/>
        <v>2.281489587044553E-2</v>
      </c>
      <c r="AE826" s="45">
        <f t="shared" ca="1" si="1047"/>
        <v>6.3847072090583081</v>
      </c>
      <c r="AF826" s="45">
        <f t="shared" ca="1" si="1035"/>
        <v>0</v>
      </c>
      <c r="AG826" s="76">
        <f t="shared" ca="1" si="1036"/>
        <v>67.125798869608332</v>
      </c>
      <c r="AH826" s="45">
        <f t="shared" ca="1" si="1037"/>
        <v>0.35671239148795153</v>
      </c>
      <c r="AI826" s="77">
        <f t="shared" ca="1" si="1038"/>
        <v>2.2098699105307609E-2</v>
      </c>
      <c r="AJ826" s="384">
        <f t="shared" ca="1" si="1040"/>
        <v>4.5786240842620174E-2</v>
      </c>
      <c r="AU826" s="1"/>
    </row>
    <row r="827" spans="3:47" x14ac:dyDescent="0.25">
      <c r="C827" s="10">
        <f t="shared" si="1065"/>
        <v>61</v>
      </c>
      <c r="D827" s="91">
        <f t="shared" si="1048"/>
        <v>5</v>
      </c>
      <c r="E827" s="278"/>
      <c r="F827" s="76">
        <f t="shared" ref="F827:Q827" ca="1" si="1089">F755</f>
        <v>14.05</v>
      </c>
      <c r="G827" s="46">
        <f t="shared" ca="1" si="1089"/>
        <v>27.012600000000003</v>
      </c>
      <c r="H827" s="46">
        <f t="shared" ca="1" si="1024"/>
        <v>28.517550000000004</v>
      </c>
      <c r="I827" s="45">
        <f t="shared" ca="1" si="1025"/>
        <v>0.75173784437395219</v>
      </c>
      <c r="J827" s="45">
        <f t="shared" ca="1" si="1026"/>
        <v>0.27952512346894071</v>
      </c>
      <c r="K827" s="45">
        <f t="shared" ca="1" si="1042"/>
        <v>0.90345467800480783</v>
      </c>
      <c r="L827" s="358">
        <f t="shared" ca="1" si="1027"/>
        <v>0.82085140481213359</v>
      </c>
      <c r="M827" s="76">
        <f t="shared" ca="1" si="1089"/>
        <v>0.25347808785320641</v>
      </c>
      <c r="N827" s="45">
        <f t="shared" ca="1" si="1089"/>
        <v>0.25</v>
      </c>
      <c r="O827" s="45">
        <f t="shared" ca="1" si="1089"/>
        <v>0</v>
      </c>
      <c r="P827" s="46" t="str">
        <f t="shared" ca="1" si="1089"/>
        <v/>
      </c>
      <c r="Q827" s="243" t="str">
        <f t="shared" ca="1" si="1089"/>
        <v/>
      </c>
      <c r="R827" s="45">
        <f t="shared" ca="1" si="1043"/>
        <v>0.70416795643209051</v>
      </c>
      <c r="S827" s="45">
        <f t="shared" ca="1" si="1067"/>
        <v>5.0695617570641283E-2</v>
      </c>
      <c r="T827" s="77">
        <f t="shared" ca="1" si="1028"/>
        <v>0.32779946324687731</v>
      </c>
      <c r="U827" s="45">
        <f t="shared" ca="1" si="1044"/>
        <v>19.737264729879531</v>
      </c>
      <c r="V827" s="45">
        <f t="shared" ca="1" si="1029"/>
        <v>0.20278247028256513</v>
      </c>
      <c r="W827" s="77">
        <f t="shared" ca="1" si="1030"/>
        <v>0.36746741597559757</v>
      </c>
      <c r="X827" s="45">
        <f t="shared" ca="1" si="1045"/>
        <v>1.0269281002132462</v>
      </c>
      <c r="Y827" s="45">
        <f t="shared" ca="1" si="1031"/>
        <v>6.4811556907639289E-2</v>
      </c>
      <c r="Z827" s="77">
        <f t="shared" ca="1" si="1032"/>
        <v>4.1593167576427295E-2</v>
      </c>
      <c r="AA827" s="45">
        <f t="shared" ca="1" si="1046"/>
        <v>39.169496570390415</v>
      </c>
      <c r="AB827" s="45">
        <f t="shared" ca="1" si="1033"/>
        <v>0</v>
      </c>
      <c r="AC827" s="45" cm="1">
        <f t="array" aca="1" ref="AC827" ca="1">pHUM*(T827+W827+Z827+AD827)</f>
        <v>7.6248890479575643E-2</v>
      </c>
      <c r="AD827" s="77">
        <f t="shared" ca="1" si="1034"/>
        <v>4.9044591216689637E-2</v>
      </c>
      <c r="AE827" s="45">
        <f t="shared" ca="1" si="1047"/>
        <v>6.3847072090583081</v>
      </c>
      <c r="AF827" s="45">
        <f t="shared" ca="1" si="1035"/>
        <v>0</v>
      </c>
      <c r="AG827" s="76">
        <f t="shared" ca="1" si="1036"/>
        <v>67.022564565973596</v>
      </c>
      <c r="AH827" s="45">
        <f t="shared" ca="1" si="1037"/>
        <v>0.64484419062837695</v>
      </c>
      <c r="AI827" s="77">
        <f t="shared" ca="1" si="1038"/>
        <v>1.9822629637583942E-2</v>
      </c>
      <c r="AJ827" s="384">
        <f t="shared" ca="1" si="1040"/>
        <v>5.1887294048101884E-2</v>
      </c>
      <c r="AU827" s="1"/>
    </row>
    <row r="828" spans="3:47" x14ac:dyDescent="0.25">
      <c r="C828" s="10">
        <f t="shared" si="1065"/>
        <v>61</v>
      </c>
      <c r="D828" s="91">
        <f t="shared" si="1048"/>
        <v>6</v>
      </c>
      <c r="E828" s="278"/>
      <c r="F828" s="76">
        <f t="shared" ref="F828:Q828" ca="1" si="1090">F756</f>
        <v>17.96</v>
      </c>
      <c r="G828" s="46">
        <f t="shared" ca="1" si="1090"/>
        <v>27.012600000000003</v>
      </c>
      <c r="H828" s="46">
        <f t="shared" ca="1" si="1024"/>
        <v>28.517550000000004</v>
      </c>
      <c r="I828" s="45">
        <f t="shared" ca="1" si="1025"/>
        <v>1.0549705763362276</v>
      </c>
      <c r="J828" s="45">
        <f t="shared" ca="1" si="1026"/>
        <v>0.27952512346894071</v>
      </c>
      <c r="K828" s="45">
        <f t="shared" ca="1" si="1042"/>
        <v>0.90345467800480783</v>
      </c>
      <c r="L828" s="358">
        <f t="shared" ca="1" si="1027"/>
        <v>0.89023829243059249</v>
      </c>
      <c r="M828" s="76">
        <f t="shared" ca="1" si="1090"/>
        <v>0.25347808785320641</v>
      </c>
      <c r="N828" s="45">
        <f t="shared" ca="1" si="1090"/>
        <v>0.25</v>
      </c>
      <c r="O828" s="45">
        <f t="shared" ca="1" si="1090"/>
        <v>0</v>
      </c>
      <c r="P828" s="46" t="str">
        <f t="shared" ca="1" si="1090"/>
        <v/>
      </c>
      <c r="Q828" s="243" t="str">
        <f t="shared" ca="1" si="1090"/>
        <v/>
      </c>
      <c r="R828" s="45">
        <f t="shared" ca="1" si="1043"/>
        <v>0.42706411075585454</v>
      </c>
      <c r="S828" s="45">
        <f t="shared" ca="1" si="1067"/>
        <v>5.0695617570641283E-2</v>
      </c>
      <c r="T828" s="77">
        <f t="shared" ca="1" si="1028"/>
        <v>0.24977319108169391</v>
      </c>
      <c r="U828" s="45">
        <f t="shared" ca="1" si="1044"/>
        <v>19.572579784186498</v>
      </c>
      <c r="V828" s="45">
        <f t="shared" ca="1" si="1029"/>
        <v>0.20278247028256513</v>
      </c>
      <c r="W828" s="77">
        <f t="shared" ca="1" si="1030"/>
        <v>0.50946448714429715</v>
      </c>
      <c r="X828" s="45">
        <f t="shared" ca="1" si="1045"/>
        <v>1.0501464895444581</v>
      </c>
      <c r="Y828" s="45">
        <f t="shared" ca="1" si="1031"/>
        <v>7.3172966168697798E-2</v>
      </c>
      <c r="Z828" s="77">
        <f t="shared" ca="1" si="1032"/>
        <v>5.9198980191656876E-2</v>
      </c>
      <c r="AA828" s="45">
        <f t="shared" ca="1" si="1046"/>
        <v>39.196700869653299</v>
      </c>
      <c r="AB828" s="45">
        <f t="shared" ca="1" si="1033"/>
        <v>0</v>
      </c>
      <c r="AC828" s="45" cm="1">
        <f t="array" aca="1" ref="AC828" ca="1">pHUM*(T828+W828+Z828+AD828)</f>
        <v>8.6085842551409178E-2</v>
      </c>
      <c r="AD828" s="77">
        <f t="shared" ca="1" si="1034"/>
        <v>6.8858389459211314E-2</v>
      </c>
      <c r="AE828" s="45">
        <f t="shared" ca="1" si="1047"/>
        <v>6.3847072090583081</v>
      </c>
      <c r="AF828" s="45">
        <f t="shared" ca="1" si="1035"/>
        <v>0</v>
      </c>
      <c r="AG828" s="76">
        <f t="shared" ca="1" si="1036"/>
        <v>66.631198463198416</v>
      </c>
      <c r="AH828" s="45">
        <f t="shared" ca="1" si="1037"/>
        <v>0.72803623915675242</v>
      </c>
      <c r="AI828" s="77">
        <f t="shared" ca="1" si="1038"/>
        <v>1.6072091919693911E-2</v>
      </c>
      <c r="AJ828" s="384">
        <f t="shared" ca="1" si="1040"/>
        <v>4.5626426301740297E-2</v>
      </c>
      <c r="AU828" s="1"/>
    </row>
    <row r="829" spans="3:47" x14ac:dyDescent="0.25">
      <c r="C829" s="10">
        <f t="shared" si="1065"/>
        <v>61</v>
      </c>
      <c r="D829" s="91">
        <f t="shared" si="1048"/>
        <v>7</v>
      </c>
      <c r="E829" s="278"/>
      <c r="F829" s="76">
        <f t="shared" ref="F829:Q829" ca="1" si="1091">F757</f>
        <v>21.89</v>
      </c>
      <c r="G829" s="46">
        <f t="shared" ca="1" si="1091"/>
        <v>27.012600000000003</v>
      </c>
      <c r="H829" s="46">
        <f t="shared" ca="1" si="1024"/>
        <v>28.517550000000004</v>
      </c>
      <c r="I829" s="45">
        <f t="shared" ca="1" si="1025"/>
        <v>1.3816368002949853</v>
      </c>
      <c r="J829" s="45">
        <f t="shared" ca="1" si="1026"/>
        <v>0.27952512346894071</v>
      </c>
      <c r="K829" s="45">
        <f t="shared" ca="1" si="1042"/>
        <v>0.90345467800480783</v>
      </c>
      <c r="L829" s="358">
        <f t="shared" ca="1" si="1027"/>
        <v>0.9336160920992449</v>
      </c>
      <c r="M829" s="76">
        <f t="shared" ca="1" si="1091"/>
        <v>0.25347808785320641</v>
      </c>
      <c r="N829" s="45">
        <f t="shared" ca="1" si="1091"/>
        <v>0.25</v>
      </c>
      <c r="O829" s="45">
        <f t="shared" ca="1" si="1091"/>
        <v>0</v>
      </c>
      <c r="P829" s="46" t="str">
        <f t="shared" ca="1" si="1091"/>
        <v/>
      </c>
      <c r="Q829" s="243" t="str">
        <f t="shared" ca="1" si="1091"/>
        <v/>
      </c>
      <c r="R829" s="45">
        <f t="shared" ca="1" si="1043"/>
        <v>0.22798653724480192</v>
      </c>
      <c r="S829" s="45">
        <f t="shared" ca="1" si="1067"/>
        <v>5.0695617570641283E-2</v>
      </c>
      <c r="T829" s="77">
        <f t="shared" ca="1" si="1028"/>
        <v>0.15589601521205412</v>
      </c>
      <c r="U829" s="45">
        <f t="shared" ca="1" si="1044"/>
        <v>19.265897767324766</v>
      </c>
      <c r="V829" s="45">
        <f t="shared" ca="1" si="1029"/>
        <v>0.20278247028256513</v>
      </c>
      <c r="W829" s="77">
        <f t="shared" ca="1" si="1030"/>
        <v>0.65410019119681395</v>
      </c>
      <c r="X829" s="45">
        <f t="shared" ca="1" si="1045"/>
        <v>1.064120475521499</v>
      </c>
      <c r="Y829" s="45">
        <f t="shared" ca="1" si="1031"/>
        <v>8.0657944814261598E-2</v>
      </c>
      <c r="Z829" s="77">
        <f t="shared" ca="1" si="1032"/>
        <v>7.786653427225658E-2</v>
      </c>
      <c r="AA829" s="45">
        <f t="shared" ca="1" si="1046"/>
        <v>39.213928322745502</v>
      </c>
      <c r="AB829" s="45">
        <f t="shared" ca="1" si="1033"/>
        <v>0</v>
      </c>
      <c r="AC829" s="45" cm="1">
        <f t="array" aca="1" ref="AC829" ca="1">pHUM*(T829+W829+Z829+AD829)</f>
        <v>9.4891699781484234E-2</v>
      </c>
      <c r="AD829" s="77">
        <f t="shared" ca="1" si="1034"/>
        <v>9.0195123484489659E-2</v>
      </c>
      <c r="AE829" s="45">
        <f t="shared" ca="1" si="1047"/>
        <v>6.3847072090583081</v>
      </c>
      <c r="AF829" s="45">
        <f t="shared" ca="1" si="1035"/>
        <v>0</v>
      </c>
      <c r="AG829" s="76">
        <f t="shared" ca="1" si="1036"/>
        <v>66.156640311894876</v>
      </c>
      <c r="AH829" s="45">
        <f t="shared" ca="1" si="1037"/>
        <v>0.80250821956986851</v>
      </c>
      <c r="AI829" s="77">
        <f t="shared" ca="1" si="1038"/>
        <v>1.3309246619312697E-2</v>
      </c>
      <c r="AJ829" s="384">
        <f t="shared" ca="1" si="1040"/>
        <v>3.9624339498348649E-2</v>
      </c>
      <c r="AU829" s="1"/>
    </row>
    <row r="830" spans="3:47" x14ac:dyDescent="0.25">
      <c r="C830" s="10">
        <f t="shared" si="1065"/>
        <v>61</v>
      </c>
      <c r="D830" s="91">
        <f t="shared" si="1048"/>
        <v>8</v>
      </c>
      <c r="E830" s="278"/>
      <c r="F830" s="76">
        <f t="shared" ref="F830:Q830" ca="1" si="1092">F758</f>
        <v>20.350000000000001</v>
      </c>
      <c r="G830" s="46">
        <f t="shared" ca="1" si="1092"/>
        <v>27.012600000000003</v>
      </c>
      <c r="H830" s="46">
        <f t="shared" ca="1" si="1024"/>
        <v>28.517550000000004</v>
      </c>
      <c r="I830" s="45">
        <f t="shared" ca="1" si="1025"/>
        <v>1.2518642054104028</v>
      </c>
      <c r="J830" s="45">
        <f t="shared" ca="1" si="1026"/>
        <v>0.27952512346894071</v>
      </c>
      <c r="K830" s="45">
        <f t="shared" ca="1" si="1042"/>
        <v>0.90345467800480783</v>
      </c>
      <c r="L830" s="358">
        <f t="shared" ca="1" si="1027"/>
        <v>0.91927514332007565</v>
      </c>
      <c r="M830" s="76">
        <f t="shared" ca="1" si="1092"/>
        <v>0.25347808785320641</v>
      </c>
      <c r="N830" s="45">
        <f t="shared" ca="1" si="1092"/>
        <v>0.25</v>
      </c>
      <c r="O830" s="45">
        <f t="shared" ca="1" si="1092"/>
        <v>0</v>
      </c>
      <c r="P830" s="46" t="str">
        <f t="shared" ca="1" si="1092"/>
        <v/>
      </c>
      <c r="Q830" s="243" t="str">
        <f t="shared" ca="1" si="1092"/>
        <v/>
      </c>
      <c r="R830" s="45">
        <f t="shared" ca="1" si="1043"/>
        <v>0.12278613960338911</v>
      </c>
      <c r="S830" s="45">
        <f t="shared" ca="1" si="1067"/>
        <v>5.0695617570641283E-2</v>
      </c>
      <c r="T830" s="77">
        <f t="shared" ca="1" si="1028"/>
        <v>7.9526332198068456E-2</v>
      </c>
      <c r="U830" s="45">
        <f t="shared" ca="1" si="1044"/>
        <v>18.814580046410516</v>
      </c>
      <c r="V830" s="45">
        <f t="shared" ca="1" si="1029"/>
        <v>0.20278247028256513</v>
      </c>
      <c r="W830" s="77">
        <f t="shared" ca="1" si="1030"/>
        <v>0.5797136309334342</v>
      </c>
      <c r="X830" s="45">
        <f t="shared" ca="1" si="1045"/>
        <v>1.0669118860635041</v>
      </c>
      <c r="Y830" s="45">
        <f t="shared" ca="1" si="1031"/>
        <v>6.6961074669173115E-2</v>
      </c>
      <c r="Z830" s="77">
        <f t="shared" ca="1" si="1032"/>
        <v>7.0987700689205652E-2</v>
      </c>
      <c r="AA830" s="45">
        <f t="shared" ca="1" si="1046"/>
        <v>39.218624899042496</v>
      </c>
      <c r="AB830" s="45">
        <f t="shared" ca="1" si="1033"/>
        <v>0</v>
      </c>
      <c r="AC830" s="45" cm="1">
        <f t="array" aca="1" ref="AC830" ca="1">pHUM*(T830+W830+Z830+AD830)</f>
        <v>7.8777734904909552E-2</v>
      </c>
      <c r="AD830" s="77">
        <f t="shared" ca="1" si="1034"/>
        <v>8.1742016586840119E-2</v>
      </c>
      <c r="AE830" s="45">
        <f t="shared" ca="1" si="1047"/>
        <v>6.3847072090583081</v>
      </c>
      <c r="AF830" s="45">
        <f t="shared" ca="1" si="1035"/>
        <v>0</v>
      </c>
      <c r="AG830" s="76">
        <f t="shared" ca="1" si="1036"/>
        <v>65.607610180178213</v>
      </c>
      <c r="AH830" s="45">
        <f t="shared" ca="1" si="1037"/>
        <v>0.66623087083346588</v>
      </c>
      <c r="AI830" s="77">
        <f t="shared" ca="1" si="1038"/>
        <v>1.1764550161752095E-2</v>
      </c>
      <c r="AJ830" s="384">
        <f t="shared" ca="1" si="1040"/>
        <v>3.4487616646304842E-2</v>
      </c>
      <c r="AU830" s="1"/>
    </row>
    <row r="831" spans="3:47" x14ac:dyDescent="0.25">
      <c r="C831" s="10">
        <f t="shared" si="1065"/>
        <v>61</v>
      </c>
      <c r="D831" s="91">
        <f t="shared" si="1048"/>
        <v>9</v>
      </c>
      <c r="E831" s="278"/>
      <c r="F831" s="76">
        <f t="shared" ref="F831:Q831" ca="1" si="1093">F759</f>
        <v>17.38</v>
      </c>
      <c r="G831" s="46">
        <f t="shared" ca="1" si="1093"/>
        <v>27.012600000000003</v>
      </c>
      <c r="H831" s="46">
        <f t="shared" ca="1" si="1024"/>
        <v>28.517550000000004</v>
      </c>
      <c r="I831" s="45">
        <f t="shared" ca="1" si="1025"/>
        <v>1.0082864185928893</v>
      </c>
      <c r="J831" s="45">
        <f t="shared" ca="1" si="1026"/>
        <v>0.27952512346894071</v>
      </c>
      <c r="K831" s="45">
        <f t="shared" ca="1" si="1042"/>
        <v>0.90345467800480783</v>
      </c>
      <c r="L831" s="358">
        <f t="shared" ca="1" si="1027"/>
        <v>0.88177917719725518</v>
      </c>
      <c r="M831" s="76">
        <f t="shared" ca="1" si="1093"/>
        <v>0.25347808785320641</v>
      </c>
      <c r="N831" s="45">
        <f t="shared" ca="1" si="1093"/>
        <v>0.25</v>
      </c>
      <c r="O831" s="45">
        <f t="shared" ca="1" si="1093"/>
        <v>0</v>
      </c>
      <c r="P831" s="46" t="str">
        <f t="shared" ca="1" si="1093"/>
        <v/>
      </c>
      <c r="Q831" s="243" t="str">
        <f t="shared" ca="1" si="1093"/>
        <v/>
      </c>
      <c r="R831" s="45">
        <f t="shared" ca="1" si="1043"/>
        <v>9.3955424975961932E-2</v>
      </c>
      <c r="S831" s="45">
        <f t="shared" ca="1" si="1067"/>
        <v>5.0695617570641283E-2</v>
      </c>
      <c r="T831" s="77">
        <f t="shared" ca="1" si="1028"/>
        <v>5.340355944267039E-2</v>
      </c>
      <c r="U831" s="45">
        <f t="shared" ca="1" si="1044"/>
        <v>18.437648885759646</v>
      </c>
      <c r="V831" s="45">
        <f t="shared" ca="1" si="1029"/>
        <v>0.20278247028256513</v>
      </c>
      <c r="W831" s="77">
        <f t="shared" ca="1" si="1030"/>
        <v>0.45895203398547779</v>
      </c>
      <c r="X831" s="45">
        <f t="shared" ca="1" si="1045"/>
        <v>1.0628852600434715</v>
      </c>
      <c r="Y831" s="45">
        <f t="shared" ca="1" si="1031"/>
        <v>5.241135231088323E-2</v>
      </c>
      <c r="Z831" s="77">
        <f t="shared" ca="1" si="1032"/>
        <v>5.7338532841279308E-2</v>
      </c>
      <c r="AA831" s="45">
        <f t="shared" ca="1" si="1046"/>
        <v>39.21566061736057</v>
      </c>
      <c r="AB831" s="45">
        <f t="shared" ca="1" si="1033"/>
        <v>0</v>
      </c>
      <c r="AC831" s="45" cm="1">
        <f t="array" aca="1" ref="AC831" ca="1">pHUM*(T831+W831+Z831+AD831)</f>
        <v>6.1660414483392038E-2</v>
      </c>
      <c r="AD831" s="77">
        <f t="shared" ca="1" si="1034"/>
        <v>6.5845688404230884E-2</v>
      </c>
      <c r="AE831" s="45">
        <f t="shared" ca="1" si="1047"/>
        <v>6.3847072090583081</v>
      </c>
      <c r="AF831" s="45">
        <f t="shared" ca="1" si="1035"/>
        <v>0</v>
      </c>
      <c r="AG831" s="76">
        <f t="shared" ca="1" si="1036"/>
        <v>65.194857397197964</v>
      </c>
      <c r="AH831" s="45">
        <f t="shared" ca="1" si="1037"/>
        <v>0.52146804787938317</v>
      </c>
      <c r="AI831" s="77">
        <f t="shared" ca="1" si="1038"/>
        <v>1.1274508416785808E-2</v>
      </c>
      <c r="AJ831" s="384">
        <f t="shared" ca="1" si="1040"/>
        <v>3.1703041880860594E-2</v>
      </c>
      <c r="AU831" s="1"/>
    </row>
    <row r="832" spans="3:47" x14ac:dyDescent="0.25">
      <c r="C832" s="10">
        <f t="shared" si="1065"/>
        <v>61</v>
      </c>
      <c r="D832" s="91">
        <f t="shared" si="1048"/>
        <v>10</v>
      </c>
      <c r="E832" s="278"/>
      <c r="F832" s="76">
        <f t="shared" ref="F832:Q832" ca="1" si="1094">F760</f>
        <v>9.61</v>
      </c>
      <c r="G832" s="46">
        <f t="shared" ca="1" si="1094"/>
        <v>27.012600000000003</v>
      </c>
      <c r="H832" s="46">
        <f t="shared" ca="1" si="1024"/>
        <v>28.517550000000004</v>
      </c>
      <c r="I832" s="45">
        <f t="shared" ca="1" si="1025"/>
        <v>0.45243046736638293</v>
      </c>
      <c r="J832" s="45">
        <f t="shared" ca="1" si="1026"/>
        <v>0.27952512346894071</v>
      </c>
      <c r="K832" s="45">
        <f t="shared" ca="1" si="1042"/>
        <v>0.90345467800480783</v>
      </c>
      <c r="L832" s="358">
        <f t="shared" ca="1" si="1027"/>
        <v>0.70354868513849667</v>
      </c>
      <c r="M832" s="76">
        <f t="shared" ca="1" si="1094"/>
        <v>0.25347808785320641</v>
      </c>
      <c r="N832" s="45">
        <f t="shared" ca="1" si="1094"/>
        <v>0.25</v>
      </c>
      <c r="O832" s="45">
        <f t="shared" ca="1" si="1094"/>
        <v>0</v>
      </c>
      <c r="P832" s="46" t="str">
        <f t="shared" ca="1" si="1094"/>
        <v/>
      </c>
      <c r="Q832" s="243" t="str">
        <f t="shared" ca="1" si="1094"/>
        <v/>
      </c>
      <c r="R832" s="45">
        <f t="shared" ca="1" si="1043"/>
        <v>9.1247483103932825E-2</v>
      </c>
      <c r="S832" s="45">
        <f t="shared" ca="1" si="1067"/>
        <v>5.0695617570641283E-2</v>
      </c>
      <c r="T832" s="77">
        <f t="shared" ca="1" si="1028"/>
        <v>2.8660956799418685E-2</v>
      </c>
      <c r="U832" s="45">
        <f t="shared" ca="1" si="1044"/>
        <v>18.181479322056731</v>
      </c>
      <c r="V832" s="45">
        <f t="shared" ca="1" si="1029"/>
        <v>0.20278247028256513</v>
      </c>
      <c r="W832" s="77">
        <f t="shared" ca="1" si="1030"/>
        <v>0.20448774354810914</v>
      </c>
      <c r="X832" s="45">
        <f t="shared" ca="1" si="1045"/>
        <v>1.0579580795130754</v>
      </c>
      <c r="Y832" s="45">
        <f t="shared" ca="1" si="1031"/>
        <v>2.3808853121378606E-2</v>
      </c>
      <c r="Z832" s="77">
        <f t="shared" ca="1" si="1032"/>
        <v>2.600104336058006E-2</v>
      </c>
      <c r="AA832" s="45">
        <f t="shared" ca="1" si="1046"/>
        <v>39.21147534343973</v>
      </c>
      <c r="AB832" s="45">
        <f t="shared" ca="1" si="1033"/>
        <v>0</v>
      </c>
      <c r="AC832" s="45" cm="1">
        <f t="array" aca="1" ref="AC832" ca="1">pHUM*(T832+W832+Z832+AD832)</f>
        <v>2.8010415436916011E-2</v>
      </c>
      <c r="AD832" s="77">
        <f t="shared" ca="1" si="1034"/>
        <v>2.9556298650796432E-2</v>
      </c>
      <c r="AE832" s="45">
        <f t="shared" ca="1" si="1047"/>
        <v>6.3847072090583081</v>
      </c>
      <c r="AF832" s="45">
        <f t="shared" ca="1" si="1035"/>
        <v>0</v>
      </c>
      <c r="AG832" s="76">
        <f t="shared" ca="1" si="1036"/>
        <v>64.926867437171779</v>
      </c>
      <c r="AH832" s="45">
        <f t="shared" ca="1" si="1037"/>
        <v>0.23688677380060977</v>
      </c>
      <c r="AI832" s="77">
        <f t="shared" ca="1" si="1038"/>
        <v>1.1173429593900155E-2</v>
      </c>
      <c r="AJ832" s="384">
        <f t="shared" ca="1" si="1040"/>
        <v>2.5068413585463967E-2</v>
      </c>
      <c r="AU832" s="1"/>
    </row>
    <row r="833" spans="3:47" x14ac:dyDescent="0.25">
      <c r="C833" s="10">
        <f t="shared" si="1065"/>
        <v>61</v>
      </c>
      <c r="D833" s="91">
        <f t="shared" si="1048"/>
        <v>11</v>
      </c>
      <c r="E833" s="278"/>
      <c r="F833" s="76">
        <f t="shared" ref="F833:Q833" ca="1" si="1095">F761</f>
        <v>5.71</v>
      </c>
      <c r="G833" s="46">
        <f t="shared" ca="1" si="1095"/>
        <v>27.012600000000003</v>
      </c>
      <c r="H833" s="46">
        <f t="shared" ca="1" si="1024"/>
        <v>28.517550000000004</v>
      </c>
      <c r="I833" s="45">
        <f t="shared" ca="1" si="1025"/>
        <v>0.24617612464957264</v>
      </c>
      <c r="J833" s="45">
        <f t="shared" ca="1" si="1026"/>
        <v>0.27952512346894071</v>
      </c>
      <c r="K833" s="45">
        <f t="shared" ca="1" si="1042"/>
        <v>0.90345467800480783</v>
      </c>
      <c r="L833" s="358">
        <f t="shared" ca="1" si="1027"/>
        <v>0.57043958344737544</v>
      </c>
      <c r="M833" s="76">
        <f t="shared" ca="1" si="1095"/>
        <v>0.25347808785320641</v>
      </c>
      <c r="N833" s="45">
        <f t="shared" ca="1" si="1095"/>
        <v>0.25</v>
      </c>
      <c r="O833" s="45">
        <f t="shared" ca="1" si="1095"/>
        <v>0</v>
      </c>
      <c r="P833" s="46" t="str">
        <f t="shared" ca="1" si="1095"/>
        <v/>
      </c>
      <c r="Q833" s="243" t="str">
        <f t="shared" ca="1" si="1095"/>
        <v/>
      </c>
      <c r="R833" s="45">
        <f t="shared" ca="1" si="1043"/>
        <v>0.11328214387515542</v>
      </c>
      <c r="S833" s="45">
        <f t="shared" ca="1" si="1067"/>
        <v>5.0695617570641283E-2</v>
      </c>
      <c r="T833" s="77">
        <f t="shared" ca="1" si="1028"/>
        <v>2.1010693094592452E-2</v>
      </c>
      <c r="U833" s="45">
        <f t="shared" ca="1" si="1044"/>
        <v>18.179774048791185</v>
      </c>
      <c r="V833" s="45">
        <f t="shared" ca="1" si="1029"/>
        <v>0.20278247028256513</v>
      </c>
      <c r="W833" s="77">
        <f t="shared" ca="1" si="1030"/>
        <v>0.11154206856120814</v>
      </c>
      <c r="X833" s="45">
        <f t="shared" ca="1" si="1045"/>
        <v>1.0557658892738742</v>
      </c>
      <c r="Y833" s="45">
        <f t="shared" ca="1" si="1031"/>
        <v>1.3428624991028759E-2</v>
      </c>
      <c r="Z833" s="77">
        <f t="shared" ca="1" si="1032"/>
        <v>1.4198401670214108E-2</v>
      </c>
      <c r="AA833" s="45">
        <f t="shared" ca="1" si="1046"/>
        <v>39.209929460225851</v>
      </c>
      <c r="AB833" s="45">
        <f t="shared" ca="1" si="1033"/>
        <v>0</v>
      </c>
      <c r="AC833" s="45" cm="1">
        <f t="array" aca="1" ref="AC833" ca="1">pHUM*(T833+W833+Z833+AD833)</f>
        <v>1.5798382342386775E-2</v>
      </c>
      <c r="AD833" s="77">
        <f t="shared" ca="1" si="1034"/>
        <v>1.6084280939908199E-2</v>
      </c>
      <c r="AE833" s="45">
        <f t="shared" ca="1" si="1047"/>
        <v>6.3847072090583081</v>
      </c>
      <c r="AF833" s="45">
        <f t="shared" ca="1" si="1035"/>
        <v>0</v>
      </c>
      <c r="AG833" s="76">
        <f t="shared" ca="1" si="1036"/>
        <v>64.94345875122437</v>
      </c>
      <c r="AH833" s="45">
        <f t="shared" ca="1" si="1037"/>
        <v>0.13360843693250737</v>
      </c>
      <c r="AI833" s="77">
        <f t="shared" ca="1" si="1038"/>
        <v>1.1481002009444708E-2</v>
      </c>
      <c r="AJ833" s="384">
        <f t="shared" ca="1" si="1040"/>
        <v>2.0885138504964651E-2</v>
      </c>
      <c r="AU833" s="1"/>
    </row>
    <row r="834" spans="3:47" x14ac:dyDescent="0.25">
      <c r="C834" s="10">
        <f t="shared" si="1065"/>
        <v>61</v>
      </c>
      <c r="D834" s="91">
        <f t="shared" si="1048"/>
        <v>12</v>
      </c>
      <c r="E834" s="278"/>
      <c r="F834" s="76">
        <f t="shared" ref="F834:Q834" ca="1" si="1096">F762</f>
        <v>-0.46</v>
      </c>
      <c r="G834" s="46">
        <f t="shared" ca="1" si="1096"/>
        <v>27.012600000000003</v>
      </c>
      <c r="H834" s="46">
        <f t="shared" ca="1" si="1024"/>
        <v>28.517550000000004</v>
      </c>
      <c r="I834" s="45">
        <f t="shared" ca="1" si="1025"/>
        <v>5.3686278337302371E-2</v>
      </c>
      <c r="J834" s="45">
        <f t="shared" ca="1" si="1026"/>
        <v>0.27952512346894071</v>
      </c>
      <c r="K834" s="45">
        <f t="shared" ca="1" si="1042"/>
        <v>0.90345467800480783</v>
      </c>
      <c r="L834" s="358">
        <f t="shared" ca="1" si="1027"/>
        <v>0.34604490353891793</v>
      </c>
      <c r="M834" s="76">
        <f t="shared" ca="1" si="1096"/>
        <v>0.25347808785320641</v>
      </c>
      <c r="N834" s="45">
        <f t="shared" ca="1" si="1096"/>
        <v>0.25</v>
      </c>
      <c r="O834" s="45">
        <f t="shared" ca="1" si="1096"/>
        <v>0</v>
      </c>
      <c r="P834" s="46" t="str">
        <f t="shared" ca="1" si="1096"/>
        <v/>
      </c>
      <c r="Q834" s="243" t="str">
        <f t="shared" ca="1" si="1096"/>
        <v/>
      </c>
      <c r="R834" s="45">
        <f t="shared" ca="1" si="1043"/>
        <v>0.14296706835120426</v>
      </c>
      <c r="S834" s="45">
        <f t="shared" ca="1" si="1067"/>
        <v>5.0695617570641283E-2</v>
      </c>
      <c r="T834" s="77">
        <f t="shared" ca="1" si="1028"/>
        <v>6.255174458432983E-3</v>
      </c>
      <c r="U834" s="45">
        <f t="shared" ca="1" si="1044"/>
        <v>18.271014450512542</v>
      </c>
      <c r="V834" s="45">
        <f t="shared" ca="1" si="1029"/>
        <v>0.20278247028256513</v>
      </c>
      <c r="W834" s="77">
        <f t="shared" ca="1" si="1030"/>
        <v>2.4506119973907288E-2</v>
      </c>
      <c r="X834" s="45">
        <f t="shared" ca="1" si="1045"/>
        <v>1.0549961125946887</v>
      </c>
      <c r="Y834" s="45">
        <f t="shared" ca="1" si="1031"/>
        <v>3.0826371794617693E-3</v>
      </c>
      <c r="Z834" s="77">
        <f t="shared" ca="1" si="1032"/>
        <v>3.110540245455842E-3</v>
      </c>
      <c r="AA834" s="45">
        <f t="shared" ca="1" si="1046"/>
        <v>39.209643561628333</v>
      </c>
      <c r="AB834" s="45">
        <f t="shared" ca="1" si="1033"/>
        <v>0</v>
      </c>
      <c r="AC834" s="45" cm="1">
        <f t="array" aca="1" ref="AC834" ca="1">pHUM*(T834+W834+Z834+AD834)</f>
        <v>3.6266319758373757E-3</v>
      </c>
      <c r="AD834" s="77">
        <f t="shared" ca="1" si="1034"/>
        <v>3.5082094416616924E-3</v>
      </c>
      <c r="AE834" s="45">
        <f t="shared" ca="1" si="1047"/>
        <v>6.3847072090583081</v>
      </c>
      <c r="AF834" s="45">
        <f t="shared" ca="1" si="1035"/>
        <v>0</v>
      </c>
      <c r="AG834" s="76">
        <f t="shared" ca="1" si="1036"/>
        <v>65.063328402145075</v>
      </c>
      <c r="AH834" s="45">
        <f t="shared" ca="1" si="1037"/>
        <v>3.0670774964158664E-2</v>
      </c>
      <c r="AI834" s="77">
        <f t="shared" ca="1" si="1038"/>
        <v>1.1917266677356065E-2</v>
      </c>
      <c r="AJ834" s="384">
        <f t="shared" ca="1" si="1040"/>
        <v>1.315104297096914E-2</v>
      </c>
      <c r="AU834" s="1"/>
    </row>
    <row r="835" spans="3:47" x14ac:dyDescent="0.25">
      <c r="C835" s="10">
        <f t="shared" si="1065"/>
        <v>62</v>
      </c>
      <c r="D835" s="91">
        <f t="shared" si="1048"/>
        <v>1</v>
      </c>
      <c r="E835" s="278"/>
      <c r="F835" s="76">
        <f t="shared" ref="F835:Q835" ca="1" si="1097">F763</f>
        <v>-3.44</v>
      </c>
      <c r="G835" s="46">
        <f t="shared" ca="1" si="1097"/>
        <v>27.012600000000003</v>
      </c>
      <c r="H835" s="46">
        <f t="shared" ca="1" si="1024"/>
        <v>28.517550000000004</v>
      </c>
      <c r="I835" s="45">
        <f t="shared" ca="1" si="1025"/>
        <v>1.6253779081695344E-2</v>
      </c>
      <c r="J835" s="45">
        <f t="shared" ca="1" si="1026"/>
        <v>0.27952512346894071</v>
      </c>
      <c r="K835" s="45">
        <f t="shared" ca="1" si="1042"/>
        <v>0.90345467800480783</v>
      </c>
      <c r="L835" s="358">
        <f t="shared" ca="1" si="1027"/>
        <v>0.25329647647379749</v>
      </c>
      <c r="M835" s="76">
        <f t="shared" ca="1" si="1097"/>
        <v>0.25347808785320641</v>
      </c>
      <c r="N835" s="45">
        <f t="shared" ca="1" si="1097"/>
        <v>0.25</v>
      </c>
      <c r="O835" s="45">
        <f t="shared" ca="1" si="1097"/>
        <v>0</v>
      </c>
      <c r="P835" s="46" t="str">
        <f t="shared" ca="1" si="1097"/>
        <v/>
      </c>
      <c r="Q835" s="243" t="str">
        <f t="shared" ca="1" si="1097"/>
        <v/>
      </c>
      <c r="R835" s="45">
        <f t="shared" ca="1" si="1043"/>
        <v>0.18740751146341256</v>
      </c>
      <c r="S835" s="45">
        <f t="shared" ca="1" si="1067"/>
        <v>5.0695617570641283E-2</v>
      </c>
      <c r="T835" s="77">
        <f t="shared" ca="1" si="1028"/>
        <v>2.5212865139021302E-3</v>
      </c>
      <c r="U835" s="45">
        <f t="shared" ca="1" si="1044"/>
        <v>18.449290800821199</v>
      </c>
      <c r="V835" s="45">
        <f t="shared" ca="1" si="1029"/>
        <v>0.20278247028256513</v>
      </c>
      <c r="W835" s="77">
        <f t="shared" ca="1" si="1030"/>
        <v>7.4952444935289181E-3</v>
      </c>
      <c r="X835" s="45">
        <f t="shared" ca="1" si="1045"/>
        <v>1.0549682095286945</v>
      </c>
      <c r="Y835" s="45">
        <f t="shared" ca="1" si="1031"/>
        <v>9.9137184014363327E-4</v>
      </c>
      <c r="Z835" s="77">
        <f t="shared" ca="1" si="1032"/>
        <v>9.4267569292725249E-4</v>
      </c>
      <c r="AA835" s="45">
        <f t="shared" ca="1" si="1046"/>
        <v>39.209761984162505</v>
      </c>
      <c r="AB835" s="45">
        <f t="shared" ca="1" si="1033"/>
        <v>0</v>
      </c>
      <c r="AC835" s="45" cm="1">
        <f t="array" aca="1" ref="AC835" ca="1">pHUM*(T835+W835+Z835+AD835)</f>
        <v>1.1663198119336864E-3</v>
      </c>
      <c r="AD835" s="77">
        <f t="shared" ca="1" si="1034"/>
        <v>1.0621636283507552E-3</v>
      </c>
      <c r="AE835" s="45">
        <f t="shared" ca="1" si="1047"/>
        <v>6.3847072090583081</v>
      </c>
      <c r="AF835" s="45">
        <f t="shared" ca="1" si="1035"/>
        <v>0</v>
      </c>
      <c r="AG835" s="76">
        <f t="shared" ca="1" si="1036"/>
        <v>65.286135715034121</v>
      </c>
      <c r="AH835" s="45">
        <f t="shared" ca="1" si="1037"/>
        <v>9.8636786766317357E-3</v>
      </c>
      <c r="AI835" s="77">
        <f t="shared" ca="1" si="1038"/>
        <v>1.2576571907689824E-2</v>
      </c>
      <c r="AJ835" s="384">
        <f t="shared" ca="1" si="1040"/>
        <v>1.0158830970266042E-2</v>
      </c>
      <c r="AU835" s="1"/>
    </row>
    <row r="836" spans="3:47" x14ac:dyDescent="0.25">
      <c r="C836" s="10">
        <f t="shared" si="1065"/>
        <v>62</v>
      </c>
      <c r="D836" s="91">
        <f t="shared" si="1048"/>
        <v>2</v>
      </c>
      <c r="E836" s="278"/>
      <c r="F836" s="76">
        <f t="shared" ref="F836:Q836" ca="1" si="1098">F764</f>
        <v>-1.65</v>
      </c>
      <c r="G836" s="46">
        <f t="shared" ca="1" si="1098"/>
        <v>27.012600000000003</v>
      </c>
      <c r="H836" s="46">
        <f t="shared" ca="1" si="1024"/>
        <v>28.517550000000004</v>
      </c>
      <c r="I836" s="45">
        <f t="shared" ca="1" si="1025"/>
        <v>3.508132091145684E-2</v>
      </c>
      <c r="J836" s="45">
        <f t="shared" ca="1" si="1026"/>
        <v>0.27952512346894071</v>
      </c>
      <c r="K836" s="45">
        <f t="shared" ca="1" si="1042"/>
        <v>0.90345467800480783</v>
      </c>
      <c r="L836" s="358">
        <f t="shared" ca="1" si="1027"/>
        <v>0.30703519550320224</v>
      </c>
      <c r="M836" s="76">
        <f t="shared" ca="1" si="1098"/>
        <v>0.25347808785320641</v>
      </c>
      <c r="N836" s="45">
        <f t="shared" ca="1" si="1098"/>
        <v>0.25</v>
      </c>
      <c r="O836" s="45">
        <f t="shared" ca="1" si="1098"/>
        <v>0</v>
      </c>
      <c r="P836" s="46" t="str">
        <f t="shared" ca="1" si="1098"/>
        <v/>
      </c>
      <c r="Q836" s="243" t="str">
        <f t="shared" ca="1" si="1098"/>
        <v/>
      </c>
      <c r="R836" s="45">
        <f t="shared" ca="1" si="1043"/>
        <v>0.23558184252015171</v>
      </c>
      <c r="S836" s="45">
        <f t="shared" ca="1" si="1067"/>
        <v>5.0695617570641283E-2</v>
      </c>
      <c r="T836" s="77">
        <f t="shared" ca="1" si="1028"/>
        <v>6.7874054706907241E-3</v>
      </c>
      <c r="U836" s="45">
        <f t="shared" ca="1" si="1044"/>
        <v>18.644578026610233</v>
      </c>
      <c r="V836" s="45">
        <f t="shared" ca="1" si="1029"/>
        <v>0.20278247028256513</v>
      </c>
      <c r="W836" s="77">
        <f t="shared" ca="1" si="1030"/>
        <v>1.6344742138273097E-2</v>
      </c>
      <c r="X836" s="45">
        <f t="shared" ca="1" si="1045"/>
        <v>1.0550169056759109</v>
      </c>
      <c r="Y836" s="45">
        <f t="shared" ca="1" si="1031"/>
        <v>2.2644162367222915E-3</v>
      </c>
      <c r="Z836" s="77">
        <f t="shared" ca="1" si="1032"/>
        <v>2.0336636847757125E-3</v>
      </c>
      <c r="AA836" s="45">
        <f t="shared" ca="1" si="1046"/>
        <v>39.209866140346094</v>
      </c>
      <c r="AB836" s="45">
        <f t="shared" ca="1" si="1033"/>
        <v>0</v>
      </c>
      <c r="AC836" s="45" cm="1">
        <f t="array" aca="1" ref="AC836" ca="1">pHUM*(T836+W836+Z836+AD836)</f>
        <v>2.6640191020262253E-3</v>
      </c>
      <c r="AD836" s="77">
        <f t="shared" ca="1" si="1034"/>
        <v>2.2924894746547378E-3</v>
      </c>
      <c r="AE836" s="45">
        <f t="shared" ca="1" si="1047"/>
        <v>6.3847072090583081</v>
      </c>
      <c r="AF836" s="45">
        <f t="shared" ca="1" si="1035"/>
        <v>0</v>
      </c>
      <c r="AG836" s="76">
        <f t="shared" ca="1" si="1036"/>
        <v>65.529750124210693</v>
      </c>
      <c r="AH836" s="45">
        <f t="shared" ca="1" si="1037"/>
        <v>2.252986542964576E-2</v>
      </c>
      <c r="AI836" s="77">
        <f t="shared" ca="1" si="1038"/>
        <v>1.3286123751832087E-2</v>
      </c>
      <c r="AJ836" s="384">
        <f t="shared" ca="1" si="1040"/>
        <v>1.3008810720753772E-2</v>
      </c>
      <c r="AU836" s="1"/>
    </row>
    <row r="837" spans="3:47" x14ac:dyDescent="0.25">
      <c r="C837" s="10">
        <f t="shared" si="1065"/>
        <v>62</v>
      </c>
      <c r="D837" s="91">
        <f t="shared" si="1048"/>
        <v>3</v>
      </c>
      <c r="E837" s="278"/>
      <c r="F837" s="76">
        <f t="shared" ref="F837:Q837" ca="1" si="1099">F765</f>
        <v>4.68</v>
      </c>
      <c r="G837" s="46">
        <f t="shared" ca="1" si="1099"/>
        <v>27.012600000000003</v>
      </c>
      <c r="H837" s="46">
        <f t="shared" ca="1" si="1024"/>
        <v>28.517550000000004</v>
      </c>
      <c r="I837" s="45">
        <f t="shared" ca="1" si="1025"/>
        <v>0.20228669449817699</v>
      </c>
      <c r="J837" s="45">
        <f t="shared" ca="1" si="1026"/>
        <v>0.27952512346894071</v>
      </c>
      <c r="K837" s="45">
        <f t="shared" ca="1" si="1042"/>
        <v>0.90345467800480783</v>
      </c>
      <c r="L837" s="358">
        <f t="shared" ca="1" si="1027"/>
        <v>0.53248567772813127</v>
      </c>
      <c r="M837" s="76">
        <f t="shared" ca="1" si="1099"/>
        <v>0.25347808785320641</v>
      </c>
      <c r="N837" s="45">
        <f t="shared" ca="1" si="1099"/>
        <v>0.25</v>
      </c>
      <c r="O837" s="45">
        <f t="shared" ca="1" si="1099"/>
        <v>0</v>
      </c>
      <c r="P837" s="46" t="str">
        <f t="shared" ca="1" si="1099"/>
        <v/>
      </c>
      <c r="Q837" s="243" t="str">
        <f t="shared" ca="1" si="1099"/>
        <v/>
      </c>
      <c r="R837" s="45">
        <f t="shared" ca="1" si="1043"/>
        <v>0.27949005462010229</v>
      </c>
      <c r="S837" s="45">
        <f t="shared" ca="1" si="1067"/>
        <v>5.0695617570641283E-2</v>
      </c>
      <c r="T837" s="77">
        <f t="shared" ca="1" si="1028"/>
        <v>4.3357229787122406E-2</v>
      </c>
      <c r="U837" s="45">
        <f t="shared" ca="1" si="1044"/>
        <v>18.831015754754524</v>
      </c>
      <c r="V837" s="45">
        <f t="shared" ca="1" si="1029"/>
        <v>0.20278247028256513</v>
      </c>
      <c r="W837" s="77">
        <f t="shared" ca="1" si="1030"/>
        <v>9.4991202622545082E-2</v>
      </c>
      <c r="X837" s="45">
        <f t="shared" ca="1" si="1045"/>
        <v>1.0552476582278574</v>
      </c>
      <c r="Y837" s="45">
        <f t="shared" ca="1" si="1031"/>
        <v>1.3462077686374087E-2</v>
      </c>
      <c r="Z837" s="77">
        <f t="shared" ca="1" si="1032"/>
        <v>1.1675371663066427E-2</v>
      </c>
      <c r="AA837" s="45">
        <f t="shared" ca="1" si="1046"/>
        <v>39.210237669973466</v>
      </c>
      <c r="AB837" s="45">
        <f t="shared" ca="1" si="1033"/>
        <v>0</v>
      </c>
      <c r="AC837" s="45" cm="1">
        <f t="array" aca="1" ref="AC837" ca="1">pHUM*(T837+W837+Z837+AD837)</f>
        <v>1.583773845455775E-2</v>
      </c>
      <c r="AD837" s="77">
        <f t="shared" ca="1" si="1034"/>
        <v>1.321728742156034E-2</v>
      </c>
      <c r="AE837" s="45">
        <f t="shared" ca="1" si="1047"/>
        <v>6.3847072090583081</v>
      </c>
      <c r="AF837" s="45">
        <f t="shared" ca="1" si="1035"/>
        <v>0</v>
      </c>
      <c r="AG837" s="76">
        <f t="shared" ca="1" si="1036"/>
        <v>65.760698346634257</v>
      </c>
      <c r="AH837" s="45">
        <f t="shared" ca="1" si="1037"/>
        <v>0.13394127535336242</v>
      </c>
      <c r="AI837" s="77">
        <f t="shared" ca="1" si="1038"/>
        <v>1.3929414468581255E-2</v>
      </c>
      <c r="AJ837" s="384">
        <f t="shared" ca="1" si="1040"/>
        <v>2.365307291783858E-2</v>
      </c>
      <c r="AU837" s="1"/>
    </row>
    <row r="838" spans="3:47" x14ac:dyDescent="0.25">
      <c r="C838" s="10">
        <f t="shared" si="1065"/>
        <v>62</v>
      </c>
      <c r="D838" s="91">
        <f t="shared" si="1048"/>
        <v>4</v>
      </c>
      <c r="E838" s="278"/>
      <c r="F838" s="76">
        <f t="shared" ref="F838:Q838" ca="1" si="1100">F766</f>
        <v>7.69</v>
      </c>
      <c r="G838" s="46">
        <f t="shared" ca="1" si="1100"/>
        <v>27.012600000000003</v>
      </c>
      <c r="H838" s="46">
        <f t="shared" ca="1" si="1024"/>
        <v>28.517550000000004</v>
      </c>
      <c r="I838" s="45">
        <f t="shared" ca="1" si="1025"/>
        <v>0.3433111911106958</v>
      </c>
      <c r="J838" s="45">
        <f t="shared" ca="1" si="1026"/>
        <v>0.27952512346894071</v>
      </c>
      <c r="K838" s="45">
        <f t="shared" ca="1" si="1042"/>
        <v>0.90345467800480783</v>
      </c>
      <c r="L838" s="358">
        <f t="shared" ca="1" si="1027"/>
        <v>0.64074183470648283</v>
      </c>
      <c r="M838" s="76">
        <f t="shared" ca="1" si="1100"/>
        <v>0.25347808785320641</v>
      </c>
      <c r="N838" s="45">
        <f t="shared" ca="1" si="1100"/>
        <v>0.25</v>
      </c>
      <c r="O838" s="45">
        <f t="shared" ca="1" si="1100"/>
        <v>0</v>
      </c>
      <c r="P838" s="46" t="str">
        <f t="shared" ca="1" si="1100"/>
        <v/>
      </c>
      <c r="Q838" s="243" t="str">
        <f t="shared" ca="1" si="1100"/>
        <v/>
      </c>
      <c r="R838" s="45">
        <f t="shared" ca="1" si="1043"/>
        <v>0.28682844240362115</v>
      </c>
      <c r="S838" s="45">
        <f t="shared" ca="1" si="1067"/>
        <v>5.0695617570641283E-2</v>
      </c>
      <c r="T838" s="77">
        <f t="shared" ca="1" si="1028"/>
        <v>7.1364922050609986E-2</v>
      </c>
      <c r="U838" s="45">
        <f t="shared" ca="1" si="1044"/>
        <v>18.938807022414544</v>
      </c>
      <c r="V838" s="45">
        <f t="shared" ca="1" si="1029"/>
        <v>0.20278247028256513</v>
      </c>
      <c r="W838" s="77">
        <f t="shared" ca="1" si="1030"/>
        <v>0.1618520461367261</v>
      </c>
      <c r="X838" s="45">
        <f t="shared" ca="1" si="1045"/>
        <v>1.057034364251165</v>
      </c>
      <c r="Y838" s="45">
        <f t="shared" ca="1" si="1031"/>
        <v>2.2713134460229864E-2</v>
      </c>
      <c r="Z838" s="77">
        <f t="shared" ca="1" si="1032"/>
        <v>1.9771790905158394E-2</v>
      </c>
      <c r="AA838" s="45">
        <f t="shared" ca="1" si="1046"/>
        <v>39.212858121006462</v>
      </c>
      <c r="AB838" s="45">
        <f t="shared" ca="1" si="1033"/>
        <v>0</v>
      </c>
      <c r="AC838" s="45" cm="1">
        <f t="array" aca="1" ref="AC838" ca="1">pHUM*(T838+W838+Z838+AD838)</f>
        <v>2.6721334659093959E-2</v>
      </c>
      <c r="AD838" s="77">
        <f t="shared" ca="1" si="1034"/>
        <v>2.2430603870878637E-2</v>
      </c>
      <c r="AE838" s="45">
        <f t="shared" ca="1" si="1047"/>
        <v>6.3847072090583081</v>
      </c>
      <c r="AF838" s="45">
        <f t="shared" ca="1" si="1035"/>
        <v>0</v>
      </c>
      <c r="AG838" s="76">
        <f t="shared" ca="1" si="1036"/>
        <v>65.880235159134102</v>
      </c>
      <c r="AH838" s="45">
        <f t="shared" ca="1" si="1037"/>
        <v>0.22598489384404929</v>
      </c>
      <c r="AI838" s="77">
        <f t="shared" ca="1" si="1038"/>
        <v>1.4051233091564506E-2</v>
      </c>
      <c r="AJ838" s="384">
        <f t="shared" ca="1" si="1040"/>
        <v>2.8710597125276571E-2</v>
      </c>
      <c r="AU838" s="1"/>
    </row>
    <row r="839" spans="3:47" x14ac:dyDescent="0.25">
      <c r="C839" s="10">
        <f t="shared" si="1065"/>
        <v>62</v>
      </c>
      <c r="D839" s="91">
        <f t="shared" si="1048"/>
        <v>5</v>
      </c>
      <c r="E839" s="278"/>
      <c r="F839" s="76">
        <f t="shared" ref="F839:Q839" ca="1" si="1101">F767</f>
        <v>15.52</v>
      </c>
      <c r="G839" s="46">
        <f t="shared" ca="1" si="1101"/>
        <v>27.012600000000003</v>
      </c>
      <c r="H839" s="46">
        <f t="shared" ca="1" si="1024"/>
        <v>28.517550000000004</v>
      </c>
      <c r="I839" s="45">
        <f t="shared" ca="1" si="1025"/>
        <v>0.86230369296737164</v>
      </c>
      <c r="J839" s="45">
        <f t="shared" ca="1" si="1026"/>
        <v>0.27952512346894071</v>
      </c>
      <c r="K839" s="45">
        <f t="shared" ca="1" si="1042"/>
        <v>0.90345467800480783</v>
      </c>
      <c r="L839" s="358">
        <f t="shared" ca="1" si="1027"/>
        <v>0.85046529796407655</v>
      </c>
      <c r="M839" s="76">
        <f t="shared" ca="1" si="1101"/>
        <v>0.25347808785320641</v>
      </c>
      <c r="N839" s="45">
        <f t="shared" ca="1" si="1101"/>
        <v>0.25</v>
      </c>
      <c r="O839" s="45">
        <f t="shared" ca="1" si="1101"/>
        <v>0</v>
      </c>
      <c r="P839" s="46" t="str">
        <f t="shared" ca="1" si="1101"/>
        <v/>
      </c>
      <c r="Q839" s="243" t="str">
        <f t="shared" ca="1" si="1101"/>
        <v/>
      </c>
      <c r="R839" s="45">
        <f t="shared" ca="1" si="1043"/>
        <v>0.26615913792365242</v>
      </c>
      <c r="S839" s="45">
        <f t="shared" ca="1" si="1067"/>
        <v>5.0695617570641283E-2</v>
      </c>
      <c r="T839" s="77">
        <f t="shared" ca="1" si="1028"/>
        <v>0.13642231208113587</v>
      </c>
      <c r="U839" s="45">
        <f t="shared" ca="1" si="1044"/>
        <v>18.979737446560382</v>
      </c>
      <c r="V839" s="45">
        <f t="shared" ca="1" si="1029"/>
        <v>0.20278247028256513</v>
      </c>
      <c r="W839" s="77">
        <f t="shared" ca="1" si="1030"/>
        <v>0.40477873883633719</v>
      </c>
      <c r="X839" s="45">
        <f t="shared" ca="1" si="1045"/>
        <v>1.0599757078062364</v>
      </c>
      <c r="Y839" s="45">
        <f t="shared" ca="1" si="1031"/>
        <v>5.3325112792092802E-2</v>
      </c>
      <c r="Z839" s="77">
        <f t="shared" ca="1" si="1032"/>
        <v>4.9097680079050611E-2</v>
      </c>
      <c r="AA839" s="45">
        <f t="shared" ca="1" si="1046"/>
        <v>39.217148851794676</v>
      </c>
      <c r="AB839" s="45">
        <f t="shared" ca="1" si="1033"/>
        <v>0</v>
      </c>
      <c r="AC839" s="45" cm="1">
        <f t="array" aca="1" ref="AC839" ca="1">pHUM*(T839+W839+Z839+AD839)</f>
        <v>6.2735426814226822E-2</v>
      </c>
      <c r="AD839" s="77">
        <f t="shared" ca="1" si="1034"/>
        <v>5.6321339027910283E-2</v>
      </c>
      <c r="AE839" s="45">
        <f t="shared" ca="1" si="1047"/>
        <v>6.3847072090583081</v>
      </c>
      <c r="AF839" s="45">
        <f t="shared" ca="1" si="1035"/>
        <v>0</v>
      </c>
      <c r="AG839" s="76">
        <f t="shared" ca="1" si="1036"/>
        <v>65.907728353143256</v>
      </c>
      <c r="AH839" s="45">
        <f t="shared" ca="1" si="1037"/>
        <v>0.53055953041811432</v>
      </c>
      <c r="AI839" s="77">
        <f t="shared" ca="1" si="1038"/>
        <v>1.3775397832454774E-2</v>
      </c>
      <c r="AJ839" s="384">
        <f t="shared" ca="1" si="1040"/>
        <v>3.7359573553535919E-2</v>
      </c>
      <c r="AU839" s="1"/>
    </row>
    <row r="840" spans="3:47" x14ac:dyDescent="0.25">
      <c r="C840" s="10">
        <f t="shared" si="1065"/>
        <v>62</v>
      </c>
      <c r="D840" s="91">
        <f t="shared" si="1048"/>
        <v>6</v>
      </c>
      <c r="E840" s="278"/>
      <c r="F840" s="76">
        <f t="shared" ref="F840:Q840" ca="1" si="1102">F768</f>
        <v>17.8</v>
      </c>
      <c r="G840" s="46">
        <f t="shared" ca="1" si="1102"/>
        <v>27.012600000000003</v>
      </c>
      <c r="H840" s="46">
        <f t="shared" ca="1" si="1024"/>
        <v>28.517550000000004</v>
      </c>
      <c r="I840" s="45">
        <f t="shared" ca="1" si="1025"/>
        <v>1.0420430221807615</v>
      </c>
      <c r="J840" s="45">
        <f t="shared" ca="1" si="1026"/>
        <v>0.27952512346894071</v>
      </c>
      <c r="K840" s="45">
        <f t="shared" ca="1" si="1042"/>
        <v>0.90345467800480783</v>
      </c>
      <c r="L840" s="358">
        <f t="shared" ca="1" si="1027"/>
        <v>0.88796358149435028</v>
      </c>
      <c r="M840" s="76">
        <f t="shared" ca="1" si="1102"/>
        <v>0.25347808785320641</v>
      </c>
      <c r="N840" s="45">
        <f t="shared" ca="1" si="1102"/>
        <v>0.25</v>
      </c>
      <c r="O840" s="45">
        <f t="shared" ca="1" si="1102"/>
        <v>0</v>
      </c>
      <c r="P840" s="46" t="str">
        <f t="shared" ca="1" si="1102"/>
        <v/>
      </c>
      <c r="Q840" s="243" t="str">
        <f t="shared" ca="1" si="1102"/>
        <v/>
      </c>
      <c r="R840" s="45">
        <f t="shared" ca="1" si="1043"/>
        <v>0.18043244341315784</v>
      </c>
      <c r="S840" s="45">
        <f t="shared" ca="1" si="1067"/>
        <v>5.0695617570641283E-2</v>
      </c>
      <c r="T840" s="77">
        <f t="shared" ca="1" si="1028"/>
        <v>0.10471661384205616</v>
      </c>
      <c r="U840" s="45">
        <f t="shared" ca="1" si="1044"/>
        <v>18.777741178006607</v>
      </c>
      <c r="V840" s="45">
        <f t="shared" ca="1" si="1029"/>
        <v>0.20278247028256513</v>
      </c>
      <c r="W840" s="77">
        <f t="shared" ca="1" si="1030"/>
        <v>0.48286348956987502</v>
      </c>
      <c r="X840" s="45">
        <f t="shared" ca="1" si="1045"/>
        <v>1.0642031405192787</v>
      </c>
      <c r="Y840" s="45">
        <f t="shared" ca="1" si="1031"/>
        <v>5.8957565841732583E-2</v>
      </c>
      <c r="Z840" s="77">
        <f t="shared" ca="1" si="1032"/>
        <v>5.9277119357845888E-2</v>
      </c>
      <c r="AA840" s="45">
        <f t="shared" ca="1" si="1046"/>
        <v>39.223562939580994</v>
      </c>
      <c r="AB840" s="45">
        <f t="shared" ca="1" si="1033"/>
        <v>0</v>
      </c>
      <c r="AC840" s="45" cm="1">
        <f t="array" aca="1" ref="AC840" ca="1">pHUM*(T840+W840+Z840+AD840)</f>
        <v>6.9361842166744223E-2</v>
      </c>
      <c r="AD840" s="77">
        <f t="shared" ca="1" si="1034"/>
        <v>6.8061946772126E-2</v>
      </c>
      <c r="AE840" s="45">
        <f t="shared" ca="1" si="1047"/>
        <v>6.3847072090583081</v>
      </c>
      <c r="AF840" s="45">
        <f t="shared" ca="1" si="1035"/>
        <v>0</v>
      </c>
      <c r="AG840" s="76">
        <f t="shared" ca="1" si="1036"/>
        <v>65.630646910578349</v>
      </c>
      <c r="AH840" s="45">
        <f t="shared" ca="1" si="1037"/>
        <v>0.5865997615334263</v>
      </c>
      <c r="AI840" s="77">
        <f t="shared" ca="1" si="1038"/>
        <v>1.2552888524273187E-2</v>
      </c>
      <c r="AJ840" s="384">
        <f t="shared" ca="1" si="1040"/>
        <v>3.5545181188747499E-2</v>
      </c>
      <c r="AU840" s="1"/>
    </row>
    <row r="841" spans="3:47" x14ac:dyDescent="0.25">
      <c r="C841" s="10">
        <f t="shared" si="1065"/>
        <v>62</v>
      </c>
      <c r="D841" s="91">
        <f t="shared" si="1048"/>
        <v>7</v>
      </c>
      <c r="E841" s="278"/>
      <c r="F841" s="76">
        <f t="shared" ref="F841:Q841" ca="1" si="1103">F769</f>
        <v>22.99</v>
      </c>
      <c r="G841" s="46">
        <f t="shared" ca="1" si="1103"/>
        <v>27.012600000000003</v>
      </c>
      <c r="H841" s="46">
        <f t="shared" ca="1" si="1024"/>
        <v>28.517550000000004</v>
      </c>
      <c r="I841" s="45">
        <f t="shared" ca="1" si="1025"/>
        <v>1.4752596357037575</v>
      </c>
      <c r="J841" s="45">
        <f t="shared" ca="1" si="1026"/>
        <v>0.27952512346894071</v>
      </c>
      <c r="K841" s="45">
        <f t="shared" ca="1" si="1042"/>
        <v>0.90345467800480783</v>
      </c>
      <c r="L841" s="358">
        <f t="shared" ca="1" si="1027"/>
        <v>0.94206720469222516</v>
      </c>
      <c r="M841" s="76">
        <f t="shared" ca="1" si="1103"/>
        <v>0.25347808785320641</v>
      </c>
      <c r="N841" s="45">
        <f t="shared" ca="1" si="1103"/>
        <v>0.25</v>
      </c>
      <c r="O841" s="45">
        <f t="shared" ca="1" si="1103"/>
        <v>0</v>
      </c>
      <c r="P841" s="46" t="str">
        <f t="shared" ca="1" si="1103"/>
        <v/>
      </c>
      <c r="Q841" s="243" t="str">
        <f t="shared" ca="1" si="1103"/>
        <v/>
      </c>
      <c r="R841" s="45">
        <f t="shared" ca="1" si="1043"/>
        <v>0.12641144714174296</v>
      </c>
      <c r="S841" s="45">
        <f t="shared" ca="1" si="1067"/>
        <v>5.0695617570641283E-2</v>
      </c>
      <c r="T841" s="77">
        <f t="shared" ca="1" si="1028"/>
        <v>8.9439515862024505E-2</v>
      </c>
      <c r="U841" s="45">
        <f t="shared" ca="1" si="1044"/>
        <v>18.497660158719295</v>
      </c>
      <c r="V841" s="45">
        <f t="shared" ca="1" si="1029"/>
        <v>0.20278247028256513</v>
      </c>
      <c r="W841" s="77">
        <f t="shared" ca="1" si="1030"/>
        <v>0.6697938646290319</v>
      </c>
      <c r="X841" s="45">
        <f t="shared" ca="1" si="1045"/>
        <v>1.0638835870031653</v>
      </c>
      <c r="Y841" s="45">
        <f t="shared" ca="1" si="1031"/>
        <v>7.7393495349086211E-2</v>
      </c>
      <c r="Z841" s="77">
        <f t="shared" ca="1" si="1032"/>
        <v>8.291349363170368E-2</v>
      </c>
      <c r="AA841" s="45">
        <f t="shared" ca="1" si="1046"/>
        <v>39.22486283497561</v>
      </c>
      <c r="AB841" s="45">
        <f t="shared" ca="1" si="1033"/>
        <v>0</v>
      </c>
      <c r="AC841" s="45" cm="1">
        <f t="array" aca="1" ref="AC841" ca="1">pHUM*(T841+W841+Z841+AD841)</f>
        <v>9.1051170998924957E-2</v>
      </c>
      <c r="AD841" s="77">
        <f t="shared" ca="1" si="1034"/>
        <v>9.6326290991342003E-2</v>
      </c>
      <c r="AE841" s="45">
        <f t="shared" ca="1" si="1047"/>
        <v>6.3847072090583081</v>
      </c>
      <c r="AF841" s="45">
        <f t="shared" ca="1" si="1035"/>
        <v>0</v>
      </c>
      <c r="AG841" s="76">
        <f t="shared" ca="1" si="1036"/>
        <v>65.297525236898124</v>
      </c>
      <c r="AH841" s="45">
        <f t="shared" ca="1" si="1037"/>
        <v>0.77002849876609092</v>
      </c>
      <c r="AI841" s="77">
        <f t="shared" ca="1" si="1038"/>
        <v>1.1740615513181616E-2</v>
      </c>
      <c r="AJ841" s="384">
        <f t="shared" ca="1" si="1040"/>
        <v>3.5270756094639699E-2</v>
      </c>
      <c r="AU841" s="1"/>
    </row>
    <row r="842" spans="3:47" x14ac:dyDescent="0.25">
      <c r="C842" s="10">
        <f t="shared" si="1065"/>
        <v>62</v>
      </c>
      <c r="D842" s="91">
        <f t="shared" si="1048"/>
        <v>8</v>
      </c>
      <c r="E842" s="278"/>
      <c r="F842" s="76">
        <f t="shared" ref="F842:Q842" ca="1" si="1104">F770</f>
        <v>21.76</v>
      </c>
      <c r="G842" s="46">
        <f t="shared" ca="1" si="1104"/>
        <v>27.012600000000003</v>
      </c>
      <c r="H842" s="46">
        <f t="shared" ca="1" si="1024"/>
        <v>28.517550000000004</v>
      </c>
      <c r="I842" s="45">
        <f t="shared" ca="1" si="1025"/>
        <v>1.3706166748122235</v>
      </c>
      <c r="J842" s="45">
        <f t="shared" ca="1" si="1026"/>
        <v>0.27952512346894071</v>
      </c>
      <c r="K842" s="45">
        <f t="shared" ca="1" si="1042"/>
        <v>0.90345467800480783</v>
      </c>
      <c r="L842" s="358">
        <f t="shared" ca="1" si="1027"/>
        <v>0.93252308258228611</v>
      </c>
      <c r="M842" s="76">
        <f t="shared" ca="1" si="1104"/>
        <v>0.25347808785320641</v>
      </c>
      <c r="N842" s="45">
        <f t="shared" ca="1" si="1104"/>
        <v>0.25</v>
      </c>
      <c r="O842" s="45">
        <f t="shared" ca="1" si="1104"/>
        <v>0</v>
      </c>
      <c r="P842" s="46" t="str">
        <f t="shared" ca="1" si="1104"/>
        <v/>
      </c>
      <c r="Q842" s="243" t="str">
        <f t="shared" ca="1" si="1104"/>
        <v/>
      </c>
      <c r="R842" s="45">
        <f t="shared" ca="1" si="1043"/>
        <v>8.7667548850359739E-2</v>
      </c>
      <c r="S842" s="45">
        <f t="shared" ca="1" si="1067"/>
        <v>5.0695617570641283E-2</v>
      </c>
      <c r="T842" s="77">
        <f t="shared" ca="1" si="1028"/>
        <v>5.9690870583984493E-2</v>
      </c>
      <c r="U842" s="45">
        <f t="shared" ca="1" si="1044"/>
        <v>18.030648764372827</v>
      </c>
      <c r="V842" s="45">
        <f t="shared" ca="1" si="1029"/>
        <v>0.20278247028256513</v>
      </c>
      <c r="W842" s="77">
        <f t="shared" ca="1" si="1030"/>
        <v>0.60736250646730883</v>
      </c>
      <c r="X842" s="45">
        <f t="shared" ca="1" si="1045"/>
        <v>1.0583635887205478</v>
      </c>
      <c r="Y842" s="45">
        <f t="shared" ca="1" si="1031"/>
        <v>6.8727832828520741E-2</v>
      </c>
      <c r="Z842" s="77">
        <f t="shared" ca="1" si="1032"/>
        <v>7.6850555112638483E-2</v>
      </c>
      <c r="AA842" s="45">
        <f t="shared" ca="1" si="1046"/>
        <v>39.219587714983192</v>
      </c>
      <c r="AB842" s="45">
        <f t="shared" ca="1" si="1033"/>
        <v>0</v>
      </c>
      <c r="AC842" s="45" cm="1">
        <f t="array" aca="1" ref="AC842" ca="1">pHUM*(T842+W842+Z842+AD842)</f>
        <v>8.0856273915906759E-2</v>
      </c>
      <c r="AD842" s="77">
        <f t="shared" ca="1" si="1034"/>
        <v>8.9489449477362731E-2</v>
      </c>
      <c r="AE842" s="45">
        <f t="shared" ca="1" si="1047"/>
        <v>6.3847072090583081</v>
      </c>
      <c r="AF842" s="45">
        <f t="shared" ca="1" si="1035"/>
        <v>0</v>
      </c>
      <c r="AG842" s="76">
        <f t="shared" ca="1" si="1036"/>
        <v>64.78097482598524</v>
      </c>
      <c r="AH842" s="45">
        <f t="shared" ca="1" si="1037"/>
        <v>0.68380927489686705</v>
      </c>
      <c r="AI842" s="77">
        <f t="shared" ca="1" si="1038"/>
        <v>1.1086299058861408E-2</v>
      </c>
      <c r="AJ842" s="384">
        <f t="shared" ca="1" si="1040"/>
        <v>3.2967737420728227E-2</v>
      </c>
      <c r="AU842" s="1"/>
    </row>
    <row r="843" spans="3:47" x14ac:dyDescent="0.25">
      <c r="C843" s="10">
        <f t="shared" si="1065"/>
        <v>62</v>
      </c>
      <c r="D843" s="91">
        <f t="shared" si="1048"/>
        <v>9</v>
      </c>
      <c r="E843" s="278"/>
      <c r="F843" s="76">
        <f t="shared" ref="F843:Q843" ca="1" si="1105">F771</f>
        <v>16.16</v>
      </c>
      <c r="G843" s="46">
        <f t="shared" ca="1" si="1105"/>
        <v>27.012600000000003</v>
      </c>
      <c r="H843" s="46">
        <f t="shared" ca="1" si="1024"/>
        <v>28.517550000000004</v>
      </c>
      <c r="I843" s="45">
        <f t="shared" ca="1" si="1025"/>
        <v>0.91183635166446475</v>
      </c>
      <c r="J843" s="45">
        <f t="shared" ca="1" si="1026"/>
        <v>0.27952512346894071</v>
      </c>
      <c r="K843" s="45">
        <f t="shared" ca="1" si="1042"/>
        <v>0.90345467800480783</v>
      </c>
      <c r="L843" s="358">
        <f t="shared" ca="1" si="1027"/>
        <v>0.86198800670670384</v>
      </c>
      <c r="M843" s="76">
        <f t="shared" ca="1" si="1105"/>
        <v>0.25347808785320641</v>
      </c>
      <c r="N843" s="45">
        <f t="shared" ca="1" si="1105"/>
        <v>0.25</v>
      </c>
      <c r="O843" s="45">
        <f t="shared" ca="1" si="1105"/>
        <v>0</v>
      </c>
      <c r="P843" s="46" t="str">
        <f t="shared" ca="1" si="1105"/>
        <v/>
      </c>
      <c r="Q843" s="243" t="str">
        <f t="shared" ca="1" si="1105"/>
        <v/>
      </c>
      <c r="R843" s="45">
        <f t="shared" ca="1" si="1043"/>
        <v>7.8672295837016529E-2</v>
      </c>
      <c r="S843" s="45">
        <f t="shared" ca="1" si="1067"/>
        <v>5.0695617570641283E-2</v>
      </c>
      <c r="T843" s="77">
        <f t="shared" ca="1" si="1028"/>
        <v>4.1874886484751211E-2</v>
      </c>
      <c r="U843" s="45">
        <f t="shared" ca="1" si="1044"/>
        <v>17.626068728188084</v>
      </c>
      <c r="V843" s="45">
        <f t="shared" ca="1" si="1029"/>
        <v>0.20278247028256513</v>
      </c>
      <c r="W843" s="77">
        <f t="shared" ca="1" si="1030"/>
        <v>0.39725713353640468</v>
      </c>
      <c r="X843" s="45">
        <f t="shared" ca="1" si="1045"/>
        <v>1.0502408664364302</v>
      </c>
      <c r="Y843" s="45">
        <f t="shared" ca="1" si="1031"/>
        <v>4.5361093606771583E-2</v>
      </c>
      <c r="Z843" s="77">
        <f t="shared" ca="1" si="1032"/>
        <v>5.1371691444769239E-2</v>
      </c>
      <c r="AA843" s="45">
        <f t="shared" ca="1" si="1046"/>
        <v>39.210954539421735</v>
      </c>
      <c r="AB843" s="45">
        <f t="shared" ca="1" si="1033"/>
        <v>0</v>
      </c>
      <c r="AC843" s="45" cm="1">
        <f t="array" aca="1" ref="AC843" ca="1">pHUM*(T843+W843+Z843+AD843)</f>
        <v>5.3365992478554808E-2</v>
      </c>
      <c r="AD843" s="77">
        <f t="shared" ca="1" si="1034"/>
        <v>5.9544698909774728E-2</v>
      </c>
      <c r="AE843" s="45">
        <f t="shared" ca="1" si="1047"/>
        <v>6.3847072090583081</v>
      </c>
      <c r="AF843" s="45">
        <f t="shared" ca="1" si="1035"/>
        <v>0</v>
      </c>
      <c r="AG843" s="76">
        <f t="shared" ca="1" si="1036"/>
        <v>64.350643638941577</v>
      </c>
      <c r="AH843" s="45">
        <f t="shared" ca="1" si="1037"/>
        <v>0.45132132429037353</v>
      </c>
      <c r="AI843" s="77">
        <f t="shared" ca="1" si="1038"/>
        <v>1.0856838378688751E-2</v>
      </c>
      <c r="AJ843" s="384">
        <f t="shared" ca="1" si="1040"/>
        <v>2.9843436991648931E-2</v>
      </c>
      <c r="AU843" s="1"/>
    </row>
    <row r="844" spans="3:47" x14ac:dyDescent="0.25">
      <c r="C844" s="10">
        <f t="shared" si="1065"/>
        <v>62</v>
      </c>
      <c r="D844" s="91">
        <f t="shared" si="1048"/>
        <v>10</v>
      </c>
      <c r="E844" s="278"/>
      <c r="F844" s="76">
        <f t="shared" ref="F844:Q844" ca="1" si="1106">F772</f>
        <v>11.21</v>
      </c>
      <c r="G844" s="46">
        <f t="shared" ca="1" si="1106"/>
        <v>27.012600000000003</v>
      </c>
      <c r="H844" s="46">
        <f t="shared" ca="1" si="1024"/>
        <v>28.517550000000004</v>
      </c>
      <c r="I844" s="45">
        <f t="shared" ca="1" si="1025"/>
        <v>0.55341948356365211</v>
      </c>
      <c r="J844" s="45">
        <f t="shared" ca="1" si="1026"/>
        <v>0.27952512346894071</v>
      </c>
      <c r="K844" s="45">
        <f t="shared" ca="1" si="1042"/>
        <v>0.90345467800480783</v>
      </c>
      <c r="L844" s="358">
        <f t="shared" ca="1" si="1027"/>
        <v>0.75061725573145499</v>
      </c>
      <c r="M844" s="76">
        <f t="shared" ca="1" si="1106"/>
        <v>0.25347808785320641</v>
      </c>
      <c r="N844" s="45">
        <f t="shared" ca="1" si="1106"/>
        <v>0.25</v>
      </c>
      <c r="O844" s="45">
        <f t="shared" ca="1" si="1106"/>
        <v>0</v>
      </c>
      <c r="P844" s="46" t="str">
        <f t="shared" ca="1" si="1106"/>
        <v/>
      </c>
      <c r="Q844" s="243" t="str">
        <f t="shared" ca="1" si="1106"/>
        <v/>
      </c>
      <c r="R844" s="45">
        <f t="shared" ca="1" si="1043"/>
        <v>8.7493026922906586E-2</v>
      </c>
      <c r="S844" s="45">
        <f t="shared" ca="1" si="1067"/>
        <v>5.0695617570641283E-2</v>
      </c>
      <c r="T844" s="77">
        <f t="shared" ca="1" si="1028"/>
        <v>3.2325406484756646E-2</v>
      </c>
      <c r="U844" s="45">
        <f t="shared" ca="1" si="1044"/>
        <v>17.431594064934245</v>
      </c>
      <c r="V844" s="45">
        <f t="shared" ca="1" si="1029"/>
        <v>0.20278247028256513</v>
      </c>
      <c r="W844" s="77">
        <f t="shared" ca="1" si="1030"/>
        <v>0.23951387839419525</v>
      </c>
      <c r="X844" s="45">
        <f t="shared" ca="1" si="1045"/>
        <v>1.0442302685984326</v>
      </c>
      <c r="Y844" s="45">
        <f t="shared" ca="1" si="1031"/>
        <v>2.7980322195907771E-2</v>
      </c>
      <c r="Z844" s="77">
        <f t="shared" ca="1" si="1032"/>
        <v>3.1305499219006397E-2</v>
      </c>
      <c r="AA844" s="45">
        <f t="shared" ca="1" si="1046"/>
        <v>39.204775832990514</v>
      </c>
      <c r="AB844" s="45">
        <f t="shared" ca="1" si="1033"/>
        <v>0</v>
      </c>
      <c r="AC844" s="45" cm="1">
        <f t="array" aca="1" ref="AC844" ca="1">pHUM*(T844+W844+Z844+AD844)</f>
        <v>3.291802611283267E-2</v>
      </c>
      <c r="AD844" s="77">
        <f t="shared" ca="1" si="1034"/>
        <v>3.6144472882421383E-2</v>
      </c>
      <c r="AE844" s="45">
        <f t="shared" ca="1" si="1047"/>
        <v>6.3847072090583081</v>
      </c>
      <c r="AF844" s="45">
        <f t="shared" ca="1" si="1035"/>
        <v>0</v>
      </c>
      <c r="AG844" s="76">
        <f t="shared" ca="1" si="1036"/>
        <v>64.152800402504411</v>
      </c>
      <c r="AH844" s="45">
        <f t="shared" ca="1" si="1037"/>
        <v>0.27839090867163924</v>
      </c>
      <c r="AI844" s="77">
        <f t="shared" ca="1" si="1038"/>
        <v>1.0931201469741169E-2</v>
      </c>
      <c r="AJ844" s="384">
        <f t="shared" ca="1" si="1040"/>
        <v>2.6165690010463427E-2</v>
      </c>
      <c r="AU844" s="1"/>
    </row>
    <row r="845" spans="3:47" x14ac:dyDescent="0.25">
      <c r="C845" s="10">
        <f t="shared" si="1065"/>
        <v>62</v>
      </c>
      <c r="D845" s="91">
        <f t="shared" si="1048"/>
        <v>11</v>
      </c>
      <c r="E845" s="278"/>
      <c r="F845" s="76">
        <f t="shared" ref="F845:Q845" ca="1" si="1107">F773</f>
        <v>1.8</v>
      </c>
      <c r="G845" s="46">
        <f t="shared" ca="1" si="1107"/>
        <v>27.012600000000003</v>
      </c>
      <c r="H845" s="46">
        <f t="shared" ca="1" si="1024"/>
        <v>28.517550000000004</v>
      </c>
      <c r="I845" s="45">
        <f t="shared" ca="1" si="1025"/>
        <v>0.10471759589279002</v>
      </c>
      <c r="J845" s="45">
        <f t="shared" ca="1" si="1026"/>
        <v>0.27952512346894071</v>
      </c>
      <c r="K845" s="45">
        <f t="shared" ca="1" si="1042"/>
        <v>0.90345467800480783</v>
      </c>
      <c r="L845" s="358">
        <f t="shared" ca="1" si="1027"/>
        <v>0.42572038710161686</v>
      </c>
      <c r="M845" s="76">
        <f t="shared" ca="1" si="1107"/>
        <v>0.25347808785320641</v>
      </c>
      <c r="N845" s="45">
        <f t="shared" ca="1" si="1107"/>
        <v>0.25</v>
      </c>
      <c r="O845" s="45">
        <f t="shared" ca="1" si="1107"/>
        <v>0</v>
      </c>
      <c r="P845" s="46" t="str">
        <f t="shared" ca="1" si="1107"/>
        <v/>
      </c>
      <c r="Q845" s="243" t="str">
        <f t="shared" ca="1" si="1107"/>
        <v/>
      </c>
      <c r="R845" s="45">
        <f t="shared" ca="1" si="1043"/>
        <v>0.10586323800879122</v>
      </c>
      <c r="S845" s="45">
        <f t="shared" ca="1" si="1067"/>
        <v>5.0695617570641283E-2</v>
      </c>
      <c r="T845" s="77">
        <f t="shared" ca="1" si="1028"/>
        <v>8.8465126159825002E-3</v>
      </c>
      <c r="U845" s="45">
        <f t="shared" ca="1" si="1044"/>
        <v>17.394862656822614</v>
      </c>
      <c r="V845" s="45">
        <f t="shared" ca="1" si="1029"/>
        <v>0.20278247028256513</v>
      </c>
      <c r="W845" s="77">
        <f t="shared" ca="1" si="1030"/>
        <v>4.547914814479196E-2</v>
      </c>
      <c r="X845" s="45">
        <f t="shared" ca="1" si="1045"/>
        <v>1.040905091575334</v>
      </c>
      <c r="Y845" s="45">
        <f t="shared" ca="1" si="1031"/>
        <v>5.5372536475442524E-3</v>
      </c>
      <c r="Z845" s="77">
        <f t="shared" ca="1" si="1032"/>
        <v>5.9778282518043475E-3</v>
      </c>
      <c r="AA845" s="45">
        <f t="shared" ca="1" si="1046"/>
        <v>39.201549386220925</v>
      </c>
      <c r="AB845" s="45">
        <f t="shared" ca="1" si="1033"/>
        <v>0</v>
      </c>
      <c r="AC845" s="45" cm="1">
        <f t="array" aca="1" ref="AC845" ca="1">pHUM*(T845+W845+Z845+AD845)</f>
        <v>6.5144160559344145E-3</v>
      </c>
      <c r="AD845" s="77">
        <f t="shared" ca="1" si="1034"/>
        <v>6.8412229972763935E-3</v>
      </c>
      <c r="AE845" s="45">
        <f t="shared" ca="1" si="1047"/>
        <v>6.3847072090583081</v>
      </c>
      <c r="AF845" s="45">
        <f t="shared" ca="1" si="1035"/>
        <v>0</v>
      </c>
      <c r="AG845" s="76">
        <f t="shared" ca="1" si="1036"/>
        <v>64.127887581685968</v>
      </c>
      <c r="AH845" s="45">
        <f t="shared" ca="1" si="1037"/>
        <v>5.5093042306376537E-2</v>
      </c>
      <c r="AI845" s="77">
        <f t="shared" ca="1" si="1038"/>
        <v>1.1181868108780342E-2</v>
      </c>
      <c r="AJ845" s="384">
        <f t="shared" ca="1" si="1040"/>
        <v>1.5180604431107581E-2</v>
      </c>
      <c r="AU845" s="1"/>
    </row>
    <row r="846" spans="3:47" x14ac:dyDescent="0.25">
      <c r="C846" s="10">
        <f t="shared" si="1065"/>
        <v>62</v>
      </c>
      <c r="D846" s="91">
        <f t="shared" si="1048"/>
        <v>12</v>
      </c>
      <c r="E846" s="278"/>
      <c r="F846" s="76">
        <f t="shared" ref="F846:Q846" ca="1" si="1108">F774</f>
        <v>-0.63</v>
      </c>
      <c r="G846" s="46">
        <f t="shared" ca="1" si="1108"/>
        <v>27.012600000000003</v>
      </c>
      <c r="H846" s="46">
        <f t="shared" ca="1" si="1024"/>
        <v>28.517550000000004</v>
      </c>
      <c r="I846" s="45">
        <f t="shared" ca="1" si="1025"/>
        <v>5.069926650983797E-2</v>
      </c>
      <c r="J846" s="45">
        <f t="shared" ca="1" si="1026"/>
        <v>0.27952512346894071</v>
      </c>
      <c r="K846" s="45">
        <f t="shared" ca="1" si="1042"/>
        <v>0.90345467800480783</v>
      </c>
      <c r="L846" s="358">
        <f t="shared" ca="1" si="1027"/>
        <v>0.3403279781726225</v>
      </c>
      <c r="M846" s="76">
        <f t="shared" ca="1" si="1108"/>
        <v>0.25347808785320641</v>
      </c>
      <c r="N846" s="45">
        <f t="shared" ca="1" si="1108"/>
        <v>0.25</v>
      </c>
      <c r="O846" s="45">
        <f t="shared" ca="1" si="1108"/>
        <v>0</v>
      </c>
      <c r="P846" s="46" t="str">
        <f t="shared" ca="1" si="1108"/>
        <v/>
      </c>
      <c r="Q846" s="243" t="str">
        <f t="shared" ca="1" si="1108"/>
        <v/>
      </c>
      <c r="R846" s="45">
        <f t="shared" ca="1" si="1043"/>
        <v>0.14771234296345001</v>
      </c>
      <c r="S846" s="45">
        <f t="shared" ca="1" si="1067"/>
        <v>5.0695617570641283E-2</v>
      </c>
      <c r="T846" s="77">
        <f t="shared" ca="1" si="1028"/>
        <v>6.1107593251454049E-3</v>
      </c>
      <c r="U846" s="45">
        <f t="shared" ca="1" si="1044"/>
        <v>17.552165978960385</v>
      </c>
      <c r="V846" s="45">
        <f t="shared" ca="1" si="1029"/>
        <v>0.20278247028256513</v>
      </c>
      <c r="W846" s="77">
        <f t="shared" ca="1" si="1030"/>
        <v>2.2232955611577999E-2</v>
      </c>
      <c r="X846" s="45">
        <f t="shared" ca="1" si="1045"/>
        <v>1.0404645169710738</v>
      </c>
      <c r="Y846" s="45">
        <f t="shared" ca="1" si="1031"/>
        <v>2.8495213286443247E-3</v>
      </c>
      <c r="Z846" s="77">
        <f t="shared" ca="1" si="1032"/>
        <v>2.8972520187102377E-3</v>
      </c>
      <c r="AA846" s="45">
        <f t="shared" ca="1" si="1046"/>
        <v>39.201222579279587</v>
      </c>
      <c r="AB846" s="45">
        <f t="shared" ca="1" si="1033"/>
        <v>0</v>
      </c>
      <c r="AC846" s="45" cm="1">
        <f t="array" aca="1" ref="AC846" ca="1">pHUM*(T846+W846+Z846+AD846)</f>
        <v>3.3523780336992054E-3</v>
      </c>
      <c r="AD846" s="77">
        <f t="shared" ca="1" si="1034"/>
        <v>3.3123154398233029E-3</v>
      </c>
      <c r="AE846" s="45">
        <f t="shared" ca="1" si="1047"/>
        <v>6.3847072090583081</v>
      </c>
      <c r="AF846" s="45">
        <f t="shared" ca="1" si="1035"/>
        <v>0</v>
      </c>
      <c r="AG846" s="76">
        <f t="shared" ca="1" si="1036"/>
        <v>64.326272627232811</v>
      </c>
      <c r="AH846" s="45">
        <f t="shared" ca="1" si="1037"/>
        <v>2.8351383032913416E-2</v>
      </c>
      <c r="AI846" s="77">
        <f t="shared" ca="1" si="1038"/>
        <v>1.1812913287192606E-2</v>
      </c>
      <c r="AJ846" s="384">
        <f t="shared" ca="1" si="1040"/>
        <v>1.282052726653049E-2</v>
      </c>
      <c r="AU846" s="1"/>
    </row>
    <row r="847" spans="3:47" x14ac:dyDescent="0.25">
      <c r="C847" s="10">
        <f t="shared" si="1065"/>
        <v>63</v>
      </c>
      <c r="D847" s="91">
        <f t="shared" si="1048"/>
        <v>1</v>
      </c>
      <c r="E847" s="278"/>
      <c r="F847" s="76">
        <f t="shared" ref="F847:Q847" ca="1" si="1109">F775</f>
        <v>-5.04</v>
      </c>
      <c r="G847" s="46">
        <f t="shared" ca="1" si="1109"/>
        <v>27.012600000000003</v>
      </c>
      <c r="H847" s="46">
        <f t="shared" ca="1" si="1024"/>
        <v>28.517550000000004</v>
      </c>
      <c r="I847" s="45">
        <f t="shared" ca="1" si="1025"/>
        <v>6.847402527399577E-3</v>
      </c>
      <c r="J847" s="45">
        <f t="shared" ca="1" si="1026"/>
        <v>0.27952512346894071</v>
      </c>
      <c r="K847" s="45">
        <f t="shared" ca="1" si="1042"/>
        <v>0.90345467800480783</v>
      </c>
      <c r="L847" s="358">
        <f t="shared" ca="1" si="1027"/>
        <v>0.21084054547214914</v>
      </c>
      <c r="M847" s="76">
        <f t="shared" ca="1" si="1109"/>
        <v>0.25347808785320641</v>
      </c>
      <c r="N847" s="45">
        <f t="shared" ca="1" si="1109"/>
        <v>0.25</v>
      </c>
      <c r="O847" s="45">
        <f t="shared" ca="1" si="1109"/>
        <v>0</v>
      </c>
      <c r="P847" s="46" t="str">
        <f t="shared" ca="1" si="1109"/>
        <v/>
      </c>
      <c r="Q847" s="243" t="str">
        <f t="shared" ca="1" si="1109"/>
        <v/>
      </c>
      <c r="R847" s="45">
        <f t="shared" ca="1" si="1043"/>
        <v>0.19229720120894589</v>
      </c>
      <c r="S847" s="45">
        <f t="shared" ca="1" si="1067"/>
        <v>5.0695617570641283E-2</v>
      </c>
      <c r="T847" s="77">
        <f t="shared" ca="1" si="1028"/>
        <v>1.0941555975497383E-3</v>
      </c>
      <c r="U847" s="45">
        <f t="shared" ca="1" si="1044"/>
        <v>17.732715493631371</v>
      </c>
      <c r="V847" s="45">
        <f t="shared" ca="1" si="1029"/>
        <v>0.20278247028256513</v>
      </c>
      <c r="W847" s="77">
        <f t="shared" ca="1" si="1030"/>
        <v>3.0353162144074186E-3</v>
      </c>
      <c r="X847" s="45">
        <f t="shared" ca="1" si="1045"/>
        <v>1.0404167862810079</v>
      </c>
      <c r="Y847" s="45">
        <f t="shared" ca="1" si="1031"/>
        <v>4.0974796468162464E-4</v>
      </c>
      <c r="Z847" s="77">
        <f t="shared" ca="1" si="1032"/>
        <v>3.9175461583324173E-4</v>
      </c>
      <c r="AA847" s="45">
        <f t="shared" ca="1" si="1046"/>
        <v>39.201262641873463</v>
      </c>
      <c r="AB847" s="45">
        <f t="shared" ca="1" si="1033"/>
        <v>0</v>
      </c>
      <c r="AC847" s="45" cm="1">
        <f t="array" aca="1" ref="AC847" ca="1">pHUM*(T847+W847+Z847+AD847)</f>
        <v>4.8205642903720541E-4</v>
      </c>
      <c r="AD847" s="77">
        <f t="shared" ca="1" si="1034"/>
        <v>4.4737548868016769E-4</v>
      </c>
      <c r="AE847" s="45">
        <f t="shared" ca="1" si="1047"/>
        <v>6.3847072090583081</v>
      </c>
      <c r="AF847" s="45">
        <f t="shared" ca="1" si="1035"/>
        <v>0</v>
      </c>
      <c r="AG847" s="76">
        <f t="shared" ca="1" si="1036"/>
        <v>64.551399332053094</v>
      </c>
      <c r="AH847" s="45">
        <f t="shared" ca="1" si="1037"/>
        <v>4.0767975227517361E-3</v>
      </c>
      <c r="AI847" s="77">
        <f t="shared" ca="1" si="1038"/>
        <v>1.2483500255806393E-2</v>
      </c>
      <c r="AJ847" s="384">
        <f t="shared" ca="1" si="1040"/>
        <v>8.3935085357345063E-3</v>
      </c>
      <c r="AU847" s="1"/>
    </row>
    <row r="848" spans="3:47" x14ac:dyDescent="0.25">
      <c r="C848" s="10">
        <f t="shared" si="1065"/>
        <v>63</v>
      </c>
      <c r="D848" s="91">
        <f t="shared" si="1048"/>
        <v>2</v>
      </c>
      <c r="E848" s="278"/>
      <c r="F848" s="76">
        <f t="shared" ref="F848:Q848" ca="1" si="1110">F776</f>
        <v>-4.4400000000000004</v>
      </c>
      <c r="G848" s="46">
        <f t="shared" ca="1" si="1110"/>
        <v>27.012600000000003</v>
      </c>
      <c r="H848" s="46">
        <f t="shared" ca="1" si="1024"/>
        <v>28.517550000000004</v>
      </c>
      <c r="I848" s="45">
        <f t="shared" ca="1" si="1025"/>
        <v>9.6941753008840392E-3</v>
      </c>
      <c r="J848" s="45">
        <f t="shared" ca="1" si="1026"/>
        <v>0.27952512346894071</v>
      </c>
      <c r="K848" s="45">
        <f t="shared" ca="1" si="1042"/>
        <v>0.90345467800480783</v>
      </c>
      <c r="L848" s="358">
        <f t="shared" ca="1" si="1027"/>
        <v>0.22612365929309886</v>
      </c>
      <c r="M848" s="76">
        <f t="shared" ca="1" si="1110"/>
        <v>0.25347808785320641</v>
      </c>
      <c r="N848" s="45">
        <f t="shared" ca="1" si="1110"/>
        <v>0.25</v>
      </c>
      <c r="O848" s="45">
        <f t="shared" ca="1" si="1110"/>
        <v>0</v>
      </c>
      <c r="P848" s="46" t="str">
        <f t="shared" ca="1" si="1110"/>
        <v/>
      </c>
      <c r="Q848" s="243" t="str">
        <f t="shared" ca="1" si="1110"/>
        <v/>
      </c>
      <c r="R848" s="45">
        <f t="shared" ca="1" si="1043"/>
        <v>0.24189866318203743</v>
      </c>
      <c r="S848" s="45">
        <f t="shared" ca="1" si="1067"/>
        <v>5.0695617570641283E-2</v>
      </c>
      <c r="T848" s="77">
        <f t="shared" ca="1" si="1028"/>
        <v>1.9463012095627269E-3</v>
      </c>
      <c r="U848" s="45">
        <f t="shared" ca="1" si="1044"/>
        <v>17.932462647699527</v>
      </c>
      <c r="V848" s="45">
        <f t="shared" ca="1" si="1029"/>
        <v>0.20278247028256513</v>
      </c>
      <c r="W848" s="77">
        <f t="shared" ca="1" si="1030"/>
        <v>4.3454843172308303E-3</v>
      </c>
      <c r="X848" s="45">
        <f t="shared" ca="1" si="1045"/>
        <v>1.0404347796298563</v>
      </c>
      <c r="Y848" s="45">
        <f t="shared" ca="1" si="1031"/>
        <v>6.1683554377954465E-4</v>
      </c>
      <c r="Z848" s="77">
        <f t="shared" ca="1" si="1032"/>
        <v>5.5459078146250624E-4</v>
      </c>
      <c r="AA848" s="45">
        <f t="shared" ca="1" si="1046"/>
        <v>39.201297322813815</v>
      </c>
      <c r="AB848" s="45">
        <f t="shared" ca="1" si="1033"/>
        <v>0</v>
      </c>
      <c r="AC848" s="45" cm="1">
        <f t="array" aca="1" ref="AC848" ca="1">pHUM*(T848+W848+Z848+AD848)</f>
        <v>7.2568887503475846E-4</v>
      </c>
      <c r="AD848" s="77">
        <f t="shared" ca="1" si="1034"/>
        <v>6.3336863044442717E-4</v>
      </c>
      <c r="AE848" s="45">
        <f t="shared" ca="1" si="1047"/>
        <v>6.3847072090583081</v>
      </c>
      <c r="AF848" s="45">
        <f t="shared" ca="1" si="1035"/>
        <v>0</v>
      </c>
      <c r="AG848" s="76">
        <f t="shared" ca="1" si="1036"/>
        <v>64.800800622383548</v>
      </c>
      <c r="AH848" s="45">
        <f t="shared" ca="1" si="1037"/>
        <v>6.1372205198861884E-3</v>
      </c>
      <c r="AI848" s="77">
        <f t="shared" ca="1" si="1038"/>
        <v>1.3223294280618811E-2</v>
      </c>
      <c r="AJ848" s="384">
        <f t="shared" ca="1" si="1040"/>
        <v>9.5353849609314256E-3</v>
      </c>
      <c r="AU848" s="1"/>
    </row>
    <row r="849" spans="3:47" x14ac:dyDescent="0.25">
      <c r="C849" s="10">
        <f t="shared" si="1065"/>
        <v>63</v>
      </c>
      <c r="D849" s="91">
        <f t="shared" si="1048"/>
        <v>3</v>
      </c>
      <c r="E849" s="278"/>
      <c r="F849" s="76">
        <f t="shared" ref="F849:Q849" ca="1" si="1111">F777</f>
        <v>-0.82</v>
      </c>
      <c r="G849" s="46">
        <f t="shared" ca="1" si="1111"/>
        <v>27.012600000000003</v>
      </c>
      <c r="H849" s="46">
        <f t="shared" ca="1" si="1024"/>
        <v>28.517550000000004</v>
      </c>
      <c r="I849" s="45">
        <f t="shared" ca="1" si="1025"/>
        <v>4.749388171975074E-2</v>
      </c>
      <c r="J849" s="45">
        <f t="shared" ca="1" si="1026"/>
        <v>0.27952512346894071</v>
      </c>
      <c r="K849" s="45">
        <f t="shared" ca="1" si="1042"/>
        <v>0.90345467800480783</v>
      </c>
      <c r="L849" s="358">
        <f t="shared" ca="1" si="1027"/>
        <v>0.33399301288143546</v>
      </c>
      <c r="M849" s="76">
        <f t="shared" ca="1" si="1111"/>
        <v>0.25347808785320641</v>
      </c>
      <c r="N849" s="45">
        <f t="shared" ca="1" si="1111"/>
        <v>0.25</v>
      </c>
      <c r="O849" s="45">
        <f t="shared" ca="1" si="1111"/>
        <v>0</v>
      </c>
      <c r="P849" s="46" t="str">
        <f t="shared" ca="1" si="1111"/>
        <v/>
      </c>
      <c r="Q849" s="243" t="str">
        <f t="shared" ca="1" si="1111"/>
        <v/>
      </c>
      <c r="R849" s="45">
        <f t="shared" ca="1" si="1043"/>
        <v>0.29064797954311594</v>
      </c>
      <c r="S849" s="45">
        <f t="shared" ca="1" si="1067"/>
        <v>5.0695617570641283E-2</v>
      </c>
      <c r="T849" s="77">
        <f t="shared" ca="1" si="1028"/>
        <v>1.1278666868164679E-2</v>
      </c>
      <c r="U849" s="45">
        <f t="shared" ca="1" si="1044"/>
        <v>18.13089963366486</v>
      </c>
      <c r="V849" s="45">
        <f t="shared" ca="1" si="1029"/>
        <v>0.20278247028256513</v>
      </c>
      <c r="W849" s="77">
        <f t="shared" ca="1" si="1030"/>
        <v>2.1514894715909769E-2</v>
      </c>
      <c r="X849" s="45">
        <f t="shared" ca="1" si="1045"/>
        <v>1.0404970243921732</v>
      </c>
      <c r="Y849" s="45">
        <f t="shared" ca="1" si="1031"/>
        <v>3.1841414101086733E-3</v>
      </c>
      <c r="Z849" s="77">
        <f t="shared" ca="1" si="1032"/>
        <v>2.7144015695447369E-3</v>
      </c>
      <c r="AA849" s="45">
        <f t="shared" ca="1" si="1046"/>
        <v>39.201389643058405</v>
      </c>
      <c r="AB849" s="45">
        <f t="shared" ca="1" si="1033"/>
        <v>0</v>
      </c>
      <c r="AC849" s="45" cm="1">
        <f t="array" aca="1" ref="AC849" ca="1">pHUM*(T849+W849+Z849+AD849)</f>
        <v>3.7460487177749099E-3</v>
      </c>
      <c r="AD849" s="77">
        <f t="shared" ca="1" si="1034"/>
        <v>3.1029207951809054E-3</v>
      </c>
      <c r="AE849" s="45">
        <f t="shared" ca="1" si="1047"/>
        <v>6.3847072090583081</v>
      </c>
      <c r="AF849" s="45">
        <f t="shared" ca="1" si="1035"/>
        <v>0</v>
      </c>
      <c r="AG849" s="76">
        <f t="shared" ca="1" si="1036"/>
        <v>65.048141489716869</v>
      </c>
      <c r="AH849" s="45">
        <f t="shared" ca="1" si="1037"/>
        <v>3.1680693820916504E-2</v>
      </c>
      <c r="AI849" s="77">
        <f t="shared" ca="1" si="1038"/>
        <v>1.3944668194737138E-2</v>
      </c>
      <c r="AJ849" s="384">
        <f t="shared" ca="1" si="1040"/>
        <v>1.485237653659599E-2</v>
      </c>
      <c r="AU849" s="1"/>
    </row>
    <row r="850" spans="3:47" x14ac:dyDescent="0.25">
      <c r="C850" s="10">
        <f t="shared" si="1065"/>
        <v>63</v>
      </c>
      <c r="D850" s="91">
        <f t="shared" si="1048"/>
        <v>4</v>
      </c>
      <c r="E850" s="278"/>
      <c r="F850" s="76">
        <f t="shared" ref="F850:Q850" ca="1" si="1112">F778</f>
        <v>6.18</v>
      </c>
      <c r="G850" s="46">
        <f t="shared" ca="1" si="1112"/>
        <v>27.012600000000003</v>
      </c>
      <c r="H850" s="46">
        <f t="shared" ref="H850:H913" ca="1" si="1113">FC-G850</f>
        <v>28.517550000000004</v>
      </c>
      <c r="I850" s="45">
        <f t="shared" ref="I850:I913" ca="1" si="1114">PRODUCT(47.91/(1+EXP(106.06/(F850+18.27))), IF(IF(H850&lt;=0,1-((1-RM_PWP)*(G850-FC)/(WSAT-FC)),IF(H850&lt;=Wat1bar,1,1-((1-RM_PWP)*(H850-Wat1bar)/(FC-Wat1bar))))&lt;=RM_PWP,RM_PWP,IF(H850&lt;=0,1-((1-RM_PWP)*(G850-FC)/(WSAT-FC)),IF(H850&lt;=Wat1bar,1,1-((1-RM_PWP)*(H850-Wat1bar)/(FC-Wat1bar))))),0.56+(ATAN(3.14*0.45*(SoilpH-5)))/3.14,EXP(-0.09*SoilSal))</f>
        <v>0.26773980091806004</v>
      </c>
      <c r="J850" s="45">
        <f t="shared" ref="J850:J913" ca="1" si="1115">POWER(((G850/150)-$J$9),$M$9)*POWER(($L$9-(G850/150)),$N$9)</f>
        <v>0.27952512346894071</v>
      </c>
      <c r="K850" s="45">
        <f t="shared" ca="1" si="1042"/>
        <v>0.90345467800480783</v>
      </c>
      <c r="L850" s="358">
        <f t="shared" ref="L850:L913" ca="1" si="1116">1/(1+EXP(-(F850-3.8)/6.7))+1/(1+EXP((F850-62.2)/7.1))-1</f>
        <v>0.58750950384279488</v>
      </c>
      <c r="M850" s="76">
        <f t="shared" ca="1" si="1112"/>
        <v>0.25347808785320641</v>
      </c>
      <c r="N850" s="45">
        <f t="shared" ca="1" si="1112"/>
        <v>0.25</v>
      </c>
      <c r="O850" s="45">
        <f t="shared" ca="1" si="1112"/>
        <v>0</v>
      </c>
      <c r="P850" s="46" t="str">
        <f t="shared" ca="1" si="1112"/>
        <v/>
      </c>
      <c r="Q850" s="243" t="str">
        <f t="shared" ca="1" si="1112"/>
        <v/>
      </c>
      <c r="R850" s="45">
        <f t="shared" ca="1" si="1043"/>
        <v>0.33006493024559252</v>
      </c>
      <c r="S850" s="45">
        <f t="shared" ca="1" si="1067"/>
        <v>5.0695617570641283E-2</v>
      </c>
      <c r="T850" s="77">
        <f t="shared" ref="T850:T913" ca="1" si="1117">R850*(1-EXP(-kDPM*I850))</f>
        <v>6.6005843202412762E-2</v>
      </c>
      <c r="U850" s="45">
        <f t="shared" ca="1" si="1044"/>
        <v>18.312167209231514</v>
      </c>
      <c r="V850" s="45">
        <f t="shared" ref="V850:V913" ca="1" si="1118">M850*1/(1+N850)</f>
        <v>0.20278247028256513</v>
      </c>
      <c r="W850" s="77">
        <f t="shared" ref="W850:W913" ca="1" si="1119">U850*(1-EXP(-kRPM*I850))</f>
        <v>0.12216309493598734</v>
      </c>
      <c r="X850" s="45">
        <f t="shared" ca="1" si="1045"/>
        <v>1.0409667642327369</v>
      </c>
      <c r="Y850" s="45">
        <f t="shared" ref="Y850:Y913" ca="1" si="1120">pBIO*(T850+W850+Z850+AD850)</f>
        <v>1.8214992676939327E-2</v>
      </c>
      <c r="Z850" s="77">
        <f t="shared" ref="Z850:Z913" ca="1" si="1121">X850*(1-EXP(-kBIO*I850))</f>
        <v>1.5216640155132365E-2</v>
      </c>
      <c r="AA850" s="45">
        <f t="shared" ca="1" si="1046"/>
        <v>39.202032770980999</v>
      </c>
      <c r="AB850" s="45">
        <f t="shared" ref="AB850:AB913" ca="1" si="1122">IF(O850&gt;0,O850*(1-Q850)/(1+P850),0)</f>
        <v>0</v>
      </c>
      <c r="AC850" s="45" cm="1">
        <f t="array" aca="1" ref="AC850" ca="1">pHUM*(T850+W850+Z850+AD850)</f>
        <v>2.1429403149340383E-2</v>
      </c>
      <c r="AD850" s="77">
        <f t="shared" ref="AD850:AD913" ca="1" si="1123">AA850*(1-EXP(-kHUM*I850))</f>
        <v>1.7489338299303325E-2</v>
      </c>
      <c r="AE850" s="45">
        <f t="shared" ca="1" si="1047"/>
        <v>6.3847072090583081</v>
      </c>
      <c r="AF850" s="45">
        <f t="shared" ref="AF850:AF913" ca="1" si="1124">IF(O850&gt;0,O850*Q850,0)</f>
        <v>0</v>
      </c>
      <c r="AG850" s="76">
        <f t="shared" ref="AG850:AG913" ca="1" si="1125">R850+U850+X850+AA850+AE850</f>
        <v>65.269938883749148</v>
      </c>
      <c r="AH850" s="45">
        <f t="shared" ref="AH850:AH913" ca="1" si="1126">p_CO2*(T850+W850+Z850+AD850)</f>
        <v>0.1812305207665561</v>
      </c>
      <c r="AI850" s="77">
        <f t="shared" ref="AI850:AI913" ca="1" si="1127">((kRPM*U850)+(kDPM*R850)+(kBIO*X850)+(kHUM*AA850))/(U850+R850+AA850+X850)</f>
        <v>1.4527380766920311E-2</v>
      </c>
      <c r="AJ850" s="384">
        <f t="shared" ca="1" si="1040"/>
        <v>2.7217456295055564E-2</v>
      </c>
      <c r="AU850" s="1"/>
    </row>
    <row r="851" spans="3:47" x14ac:dyDescent="0.25">
      <c r="C851" s="10">
        <f t="shared" si="1065"/>
        <v>63</v>
      </c>
      <c r="D851" s="91">
        <f t="shared" si="1048"/>
        <v>5</v>
      </c>
      <c r="E851" s="278"/>
      <c r="F851" s="76">
        <f t="shared" ref="F851:Q851" ca="1" si="1128">F779</f>
        <v>13.58</v>
      </c>
      <c r="G851" s="46">
        <f t="shared" ca="1" si="1128"/>
        <v>27.012600000000003</v>
      </c>
      <c r="H851" s="46">
        <f t="shared" ca="1" si="1113"/>
        <v>28.517550000000004</v>
      </c>
      <c r="I851" s="45">
        <f t="shared" ca="1" si="1114"/>
        <v>0.71743035359667851</v>
      </c>
      <c r="J851" s="45">
        <f t="shared" ca="1" si="1115"/>
        <v>0.27952512346894071</v>
      </c>
      <c r="K851" s="45">
        <f t="shared" ca="1" si="1042"/>
        <v>0.90345467800480783</v>
      </c>
      <c r="L851" s="358">
        <f t="shared" ca="1" si="1116"/>
        <v>0.81042644426030708</v>
      </c>
      <c r="M851" s="76">
        <f t="shared" ca="1" si="1128"/>
        <v>0.25347808785320641</v>
      </c>
      <c r="N851" s="45">
        <f t="shared" ca="1" si="1128"/>
        <v>0.25</v>
      </c>
      <c r="O851" s="45">
        <f t="shared" ca="1" si="1128"/>
        <v>0</v>
      </c>
      <c r="P851" s="46" t="str">
        <f t="shared" ca="1" si="1128"/>
        <v/>
      </c>
      <c r="Q851" s="243" t="str">
        <f t="shared" ca="1" si="1128"/>
        <v/>
      </c>
      <c r="R851" s="45">
        <f t="shared" ca="1" si="1043"/>
        <v>0.31475470461382105</v>
      </c>
      <c r="S851" s="45">
        <f t="shared" ca="1" si="1067"/>
        <v>5.0695617570641283E-2</v>
      </c>
      <c r="T851" s="77">
        <f t="shared" ca="1" si="1117"/>
        <v>0.14164336103755834</v>
      </c>
      <c r="U851" s="45">
        <f t="shared" ca="1" si="1044"/>
        <v>18.39278658457809</v>
      </c>
      <c r="V851" s="45">
        <f t="shared" ca="1" si="1118"/>
        <v>0.20278247028256513</v>
      </c>
      <c r="W851" s="77">
        <f t="shared" ca="1" si="1119"/>
        <v>0.32694779155843012</v>
      </c>
      <c r="X851" s="45">
        <f t="shared" ca="1" si="1045"/>
        <v>1.0439651167545438</v>
      </c>
      <c r="Y851" s="45">
        <f t="shared" ca="1" si="1120"/>
        <v>4.583819457128125E-2</v>
      </c>
      <c r="Z851" s="77">
        <f t="shared" ca="1" si="1121"/>
        <v>4.0391339602896051E-2</v>
      </c>
      <c r="AA851" s="45">
        <f t="shared" ca="1" si="1046"/>
        <v>39.205972835831034</v>
      </c>
      <c r="AB851" s="45">
        <f t="shared" ca="1" si="1122"/>
        <v>0</v>
      </c>
      <c r="AC851" s="45" cm="1">
        <f t="array" aca="1" ref="AC851" ca="1">pHUM*(T851+W851+Z851+AD851)</f>
        <v>5.3927287730919114E-2</v>
      </c>
      <c r="AD851" s="77">
        <f t="shared" ca="1" si="1123"/>
        <v>4.685124225634929E-2</v>
      </c>
      <c r="AE851" s="45">
        <f t="shared" ca="1" si="1047"/>
        <v>6.3847072090583081</v>
      </c>
      <c r="AF851" s="45">
        <f t="shared" ca="1" si="1124"/>
        <v>0</v>
      </c>
      <c r="AG851" s="76">
        <f t="shared" ca="1" si="1125"/>
        <v>65.342186450835797</v>
      </c>
      <c r="AH851" s="45">
        <f t="shared" ca="1" si="1126"/>
        <v>0.45606825215303354</v>
      </c>
      <c r="AI851" s="77">
        <f t="shared" ca="1" si="1127"/>
        <v>1.4330270427762321E-2</v>
      </c>
      <c r="AJ851" s="384">
        <f t="shared" ref="AJ851:AJ914" ca="1" si="1129">(530)*(1-EXP((-$AJ$9*L851*K851*AI851)))</f>
        <v>3.7034738753880525E-2</v>
      </c>
      <c r="AU851" s="1"/>
    </row>
    <row r="852" spans="3:47" x14ac:dyDescent="0.25">
      <c r="C852" s="10">
        <f t="shared" si="1065"/>
        <v>63</v>
      </c>
      <c r="D852" s="91">
        <f t="shared" si="1048"/>
        <v>6</v>
      </c>
      <c r="E852" s="278"/>
      <c r="F852" s="76">
        <f t="shared" ref="F852:Q852" ca="1" si="1130">F780</f>
        <v>18.37</v>
      </c>
      <c r="G852" s="46">
        <f t="shared" ca="1" si="1130"/>
        <v>27.012600000000003</v>
      </c>
      <c r="H852" s="46">
        <f t="shared" ca="1" si="1113"/>
        <v>28.517550000000004</v>
      </c>
      <c r="I852" s="45">
        <f t="shared" ca="1" si="1114"/>
        <v>1.0882596087882719</v>
      </c>
      <c r="J852" s="45">
        <f t="shared" ca="1" si="1115"/>
        <v>0.27952512346894071</v>
      </c>
      <c r="K852" s="45">
        <f t="shared" ref="K852:K915" ca="1" si="1131">J852/$I$15</f>
        <v>0.90345467800480783</v>
      </c>
      <c r="L852" s="358">
        <f t="shared" ca="1" si="1116"/>
        <v>0.89586760620832129</v>
      </c>
      <c r="M852" s="76">
        <f t="shared" ca="1" si="1130"/>
        <v>0.25347808785320641</v>
      </c>
      <c r="N852" s="45">
        <f t="shared" ca="1" si="1130"/>
        <v>0.25</v>
      </c>
      <c r="O852" s="45">
        <f t="shared" ca="1" si="1130"/>
        <v>0</v>
      </c>
      <c r="P852" s="46" t="str">
        <f t="shared" ca="1" si="1130"/>
        <v/>
      </c>
      <c r="Q852" s="243" t="str">
        <f t="shared" ca="1" si="1130"/>
        <v/>
      </c>
      <c r="R852" s="45">
        <f t="shared" ref="R852:R915" ca="1" si="1132">R851+S852-T851</f>
        <v>0.22380696114690399</v>
      </c>
      <c r="S852" s="45">
        <f t="shared" ca="1" si="1067"/>
        <v>5.0695617570641283E-2</v>
      </c>
      <c r="T852" s="77">
        <f t="shared" ca="1" si="1117"/>
        <v>0.1334379969187959</v>
      </c>
      <c r="U852" s="45">
        <f t="shared" ref="U852:U915" ca="1" si="1133">U851+V852-W851</f>
        <v>18.268621263302222</v>
      </c>
      <c r="V852" s="45">
        <f t="shared" ca="1" si="1118"/>
        <v>0.20278247028256513</v>
      </c>
      <c r="W852" s="77">
        <f t="shared" ca="1" si="1119"/>
        <v>0.49032481289999408</v>
      </c>
      <c r="X852" s="45">
        <f t="shared" ref="X852:X915" ca="1" si="1134">X851+Y851-Z851</f>
        <v>1.0494119717229291</v>
      </c>
      <c r="Y852" s="45">
        <f t="shared" ca="1" si="1120"/>
        <v>6.2328129796160085E-2</v>
      </c>
      <c r="Z852" s="77">
        <f t="shared" ca="1" si="1121"/>
        <v>6.096896871620807E-2</v>
      </c>
      <c r="AA852" s="45">
        <f t="shared" ref="AA852:AA915" ca="1" si="1135">AA851+AC851+AB852-AD851</f>
        <v>39.213048881305603</v>
      </c>
      <c r="AB852" s="45">
        <f t="shared" ca="1" si="1122"/>
        <v>0</v>
      </c>
      <c r="AC852" s="45" cm="1">
        <f t="array" aca="1" ref="AC852" ca="1">pHUM*(T852+W852+Z852+AD852)</f>
        <v>7.3327211524894215E-2</v>
      </c>
      <c r="AD852" s="77">
        <f t="shared" ca="1" si="1123"/>
        <v>7.1058833862191792E-2</v>
      </c>
      <c r="AE852" s="45">
        <f t="shared" ref="AE852:AE915" ca="1" si="1136">AE851+AF852</f>
        <v>6.3847072090583081</v>
      </c>
      <c r="AF852" s="45">
        <f t="shared" ca="1" si="1124"/>
        <v>0</v>
      </c>
      <c r="AG852" s="76">
        <f t="shared" ca="1" si="1125"/>
        <v>65.139596286535962</v>
      </c>
      <c r="AH852" s="45">
        <f t="shared" ca="1" si="1126"/>
        <v>0.62013527107613553</v>
      </c>
      <c r="AI852" s="77">
        <f t="shared" ca="1" si="1127"/>
        <v>1.304221800915039E-2</v>
      </c>
      <c r="AJ852" s="384">
        <f t="shared" ca="1" si="1129"/>
        <v>3.7259454498557165E-2</v>
      </c>
      <c r="AU852" s="1"/>
    </row>
    <row r="853" spans="3:47" x14ac:dyDescent="0.25">
      <c r="C853" s="10">
        <f t="shared" si="1065"/>
        <v>63</v>
      </c>
      <c r="D853" s="91">
        <f t="shared" ref="D853:D916" si="1137">IF(D852+1&lt;13,D852+1,1)</f>
        <v>7</v>
      </c>
      <c r="E853" s="278"/>
      <c r="F853" s="76">
        <f t="shared" ref="F853:Q853" ca="1" si="1138">F781</f>
        <v>22.71</v>
      </c>
      <c r="G853" s="46">
        <f t="shared" ca="1" si="1138"/>
        <v>27.012600000000003</v>
      </c>
      <c r="H853" s="46">
        <f t="shared" ca="1" si="1113"/>
        <v>28.517550000000004</v>
      </c>
      <c r="I853" s="45">
        <f t="shared" ca="1" si="1114"/>
        <v>1.4513708414333564</v>
      </c>
      <c r="J853" s="45">
        <f t="shared" ca="1" si="1115"/>
        <v>0.27952512346894071</v>
      </c>
      <c r="K853" s="45">
        <f t="shared" ca="1" si="1131"/>
        <v>0.90345467800480783</v>
      </c>
      <c r="L853" s="358">
        <f t="shared" ca="1" si="1116"/>
        <v>0.94004721434733285</v>
      </c>
      <c r="M853" s="76">
        <f t="shared" ca="1" si="1138"/>
        <v>0.25347808785320641</v>
      </c>
      <c r="N853" s="45">
        <f t="shared" ca="1" si="1138"/>
        <v>0.25</v>
      </c>
      <c r="O853" s="45">
        <f t="shared" ca="1" si="1138"/>
        <v>0</v>
      </c>
      <c r="P853" s="46" t="str">
        <f t="shared" ca="1" si="1138"/>
        <v/>
      </c>
      <c r="Q853" s="243" t="str">
        <f t="shared" ca="1" si="1138"/>
        <v/>
      </c>
      <c r="R853" s="45">
        <f t="shared" ca="1" si="1132"/>
        <v>0.14106458179874934</v>
      </c>
      <c r="S853" s="45">
        <f t="shared" ca="1" si="1067"/>
        <v>5.0695617570641283E-2</v>
      </c>
      <c r="T853" s="77">
        <f t="shared" ca="1" si="1117"/>
        <v>9.8977446831495092E-2</v>
      </c>
      <c r="U853" s="45">
        <f t="shared" ca="1" si="1133"/>
        <v>17.981078920684791</v>
      </c>
      <c r="V853" s="45">
        <f t="shared" ca="1" si="1118"/>
        <v>0.20278247028256513</v>
      </c>
      <c r="W853" s="77">
        <f t="shared" ca="1" si="1119"/>
        <v>0.64073573151546737</v>
      </c>
      <c r="X853" s="45">
        <f t="shared" ca="1" si="1134"/>
        <v>1.050771132802881</v>
      </c>
      <c r="Y853" s="45">
        <f t="shared" ca="1" si="1120"/>
        <v>7.5464009846820182E-2</v>
      </c>
      <c r="Z853" s="77">
        <f t="shared" ca="1" si="1121"/>
        <v>8.0617746197346823E-2</v>
      </c>
      <c r="AA853" s="45">
        <f t="shared" ca="1" si="1135"/>
        <v>39.215317258968305</v>
      </c>
      <c r="AB853" s="45">
        <f t="shared" ca="1" si="1122"/>
        <v>0</v>
      </c>
      <c r="AC853" s="45" cm="1">
        <f t="array" aca="1" ref="AC853" ca="1">pHUM*(T853+W853+Z853+AD853)</f>
        <v>8.8781188055082574E-2</v>
      </c>
      <c r="AD853" s="77">
        <f t="shared" ca="1" si="1123"/>
        <v>9.4745308331678602E-2</v>
      </c>
      <c r="AE853" s="45">
        <f t="shared" ca="1" si="1136"/>
        <v>6.3847072090583081</v>
      </c>
      <c r="AF853" s="45">
        <f t="shared" ca="1" si="1124"/>
        <v>0</v>
      </c>
      <c r="AG853" s="76">
        <f t="shared" ca="1" si="1125"/>
        <v>64.772939103313036</v>
      </c>
      <c r="AH853" s="45">
        <f t="shared" ca="1" si="1126"/>
        <v>0.75083103497408521</v>
      </c>
      <c r="AI853" s="77">
        <f t="shared" ca="1" si="1127"/>
        <v>1.1821424338302331E-2</v>
      </c>
      <c r="AJ853" s="384">
        <f t="shared" ca="1" si="1129"/>
        <v>3.5437365177534152E-2</v>
      </c>
      <c r="AU853" s="1"/>
    </row>
    <row r="854" spans="3:47" x14ac:dyDescent="0.25">
      <c r="C854" s="10">
        <f t="shared" si="1065"/>
        <v>63</v>
      </c>
      <c r="D854" s="91">
        <f t="shared" si="1137"/>
        <v>8</v>
      </c>
      <c r="E854" s="278"/>
      <c r="F854" s="76">
        <f t="shared" ref="F854:Q854" ca="1" si="1139">F782</f>
        <v>19.329999999999998</v>
      </c>
      <c r="G854" s="46">
        <f t="shared" ca="1" si="1139"/>
        <v>27.012600000000003</v>
      </c>
      <c r="H854" s="46">
        <f t="shared" ca="1" si="1113"/>
        <v>28.517550000000004</v>
      </c>
      <c r="I854" s="45">
        <f t="shared" ca="1" si="1114"/>
        <v>1.1670427279291871</v>
      </c>
      <c r="J854" s="45">
        <f t="shared" ca="1" si="1115"/>
        <v>0.27952512346894071</v>
      </c>
      <c r="K854" s="45">
        <f t="shared" ca="1" si="1131"/>
        <v>0.90345467800480783</v>
      </c>
      <c r="L854" s="358">
        <f t="shared" ca="1" si="1116"/>
        <v>0.9079689727892073</v>
      </c>
      <c r="M854" s="76">
        <f t="shared" ca="1" si="1139"/>
        <v>0.25347808785320641</v>
      </c>
      <c r="N854" s="45">
        <f t="shared" ca="1" si="1139"/>
        <v>0.25</v>
      </c>
      <c r="O854" s="45">
        <f t="shared" ca="1" si="1139"/>
        <v>0</v>
      </c>
      <c r="P854" s="46" t="str">
        <f t="shared" ca="1" si="1139"/>
        <v/>
      </c>
      <c r="Q854" s="243" t="str">
        <f t="shared" ca="1" si="1139"/>
        <v/>
      </c>
      <c r="R854" s="45">
        <f t="shared" ca="1" si="1132"/>
        <v>9.278275253789553E-2</v>
      </c>
      <c r="S854" s="45">
        <f t="shared" ca="1" si="1067"/>
        <v>5.0695617570641283E-2</v>
      </c>
      <c r="T854" s="77">
        <f t="shared" ca="1" si="1117"/>
        <v>5.7699455138857644E-2</v>
      </c>
      <c r="U854" s="45">
        <f t="shared" ca="1" si="1133"/>
        <v>17.543125659451889</v>
      </c>
      <c r="V854" s="45">
        <f t="shared" ca="1" si="1118"/>
        <v>0.20278247028256513</v>
      </c>
      <c r="W854" s="77">
        <f t="shared" ca="1" si="1119"/>
        <v>0.50444478960986605</v>
      </c>
      <c r="X854" s="45">
        <f t="shared" ca="1" si="1134"/>
        <v>1.0456173964523545</v>
      </c>
      <c r="Y854" s="45">
        <f t="shared" ca="1" si="1120"/>
        <v>5.8002817213314177E-2</v>
      </c>
      <c r="Z854" s="77">
        <f t="shared" ca="1" si="1121"/>
        <v>6.5006785627892999E-2</v>
      </c>
      <c r="AA854" s="45">
        <f t="shared" ca="1" si="1135"/>
        <v>39.209353138691704</v>
      </c>
      <c r="AB854" s="45">
        <f t="shared" ca="1" si="1122"/>
        <v>0</v>
      </c>
      <c r="AC854" s="45" cm="1">
        <f t="array" aca="1" ref="AC854" ca="1">pHUM*(T854+W854+Z854+AD854)</f>
        <v>6.8238608486251975E-2</v>
      </c>
      <c r="AD854" s="77">
        <f t="shared" ca="1" si="1123"/>
        <v>7.6190861731844417E-2</v>
      </c>
      <c r="AE854" s="45">
        <f t="shared" ca="1" si="1136"/>
        <v>6.3847072090583081</v>
      </c>
      <c r="AF854" s="45">
        <f t="shared" ca="1" si="1124"/>
        <v>0</v>
      </c>
      <c r="AG854" s="76">
        <f t="shared" ca="1" si="1125"/>
        <v>64.275586156192148</v>
      </c>
      <c r="AH854" s="45">
        <f t="shared" ca="1" si="1126"/>
        <v>0.57710046640889501</v>
      </c>
      <c r="AI854" s="77">
        <f t="shared" ca="1" si="1127"/>
        <v>1.1033775825386168E-2</v>
      </c>
      <c r="AJ854" s="384">
        <f t="shared" ca="1" si="1129"/>
        <v>3.1947622509860274E-2</v>
      </c>
      <c r="AU854" s="1"/>
    </row>
    <row r="855" spans="3:47" x14ac:dyDescent="0.25">
      <c r="C855" s="10">
        <f t="shared" si="1065"/>
        <v>63</v>
      </c>
      <c r="D855" s="91">
        <f t="shared" si="1137"/>
        <v>9</v>
      </c>
      <c r="E855" s="278"/>
      <c r="F855" s="76">
        <f t="shared" ref="F855:Q855" ca="1" si="1140">F783</f>
        <v>15.36</v>
      </c>
      <c r="G855" s="46">
        <f t="shared" ca="1" si="1140"/>
        <v>27.012600000000003</v>
      </c>
      <c r="H855" s="46">
        <f t="shared" ca="1" si="1113"/>
        <v>28.517550000000004</v>
      </c>
      <c r="I855" s="45">
        <f t="shared" ca="1" si="1114"/>
        <v>0.85004563012661705</v>
      </c>
      <c r="J855" s="45">
        <f t="shared" ca="1" si="1115"/>
        <v>0.27952512346894071</v>
      </c>
      <c r="K855" s="45">
        <f t="shared" ca="1" si="1131"/>
        <v>0.90345467800480783</v>
      </c>
      <c r="L855" s="358">
        <f t="shared" ca="1" si="1116"/>
        <v>0.84745728919304408</v>
      </c>
      <c r="M855" s="76">
        <f t="shared" ca="1" si="1140"/>
        <v>0.25347808785320641</v>
      </c>
      <c r="N855" s="45">
        <f t="shared" ca="1" si="1140"/>
        <v>0.25</v>
      </c>
      <c r="O855" s="45">
        <f t="shared" ca="1" si="1140"/>
        <v>0</v>
      </c>
      <c r="P855" s="46" t="str">
        <f t="shared" ca="1" si="1140"/>
        <v/>
      </c>
      <c r="Q855" s="243" t="str">
        <f t="shared" ca="1" si="1140"/>
        <v/>
      </c>
      <c r="R855" s="45">
        <f t="shared" ca="1" si="1132"/>
        <v>8.5778914969679168E-2</v>
      </c>
      <c r="S855" s="45">
        <f t="shared" ca="1" si="1067"/>
        <v>5.0695617570641283E-2</v>
      </c>
      <c r="T855" s="77">
        <f t="shared" ca="1" si="1117"/>
        <v>4.3537468977546526E-2</v>
      </c>
      <c r="U855" s="45">
        <f t="shared" ca="1" si="1133"/>
        <v>17.241463340124586</v>
      </c>
      <c r="V855" s="45">
        <f t="shared" ca="1" si="1118"/>
        <v>0.20278247028256513</v>
      </c>
      <c r="W855" s="77">
        <f t="shared" ca="1" si="1119"/>
        <v>0.36253497966229348</v>
      </c>
      <c r="X855" s="45">
        <f t="shared" ca="1" si="1134"/>
        <v>1.0386134280377757</v>
      </c>
      <c r="Y855" s="45">
        <f t="shared" ca="1" si="1120"/>
        <v>4.1976891767303806E-2</v>
      </c>
      <c r="Z855" s="77">
        <f t="shared" ca="1" si="1121"/>
        <v>4.7440169922046263E-2</v>
      </c>
      <c r="AA855" s="45">
        <f t="shared" ca="1" si="1135"/>
        <v>39.201400885446112</v>
      </c>
      <c r="AB855" s="45">
        <f t="shared" ca="1" si="1122"/>
        <v>0</v>
      </c>
      <c r="AC855" s="45" cm="1">
        <f t="array" aca="1" ref="AC855" ca="1">pHUM*(T855+W855+Z855+AD855)</f>
        <v>4.9384578549769187E-2</v>
      </c>
      <c r="AD855" s="77">
        <f t="shared" ca="1" si="1123"/>
        <v>5.5498976027875777E-2</v>
      </c>
      <c r="AE855" s="45">
        <f t="shared" ca="1" si="1136"/>
        <v>6.3847072090583081</v>
      </c>
      <c r="AF855" s="45">
        <f t="shared" ca="1" si="1124"/>
        <v>0</v>
      </c>
      <c r="AG855" s="76">
        <f t="shared" ca="1" si="1125"/>
        <v>63.951963777636458</v>
      </c>
      <c r="AH855" s="45">
        <f t="shared" ca="1" si="1126"/>
        <v>0.41765012427268899</v>
      </c>
      <c r="AI855" s="77">
        <f t="shared" ca="1" si="1127"/>
        <v>1.0856491286578571E-2</v>
      </c>
      <c r="AJ855" s="384">
        <f t="shared" ca="1" si="1129"/>
        <v>2.9339435687760762E-2</v>
      </c>
      <c r="AU855" s="1"/>
    </row>
    <row r="856" spans="3:47" x14ac:dyDescent="0.25">
      <c r="C856" s="10">
        <f t="shared" si="1065"/>
        <v>63</v>
      </c>
      <c r="D856" s="91">
        <f t="shared" si="1137"/>
        <v>10</v>
      </c>
      <c r="E856" s="278"/>
      <c r="F856" s="76">
        <f t="shared" ref="F856:Q856" ca="1" si="1141">F784</f>
        <v>10.24</v>
      </c>
      <c r="G856" s="46">
        <f t="shared" ca="1" si="1141"/>
        <v>27.012600000000003</v>
      </c>
      <c r="H856" s="46">
        <f t="shared" ca="1" si="1113"/>
        <v>28.517550000000004</v>
      </c>
      <c r="I856" s="45">
        <f t="shared" ca="1" si="1114"/>
        <v>0.49116850915432075</v>
      </c>
      <c r="J856" s="45">
        <f t="shared" ca="1" si="1115"/>
        <v>0.27952512346894071</v>
      </c>
      <c r="K856" s="45">
        <f t="shared" ca="1" si="1131"/>
        <v>0.90345467800480783</v>
      </c>
      <c r="L856" s="358">
        <f t="shared" ca="1" si="1116"/>
        <v>0.72269796343841763</v>
      </c>
      <c r="M856" s="76">
        <f t="shared" ca="1" si="1141"/>
        <v>0.25347808785320641</v>
      </c>
      <c r="N856" s="45">
        <f t="shared" ca="1" si="1141"/>
        <v>0.25</v>
      </c>
      <c r="O856" s="45">
        <f t="shared" ca="1" si="1141"/>
        <v>0</v>
      </c>
      <c r="P856" s="46" t="str">
        <f t="shared" ca="1" si="1141"/>
        <v/>
      </c>
      <c r="Q856" s="243" t="str">
        <f t="shared" ca="1" si="1141"/>
        <v/>
      </c>
      <c r="R856" s="45">
        <f t="shared" ca="1" si="1132"/>
        <v>9.2937063562773911E-2</v>
      </c>
      <c r="S856" s="45">
        <f t="shared" ca="1" si="1067"/>
        <v>5.0695617570641283E-2</v>
      </c>
      <c r="T856" s="77">
        <f t="shared" ca="1" si="1117"/>
        <v>3.1216606232968552E-2</v>
      </c>
      <c r="U856" s="45">
        <f t="shared" ca="1" si="1133"/>
        <v>17.081710830744857</v>
      </c>
      <c r="V856" s="45">
        <f t="shared" ca="1" si="1118"/>
        <v>0.20278247028256513</v>
      </c>
      <c r="W856" s="77">
        <f t="shared" ca="1" si="1119"/>
        <v>0.20846743371028717</v>
      </c>
      <c r="X856" s="45">
        <f t="shared" ca="1" si="1134"/>
        <v>1.0331501498830331</v>
      </c>
      <c r="Y856" s="45">
        <f t="shared" ca="1" si="1120"/>
        <v>2.4681925459444729E-2</v>
      </c>
      <c r="Z856" s="77">
        <f t="shared" ca="1" si="1121"/>
        <v>2.7536185517739988E-2</v>
      </c>
      <c r="AA856" s="45">
        <f t="shared" ca="1" si="1135"/>
        <v>39.195286487968005</v>
      </c>
      <c r="AB856" s="45">
        <f t="shared" ca="1" si="1122"/>
        <v>0</v>
      </c>
      <c r="AC856" s="45" cm="1">
        <f t="array" aca="1" ref="AC856" ca="1">pHUM*(T856+W856+Z856+AD856)</f>
        <v>2.9037559364052622E-2</v>
      </c>
      <c r="AD856" s="77">
        <f t="shared" ca="1" si="1123"/>
        <v>3.2072688013921047E-2</v>
      </c>
      <c r="AE856" s="45">
        <f t="shared" ca="1" si="1136"/>
        <v>6.3847072090583081</v>
      </c>
      <c r="AF856" s="45">
        <f t="shared" ca="1" si="1124"/>
        <v>0</v>
      </c>
      <c r="AG856" s="76">
        <f t="shared" ca="1" si="1125"/>
        <v>63.787791741216978</v>
      </c>
      <c r="AH856" s="45">
        <f t="shared" ca="1" si="1126"/>
        <v>0.24557342865141943</v>
      </c>
      <c r="AI856" s="77">
        <f t="shared" ca="1" si="1127"/>
        <v>1.0916470161286438E-2</v>
      </c>
      <c r="AJ856" s="384">
        <f t="shared" ca="1" si="1129"/>
        <v>2.5158527843937017E-2</v>
      </c>
      <c r="AU856" s="1"/>
    </row>
    <row r="857" spans="3:47" x14ac:dyDescent="0.25">
      <c r="C857" s="10">
        <f t="shared" si="1065"/>
        <v>63</v>
      </c>
      <c r="D857" s="91">
        <f t="shared" si="1137"/>
        <v>11</v>
      </c>
      <c r="E857" s="278"/>
      <c r="F857" s="76">
        <f t="shared" ref="F857:Q857" ca="1" si="1142">F785</f>
        <v>1.6</v>
      </c>
      <c r="G857" s="46">
        <f t="shared" ca="1" si="1142"/>
        <v>27.012600000000003</v>
      </c>
      <c r="H857" s="46">
        <f t="shared" ca="1" si="1113"/>
        <v>28.517550000000004</v>
      </c>
      <c r="I857" s="45">
        <f t="shared" ca="1" si="1114"/>
        <v>9.9319080037688343E-2</v>
      </c>
      <c r="J857" s="45">
        <f t="shared" ca="1" si="1115"/>
        <v>0.27952512346894071</v>
      </c>
      <c r="K857" s="45">
        <f t="shared" ca="1" si="1131"/>
        <v>0.90345467800480783</v>
      </c>
      <c r="L857" s="358">
        <f t="shared" ca="1" si="1116"/>
        <v>0.41844375967031366</v>
      </c>
      <c r="M857" s="76">
        <f t="shared" ca="1" si="1142"/>
        <v>0.25347808785320641</v>
      </c>
      <c r="N857" s="45">
        <f t="shared" ca="1" si="1142"/>
        <v>0.25</v>
      </c>
      <c r="O857" s="45">
        <f t="shared" ca="1" si="1142"/>
        <v>0</v>
      </c>
      <c r="P857" s="46" t="str">
        <f t="shared" ca="1" si="1142"/>
        <v/>
      </c>
      <c r="Q857" s="243" t="str">
        <f t="shared" ca="1" si="1142"/>
        <v/>
      </c>
      <c r="R857" s="45">
        <f t="shared" ca="1" si="1132"/>
        <v>0.11241607490044665</v>
      </c>
      <c r="S857" s="45">
        <f t="shared" ca="1" si="1067"/>
        <v>5.0695617570641283E-2</v>
      </c>
      <c r="T857" s="77">
        <f t="shared" ca="1" si="1117"/>
        <v>8.9295880519691829E-3</v>
      </c>
      <c r="U857" s="45">
        <f t="shared" ca="1" si="1133"/>
        <v>17.076025867317135</v>
      </c>
      <c r="V857" s="45">
        <f t="shared" ca="1" si="1118"/>
        <v>0.20278247028256513</v>
      </c>
      <c r="W857" s="77">
        <f t="shared" ca="1" si="1119"/>
        <v>4.2346784693538531E-2</v>
      </c>
      <c r="X857" s="45">
        <f t="shared" ca="1" si="1134"/>
        <v>1.0302958898247379</v>
      </c>
      <c r="Y857" s="45">
        <f t="shared" ca="1" si="1120"/>
        <v>5.2264656471912021E-3</v>
      </c>
      <c r="Z857" s="77">
        <f t="shared" ca="1" si="1121"/>
        <v>5.6126984190796904E-3</v>
      </c>
      <c r="AA857" s="45">
        <f t="shared" ca="1" si="1135"/>
        <v>39.192251359318142</v>
      </c>
      <c r="AB857" s="45">
        <f t="shared" ca="1" si="1122"/>
        <v>0</v>
      </c>
      <c r="AC857" s="45" cm="1">
        <f t="array" aca="1" ref="AC857" ca="1">pHUM*(T857+W857+Z857+AD857)</f>
        <v>6.1487831143425906E-3</v>
      </c>
      <c r="AD857" s="77">
        <f t="shared" ca="1" si="1123"/>
        <v>6.487026996581431E-3</v>
      </c>
      <c r="AE857" s="45">
        <f t="shared" ca="1" si="1136"/>
        <v>6.3847072090583081</v>
      </c>
      <c r="AF857" s="45">
        <f t="shared" ca="1" si="1124"/>
        <v>0</v>
      </c>
      <c r="AG857" s="76">
        <f t="shared" ca="1" si="1125"/>
        <v>63.79569640041877</v>
      </c>
      <c r="AH857" s="45">
        <f t="shared" ca="1" si="1126"/>
        <v>5.2000849399635049E-2</v>
      </c>
      <c r="AI857" s="77">
        <f t="shared" ca="1" si="1127"/>
        <v>1.1192411261731438E-2</v>
      </c>
      <c r="AJ857" s="384">
        <f t="shared" ca="1" si="1129"/>
        <v>1.4935202172293716E-2</v>
      </c>
      <c r="AU857" s="1"/>
    </row>
    <row r="858" spans="3:47" x14ac:dyDescent="0.25">
      <c r="C858" s="10">
        <f t="shared" si="1065"/>
        <v>63</v>
      </c>
      <c r="D858" s="91">
        <f t="shared" si="1137"/>
        <v>12</v>
      </c>
      <c r="E858" s="278"/>
      <c r="F858" s="76">
        <f t="shared" ref="F858:Q858" ca="1" si="1143">F786</f>
        <v>-3.59</v>
      </c>
      <c r="G858" s="46">
        <f t="shared" ca="1" si="1143"/>
        <v>27.012600000000003</v>
      </c>
      <c r="H858" s="46">
        <f t="shared" ca="1" si="1113"/>
        <v>28.517550000000004</v>
      </c>
      <c r="I858" s="45">
        <f t="shared" ca="1" si="1114"/>
        <v>1.5109209527995384E-2</v>
      </c>
      <c r="J858" s="45">
        <f t="shared" ca="1" si="1115"/>
        <v>0.27952512346894071</v>
      </c>
      <c r="K858" s="45">
        <f t="shared" ca="1" si="1131"/>
        <v>0.90345467800480783</v>
      </c>
      <c r="L858" s="358">
        <f t="shared" ca="1" si="1116"/>
        <v>0.24908644075501707</v>
      </c>
      <c r="M858" s="76">
        <f t="shared" ca="1" si="1143"/>
        <v>0.25347808785320641</v>
      </c>
      <c r="N858" s="45">
        <f t="shared" ca="1" si="1143"/>
        <v>0.25</v>
      </c>
      <c r="O858" s="45">
        <f t="shared" ca="1" si="1143"/>
        <v>0</v>
      </c>
      <c r="P858" s="46" t="str">
        <f t="shared" ca="1" si="1143"/>
        <v/>
      </c>
      <c r="Q858" s="243" t="str">
        <f t="shared" ca="1" si="1143"/>
        <v/>
      </c>
      <c r="R858" s="45">
        <f t="shared" ca="1" si="1132"/>
        <v>0.15418210441911873</v>
      </c>
      <c r="S858" s="45">
        <f t="shared" ca="1" si="1067"/>
        <v>5.0695617570641283E-2</v>
      </c>
      <c r="T858" s="77">
        <f t="shared" ca="1" si="1117"/>
        <v>1.9291377207575763E-3</v>
      </c>
      <c r="U858" s="45">
        <f t="shared" ca="1" si="1133"/>
        <v>17.23646155290616</v>
      </c>
      <c r="V858" s="45">
        <f t="shared" ca="1" si="1118"/>
        <v>0.20278247028256513</v>
      </c>
      <c r="W858" s="77">
        <f t="shared" ca="1" si="1119"/>
        <v>6.5095032326011638E-3</v>
      </c>
      <c r="X858" s="45">
        <f t="shared" ca="1" si="1134"/>
        <v>1.0299096570528494</v>
      </c>
      <c r="Y858" s="45">
        <f t="shared" ca="1" si="1120"/>
        <v>8.4785337069457375E-4</v>
      </c>
      <c r="Z858" s="77">
        <f t="shared" ca="1" si="1121"/>
        <v>8.5550612936264626E-4</v>
      </c>
      <c r="AA858" s="45">
        <f t="shared" ca="1" si="1135"/>
        <v>39.191913115435902</v>
      </c>
      <c r="AB858" s="45">
        <f t="shared" ca="1" si="1122"/>
        <v>0</v>
      </c>
      <c r="AC858" s="45" cm="1">
        <f t="array" aca="1" ref="AC858" ca="1">pHUM*(T858+W858+Z858+AD858)</f>
        <v>9.9747455375832211E-4</v>
      </c>
      <c r="AD858" s="77">
        <f t="shared" ca="1" si="1123"/>
        <v>9.869189520844892E-4</v>
      </c>
      <c r="AE858" s="45">
        <f t="shared" ca="1" si="1136"/>
        <v>6.3847072090583081</v>
      </c>
      <c r="AF858" s="45">
        <f t="shared" ca="1" si="1124"/>
        <v>0</v>
      </c>
      <c r="AG858" s="76">
        <f t="shared" ca="1" si="1125"/>
        <v>63.997173638872333</v>
      </c>
      <c r="AH858" s="45">
        <f t="shared" ca="1" si="1126"/>
        <v>8.4357381103529801E-3</v>
      </c>
      <c r="AI858" s="77">
        <f t="shared" ca="1" si="1127"/>
        <v>1.1826633268668509E-2</v>
      </c>
      <c r="AJ858" s="384">
        <f t="shared" ca="1" si="1129"/>
        <v>9.3942872981656045E-3</v>
      </c>
      <c r="AU858" s="1"/>
    </row>
    <row r="859" spans="3:47" x14ac:dyDescent="0.25">
      <c r="C859" s="10">
        <f t="shared" si="1065"/>
        <v>64</v>
      </c>
      <c r="D859" s="91">
        <f t="shared" si="1137"/>
        <v>1</v>
      </c>
      <c r="E859" s="278"/>
      <c r="F859" s="76">
        <f t="shared" ref="F859:Q859" ca="1" si="1144">F787</f>
        <v>-7.32</v>
      </c>
      <c r="G859" s="46">
        <f t="shared" ca="1" si="1144"/>
        <v>27.012600000000003</v>
      </c>
      <c r="H859" s="46">
        <f t="shared" ca="1" si="1113"/>
        <v>28.517550000000004</v>
      </c>
      <c r="I859" s="45">
        <f t="shared" ca="1" si="1114"/>
        <v>1.2903599790233234E-3</v>
      </c>
      <c r="J859" s="45">
        <f t="shared" ca="1" si="1115"/>
        <v>0.27952512346894071</v>
      </c>
      <c r="K859" s="45">
        <f t="shared" ca="1" si="1131"/>
        <v>0.90345467800480783</v>
      </c>
      <c r="L859" s="358">
        <f t="shared" ca="1" si="1116"/>
        <v>0.15974615302556239</v>
      </c>
      <c r="M859" s="76">
        <f t="shared" ca="1" si="1144"/>
        <v>0.25347808785320641</v>
      </c>
      <c r="N859" s="45">
        <f t="shared" ca="1" si="1144"/>
        <v>0.25</v>
      </c>
      <c r="O859" s="45">
        <f t="shared" ca="1" si="1144"/>
        <v>0</v>
      </c>
      <c r="P859" s="46" t="str">
        <f t="shared" ca="1" si="1144"/>
        <v/>
      </c>
      <c r="Q859" s="243" t="str">
        <f t="shared" ca="1" si="1144"/>
        <v/>
      </c>
      <c r="R859" s="45">
        <f t="shared" ca="1" si="1132"/>
        <v>0.20294858426900242</v>
      </c>
      <c r="S859" s="45">
        <f t="shared" ca="1" si="1067"/>
        <v>5.0695617570641283E-2</v>
      </c>
      <c r="T859" s="77">
        <f t="shared" ca="1" si="1117"/>
        <v>2.1811331947600471E-4</v>
      </c>
      <c r="U859" s="45">
        <f t="shared" ca="1" si="1133"/>
        <v>17.432734519956124</v>
      </c>
      <c r="V859" s="45">
        <f t="shared" ca="1" si="1118"/>
        <v>0.20278247028256513</v>
      </c>
      <c r="W859" s="77">
        <f t="shared" ca="1" si="1119"/>
        <v>5.6235350320795331E-4</v>
      </c>
      <c r="X859" s="45">
        <f t="shared" ca="1" si="1134"/>
        <v>1.0299020042941813</v>
      </c>
      <c r="Y859" s="45">
        <f t="shared" ca="1" si="1120"/>
        <v>7.7341463421834751E-5</v>
      </c>
      <c r="Z859" s="77">
        <f t="shared" ca="1" si="1121"/>
        <v>7.3089344477414602E-5</v>
      </c>
      <c r="AA859" s="45">
        <f t="shared" ca="1" si="1135"/>
        <v>39.191923671037571</v>
      </c>
      <c r="AB859" s="45">
        <f t="shared" ca="1" si="1122"/>
        <v>0</v>
      </c>
      <c r="AC859" s="45" cm="1">
        <f t="array" aca="1" ref="AC859" ca="1">pHUM*(T859+W859+Z859+AD859)</f>
        <v>9.0989956966864414E-5</v>
      </c>
      <c r="AD859" s="77">
        <f t="shared" ca="1" si="1123"/>
        <v>8.4286059044563847E-5</v>
      </c>
      <c r="AE859" s="45">
        <f t="shared" ca="1" si="1136"/>
        <v>6.3847072090583081</v>
      </c>
      <c r="AF859" s="45">
        <f t="shared" ca="1" si="1124"/>
        <v>0</v>
      </c>
      <c r="AG859" s="76">
        <f t="shared" ca="1" si="1125"/>
        <v>64.242215988615186</v>
      </c>
      <c r="AH859" s="45">
        <f t="shared" ca="1" si="1126"/>
        <v>7.6951080581723742E-4</v>
      </c>
      <c r="AI859" s="77">
        <f t="shared" ca="1" si="1127"/>
        <v>1.2563739462303923E-2</v>
      </c>
      <c r="AJ859" s="384">
        <f t="shared" ca="1" si="1129"/>
        <v>6.4003419492419944E-3</v>
      </c>
      <c r="AU859" s="1"/>
    </row>
    <row r="860" spans="3:47" x14ac:dyDescent="0.25">
      <c r="C860" s="10">
        <f t="shared" si="1065"/>
        <v>64</v>
      </c>
      <c r="D860" s="91">
        <f t="shared" si="1137"/>
        <v>2</v>
      </c>
      <c r="E860" s="278"/>
      <c r="F860" s="76">
        <f t="shared" ref="F860:Q860" ca="1" si="1145">F788</f>
        <v>-7.56</v>
      </c>
      <c r="G860" s="46">
        <f t="shared" ca="1" si="1145"/>
        <v>27.012600000000003</v>
      </c>
      <c r="H860" s="46">
        <f t="shared" ca="1" si="1113"/>
        <v>28.517550000000004</v>
      </c>
      <c r="I860" s="45">
        <f t="shared" ca="1" si="1114"/>
        <v>1.0386103497602255E-3</v>
      </c>
      <c r="J860" s="45">
        <f t="shared" ca="1" si="1115"/>
        <v>0.27952512346894071</v>
      </c>
      <c r="K860" s="45">
        <f t="shared" ca="1" si="1131"/>
        <v>0.90345467800480783</v>
      </c>
      <c r="L860" s="358">
        <f t="shared" ca="1" si="1116"/>
        <v>0.15499691161362872</v>
      </c>
      <c r="M860" s="76">
        <f t="shared" ca="1" si="1145"/>
        <v>0.25347808785320641</v>
      </c>
      <c r="N860" s="45">
        <f t="shared" ca="1" si="1145"/>
        <v>0.25</v>
      </c>
      <c r="O860" s="45">
        <f t="shared" ca="1" si="1145"/>
        <v>0</v>
      </c>
      <c r="P860" s="46" t="str">
        <f t="shared" ca="1" si="1145"/>
        <v/>
      </c>
      <c r="Q860" s="243" t="str">
        <f t="shared" ca="1" si="1145"/>
        <v/>
      </c>
      <c r="R860" s="45">
        <f t="shared" ca="1" si="1132"/>
        <v>0.25342608852016768</v>
      </c>
      <c r="S860" s="45">
        <f t="shared" ca="1" si="1067"/>
        <v>5.0695617570641283E-2</v>
      </c>
      <c r="T860" s="77">
        <f t="shared" ca="1" si="1117"/>
        <v>2.1924757134496564E-4</v>
      </c>
      <c r="U860" s="45">
        <f t="shared" ca="1" si="1133"/>
        <v>17.634954636735479</v>
      </c>
      <c r="V860" s="45">
        <f t="shared" ca="1" si="1118"/>
        <v>0.20278247028256513</v>
      </c>
      <c r="W860" s="77">
        <f t="shared" ca="1" si="1119"/>
        <v>4.5789021543770296E-4</v>
      </c>
      <c r="X860" s="45">
        <f t="shared" ca="1" si="1134"/>
        <v>1.0299062564131258</v>
      </c>
      <c r="Y860" s="45">
        <f t="shared" ca="1" si="1120"/>
        <v>6.6288156401763326E-5</v>
      </c>
      <c r="Z860" s="77">
        <f t="shared" ca="1" si="1121"/>
        <v>5.8830241032959235E-5</v>
      </c>
      <c r="AA860" s="45">
        <f t="shared" ca="1" si="1135"/>
        <v>39.191930374935495</v>
      </c>
      <c r="AB860" s="45">
        <f t="shared" ca="1" si="1122"/>
        <v>0</v>
      </c>
      <c r="AC860" s="45" cm="1">
        <f t="array" aca="1" ref="AC860" ca="1">pHUM*(T860+W860+Z860+AD860)</f>
        <v>7.7986066355015675E-5</v>
      </c>
      <c r="AD860" s="77">
        <f t="shared" ca="1" si="1123"/>
        <v>6.7841848806981261E-5</v>
      </c>
      <c r="AE860" s="45">
        <f t="shared" ca="1" si="1136"/>
        <v>6.3847072090583081</v>
      </c>
      <c r="AF860" s="45">
        <f t="shared" ca="1" si="1124"/>
        <v>0</v>
      </c>
      <c r="AG860" s="76">
        <f t="shared" ca="1" si="1125"/>
        <v>64.494924565662572</v>
      </c>
      <c r="AH860" s="45">
        <f t="shared" ca="1" si="1126"/>
        <v>6.5953565386583013E-4</v>
      </c>
      <c r="AI860" s="77">
        <f t="shared" ca="1" si="1127"/>
        <v>1.3319981171805165E-2</v>
      </c>
      <c r="AJ860" s="384">
        <f t="shared" ca="1" si="1129"/>
        <v>6.5838575821597356E-3</v>
      </c>
      <c r="AU860" s="1"/>
    </row>
    <row r="861" spans="3:47" x14ac:dyDescent="0.25">
      <c r="C861" s="10">
        <f t="shared" si="1065"/>
        <v>64</v>
      </c>
      <c r="D861" s="91">
        <f t="shared" si="1137"/>
        <v>3</v>
      </c>
      <c r="E861" s="278"/>
      <c r="F861" s="76">
        <f t="shared" ref="F861:Q861" ca="1" si="1146">F789</f>
        <v>-3.72</v>
      </c>
      <c r="G861" s="46">
        <f t="shared" ca="1" si="1146"/>
        <v>27.012600000000003</v>
      </c>
      <c r="H861" s="46">
        <f t="shared" ca="1" si="1113"/>
        <v>28.517550000000004</v>
      </c>
      <c r="I861" s="45">
        <f t="shared" ca="1" si="1114"/>
        <v>1.416534540335657E-2</v>
      </c>
      <c r="J861" s="45">
        <f t="shared" ca="1" si="1115"/>
        <v>0.27952512346894071</v>
      </c>
      <c r="K861" s="45">
        <f t="shared" ca="1" si="1131"/>
        <v>0.90345467800480783</v>
      </c>
      <c r="L861" s="358">
        <f t="shared" ca="1" si="1116"/>
        <v>0.24547574864616473</v>
      </c>
      <c r="M861" s="76">
        <f t="shared" ca="1" si="1146"/>
        <v>0.25347808785320641</v>
      </c>
      <c r="N861" s="45">
        <f t="shared" ca="1" si="1146"/>
        <v>0.25</v>
      </c>
      <c r="O861" s="45">
        <f t="shared" ca="1" si="1146"/>
        <v>0</v>
      </c>
      <c r="P861" s="46" t="str">
        <f t="shared" ca="1" si="1146"/>
        <v/>
      </c>
      <c r="Q861" s="243" t="str">
        <f t="shared" ca="1" si="1146"/>
        <v/>
      </c>
      <c r="R861" s="45">
        <f t="shared" ca="1" si="1132"/>
        <v>0.30390245851946401</v>
      </c>
      <c r="S861" s="45">
        <f t="shared" ca="1" si="1067"/>
        <v>5.0695617570641283E-2</v>
      </c>
      <c r="T861" s="77">
        <f t="shared" ca="1" si="1117"/>
        <v>3.5663121478739478E-3</v>
      </c>
      <c r="U861" s="45">
        <f t="shared" ca="1" si="1133"/>
        <v>17.837279216802607</v>
      </c>
      <c r="V861" s="45">
        <f t="shared" ca="1" si="1118"/>
        <v>0.20278247028256513</v>
      </c>
      <c r="W861" s="77">
        <f t="shared" ca="1" si="1119"/>
        <v>6.315662168848205E-3</v>
      </c>
      <c r="X861" s="45">
        <f t="shared" ca="1" si="1134"/>
        <v>1.0299137143284947</v>
      </c>
      <c r="Y861" s="45">
        <f t="shared" ca="1" si="1120"/>
        <v>9.5739187697161006E-4</v>
      </c>
      <c r="Z861" s="77">
        <f t="shared" ca="1" si="1121"/>
        <v>8.0208710125709499E-4</v>
      </c>
      <c r="AA861" s="45">
        <f t="shared" ca="1" si="1135"/>
        <v>39.19194051915305</v>
      </c>
      <c r="AB861" s="45">
        <f t="shared" ca="1" si="1122"/>
        <v>0</v>
      </c>
      <c r="AC861" s="45" cm="1">
        <f t="array" aca="1" ref="AC861" ca="1">pHUM*(T861+W861+Z861+AD861)</f>
        <v>1.1263433846724824E-3</v>
      </c>
      <c r="AD861" s="77">
        <f t="shared" ca="1" si="1123"/>
        <v>9.2526803514108224E-4</v>
      </c>
      <c r="AE861" s="45">
        <f t="shared" ca="1" si="1136"/>
        <v>6.3847072090583081</v>
      </c>
      <c r="AF861" s="45">
        <f t="shared" ca="1" si="1124"/>
        <v>0</v>
      </c>
      <c r="AG861" s="76">
        <f t="shared" ca="1" si="1125"/>
        <v>64.747743117861916</v>
      </c>
      <c r="AH861" s="45">
        <f t="shared" ca="1" si="1126"/>
        <v>9.5255941914762395E-3</v>
      </c>
      <c r="AI861" s="77">
        <f t="shared" ca="1" si="1127"/>
        <v>1.406967906232142E-2</v>
      </c>
      <c r="AJ861" s="384">
        <f t="shared" ca="1" si="1129"/>
        <v>1.1013991611459328E-2</v>
      </c>
      <c r="AU861" s="1"/>
    </row>
    <row r="862" spans="3:47" x14ac:dyDescent="0.25">
      <c r="C862" s="10">
        <f t="shared" si="1065"/>
        <v>64</v>
      </c>
      <c r="D862" s="91">
        <f t="shared" si="1137"/>
        <v>4</v>
      </c>
      <c r="E862" s="278"/>
      <c r="F862" s="76">
        <f t="shared" ref="F862:Q862" ca="1" si="1147">F790</f>
        <v>5.88</v>
      </c>
      <c r="G862" s="46">
        <f t="shared" ca="1" si="1147"/>
        <v>27.012600000000003</v>
      </c>
      <c r="H862" s="46">
        <f t="shared" ca="1" si="1113"/>
        <v>28.517550000000004</v>
      </c>
      <c r="I862" s="45">
        <f t="shared" ca="1" si="1114"/>
        <v>0.2538659245156123</v>
      </c>
      <c r="J862" s="45">
        <f t="shared" ca="1" si="1115"/>
        <v>0.27952512346894071</v>
      </c>
      <c r="K862" s="45">
        <f t="shared" ca="1" si="1131"/>
        <v>0.90345467800480783</v>
      </c>
      <c r="L862" s="358">
        <f t="shared" ca="1" si="1116"/>
        <v>0.57663575359475594</v>
      </c>
      <c r="M862" s="76">
        <f t="shared" ca="1" si="1147"/>
        <v>0.25347808785320641</v>
      </c>
      <c r="N862" s="45">
        <f t="shared" ca="1" si="1147"/>
        <v>0.25</v>
      </c>
      <c r="O862" s="45">
        <f t="shared" ca="1" si="1147"/>
        <v>0</v>
      </c>
      <c r="P862" s="46" t="str">
        <f t="shared" ca="1" si="1147"/>
        <v/>
      </c>
      <c r="Q862" s="243" t="str">
        <f t="shared" ca="1" si="1147"/>
        <v/>
      </c>
      <c r="R862" s="45">
        <f t="shared" ca="1" si="1132"/>
        <v>0.35103176394223135</v>
      </c>
      <c r="S862" s="45">
        <f t="shared" ca="1" si="1067"/>
        <v>5.0695617570641283E-2</v>
      </c>
      <c r="T862" s="77">
        <f t="shared" ca="1" si="1117"/>
        <v>6.6933045521027232E-2</v>
      </c>
      <c r="U862" s="45">
        <f t="shared" ca="1" si="1133"/>
        <v>18.033746024916322</v>
      </c>
      <c r="V862" s="45">
        <f t="shared" ca="1" si="1118"/>
        <v>0.20278247028256513</v>
      </c>
      <c r="W862" s="77">
        <f t="shared" ca="1" si="1119"/>
        <v>0.11409140820107938</v>
      </c>
      <c r="X862" s="45">
        <f t="shared" ca="1" si="1134"/>
        <v>1.0300690191042092</v>
      </c>
      <c r="Y862" s="45">
        <f t="shared" ca="1" si="1120"/>
        <v>1.7473704011946728E-2</v>
      </c>
      <c r="Z862" s="77">
        <f t="shared" ca="1" si="1121"/>
        <v>1.4282525495276499E-2</v>
      </c>
      <c r="AA862" s="45">
        <f t="shared" ca="1" si="1135"/>
        <v>39.19214159450258</v>
      </c>
      <c r="AB862" s="45">
        <f t="shared" ca="1" si="1122"/>
        <v>0</v>
      </c>
      <c r="AC862" s="45" cm="1">
        <f t="array" aca="1" ref="AC862" ca="1">pHUM*(T862+W862+Z862+AD862)</f>
        <v>2.0557298837584385E-2</v>
      </c>
      <c r="AD862" s="77">
        <f t="shared" ca="1" si="1123"/>
        <v>1.6579074467001187E-2</v>
      </c>
      <c r="AE862" s="45">
        <f t="shared" ca="1" si="1136"/>
        <v>6.3847072090583081</v>
      </c>
      <c r="AF862" s="45">
        <f t="shared" ca="1" si="1124"/>
        <v>0</v>
      </c>
      <c r="AG862" s="76">
        <f t="shared" ca="1" si="1125"/>
        <v>64.991695611523653</v>
      </c>
      <c r="AH862" s="45">
        <f t="shared" ca="1" si="1126"/>
        <v>0.17385505083485323</v>
      </c>
      <c r="AI862" s="77">
        <f t="shared" ca="1" si="1127"/>
        <v>1.4765204222299461E-2</v>
      </c>
      <c r="AJ862" s="384">
        <f t="shared" ca="1" si="1129"/>
        <v>2.7151033800426605E-2</v>
      </c>
      <c r="AU862" s="1"/>
    </row>
    <row r="863" spans="3:47" x14ac:dyDescent="0.25">
      <c r="C863" s="10">
        <f t="shared" si="1065"/>
        <v>64</v>
      </c>
      <c r="D863" s="91">
        <f t="shared" si="1137"/>
        <v>5</v>
      </c>
      <c r="E863" s="278"/>
      <c r="F863" s="76">
        <f t="shared" ref="F863:Q863" ca="1" si="1148">F791</f>
        <v>13.3</v>
      </c>
      <c r="G863" s="46">
        <f t="shared" ca="1" si="1148"/>
        <v>27.012600000000003</v>
      </c>
      <c r="H863" s="46">
        <f t="shared" ca="1" si="1113"/>
        <v>28.517550000000004</v>
      </c>
      <c r="I863" s="45">
        <f t="shared" ca="1" si="1114"/>
        <v>0.69725265541392489</v>
      </c>
      <c r="J863" s="45">
        <f t="shared" ca="1" si="1115"/>
        <v>0.27952512346894071</v>
      </c>
      <c r="K863" s="45">
        <f t="shared" ca="1" si="1131"/>
        <v>0.90345467800480783</v>
      </c>
      <c r="L863" s="358">
        <f t="shared" ca="1" si="1116"/>
        <v>0.80399103068855049</v>
      </c>
      <c r="M863" s="76">
        <f t="shared" ca="1" si="1148"/>
        <v>0.25347808785320641</v>
      </c>
      <c r="N863" s="45">
        <f t="shared" ca="1" si="1148"/>
        <v>0.25</v>
      </c>
      <c r="O863" s="45">
        <f t="shared" ca="1" si="1148"/>
        <v>0</v>
      </c>
      <c r="P863" s="46" t="str">
        <f t="shared" ca="1" si="1148"/>
        <v/>
      </c>
      <c r="Q863" s="243" t="str">
        <f t="shared" ca="1" si="1148"/>
        <v/>
      </c>
      <c r="R863" s="45">
        <f t="shared" ca="1" si="1132"/>
        <v>0.33479433599184538</v>
      </c>
      <c r="S863" s="45">
        <f t="shared" ca="1" si="1067"/>
        <v>5.0695617570641283E-2</v>
      </c>
      <c r="T863" s="77">
        <f t="shared" ca="1" si="1117"/>
        <v>0.14753910809057297</v>
      </c>
      <c r="U863" s="45">
        <f t="shared" ca="1" si="1133"/>
        <v>18.122437086997806</v>
      </c>
      <c r="V863" s="45">
        <f t="shared" ca="1" si="1118"/>
        <v>0.20278247028256513</v>
      </c>
      <c r="W863" s="77">
        <f t="shared" ca="1" si="1119"/>
        <v>0.31316060428273468</v>
      </c>
      <c r="X863" s="45">
        <f t="shared" ca="1" si="1134"/>
        <v>1.0332601976208795</v>
      </c>
      <c r="Y863" s="45">
        <f t="shared" ca="1" si="1120"/>
        <v>4.4952748493709289E-2</v>
      </c>
      <c r="Z863" s="77">
        <f t="shared" ca="1" si="1121"/>
        <v>3.8874231926416813E-2</v>
      </c>
      <c r="AA863" s="45">
        <f t="shared" ca="1" si="1135"/>
        <v>39.196119818873164</v>
      </c>
      <c r="AB863" s="45">
        <f t="shared" ca="1" si="1122"/>
        <v>0</v>
      </c>
      <c r="AC863" s="45" cm="1">
        <f t="array" aca="1" ref="AC863" ca="1">pHUM*(T863+W863+Z863+AD863)</f>
        <v>5.2885586463187396E-2</v>
      </c>
      <c r="AD863" s="77">
        <f t="shared" ca="1" si="1123"/>
        <v>4.5522875131724545E-2</v>
      </c>
      <c r="AE863" s="45">
        <f t="shared" ca="1" si="1136"/>
        <v>6.3847072090583081</v>
      </c>
      <c r="AF863" s="45">
        <f t="shared" ca="1" si="1124"/>
        <v>0</v>
      </c>
      <c r="AG863" s="76">
        <f t="shared" ca="1" si="1125"/>
        <v>65.071318648542004</v>
      </c>
      <c r="AH863" s="45">
        <f t="shared" ca="1" si="1126"/>
        <v>0.44725848447455241</v>
      </c>
      <c r="AI863" s="77">
        <f t="shared" ca="1" si="1127"/>
        <v>1.4555489973772484E-2</v>
      </c>
      <c r="AJ863" s="384">
        <f t="shared" ca="1" si="1129"/>
        <v>3.7318073254817286E-2</v>
      </c>
      <c r="AU863" s="1"/>
    </row>
    <row r="864" spans="3:47" x14ac:dyDescent="0.25">
      <c r="C864" s="10">
        <f t="shared" si="1065"/>
        <v>64</v>
      </c>
      <c r="D864" s="91">
        <f t="shared" si="1137"/>
        <v>6</v>
      </c>
      <c r="E864" s="278"/>
      <c r="F864" s="76">
        <f t="shared" ref="F864:Q864" ca="1" si="1149">F792</f>
        <v>18.579999999999998</v>
      </c>
      <c r="G864" s="46">
        <f t="shared" ca="1" si="1149"/>
        <v>27.012600000000003</v>
      </c>
      <c r="H864" s="46">
        <f t="shared" ca="1" si="1113"/>
        <v>28.517550000000004</v>
      </c>
      <c r="I864" s="45">
        <f t="shared" ca="1" si="1114"/>
        <v>1.1053966357180092</v>
      </c>
      <c r="J864" s="45">
        <f t="shared" ca="1" si="1115"/>
        <v>0.27952512346894071</v>
      </c>
      <c r="K864" s="45">
        <f t="shared" ca="1" si="1131"/>
        <v>0.90345467800480783</v>
      </c>
      <c r="L864" s="358">
        <f t="shared" ca="1" si="1116"/>
        <v>0.89864190578209513</v>
      </c>
      <c r="M864" s="76">
        <f t="shared" ca="1" si="1149"/>
        <v>0.25347808785320641</v>
      </c>
      <c r="N864" s="45">
        <f t="shared" ca="1" si="1149"/>
        <v>0.25</v>
      </c>
      <c r="O864" s="45">
        <f t="shared" ca="1" si="1149"/>
        <v>0</v>
      </c>
      <c r="P864" s="46" t="str">
        <f t="shared" ca="1" si="1149"/>
        <v/>
      </c>
      <c r="Q864" s="243" t="str">
        <f t="shared" ca="1" si="1149"/>
        <v/>
      </c>
      <c r="R864" s="45">
        <f t="shared" ca="1" si="1132"/>
        <v>0.2379508454719137</v>
      </c>
      <c r="S864" s="45">
        <f t="shared" ca="1" si="1067"/>
        <v>5.0695617570641283E-2</v>
      </c>
      <c r="T864" s="77">
        <f t="shared" ca="1" si="1117"/>
        <v>0.14323320525148991</v>
      </c>
      <c r="U864" s="45">
        <f t="shared" ca="1" si="1133"/>
        <v>18.012058952997634</v>
      </c>
      <c r="V864" s="45">
        <f t="shared" ca="1" si="1118"/>
        <v>0.20278247028256513</v>
      </c>
      <c r="W864" s="77">
        <f t="shared" ca="1" si="1119"/>
        <v>0.49094685291984996</v>
      </c>
      <c r="X864" s="45">
        <f t="shared" ca="1" si="1134"/>
        <v>1.039338714188172</v>
      </c>
      <c r="Y864" s="45">
        <f t="shared" ca="1" si="1120"/>
        <v>6.3305749684674728E-2</v>
      </c>
      <c r="Z864" s="77">
        <f t="shared" ca="1" si="1121"/>
        <v>6.1305996455803535E-2</v>
      </c>
      <c r="AA864" s="45">
        <f t="shared" ca="1" si="1135"/>
        <v>39.203482530204631</v>
      </c>
      <c r="AB864" s="45">
        <f t="shared" ca="1" si="1122"/>
        <v>0</v>
      </c>
      <c r="AC864" s="45" cm="1">
        <f t="array" aca="1" ref="AC864" ca="1">pHUM*(T864+W864+Z864+AD864)</f>
        <v>7.447735257020556E-2</v>
      </c>
      <c r="AD864" s="77">
        <f t="shared" ca="1" si="1123"/>
        <v>7.2159171997179222E-2</v>
      </c>
      <c r="AE864" s="45">
        <f t="shared" ca="1" si="1136"/>
        <v>6.3847072090583081</v>
      </c>
      <c r="AF864" s="45">
        <f t="shared" ca="1" si="1124"/>
        <v>0</v>
      </c>
      <c r="AG864" s="76">
        <f t="shared" ca="1" si="1125"/>
        <v>64.877538251920654</v>
      </c>
      <c r="AH864" s="45">
        <f t="shared" ca="1" si="1126"/>
        <v>0.62986212436944256</v>
      </c>
      <c r="AI864" s="77">
        <f t="shared" ca="1" si="1127"/>
        <v>1.3182754162081542E-2</v>
      </c>
      <c r="AJ864" s="384">
        <f t="shared" ca="1" si="1129"/>
        <v>3.7777551953095401E-2</v>
      </c>
      <c r="AU864" s="1"/>
    </row>
    <row r="865" spans="3:47" x14ac:dyDescent="0.25">
      <c r="C865" s="10">
        <f t="shared" si="1065"/>
        <v>64</v>
      </c>
      <c r="D865" s="91">
        <f t="shared" si="1137"/>
        <v>7</v>
      </c>
      <c r="E865" s="278"/>
      <c r="F865" s="76">
        <f t="shared" ref="F865:Q865" ca="1" si="1150">F793</f>
        <v>20.88</v>
      </c>
      <c r="G865" s="46">
        <f t="shared" ca="1" si="1150"/>
        <v>27.012600000000003</v>
      </c>
      <c r="H865" s="46">
        <f t="shared" ca="1" si="1113"/>
        <v>28.517550000000004</v>
      </c>
      <c r="I865" s="45">
        <f t="shared" ca="1" si="1114"/>
        <v>1.2963209464812457</v>
      </c>
      <c r="J865" s="45">
        <f t="shared" ca="1" si="1115"/>
        <v>0.27952512346894071</v>
      </c>
      <c r="K865" s="45">
        <f t="shared" ca="1" si="1131"/>
        <v>0.90345467800480783</v>
      </c>
      <c r="L865" s="358">
        <f t="shared" ca="1" si="1116"/>
        <v>0.92456370800230281</v>
      </c>
      <c r="M865" s="76">
        <f t="shared" ca="1" si="1150"/>
        <v>0.25347808785320641</v>
      </c>
      <c r="N865" s="45">
        <f t="shared" ca="1" si="1150"/>
        <v>0.25</v>
      </c>
      <c r="O865" s="45">
        <f t="shared" ca="1" si="1150"/>
        <v>0</v>
      </c>
      <c r="P865" s="46" t="str">
        <f t="shared" ca="1" si="1150"/>
        <v/>
      </c>
      <c r="Q865" s="243" t="str">
        <f t="shared" ca="1" si="1150"/>
        <v/>
      </c>
      <c r="R865" s="45">
        <f t="shared" ca="1" si="1132"/>
        <v>0.14541325779106506</v>
      </c>
      <c r="S865" s="45">
        <f t="shared" ca="1" si="1067"/>
        <v>5.0695617570641283E-2</v>
      </c>
      <c r="T865" s="77">
        <f t="shared" ca="1" si="1117"/>
        <v>9.6044771709889135E-2</v>
      </c>
      <c r="U865" s="45">
        <f t="shared" ca="1" si="1133"/>
        <v>17.723894570360347</v>
      </c>
      <c r="V865" s="45">
        <f t="shared" ca="1" si="1118"/>
        <v>0.20278247028256513</v>
      </c>
      <c r="W865" s="77">
        <f t="shared" ca="1" si="1119"/>
        <v>0.56518860544547245</v>
      </c>
      <c r="X865" s="45">
        <f t="shared" ca="1" si="1134"/>
        <v>1.0413384674170432</v>
      </c>
      <c r="Y865" s="45">
        <f t="shared" ca="1" si="1120"/>
        <v>6.7417762713718882E-2</v>
      </c>
      <c r="Z865" s="77">
        <f t="shared" ca="1" si="1121"/>
        <v>7.1660037949600727E-2</v>
      </c>
      <c r="AA865" s="45">
        <f t="shared" ca="1" si="1135"/>
        <v>39.205800710777659</v>
      </c>
      <c r="AB865" s="45">
        <f t="shared" ca="1" si="1122"/>
        <v>0</v>
      </c>
      <c r="AC865" s="45" cm="1">
        <f t="array" aca="1" ref="AC865" ca="1">pHUM*(T865+W865+Z865+AD865)</f>
        <v>7.931501495731634E-2</v>
      </c>
      <c r="AD865" s="77">
        <f t="shared" ca="1" si="1123"/>
        <v>8.4614062409455071E-2</v>
      </c>
      <c r="AE865" s="45">
        <f t="shared" ca="1" si="1136"/>
        <v>6.3847072090583081</v>
      </c>
      <c r="AF865" s="45">
        <f t="shared" ca="1" si="1124"/>
        <v>0</v>
      </c>
      <c r="AG865" s="76">
        <f t="shared" ca="1" si="1125"/>
        <v>64.501154215404426</v>
      </c>
      <c r="AH865" s="45">
        <f t="shared" ca="1" si="1126"/>
        <v>0.67077469984338212</v>
      </c>
      <c r="AI865" s="77">
        <f t="shared" ca="1" si="1127"/>
        <v>1.1819230723145493E-2</v>
      </c>
      <c r="AJ865" s="384">
        <f t="shared" ca="1" si="1129"/>
        <v>3.4847228622570947E-2</v>
      </c>
      <c r="AU865" s="1"/>
    </row>
    <row r="866" spans="3:47" x14ac:dyDescent="0.25">
      <c r="C866" s="10">
        <f t="shared" si="1065"/>
        <v>64</v>
      </c>
      <c r="D866" s="91">
        <f t="shared" si="1137"/>
        <v>8</v>
      </c>
      <c r="E866" s="278"/>
      <c r="F866" s="76">
        <f t="shared" ref="F866:Q866" ca="1" si="1151">F794</f>
        <v>19.38</v>
      </c>
      <c r="G866" s="46">
        <f t="shared" ca="1" si="1151"/>
        <v>27.012600000000003</v>
      </c>
      <c r="H866" s="46">
        <f t="shared" ca="1" si="1113"/>
        <v>28.517550000000004</v>
      </c>
      <c r="I866" s="45">
        <f t="shared" ca="1" si="1114"/>
        <v>1.1711755949831784</v>
      </c>
      <c r="J866" s="45">
        <f t="shared" ca="1" si="1115"/>
        <v>0.27952512346894071</v>
      </c>
      <c r="K866" s="45">
        <f t="shared" ca="1" si="1131"/>
        <v>0.90345467800480783</v>
      </c>
      <c r="L866" s="358">
        <f t="shared" ca="1" si="1116"/>
        <v>0.9085593811553081</v>
      </c>
      <c r="M866" s="76">
        <f t="shared" ca="1" si="1151"/>
        <v>0.25347808785320641</v>
      </c>
      <c r="N866" s="45">
        <f t="shared" ca="1" si="1151"/>
        <v>0.25</v>
      </c>
      <c r="O866" s="45">
        <f t="shared" ca="1" si="1151"/>
        <v>0</v>
      </c>
      <c r="P866" s="46" t="str">
        <f t="shared" ca="1" si="1151"/>
        <v/>
      </c>
      <c r="Q866" s="243" t="str">
        <f t="shared" ca="1" si="1151"/>
        <v/>
      </c>
      <c r="R866" s="45">
        <f t="shared" ca="1" si="1132"/>
        <v>0.10006410365181721</v>
      </c>
      <c r="S866" s="45">
        <f t="shared" ca="1" si="1067"/>
        <v>5.0695617570641283E-2</v>
      </c>
      <c r="T866" s="77">
        <f t="shared" ca="1" si="1117"/>
        <v>6.2357646589744672E-2</v>
      </c>
      <c r="U866" s="45">
        <f t="shared" ca="1" si="1133"/>
        <v>17.361488435197437</v>
      </c>
      <c r="V866" s="45">
        <f t="shared" ca="1" si="1118"/>
        <v>0.20278247028256513</v>
      </c>
      <c r="W866" s="77">
        <f t="shared" ca="1" si="1119"/>
        <v>0.50096403951296276</v>
      </c>
      <c r="X866" s="45">
        <f t="shared" ca="1" si="1134"/>
        <v>1.0370961921811614</v>
      </c>
      <c r="Y866" s="45">
        <f t="shared" ca="1" si="1120"/>
        <v>5.8095265083546108E-2</v>
      </c>
      <c r="Z866" s="77">
        <f t="shared" ca="1" si="1121"/>
        <v>6.4698074920269771E-2</v>
      </c>
      <c r="AA866" s="45">
        <f t="shared" ca="1" si="1135"/>
        <v>39.200501663325518</v>
      </c>
      <c r="AB866" s="45">
        <f t="shared" ca="1" si="1122"/>
        <v>0</v>
      </c>
      <c r="AC866" s="45" cm="1">
        <f t="array" aca="1" ref="AC866" ca="1">pHUM*(T866+W866+Z866+AD866)</f>
        <v>6.8347370686524841E-2</v>
      </c>
      <c r="AD866" s="77">
        <f t="shared" ca="1" si="1123"/>
        <v>7.6443153530500588E-2</v>
      </c>
      <c r="AE866" s="45">
        <f t="shared" ca="1" si="1136"/>
        <v>6.3847072090583081</v>
      </c>
      <c r="AF866" s="45">
        <f t="shared" ca="1" si="1124"/>
        <v>0</v>
      </c>
      <c r="AG866" s="76">
        <f t="shared" ca="1" si="1125"/>
        <v>64.083857603414245</v>
      </c>
      <c r="AH866" s="45">
        <f t="shared" ca="1" si="1126"/>
        <v>0.57802027878340689</v>
      </c>
      <c r="AI866" s="77">
        <f t="shared" ca="1" si="1127"/>
        <v>1.1088524173391312E-2</v>
      </c>
      <c r="AJ866" s="384">
        <f t="shared" ca="1" si="1129"/>
        <v>3.212701463693346E-2</v>
      </c>
      <c r="AU866" s="1"/>
    </row>
    <row r="867" spans="3:47" x14ac:dyDescent="0.25">
      <c r="C867" s="10">
        <f t="shared" si="1065"/>
        <v>64</v>
      </c>
      <c r="D867" s="91">
        <f t="shared" si="1137"/>
        <v>9</v>
      </c>
      <c r="E867" s="278"/>
      <c r="F867" s="76">
        <f t="shared" ref="F867:Q867" ca="1" si="1152">F795</f>
        <v>16.57</v>
      </c>
      <c r="G867" s="46">
        <f t="shared" ca="1" si="1152"/>
        <v>27.012600000000003</v>
      </c>
      <c r="H867" s="46">
        <f t="shared" ca="1" si="1113"/>
        <v>28.517550000000004</v>
      </c>
      <c r="I867" s="45">
        <f t="shared" ca="1" si="1114"/>
        <v>0.9439672665218134</v>
      </c>
      <c r="J867" s="45">
        <f t="shared" ca="1" si="1115"/>
        <v>0.27952512346894071</v>
      </c>
      <c r="K867" s="45">
        <f t="shared" ca="1" si="1131"/>
        <v>0.90345467800480783</v>
      </c>
      <c r="L867" s="358">
        <f t="shared" ca="1" si="1116"/>
        <v>0.86895066774150642</v>
      </c>
      <c r="M867" s="76">
        <f t="shared" ca="1" si="1152"/>
        <v>0.25347808785320641</v>
      </c>
      <c r="N867" s="45">
        <f t="shared" ca="1" si="1152"/>
        <v>0.25</v>
      </c>
      <c r="O867" s="45">
        <f t="shared" ca="1" si="1152"/>
        <v>0</v>
      </c>
      <c r="P867" s="46" t="str">
        <f t="shared" ca="1" si="1152"/>
        <v/>
      </c>
      <c r="Q867" s="243" t="str">
        <f t="shared" ca="1" si="1152"/>
        <v/>
      </c>
      <c r="R867" s="45">
        <f t="shared" ca="1" si="1132"/>
        <v>8.8402074632713837E-2</v>
      </c>
      <c r="S867" s="45">
        <f t="shared" ca="1" si="1067"/>
        <v>5.0695617570641283E-2</v>
      </c>
      <c r="T867" s="77">
        <f t="shared" ca="1" si="1117"/>
        <v>4.8146195874830794E-2</v>
      </c>
      <c r="U867" s="45">
        <f t="shared" ca="1" si="1133"/>
        <v>17.063306865967039</v>
      </c>
      <c r="V867" s="45">
        <f t="shared" ca="1" si="1118"/>
        <v>0.20278247028256513</v>
      </c>
      <c r="W867" s="77">
        <f t="shared" ca="1" si="1119"/>
        <v>0.39796577571799957</v>
      </c>
      <c r="X867" s="45">
        <f t="shared" ca="1" si="1134"/>
        <v>1.0304933823444378</v>
      </c>
      <c r="Y867" s="45">
        <f t="shared" ca="1" si="1120"/>
        <v>4.6170256306191759E-2</v>
      </c>
      <c r="Z867" s="77">
        <f t="shared" ca="1" si="1121"/>
        <v>5.2136240719346895E-2</v>
      </c>
      <c r="AA867" s="45">
        <f t="shared" ca="1" si="1135"/>
        <v>39.192405880481545</v>
      </c>
      <c r="AB867" s="45">
        <f t="shared" ca="1" si="1122"/>
        <v>0</v>
      </c>
      <c r="AC867" s="45" cm="1">
        <f t="array" aca="1" ref="AC867" ca="1">pHUM*(T867+W867+Z867+AD867)</f>
        <v>5.4317948595519722E-2</v>
      </c>
      <c r="AD867" s="77">
        <f t="shared" ca="1" si="1123"/>
        <v>6.161210119817135E-2</v>
      </c>
      <c r="AE867" s="45">
        <f t="shared" ca="1" si="1136"/>
        <v>6.3847072090583081</v>
      </c>
      <c r="AF867" s="45">
        <f t="shared" ca="1" si="1124"/>
        <v>0</v>
      </c>
      <c r="AG867" s="76">
        <f t="shared" ca="1" si="1125"/>
        <v>63.759315412484042</v>
      </c>
      <c r="AH867" s="45">
        <f t="shared" ca="1" si="1126"/>
        <v>0.45937210860863714</v>
      </c>
      <c r="AI867" s="77">
        <f t="shared" ca="1" si="1127"/>
        <v>1.0845370437504748E-2</v>
      </c>
      <c r="AJ867" s="384">
        <f t="shared" ca="1" si="1129"/>
        <v>3.0052711917393227E-2</v>
      </c>
      <c r="AU867" s="1"/>
    </row>
    <row r="868" spans="3:47" x14ac:dyDescent="0.25">
      <c r="C868" s="10">
        <f t="shared" si="1065"/>
        <v>64</v>
      </c>
      <c r="D868" s="91">
        <f t="shared" si="1137"/>
        <v>10</v>
      </c>
      <c r="E868" s="278"/>
      <c r="F868" s="76">
        <f t="shared" ref="F868:Q868" ca="1" si="1153">F796</f>
        <v>10.87</v>
      </c>
      <c r="G868" s="46">
        <f t="shared" ca="1" si="1153"/>
        <v>27.012600000000003</v>
      </c>
      <c r="H868" s="46">
        <f t="shared" ca="1" si="1113"/>
        <v>28.517550000000004</v>
      </c>
      <c r="I868" s="45">
        <f t="shared" ca="1" si="1114"/>
        <v>0.53125146958099567</v>
      </c>
      <c r="J868" s="45">
        <f t="shared" ca="1" si="1115"/>
        <v>0.27952512346894071</v>
      </c>
      <c r="K868" s="45">
        <f t="shared" ca="1" si="1131"/>
        <v>0.90345467800480783</v>
      </c>
      <c r="L868" s="358">
        <f t="shared" ca="1" si="1116"/>
        <v>0.74105246316705919</v>
      </c>
      <c r="M868" s="76">
        <f t="shared" ca="1" si="1153"/>
        <v>0.25347808785320641</v>
      </c>
      <c r="N868" s="45">
        <f t="shared" ca="1" si="1153"/>
        <v>0.25</v>
      </c>
      <c r="O868" s="45">
        <f t="shared" ca="1" si="1153"/>
        <v>0</v>
      </c>
      <c r="P868" s="46" t="str">
        <f t="shared" ca="1" si="1153"/>
        <v/>
      </c>
      <c r="Q868" s="243" t="str">
        <f t="shared" ca="1" si="1153"/>
        <v/>
      </c>
      <c r="R868" s="45">
        <f t="shared" ca="1" si="1132"/>
        <v>9.0951496328524312E-2</v>
      </c>
      <c r="S868" s="45">
        <f t="shared" ca="1" si="1067"/>
        <v>5.0695617570641283E-2</v>
      </c>
      <c r="T868" s="77">
        <f t="shared" ca="1" si="1117"/>
        <v>3.2533920585815154E-2</v>
      </c>
      <c r="U868" s="45">
        <f t="shared" ca="1" si="1133"/>
        <v>16.868123560531604</v>
      </c>
      <c r="V868" s="45">
        <f t="shared" ca="1" si="1118"/>
        <v>0.20278247028256513</v>
      </c>
      <c r="W868" s="77">
        <f t="shared" ca="1" si="1119"/>
        <v>0.22254924427509834</v>
      </c>
      <c r="X868" s="45">
        <f t="shared" ca="1" si="1134"/>
        <v>1.0245273979312828</v>
      </c>
      <c r="Y868" s="45">
        <f t="shared" ca="1" si="1120"/>
        <v>2.6329008742780085E-2</v>
      </c>
      <c r="Z868" s="77">
        <f t="shared" ca="1" si="1121"/>
        <v>2.950238125703019E-2</v>
      </c>
      <c r="AA868" s="45">
        <f t="shared" ca="1" si="1135"/>
        <v>39.185111727878891</v>
      </c>
      <c r="AB868" s="45">
        <f t="shared" ca="1" si="1122"/>
        <v>0</v>
      </c>
      <c r="AC868" s="45" cm="1">
        <f t="array" aca="1" ref="AC868" ca="1">pHUM*(T868+W868+Z868+AD868)</f>
        <v>3.097530440327069E-2</v>
      </c>
      <c r="AD868" s="77">
        <f t="shared" ca="1" si="1123"/>
        <v>3.4679891600078103E-2</v>
      </c>
      <c r="AE868" s="45">
        <f t="shared" ca="1" si="1136"/>
        <v>6.3847072090583081</v>
      </c>
      <c r="AF868" s="45">
        <f t="shared" ca="1" si="1124"/>
        <v>0</v>
      </c>
      <c r="AG868" s="76">
        <f t="shared" ca="1" si="1125"/>
        <v>63.553421391728605</v>
      </c>
      <c r="AH868" s="45">
        <f t="shared" ca="1" si="1126"/>
        <v>0.26196112457197102</v>
      </c>
      <c r="AI868" s="77">
        <f t="shared" ca="1" si="1127"/>
        <v>1.0830286073510546E-2</v>
      </c>
      <c r="AJ868" s="384">
        <f t="shared" ca="1" si="1129"/>
        <v>2.55938056013294E-2</v>
      </c>
      <c r="AU868" s="1"/>
    </row>
    <row r="869" spans="3:47" x14ac:dyDescent="0.25">
      <c r="C869" s="10">
        <f t="shared" ref="C869:C932" si="1154">IF(D869=1,C868+1,C868)</f>
        <v>64</v>
      </c>
      <c r="D869" s="91">
        <f t="shared" si="1137"/>
        <v>11</v>
      </c>
      <c r="E869" s="278"/>
      <c r="F869" s="76">
        <f t="shared" ref="F869:Q869" ca="1" si="1155">F797</f>
        <v>1.4</v>
      </c>
      <c r="G869" s="46">
        <f t="shared" ca="1" si="1155"/>
        <v>28.536243189942063</v>
      </c>
      <c r="H869" s="46">
        <f t="shared" ca="1" si="1113"/>
        <v>26.993906810057943</v>
      </c>
      <c r="I869" s="45">
        <f t="shared" ca="1" si="1114"/>
        <v>9.940372096718314E-2</v>
      </c>
      <c r="J869" s="45">
        <f t="shared" ca="1" si="1115"/>
        <v>0.28648639837560558</v>
      </c>
      <c r="K869" s="45">
        <f t="shared" ca="1" si="1131"/>
        <v>0.92595425264501963</v>
      </c>
      <c r="L869" s="358">
        <f t="shared" ca="1" si="1116"/>
        <v>0.41120226021724715</v>
      </c>
      <c r="M869" s="76">
        <f t="shared" ca="1" si="1155"/>
        <v>0.25347808785320641</v>
      </c>
      <c r="N869" s="45">
        <f t="shared" ca="1" si="1155"/>
        <v>0.25</v>
      </c>
      <c r="O869" s="45">
        <f t="shared" ca="1" si="1155"/>
        <v>0</v>
      </c>
      <c r="P869" s="46" t="str">
        <f t="shared" ca="1" si="1155"/>
        <v/>
      </c>
      <c r="Q869" s="243" t="str">
        <f t="shared" ca="1" si="1155"/>
        <v/>
      </c>
      <c r="R869" s="45">
        <f t="shared" ca="1" si="1132"/>
        <v>0.10911319331335044</v>
      </c>
      <c r="S869" s="45">
        <f t="shared" ref="S869:S932" ca="1" si="1156">M869*N869/(1+N869) +   IF(O869&gt;0,O869*P869*(1-Q869)/(1+P869),0)</f>
        <v>5.0695617570641283E-2</v>
      </c>
      <c r="T869" s="77">
        <f t="shared" ca="1" si="1117"/>
        <v>8.6743136422450483E-3</v>
      </c>
      <c r="U869" s="45">
        <f t="shared" ca="1" si="1133"/>
        <v>16.848356786539071</v>
      </c>
      <c r="V869" s="45">
        <f t="shared" ca="1" si="1118"/>
        <v>0.20278247028256513</v>
      </c>
      <c r="W869" s="77">
        <f t="shared" ca="1" si="1119"/>
        <v>4.1817751896243753E-2</v>
      </c>
      <c r="X869" s="45">
        <f t="shared" ca="1" si="1134"/>
        <v>1.0213540254170328</v>
      </c>
      <c r="Y869" s="45">
        <f t="shared" ca="1" si="1120"/>
        <v>5.1584663429523571E-3</v>
      </c>
      <c r="Z869" s="77">
        <f t="shared" ca="1" si="1121"/>
        <v>5.5687149572705846E-3</v>
      </c>
      <c r="AA869" s="45">
        <f t="shared" ca="1" si="1135"/>
        <v>39.181407140682083</v>
      </c>
      <c r="AB869" s="45">
        <f t="shared" ca="1" si="1122"/>
        <v>0</v>
      </c>
      <c r="AC869" s="45" cm="1">
        <f t="array" aca="1" ref="AC869" ca="1">pHUM*(T869+W869+Z869+AD869)</f>
        <v>6.0687839328851263E-3</v>
      </c>
      <c r="AD869" s="77">
        <f t="shared" ca="1" si="1123"/>
        <v>6.4907584180625847E-3</v>
      </c>
      <c r="AE869" s="45">
        <f t="shared" ca="1" si="1136"/>
        <v>6.3847072090583081</v>
      </c>
      <c r="AF869" s="45">
        <f t="shared" ca="1" si="1124"/>
        <v>0</v>
      </c>
      <c r="AG869" s="76">
        <f t="shared" ca="1" si="1125"/>
        <v>63.544938355009847</v>
      </c>
      <c r="AH869" s="45">
        <f t="shared" ca="1" si="1126"/>
        <v>5.1324288637984487E-2</v>
      </c>
      <c r="AI869" s="77">
        <f t="shared" ca="1" si="1127"/>
        <v>1.1084864156208352E-2</v>
      </c>
      <c r="AJ869" s="384">
        <f t="shared" ca="1" si="1129"/>
        <v>1.4897705812781936E-2</v>
      </c>
      <c r="AU869" s="1"/>
    </row>
    <row r="870" spans="3:47" x14ac:dyDescent="0.25">
      <c r="C870" s="10">
        <f t="shared" si="1154"/>
        <v>64</v>
      </c>
      <c r="D870" s="91">
        <f t="shared" si="1137"/>
        <v>12</v>
      </c>
      <c r="E870" s="278"/>
      <c r="F870" s="76">
        <f t="shared" ref="F870:Q870" ca="1" si="1157">F798</f>
        <v>-1.78</v>
      </c>
      <c r="G870" s="46">
        <f t="shared" ca="1" si="1157"/>
        <v>32.216243189942062</v>
      </c>
      <c r="H870" s="46">
        <f t="shared" ca="1" si="1113"/>
        <v>23.313906810057944</v>
      </c>
      <c r="I870" s="45">
        <f t="shared" ca="1" si="1114"/>
        <v>3.9789790397057247E-2</v>
      </c>
      <c r="J870" s="45">
        <f t="shared" ca="1" si="1115"/>
        <v>0.29882189650486002</v>
      </c>
      <c r="K870" s="45">
        <f t="shared" ca="1" si="1131"/>
        <v>0.96582388351071458</v>
      </c>
      <c r="L870" s="358">
        <f t="shared" ca="1" si="1116"/>
        <v>0.30292377267304249</v>
      </c>
      <c r="M870" s="76">
        <f t="shared" ca="1" si="1157"/>
        <v>0.25347808785320641</v>
      </c>
      <c r="N870" s="45">
        <f t="shared" ca="1" si="1157"/>
        <v>0.25</v>
      </c>
      <c r="O870" s="45">
        <f t="shared" ca="1" si="1157"/>
        <v>0</v>
      </c>
      <c r="P870" s="46" t="str">
        <f t="shared" ca="1" si="1157"/>
        <v/>
      </c>
      <c r="Q870" s="243" t="str">
        <f t="shared" ca="1" si="1157"/>
        <v/>
      </c>
      <c r="R870" s="45">
        <f t="shared" ca="1" si="1132"/>
        <v>0.15113449724174668</v>
      </c>
      <c r="S870" s="45">
        <f t="shared" ca="1" si="1156"/>
        <v>5.0695617570641283E-2</v>
      </c>
      <c r="T870" s="77">
        <f t="shared" ca="1" si="1117"/>
        <v>4.9291689443774654E-3</v>
      </c>
      <c r="U870" s="45">
        <f t="shared" ca="1" si="1133"/>
        <v>17.009321504925392</v>
      </c>
      <c r="V870" s="45">
        <f t="shared" ca="1" si="1118"/>
        <v>0.20278247028256513</v>
      </c>
      <c r="W870" s="77">
        <f t="shared" ca="1" si="1119"/>
        <v>1.6911520719100223E-2</v>
      </c>
      <c r="X870" s="45">
        <f t="shared" ca="1" si="1134"/>
        <v>1.0209437768027145</v>
      </c>
      <c r="Y870" s="45">
        <f t="shared" ca="1" si="1120"/>
        <v>2.1994707247479351E-3</v>
      </c>
      <c r="Z870" s="77">
        <f t="shared" ca="1" si="1121"/>
        <v>2.231829637083784E-3</v>
      </c>
      <c r="AA870" s="45">
        <f t="shared" ca="1" si="1135"/>
        <v>39.180985166196905</v>
      </c>
      <c r="AB870" s="45">
        <f t="shared" ca="1" si="1122"/>
        <v>0</v>
      </c>
      <c r="AC870" s="45" cm="1">
        <f t="array" aca="1" ref="AC870" ca="1">pHUM*(T870+W870+Z870+AD870)</f>
        <v>2.5876126173505118E-3</v>
      </c>
      <c r="AD870" s="77">
        <f t="shared" ca="1" si="1123"/>
        <v>2.598252491300415E-3</v>
      </c>
      <c r="AE870" s="45">
        <f t="shared" ca="1" si="1136"/>
        <v>6.3847072090583081</v>
      </c>
      <c r="AF870" s="45">
        <f t="shared" ca="1" si="1124"/>
        <v>0</v>
      </c>
      <c r="AG870" s="76">
        <f t="shared" ca="1" si="1125"/>
        <v>63.747092154225058</v>
      </c>
      <c r="AH870" s="45">
        <f t="shared" ca="1" si="1126"/>
        <v>2.1883688449763444E-2</v>
      </c>
      <c r="AI870" s="77">
        <f t="shared" ca="1" si="1127"/>
        <v>1.1726011781100856E-2</v>
      </c>
      <c r="AJ870" s="384">
        <f t="shared" ca="1" si="1129"/>
        <v>1.2109515325807729E-2</v>
      </c>
      <c r="AU870" s="1"/>
    </row>
    <row r="871" spans="3:47" x14ac:dyDescent="0.25">
      <c r="C871" s="10">
        <f t="shared" si="1154"/>
        <v>65</v>
      </c>
      <c r="D871" s="91">
        <f t="shared" si="1137"/>
        <v>1</v>
      </c>
      <c r="E871" s="278"/>
      <c r="F871" s="76">
        <f t="shared" ref="F871:Q871" ca="1" si="1158">F799</f>
        <v>-8.2799999999999994</v>
      </c>
      <c r="G871" s="46">
        <f t="shared" ca="1" si="1158"/>
        <v>27.676243189942063</v>
      </c>
      <c r="H871" s="46">
        <f t="shared" ca="1" si="1113"/>
        <v>27.853906810057943</v>
      </c>
      <c r="I871" s="45">
        <f t="shared" ca="1" si="1114"/>
        <v>5.2124139735228647E-4</v>
      </c>
      <c r="J871" s="45">
        <f t="shared" ca="1" si="1115"/>
        <v>0.28271042830183513</v>
      </c>
      <c r="K871" s="45">
        <f t="shared" ca="1" si="1131"/>
        <v>0.91374991914963299</v>
      </c>
      <c r="L871" s="358">
        <f t="shared" ca="1" si="1116"/>
        <v>0.14143923467074027</v>
      </c>
      <c r="M871" s="76">
        <f t="shared" ca="1" si="1158"/>
        <v>0.25347808785320641</v>
      </c>
      <c r="N871" s="45">
        <f t="shared" ca="1" si="1158"/>
        <v>0.25</v>
      </c>
      <c r="O871" s="45">
        <f t="shared" ca="1" si="1158"/>
        <v>0</v>
      </c>
      <c r="P871" s="46" t="str">
        <f t="shared" ca="1" si="1158"/>
        <v/>
      </c>
      <c r="Q871" s="243" t="str">
        <f t="shared" ca="1" si="1158"/>
        <v/>
      </c>
      <c r="R871" s="45">
        <f t="shared" ca="1" si="1132"/>
        <v>0.19690094586801049</v>
      </c>
      <c r="S871" s="45">
        <f t="shared" ca="1" si="1156"/>
        <v>5.0695617570641283E-2</v>
      </c>
      <c r="T871" s="77">
        <f t="shared" ca="1" si="1117"/>
        <v>8.5508864309104358E-5</v>
      </c>
      <c r="U871" s="45">
        <f t="shared" ca="1" si="1133"/>
        <v>17.195192454488854</v>
      </c>
      <c r="V871" s="45">
        <f t="shared" ca="1" si="1118"/>
        <v>0.20278247028256513</v>
      </c>
      <c r="W871" s="77">
        <f t="shared" ca="1" si="1119"/>
        <v>2.2406969363490946E-4</v>
      </c>
      <c r="X871" s="45">
        <f t="shared" ca="1" si="1134"/>
        <v>1.0209114178903786</v>
      </c>
      <c r="Y871" s="45">
        <f t="shared" ca="1" si="1120"/>
        <v>3.0750779110709347E-5</v>
      </c>
      <c r="Z871" s="77">
        <f t="shared" ca="1" si="1121"/>
        <v>2.9267351647606392E-5</v>
      </c>
      <c r="AA871" s="45">
        <f t="shared" ca="1" si="1135"/>
        <v>39.180974526322949</v>
      </c>
      <c r="AB871" s="45">
        <f t="shared" ca="1" si="1122"/>
        <v>0</v>
      </c>
      <c r="AC871" s="45" cm="1">
        <f t="array" aca="1" ref="AC871" ca="1">pHUM*(T871+W871+Z871+AD871)</f>
        <v>3.6177387189069817E-5</v>
      </c>
      <c r="AD871" s="77">
        <f t="shared" ca="1" si="1123"/>
        <v>3.4037895069009395E-5</v>
      </c>
      <c r="AE871" s="45">
        <f t="shared" ca="1" si="1136"/>
        <v>6.3847072090583081</v>
      </c>
      <c r="AF871" s="45">
        <f t="shared" ca="1" si="1124"/>
        <v>0</v>
      </c>
      <c r="AG871" s="76">
        <f t="shared" ca="1" si="1125"/>
        <v>63.978686553628492</v>
      </c>
      <c r="AH871" s="45">
        <f t="shared" ca="1" si="1126"/>
        <v>3.0595563836085052E-4</v>
      </c>
      <c r="AI871" s="77">
        <f t="shared" ca="1" si="1127"/>
        <v>1.2421709582407127E-2</v>
      </c>
      <c r="AJ871" s="384">
        <f t="shared" ca="1" si="1129"/>
        <v>5.6666501080349096E-3</v>
      </c>
      <c r="AU871" s="1"/>
    </row>
    <row r="872" spans="3:47" x14ac:dyDescent="0.25">
      <c r="C872" s="10">
        <f t="shared" si="1154"/>
        <v>65</v>
      </c>
      <c r="D872" s="91">
        <f t="shared" si="1137"/>
        <v>2</v>
      </c>
      <c r="E872" s="278"/>
      <c r="F872" s="76">
        <f t="shared" ref="F872:Q872" ca="1" si="1159">F800</f>
        <v>-13.02</v>
      </c>
      <c r="G872" s="46">
        <f t="shared" ca="1" si="1159"/>
        <v>27.012600000000003</v>
      </c>
      <c r="H872" s="46">
        <f t="shared" ca="1" si="1113"/>
        <v>28.517550000000004</v>
      </c>
      <c r="I872" s="45">
        <f t="shared" ca="1" si="1114"/>
        <v>3.4968020066039631E-8</v>
      </c>
      <c r="J872" s="45">
        <f t="shared" ca="1" si="1115"/>
        <v>0.27952512346894071</v>
      </c>
      <c r="K872" s="45">
        <f t="shared" ca="1" si="1131"/>
        <v>0.90345467800480783</v>
      </c>
      <c r="L872" s="358">
        <f t="shared" ca="1" si="1116"/>
        <v>7.5103934893711255E-2</v>
      </c>
      <c r="M872" s="76">
        <f t="shared" ca="1" si="1159"/>
        <v>0.25347808785320641</v>
      </c>
      <c r="N872" s="45">
        <f t="shared" ca="1" si="1159"/>
        <v>0.25</v>
      </c>
      <c r="O872" s="45">
        <f t="shared" ca="1" si="1159"/>
        <v>0</v>
      </c>
      <c r="P872" s="46" t="str">
        <f t="shared" ca="1" si="1159"/>
        <v/>
      </c>
      <c r="Q872" s="243" t="str">
        <f t="shared" ca="1" si="1159"/>
        <v/>
      </c>
      <c r="R872" s="45">
        <f t="shared" ca="1" si="1132"/>
        <v>0.24751105457434266</v>
      </c>
      <c r="S872" s="45">
        <f t="shared" ca="1" si="1156"/>
        <v>5.0695617570641283E-2</v>
      </c>
      <c r="T872" s="77">
        <f t="shared" ca="1" si="1117"/>
        <v>7.2124761619648606E-9</v>
      </c>
      <c r="U872" s="45">
        <f t="shared" ca="1" si="1133"/>
        <v>17.397750855077785</v>
      </c>
      <c r="V872" s="45">
        <f t="shared" ca="1" si="1118"/>
        <v>0.20278247028256513</v>
      </c>
      <c r="W872" s="77">
        <f t="shared" ca="1" si="1119"/>
        <v>1.5209122318500942E-8</v>
      </c>
      <c r="X872" s="45">
        <f t="shared" ca="1" si="1134"/>
        <v>1.0209129013178417</v>
      </c>
      <c r="Y872" s="45">
        <f t="shared" ca="1" si="1120"/>
        <v>2.199285794915928E-9</v>
      </c>
      <c r="Z872" s="77">
        <f t="shared" ca="1" si="1121"/>
        <v>1.9634616737080215E-9</v>
      </c>
      <c r="AA872" s="45">
        <f t="shared" ca="1" si="1135"/>
        <v>39.180976665815066</v>
      </c>
      <c r="AB872" s="45">
        <f t="shared" ca="1" si="1122"/>
        <v>0</v>
      </c>
      <c r="AC872" s="45" cm="1">
        <f t="array" aca="1" ref="AC872" ca="1">pHUM*(T872+W872+Z872+AD872)</f>
        <v>2.5873950528422683E-9</v>
      </c>
      <c r="AD872" s="77">
        <f t="shared" ca="1" si="1123"/>
        <v>2.2834691794041361E-9</v>
      </c>
      <c r="AE872" s="45">
        <f t="shared" ca="1" si="1136"/>
        <v>6.3847072090583081</v>
      </c>
      <c r="AF872" s="45">
        <f t="shared" ca="1" si="1124"/>
        <v>0</v>
      </c>
      <c r="AG872" s="76">
        <f t="shared" ca="1" si="1125"/>
        <v>64.231858685843349</v>
      </c>
      <c r="AH872" s="45">
        <f t="shared" ca="1" si="1126"/>
        <v>2.1881848485819762E-8</v>
      </c>
      <c r="AI872" s="77">
        <f t="shared" ca="1" si="1127"/>
        <v>1.3183965007803975E-2</v>
      </c>
      <c r="AJ872" s="384">
        <f t="shared" ca="1" si="1129"/>
        <v>3.1576494097373953E-3</v>
      </c>
      <c r="AU872" s="1"/>
    </row>
    <row r="873" spans="3:47" x14ac:dyDescent="0.25">
      <c r="C873" s="10">
        <f t="shared" si="1154"/>
        <v>65</v>
      </c>
      <c r="D873" s="91">
        <f t="shared" si="1137"/>
        <v>3</v>
      </c>
      <c r="E873" s="278"/>
      <c r="F873" s="76">
        <f t="shared" ref="F873:Q873" ca="1" si="1160">F801</f>
        <v>-3.52</v>
      </c>
      <c r="G873" s="46">
        <f t="shared" ca="1" si="1160"/>
        <v>29.742600000000003</v>
      </c>
      <c r="H873" s="46">
        <f t="shared" ca="1" si="1113"/>
        <v>25.787550000000003</v>
      </c>
      <c r="I873" s="45">
        <f t="shared" ca="1" si="1114"/>
        <v>1.7216068766348798E-2</v>
      </c>
      <c r="J873" s="45">
        <f t="shared" ca="1" si="1115"/>
        <v>0.2911707845539237</v>
      </c>
      <c r="K873" s="45">
        <f t="shared" ca="1" si="1131"/>
        <v>0.94109468279262609</v>
      </c>
      <c r="L873" s="358">
        <f t="shared" ca="1" si="1116"/>
        <v>0.2510452916114092</v>
      </c>
      <c r="M873" s="76">
        <f t="shared" ca="1" si="1160"/>
        <v>0.25347808785320641</v>
      </c>
      <c r="N873" s="45">
        <f t="shared" ca="1" si="1160"/>
        <v>0.25</v>
      </c>
      <c r="O873" s="45">
        <f t="shared" ca="1" si="1160"/>
        <v>0</v>
      </c>
      <c r="P873" s="46" t="str">
        <f t="shared" ca="1" si="1160"/>
        <v/>
      </c>
      <c r="Q873" s="243" t="str">
        <f t="shared" ca="1" si="1160"/>
        <v/>
      </c>
      <c r="R873" s="45">
        <f t="shared" ca="1" si="1132"/>
        <v>0.2982066649325078</v>
      </c>
      <c r="S873" s="45">
        <f t="shared" ca="1" si="1156"/>
        <v>5.0695617570641283E-2</v>
      </c>
      <c r="T873" s="77">
        <f t="shared" ca="1" si="1117"/>
        <v>4.2477452355207971E-3</v>
      </c>
      <c r="U873" s="45">
        <f t="shared" ca="1" si="1133"/>
        <v>17.600533310151228</v>
      </c>
      <c r="V873" s="45">
        <f t="shared" ca="1" si="1118"/>
        <v>0.20278247028256513</v>
      </c>
      <c r="W873" s="77">
        <f t="shared" ca="1" si="1119"/>
        <v>7.5736698176289132E-3</v>
      </c>
      <c r="X873" s="45">
        <f t="shared" ca="1" si="1134"/>
        <v>1.020912901553666</v>
      </c>
      <c r="Y873" s="45">
        <f t="shared" ca="1" si="1120"/>
        <v>1.1472760936732562E-3</v>
      </c>
      <c r="Z873" s="77">
        <f t="shared" ca="1" si="1121"/>
        <v>9.6622834430106083E-4</v>
      </c>
      <c r="AA873" s="45">
        <f t="shared" ca="1" si="1135"/>
        <v>39.180976666118987</v>
      </c>
      <c r="AB873" s="45">
        <f t="shared" ca="1" si="1122"/>
        <v>0</v>
      </c>
      <c r="AC873" s="45" cm="1">
        <f t="array" aca="1" ref="AC873" ca="1">pHUM*(T873+W873+Z873+AD873)</f>
        <v>1.3497365807920664E-3</v>
      </c>
      <c r="AD873" s="77">
        <f t="shared" ca="1" si="1123"/>
        <v>1.1242211853910275E-3</v>
      </c>
      <c r="AE873" s="45">
        <f t="shared" ca="1" si="1136"/>
        <v>6.3847072090583081</v>
      </c>
      <c r="AF873" s="45">
        <f t="shared" ca="1" si="1124"/>
        <v>0</v>
      </c>
      <c r="AG873" s="76">
        <f t="shared" ca="1" si="1125"/>
        <v>64.4853367518147</v>
      </c>
      <c r="AH873" s="45">
        <f t="shared" ca="1" si="1126"/>
        <v>1.1414851908376477E-2</v>
      </c>
      <c r="AI873" s="77">
        <f t="shared" ca="1" si="1127"/>
        <v>1.3940825264732478E-2</v>
      </c>
      <c r="AJ873" s="384">
        <f t="shared" ca="1" si="1129"/>
        <v>1.1625702881420397E-2</v>
      </c>
      <c r="AU873" s="1"/>
    </row>
    <row r="874" spans="3:47" x14ac:dyDescent="0.25">
      <c r="C874" s="10">
        <f t="shared" si="1154"/>
        <v>65</v>
      </c>
      <c r="D874" s="91">
        <f t="shared" si="1137"/>
        <v>4</v>
      </c>
      <c r="E874" s="278"/>
      <c r="F874" s="76">
        <f t="shared" ref="F874:Q874" ca="1" si="1161">F802</f>
        <v>6.08</v>
      </c>
      <c r="G874" s="46">
        <f t="shared" ca="1" si="1161"/>
        <v>27.012600000000003</v>
      </c>
      <c r="H874" s="46">
        <f t="shared" ca="1" si="1113"/>
        <v>28.517550000000004</v>
      </c>
      <c r="I874" s="45">
        <f t="shared" ca="1" si="1114"/>
        <v>0.26307228538649535</v>
      </c>
      <c r="J874" s="45">
        <f t="shared" ca="1" si="1115"/>
        <v>0.27952512346894071</v>
      </c>
      <c r="K874" s="45">
        <f t="shared" ca="1" si="1131"/>
        <v>0.90345467800480783</v>
      </c>
      <c r="L874" s="358">
        <f t="shared" ca="1" si="1116"/>
        <v>0.58389398806465831</v>
      </c>
      <c r="M874" s="76">
        <f t="shared" ca="1" si="1161"/>
        <v>0.25347808785320641</v>
      </c>
      <c r="N874" s="45">
        <f t="shared" ca="1" si="1161"/>
        <v>0.25</v>
      </c>
      <c r="O874" s="45">
        <f t="shared" ca="1" si="1161"/>
        <v>0</v>
      </c>
      <c r="P874" s="46" t="str">
        <f t="shared" ca="1" si="1161"/>
        <v/>
      </c>
      <c r="Q874" s="243" t="str">
        <f t="shared" ca="1" si="1161"/>
        <v/>
      </c>
      <c r="R874" s="45">
        <f t="shared" ca="1" si="1132"/>
        <v>0.34465453726762829</v>
      </c>
      <c r="S874" s="45">
        <f t="shared" ca="1" si="1156"/>
        <v>5.0695617570641283E-2</v>
      </c>
      <c r="T874" s="77">
        <f t="shared" ca="1" si="1117"/>
        <v>6.7848877793297319E-2</v>
      </c>
      <c r="U874" s="45">
        <f t="shared" ca="1" si="1133"/>
        <v>17.795742110616164</v>
      </c>
      <c r="V874" s="45">
        <f t="shared" ca="1" si="1118"/>
        <v>0.20278247028256513</v>
      </c>
      <c r="W874" s="77">
        <f t="shared" ca="1" si="1119"/>
        <v>0.11665513403386779</v>
      </c>
      <c r="X874" s="45">
        <f t="shared" ca="1" si="1134"/>
        <v>1.0210939493030382</v>
      </c>
      <c r="Y874" s="45">
        <f t="shared" ca="1" si="1120"/>
        <v>1.7841603989846865E-2</v>
      </c>
      <c r="Z874" s="77">
        <f t="shared" ca="1" si="1121"/>
        <v>1.4667813524484907E-2</v>
      </c>
      <c r="AA874" s="45">
        <f t="shared" ca="1" si="1135"/>
        <v>39.181202181514386</v>
      </c>
      <c r="AB874" s="45">
        <f t="shared" ca="1" si="1122"/>
        <v>0</v>
      </c>
      <c r="AC874" s="45" cm="1">
        <f t="array" aca="1" ref="AC874" ca="1">pHUM*(T874+W874+Z874+AD874)</f>
        <v>2.0990122340996311E-2</v>
      </c>
      <c r="AD874" s="77">
        <f t="shared" ca="1" si="1123"/>
        <v>1.7175381755874339E-2</v>
      </c>
      <c r="AE874" s="45">
        <f t="shared" ca="1" si="1136"/>
        <v>6.3847072090583081</v>
      </c>
      <c r="AF874" s="45">
        <f t="shared" ca="1" si="1124"/>
        <v>0</v>
      </c>
      <c r="AG874" s="76">
        <f t="shared" ca="1" si="1125"/>
        <v>64.727399987759526</v>
      </c>
      <c r="AH874" s="45">
        <f t="shared" ca="1" si="1126"/>
        <v>0.17751548077668119</v>
      </c>
      <c r="AI874" s="77">
        <f t="shared" ca="1" si="1127"/>
        <v>1.4630244120549488E-2</v>
      </c>
      <c r="AJ874" s="384">
        <f t="shared" ca="1" si="1129"/>
        <v>2.7241491679654839E-2</v>
      </c>
      <c r="AU874" s="1"/>
    </row>
    <row r="875" spans="3:47" x14ac:dyDescent="0.25">
      <c r="C875" s="10">
        <f t="shared" si="1154"/>
        <v>65</v>
      </c>
      <c r="D875" s="91">
        <f t="shared" si="1137"/>
        <v>5</v>
      </c>
      <c r="E875" s="278"/>
      <c r="F875" s="76">
        <f t="shared" ref="F875:Q875" ca="1" si="1162">F803</f>
        <v>16.079999999999998</v>
      </c>
      <c r="G875" s="46">
        <f t="shared" ca="1" si="1162"/>
        <v>27.012600000000003</v>
      </c>
      <c r="H875" s="46">
        <f t="shared" ca="1" si="1113"/>
        <v>28.517550000000004</v>
      </c>
      <c r="I875" s="45">
        <f t="shared" ca="1" si="1114"/>
        <v>0.90560233354751607</v>
      </c>
      <c r="J875" s="45">
        <f t="shared" ca="1" si="1115"/>
        <v>0.27952512346894071</v>
      </c>
      <c r="K875" s="45">
        <f t="shared" ca="1" si="1131"/>
        <v>0.90345467800480783</v>
      </c>
      <c r="L875" s="358">
        <f t="shared" ca="1" si="1116"/>
        <v>0.86059167822175908</v>
      </c>
      <c r="M875" s="76">
        <f t="shared" ca="1" si="1162"/>
        <v>0.25347808785320641</v>
      </c>
      <c r="N875" s="45">
        <f t="shared" ca="1" si="1162"/>
        <v>0.25</v>
      </c>
      <c r="O875" s="45">
        <f t="shared" ca="1" si="1162"/>
        <v>0</v>
      </c>
      <c r="P875" s="46" t="str">
        <f t="shared" ca="1" si="1162"/>
        <v/>
      </c>
      <c r="Q875" s="243" t="str">
        <f t="shared" ca="1" si="1162"/>
        <v/>
      </c>
      <c r="R875" s="45">
        <f t="shared" ca="1" si="1132"/>
        <v>0.32750127704497223</v>
      </c>
      <c r="S875" s="45">
        <f t="shared" ca="1" si="1156"/>
        <v>5.0695617570641283E-2</v>
      </c>
      <c r="T875" s="77">
        <f t="shared" ca="1" si="1117"/>
        <v>0.17352118168479536</v>
      </c>
      <c r="U875" s="45">
        <f t="shared" ca="1" si="1133"/>
        <v>17.881869446864862</v>
      </c>
      <c r="V875" s="45">
        <f t="shared" ca="1" si="1118"/>
        <v>0.20278247028256513</v>
      </c>
      <c r="W875" s="77">
        <f t="shared" ca="1" si="1119"/>
        <v>0.40029808317608684</v>
      </c>
      <c r="X875" s="45">
        <f t="shared" ca="1" si="1134"/>
        <v>1.0242677397684001</v>
      </c>
      <c r="Y875" s="45">
        <f t="shared" ca="1" si="1120"/>
        <v>5.6299314348135551E-2</v>
      </c>
      <c r="Z875" s="77">
        <f t="shared" ca="1" si="1121"/>
        <v>4.9767166032928641E-2</v>
      </c>
      <c r="AA875" s="45">
        <f t="shared" ca="1" si="1135"/>
        <v>39.185016922099507</v>
      </c>
      <c r="AB875" s="45">
        <f t="shared" ca="1" si="1122"/>
        <v>0</v>
      </c>
      <c r="AC875" s="45" cm="1">
        <f t="array" aca="1" ref="AC875" ca="1">pHUM*(T875+W875+Z875+AD875)</f>
        <v>6.6234487468394762E-2</v>
      </c>
      <c r="AD875" s="77">
        <f t="shared" ca="1" si="1123"/>
        <v>5.9098793384179865E-2</v>
      </c>
      <c r="AE875" s="45">
        <f t="shared" ca="1" si="1136"/>
        <v>6.3847072090583081</v>
      </c>
      <c r="AF875" s="45">
        <f t="shared" ca="1" si="1124"/>
        <v>0</v>
      </c>
      <c r="AG875" s="76">
        <f t="shared" ca="1" si="1125"/>
        <v>64.803362594836045</v>
      </c>
      <c r="AH875" s="45">
        <f t="shared" ca="1" si="1126"/>
        <v>0.56015142246146044</v>
      </c>
      <c r="AI875" s="77">
        <f t="shared" ca="1" si="1127"/>
        <v>1.440648622788088E-2</v>
      </c>
      <c r="AJ875" s="384">
        <f t="shared" ca="1" si="1129"/>
        <v>3.9536250649235827E-2</v>
      </c>
      <c r="AU875" s="1"/>
    </row>
    <row r="876" spans="3:47" x14ac:dyDescent="0.25">
      <c r="C876" s="10">
        <f t="shared" si="1154"/>
        <v>65</v>
      </c>
      <c r="D876" s="91">
        <f t="shared" si="1137"/>
        <v>6</v>
      </c>
      <c r="E876" s="278"/>
      <c r="F876" s="76">
        <f t="shared" ref="F876:Q876" ca="1" si="1163">F804</f>
        <v>17.399999999999999</v>
      </c>
      <c r="G876" s="46">
        <f t="shared" ca="1" si="1163"/>
        <v>27.012600000000003</v>
      </c>
      <c r="H876" s="46">
        <f t="shared" ca="1" si="1113"/>
        <v>28.517550000000004</v>
      </c>
      <c r="I876" s="45">
        <f t="shared" ca="1" si="1114"/>
        <v>1.0098878501236044</v>
      </c>
      <c r="J876" s="45">
        <f t="shared" ca="1" si="1115"/>
        <v>0.27952512346894071</v>
      </c>
      <c r="K876" s="45">
        <f t="shared" ca="1" si="1131"/>
        <v>0.90345467800480783</v>
      </c>
      <c r="L876" s="358">
        <f t="shared" ca="1" si="1116"/>
        <v>0.88208077264421947</v>
      </c>
      <c r="M876" s="76">
        <f t="shared" ca="1" si="1163"/>
        <v>0.25347808785320641</v>
      </c>
      <c r="N876" s="45">
        <f t="shared" ca="1" si="1163"/>
        <v>0.25</v>
      </c>
      <c r="O876" s="45">
        <f t="shared" ca="1" si="1163"/>
        <v>0</v>
      </c>
      <c r="P876" s="46" t="str">
        <f t="shared" ca="1" si="1163"/>
        <v/>
      </c>
      <c r="Q876" s="243" t="str">
        <f t="shared" ca="1" si="1163"/>
        <v/>
      </c>
      <c r="R876" s="45">
        <f t="shared" ca="1" si="1132"/>
        <v>0.20467571293081815</v>
      </c>
      <c r="S876" s="45">
        <f t="shared" ca="1" si="1156"/>
        <v>5.0695617570641283E-2</v>
      </c>
      <c r="T876" s="77">
        <f t="shared" ca="1" si="1117"/>
        <v>0.11645395421434461</v>
      </c>
      <c r="U876" s="45">
        <f t="shared" ca="1" si="1133"/>
        <v>17.68435383397134</v>
      </c>
      <c r="V876" s="45">
        <f t="shared" ca="1" si="1118"/>
        <v>0.20278247028256513</v>
      </c>
      <c r="W876" s="77">
        <f t="shared" ca="1" si="1119"/>
        <v>0.44089129809483008</v>
      </c>
      <c r="X876" s="45">
        <f t="shared" ca="1" si="1134"/>
        <v>1.0307998880836071</v>
      </c>
      <c r="Y876" s="45">
        <f t="shared" ca="1" si="1120"/>
        <v>5.5991233791474859E-2</v>
      </c>
      <c r="Z876" s="77">
        <f t="shared" ca="1" si="1121"/>
        <v>5.5693541519323389E-2</v>
      </c>
      <c r="AA876" s="45">
        <f t="shared" ca="1" si="1135"/>
        <v>39.192152616183719</v>
      </c>
      <c r="AB876" s="45">
        <f t="shared" ca="1" si="1122"/>
        <v>0</v>
      </c>
      <c r="AC876" s="45" cm="1">
        <f t="array" aca="1" ref="AC876" ca="1">pHUM*(T876+W876+Z876+AD876)</f>
        <v>6.5872039754676301E-2</v>
      </c>
      <c r="AD876" s="77">
        <f t="shared" ca="1" si="1123"/>
        <v>6.5910647050443957E-2</v>
      </c>
      <c r="AE876" s="45">
        <f t="shared" ca="1" si="1136"/>
        <v>6.3847072090583081</v>
      </c>
      <c r="AF876" s="45">
        <f t="shared" ca="1" si="1124"/>
        <v>0</v>
      </c>
      <c r="AG876" s="76">
        <f t="shared" ca="1" si="1125"/>
        <v>64.496689260227797</v>
      </c>
      <c r="AH876" s="45">
        <f t="shared" ca="1" si="1126"/>
        <v>0.55708616733279082</v>
      </c>
      <c r="AI876" s="77">
        <f t="shared" ca="1" si="1127"/>
        <v>1.2642593871884945E-2</v>
      </c>
      <c r="AJ876" s="384">
        <f t="shared" ca="1" si="1129"/>
        <v>3.5562021621924345E-2</v>
      </c>
      <c r="AU876" s="1"/>
    </row>
    <row r="877" spans="3:47" x14ac:dyDescent="0.25">
      <c r="C877" s="10">
        <f t="shared" si="1154"/>
        <v>65</v>
      </c>
      <c r="D877" s="91">
        <f t="shared" si="1137"/>
        <v>7</v>
      </c>
      <c r="E877" s="278"/>
      <c r="F877" s="76">
        <f t="shared" ref="F877:Q877" ca="1" si="1164">F805</f>
        <v>21.29</v>
      </c>
      <c r="G877" s="46">
        <f t="shared" ca="1" si="1164"/>
        <v>27.012600000000003</v>
      </c>
      <c r="H877" s="46">
        <f t="shared" ca="1" si="1113"/>
        <v>28.517550000000004</v>
      </c>
      <c r="I877" s="45">
        <f t="shared" ca="1" si="1114"/>
        <v>1.3308669995183955</v>
      </c>
      <c r="J877" s="45">
        <f t="shared" ca="1" si="1115"/>
        <v>0.27952512346894071</v>
      </c>
      <c r="K877" s="45">
        <f t="shared" ca="1" si="1131"/>
        <v>0.90345467800480783</v>
      </c>
      <c r="L877" s="358">
        <f t="shared" ca="1" si="1116"/>
        <v>0.92839591561968593</v>
      </c>
      <c r="M877" s="76">
        <f t="shared" ca="1" si="1164"/>
        <v>0.25347808785320641</v>
      </c>
      <c r="N877" s="45">
        <f t="shared" ca="1" si="1164"/>
        <v>0.25</v>
      </c>
      <c r="O877" s="45">
        <f t="shared" ca="1" si="1164"/>
        <v>0</v>
      </c>
      <c r="P877" s="46" t="str">
        <f t="shared" ca="1" si="1164"/>
        <v/>
      </c>
      <c r="Q877" s="243" t="str">
        <f t="shared" ca="1" si="1164"/>
        <v/>
      </c>
      <c r="R877" s="45">
        <f t="shared" ca="1" si="1132"/>
        <v>0.13891737628711481</v>
      </c>
      <c r="S877" s="45">
        <f t="shared" ca="1" si="1156"/>
        <v>5.0695617570641283E-2</v>
      </c>
      <c r="T877" s="77">
        <f t="shared" ca="1" si="1117"/>
        <v>9.3092664317525969E-2</v>
      </c>
      <c r="U877" s="45">
        <f t="shared" ca="1" si="1133"/>
        <v>17.446245006159074</v>
      </c>
      <c r="V877" s="45">
        <f t="shared" ca="1" si="1118"/>
        <v>0.20278247028256513</v>
      </c>
      <c r="W877" s="77">
        <f t="shared" ca="1" si="1119"/>
        <v>0.57091547042866564</v>
      </c>
      <c r="X877" s="45">
        <f t="shared" ca="1" si="1134"/>
        <v>1.0310975803557585</v>
      </c>
      <c r="Y877" s="45">
        <f t="shared" ca="1" si="1120"/>
        <v>6.7922024719614116E-2</v>
      </c>
      <c r="Z877" s="77">
        <f t="shared" ca="1" si="1121"/>
        <v>7.2777877950933489E-2</v>
      </c>
      <c r="AA877" s="45">
        <f t="shared" ca="1" si="1135"/>
        <v>39.192114008887948</v>
      </c>
      <c r="AB877" s="45">
        <f t="shared" ca="1" si="1122"/>
        <v>0</v>
      </c>
      <c r="AC877" s="45" cm="1">
        <f t="array" aca="1" ref="AC877" ca="1">pHUM*(T877+W877+Z877+AD877)</f>
        <v>7.9908264376016613E-2</v>
      </c>
      <c r="AD877" s="77">
        <f t="shared" ca="1" si="1123"/>
        <v>8.6836143558505968E-2</v>
      </c>
      <c r="AE877" s="45">
        <f t="shared" ca="1" si="1136"/>
        <v>6.3847072090583081</v>
      </c>
      <c r="AF877" s="45">
        <f t="shared" ca="1" si="1124"/>
        <v>0</v>
      </c>
      <c r="AG877" s="76">
        <f t="shared" ca="1" si="1125"/>
        <v>64.193081180748209</v>
      </c>
      <c r="AH877" s="45">
        <f t="shared" ca="1" si="1126"/>
        <v>0.67579186716000039</v>
      </c>
      <c r="AI877" s="77">
        <f t="shared" ca="1" si="1127"/>
        <v>1.165836566615191E-2</v>
      </c>
      <c r="AJ877" s="384">
        <f t="shared" ca="1" si="1129"/>
        <v>3.4515424734878897E-2</v>
      </c>
      <c r="AU877" s="1"/>
    </row>
    <row r="878" spans="3:47" x14ac:dyDescent="0.25">
      <c r="C878" s="10">
        <f t="shared" si="1154"/>
        <v>65</v>
      </c>
      <c r="D878" s="91">
        <f t="shared" si="1137"/>
        <v>8</v>
      </c>
      <c r="E878" s="278"/>
      <c r="F878" s="76">
        <f t="shared" ref="F878:Q878" ca="1" si="1165">F806</f>
        <v>21.81</v>
      </c>
      <c r="G878" s="46">
        <f t="shared" ca="1" si="1165"/>
        <v>27.012600000000003</v>
      </c>
      <c r="H878" s="46">
        <f t="shared" ca="1" si="1113"/>
        <v>28.517550000000004</v>
      </c>
      <c r="I878" s="45">
        <f t="shared" ca="1" si="1114"/>
        <v>1.3748539373542934</v>
      </c>
      <c r="J878" s="45">
        <f t="shared" ca="1" si="1115"/>
        <v>0.27952512346894071</v>
      </c>
      <c r="K878" s="45">
        <f t="shared" ca="1" si="1131"/>
        <v>0.90345467800480783</v>
      </c>
      <c r="L878" s="358">
        <f t="shared" ca="1" si="1116"/>
        <v>0.93294591915671865</v>
      </c>
      <c r="M878" s="76">
        <f t="shared" ca="1" si="1165"/>
        <v>0.25347808785320641</v>
      </c>
      <c r="N878" s="45">
        <f t="shared" ca="1" si="1165"/>
        <v>0.25</v>
      </c>
      <c r="O878" s="45">
        <f t="shared" ca="1" si="1165"/>
        <v>0</v>
      </c>
      <c r="P878" s="46" t="str">
        <f t="shared" ca="1" si="1165"/>
        <v/>
      </c>
      <c r="Q878" s="243" t="str">
        <f t="shared" ca="1" si="1165"/>
        <v/>
      </c>
      <c r="R878" s="45">
        <f t="shared" ca="1" si="1132"/>
        <v>9.6520329540230126E-2</v>
      </c>
      <c r="S878" s="45">
        <f t="shared" ca="1" si="1156"/>
        <v>5.0695617570641283E-2</v>
      </c>
      <c r="T878" s="77">
        <f t="shared" ca="1" si="1117"/>
        <v>6.5827101645662786E-2</v>
      </c>
      <c r="U878" s="45">
        <f t="shared" ca="1" si="1133"/>
        <v>17.078112006012972</v>
      </c>
      <c r="V878" s="45">
        <f t="shared" ca="1" si="1118"/>
        <v>0.20278247028256513</v>
      </c>
      <c r="W878" s="77">
        <f t="shared" ca="1" si="1119"/>
        <v>0.57702437892843583</v>
      </c>
      <c r="X878" s="45">
        <f t="shared" ca="1" si="1134"/>
        <v>1.0262417271244391</v>
      </c>
      <c r="Y878" s="45">
        <f t="shared" ca="1" si="1120"/>
        <v>6.6574197273012004E-2</v>
      </c>
      <c r="Z878" s="77">
        <f t="shared" ca="1" si="1121"/>
        <v>7.4739875336019918E-2</v>
      </c>
      <c r="AA878" s="45">
        <f t="shared" ca="1" si="1135"/>
        <v>39.185186129705457</v>
      </c>
      <c r="AB878" s="45">
        <f t="shared" ca="1" si="1122"/>
        <v>0</v>
      </c>
      <c r="AC878" s="45" cm="1">
        <f t="array" aca="1" ref="AC878" ca="1">pHUM*(T878+W878+Z878+AD878)</f>
        <v>7.8322585027072941E-2</v>
      </c>
      <c r="AD878" s="77">
        <f t="shared" ca="1" si="1123"/>
        <v>8.9687050988606548E-2</v>
      </c>
      <c r="AE878" s="45">
        <f t="shared" ca="1" si="1136"/>
        <v>6.3847072090583081</v>
      </c>
      <c r="AF878" s="45">
        <f t="shared" ca="1" si="1124"/>
        <v>0</v>
      </c>
      <c r="AG878" s="76">
        <f t="shared" ca="1" si="1125"/>
        <v>63.770767401441404</v>
      </c>
      <c r="AH878" s="45">
        <f t="shared" ca="1" si="1126"/>
        <v>0.66238162459864014</v>
      </c>
      <c r="AI878" s="77">
        <f t="shared" ca="1" si="1127"/>
        <v>1.0963260843011758E-2</v>
      </c>
      <c r="AJ878" s="384">
        <f t="shared" ca="1" si="1129"/>
        <v>3.2616647683528788E-2</v>
      </c>
      <c r="AU878" s="1"/>
    </row>
    <row r="879" spans="3:47" x14ac:dyDescent="0.25">
      <c r="C879" s="10">
        <f t="shared" si="1154"/>
        <v>65</v>
      </c>
      <c r="D879" s="91">
        <f t="shared" si="1137"/>
        <v>9</v>
      </c>
      <c r="E879" s="278"/>
      <c r="F879" s="76">
        <f t="shared" ref="F879:Q879" ca="1" si="1166">F807</f>
        <v>19.09</v>
      </c>
      <c r="G879" s="46">
        <f t="shared" ca="1" si="1166"/>
        <v>27.012600000000003</v>
      </c>
      <c r="H879" s="46">
        <f t="shared" ca="1" si="1113"/>
        <v>28.517550000000004</v>
      </c>
      <c r="I879" s="45">
        <f t="shared" ca="1" si="1114"/>
        <v>1.1472439462064867</v>
      </c>
      <c r="J879" s="45">
        <f t="shared" ca="1" si="1115"/>
        <v>0.27952512346894071</v>
      </c>
      <c r="K879" s="45">
        <f t="shared" ca="1" si="1131"/>
        <v>0.90345467800480783</v>
      </c>
      <c r="L879" s="358">
        <f t="shared" ca="1" si="1116"/>
        <v>0.90508116523032656</v>
      </c>
      <c r="M879" s="76">
        <f t="shared" ca="1" si="1166"/>
        <v>0.25347808785320641</v>
      </c>
      <c r="N879" s="45">
        <f t="shared" ca="1" si="1166"/>
        <v>0.25</v>
      </c>
      <c r="O879" s="45">
        <f t="shared" ca="1" si="1166"/>
        <v>0</v>
      </c>
      <c r="P879" s="46" t="str">
        <f t="shared" ca="1" si="1166"/>
        <v/>
      </c>
      <c r="Q879" s="243" t="str">
        <f t="shared" ca="1" si="1166"/>
        <v/>
      </c>
      <c r="R879" s="45">
        <f t="shared" ca="1" si="1132"/>
        <v>8.1388845465208623E-2</v>
      </c>
      <c r="S879" s="45">
        <f t="shared" ca="1" si="1156"/>
        <v>5.0695617570641283E-2</v>
      </c>
      <c r="T879" s="77">
        <f t="shared" ca="1" si="1117"/>
        <v>5.0101878867953413E-2</v>
      </c>
      <c r="U879" s="45">
        <f t="shared" ca="1" si="1133"/>
        <v>16.703870097367101</v>
      </c>
      <c r="V879" s="45">
        <f t="shared" ca="1" si="1118"/>
        <v>0.20278247028256513</v>
      </c>
      <c r="W879" s="77">
        <f t="shared" ca="1" si="1119"/>
        <v>0.47228021390355096</v>
      </c>
      <c r="X879" s="45">
        <f t="shared" ca="1" si="1134"/>
        <v>1.0180760490614311</v>
      </c>
      <c r="Y879" s="45">
        <f t="shared" ca="1" si="1120"/>
        <v>5.4384649340310107E-2</v>
      </c>
      <c r="Z879" s="77">
        <f t="shared" ca="1" si="1121"/>
        <v>6.2254260857597624E-2</v>
      </c>
      <c r="AA879" s="45">
        <f t="shared" ca="1" si="1135"/>
        <v>39.173821663743922</v>
      </c>
      <c r="AB879" s="45">
        <f t="shared" ca="1" si="1122"/>
        <v>0</v>
      </c>
      <c r="AC879" s="45" cm="1">
        <f t="array" aca="1" ref="AC879" ca="1">pHUM*(T879+W879+Z879+AD879)</f>
        <v>6.398194040036484E-2</v>
      </c>
      <c r="AD879" s="77">
        <f t="shared" ca="1" si="1123"/>
        <v>7.4831651657520579E-2</v>
      </c>
      <c r="AE879" s="45">
        <f t="shared" ca="1" si="1136"/>
        <v>6.3847072090583081</v>
      </c>
      <c r="AF879" s="45">
        <f t="shared" ca="1" si="1124"/>
        <v>0</v>
      </c>
      <c r="AG879" s="76">
        <f t="shared" ca="1" si="1125"/>
        <v>63.36186386469597</v>
      </c>
      <c r="AH879" s="45">
        <f t="shared" ca="1" si="1126"/>
        <v>0.54110141554594771</v>
      </c>
      <c r="AI879" s="77">
        <f t="shared" ca="1" si="1127"/>
        <v>1.0648209061395934E-2</v>
      </c>
      <c r="AJ879" s="384">
        <f t="shared" ca="1" si="1129"/>
        <v>3.0733213590926622E-2</v>
      </c>
      <c r="AU879" s="1"/>
    </row>
    <row r="880" spans="3:47" x14ac:dyDescent="0.25">
      <c r="C880" s="10">
        <f t="shared" si="1154"/>
        <v>65</v>
      </c>
      <c r="D880" s="91">
        <f t="shared" si="1137"/>
        <v>10</v>
      </c>
      <c r="E880" s="278"/>
      <c r="F880" s="76">
        <f t="shared" ref="F880:Q880" ca="1" si="1167">F808</f>
        <v>9.02</v>
      </c>
      <c r="G880" s="46">
        <f t="shared" ca="1" si="1167"/>
        <v>27.012600000000003</v>
      </c>
      <c r="H880" s="46">
        <f t="shared" ca="1" si="1113"/>
        <v>28.517550000000004</v>
      </c>
      <c r="I880" s="45">
        <f t="shared" ca="1" si="1114"/>
        <v>0.41742778729268759</v>
      </c>
      <c r="J880" s="45">
        <f t="shared" ca="1" si="1115"/>
        <v>0.27952512346894071</v>
      </c>
      <c r="K880" s="45">
        <f t="shared" ca="1" si="1131"/>
        <v>0.90345467800480783</v>
      </c>
      <c r="L880" s="358">
        <f t="shared" ca="1" si="1116"/>
        <v>0.68492882381082199</v>
      </c>
      <c r="M880" s="76">
        <f t="shared" ca="1" si="1167"/>
        <v>0.25347808785320641</v>
      </c>
      <c r="N880" s="45">
        <f t="shared" ca="1" si="1167"/>
        <v>0.25</v>
      </c>
      <c r="O880" s="45">
        <f t="shared" ca="1" si="1167"/>
        <v>0</v>
      </c>
      <c r="P880" s="46" t="str">
        <f t="shared" ca="1" si="1167"/>
        <v/>
      </c>
      <c r="Q880" s="243" t="str">
        <f t="shared" ca="1" si="1167"/>
        <v/>
      </c>
      <c r="R880" s="45">
        <f t="shared" ca="1" si="1132"/>
        <v>8.1982584167896499E-2</v>
      </c>
      <c r="S880" s="45">
        <f t="shared" ca="1" si="1156"/>
        <v>5.0695617570641283E-2</v>
      </c>
      <c r="T880" s="77">
        <f t="shared" ca="1" si="1117"/>
        <v>2.4086465507844296E-2</v>
      </c>
      <c r="U880" s="45">
        <f t="shared" ca="1" si="1133"/>
        <v>16.434372353746113</v>
      </c>
      <c r="V880" s="45">
        <f t="shared" ca="1" si="1118"/>
        <v>0.20278247028256513</v>
      </c>
      <c r="W880" s="77">
        <f t="shared" ca="1" si="1119"/>
        <v>0.17061231480912642</v>
      </c>
      <c r="X880" s="45">
        <f t="shared" ca="1" si="1134"/>
        <v>1.0102064375441437</v>
      </c>
      <c r="Y880" s="45">
        <f t="shared" ca="1" si="1120"/>
        <v>2.0193322484934398E-2</v>
      </c>
      <c r="Z880" s="77">
        <f t="shared" ca="1" si="1121"/>
        <v>2.2928642027530123E-2</v>
      </c>
      <c r="AA880" s="45">
        <f t="shared" ca="1" si="1135"/>
        <v>39.162971952486771</v>
      </c>
      <c r="AB880" s="45">
        <f t="shared" ca="1" si="1122"/>
        <v>0</v>
      </c>
      <c r="AC880" s="45" cm="1">
        <f t="array" aca="1" ref="AC880" ca="1">pHUM*(T880+W880+Z880+AD880)</f>
        <v>2.3756849982275764E-2</v>
      </c>
      <c r="AD880" s="77">
        <f t="shared" ca="1" si="1123"/>
        <v>2.7236712310840131E-2</v>
      </c>
      <c r="AE880" s="45">
        <f t="shared" ca="1" si="1136"/>
        <v>6.3847072090583081</v>
      </c>
      <c r="AF880" s="45">
        <f t="shared" ca="1" si="1124"/>
        <v>0</v>
      </c>
      <c r="AG880" s="76">
        <f t="shared" ca="1" si="1125"/>
        <v>63.074240537003234</v>
      </c>
      <c r="AH880" s="45">
        <f t="shared" ca="1" si="1126"/>
        <v>0.20091396218813082</v>
      </c>
      <c r="AI880" s="77">
        <f t="shared" ca="1" si="1127"/>
        <v>1.0584160209933007E-2</v>
      </c>
      <c r="AJ880" s="384">
        <f t="shared" ca="1" si="1129"/>
        <v>2.3117924758172537E-2</v>
      </c>
      <c r="AU880" s="1"/>
    </row>
    <row r="881" spans="3:47" x14ac:dyDescent="0.25">
      <c r="C881" s="10">
        <f t="shared" si="1154"/>
        <v>65</v>
      </c>
      <c r="D881" s="91">
        <f t="shared" si="1137"/>
        <v>11</v>
      </c>
      <c r="E881" s="278"/>
      <c r="F881" s="76">
        <f t="shared" ref="F881:Q881" ca="1" si="1168">F809</f>
        <v>5.62</v>
      </c>
      <c r="G881" s="46">
        <f t="shared" ca="1" si="1168"/>
        <v>27.012600000000003</v>
      </c>
      <c r="H881" s="46">
        <f t="shared" ca="1" si="1113"/>
        <v>28.517550000000004</v>
      </c>
      <c r="I881" s="45">
        <f t="shared" ca="1" si="1114"/>
        <v>0.24215575259059691</v>
      </c>
      <c r="J881" s="45">
        <f t="shared" ca="1" si="1115"/>
        <v>0.27952512346894071</v>
      </c>
      <c r="K881" s="45">
        <f t="shared" ca="1" si="1131"/>
        <v>0.90345467800480783</v>
      </c>
      <c r="L881" s="358">
        <f t="shared" ca="1" si="1116"/>
        <v>0.5671500175141555</v>
      </c>
      <c r="M881" s="76">
        <f t="shared" ca="1" si="1168"/>
        <v>0.25347808785320641</v>
      </c>
      <c r="N881" s="45">
        <f t="shared" ca="1" si="1168"/>
        <v>0.25</v>
      </c>
      <c r="O881" s="45">
        <f t="shared" ca="1" si="1168"/>
        <v>0</v>
      </c>
      <c r="P881" s="46" t="str">
        <f t="shared" ca="1" si="1168"/>
        <v/>
      </c>
      <c r="Q881" s="243" t="str">
        <f t="shared" ca="1" si="1168"/>
        <v/>
      </c>
      <c r="R881" s="45">
        <f t="shared" ca="1" si="1132"/>
        <v>0.10859173623069349</v>
      </c>
      <c r="S881" s="45">
        <f t="shared" ca="1" si="1156"/>
        <v>5.0695617570641283E-2</v>
      </c>
      <c r="T881" s="77">
        <f t="shared" ca="1" si="1117"/>
        <v>1.9843917491017132E-2</v>
      </c>
      <c r="U881" s="45">
        <f t="shared" ca="1" si="1133"/>
        <v>16.466542509219551</v>
      </c>
      <c r="V881" s="45">
        <f t="shared" ca="1" si="1118"/>
        <v>0.20278247028256513</v>
      </c>
      <c r="W881" s="77">
        <f t="shared" ca="1" si="1119"/>
        <v>9.9385561492307845E-2</v>
      </c>
      <c r="X881" s="45">
        <f t="shared" ca="1" si="1134"/>
        <v>1.0074711180015481</v>
      </c>
      <c r="Y881" s="45">
        <f t="shared" ca="1" si="1120"/>
        <v>1.2234863298922191E-2</v>
      </c>
      <c r="Z881" s="77">
        <f t="shared" ca="1" si="1121"/>
        <v>1.3329111614040892E-2</v>
      </c>
      <c r="AA881" s="45">
        <f t="shared" ca="1" si="1135"/>
        <v>39.15949209015821</v>
      </c>
      <c r="AB881" s="45">
        <f t="shared" ca="1" si="1122"/>
        <v>0</v>
      </c>
      <c r="AC881" s="45" cm="1">
        <f t="array" aca="1" ref="AC881" ca="1">pHUM*(T881+W881+Z881+AD881)</f>
        <v>1.4393956822261401E-2</v>
      </c>
      <c r="AD881" s="77">
        <f t="shared" ca="1" si="1123"/>
        <v>1.5801304935036176E-2</v>
      </c>
      <c r="AE881" s="45">
        <f t="shared" ca="1" si="1136"/>
        <v>6.3847072090583081</v>
      </c>
      <c r="AF881" s="45">
        <f t="shared" ca="1" si="1124"/>
        <v>0</v>
      </c>
      <c r="AG881" s="76">
        <f t="shared" ca="1" si="1125"/>
        <v>63.126804662668306</v>
      </c>
      <c r="AH881" s="45">
        <f t="shared" ca="1" si="1126"/>
        <v>0.12173107541121846</v>
      </c>
      <c r="AI881" s="77">
        <f t="shared" ca="1" si="1127"/>
        <v>1.0976566532557568E-2</v>
      </c>
      <c r="AJ881" s="384">
        <f t="shared" ca="1" si="1129"/>
        <v>1.9852390068983983E-2</v>
      </c>
      <c r="AU881" s="1"/>
    </row>
    <row r="882" spans="3:47" x14ac:dyDescent="0.25">
      <c r="C882" s="10">
        <f t="shared" si="1154"/>
        <v>65</v>
      </c>
      <c r="D882" s="91">
        <f t="shared" si="1137"/>
        <v>12</v>
      </c>
      <c r="E882" s="278"/>
      <c r="F882" s="76">
        <f t="shared" ref="F882:Q882" ca="1" si="1169">F810</f>
        <v>3.68</v>
      </c>
      <c r="G882" s="46">
        <f t="shared" ca="1" si="1169"/>
        <v>27.012600000000003</v>
      </c>
      <c r="H882" s="46">
        <f t="shared" ca="1" si="1113"/>
        <v>28.517550000000004</v>
      </c>
      <c r="I882" s="45">
        <f t="shared" ca="1" si="1114"/>
        <v>0.16418562454767627</v>
      </c>
      <c r="J882" s="45">
        <f t="shared" ca="1" si="1115"/>
        <v>0.27952512346894071</v>
      </c>
      <c r="K882" s="45">
        <f t="shared" ca="1" si="1131"/>
        <v>0.90345467800480783</v>
      </c>
      <c r="L882" s="358">
        <f t="shared" ca="1" si="1116"/>
        <v>0.49525928680467546</v>
      </c>
      <c r="M882" s="76">
        <f t="shared" ca="1" si="1169"/>
        <v>0.25347808785320641</v>
      </c>
      <c r="N882" s="45">
        <f t="shared" ca="1" si="1169"/>
        <v>0.25</v>
      </c>
      <c r="O882" s="45">
        <f t="shared" ca="1" si="1169"/>
        <v>0</v>
      </c>
      <c r="P882" s="46" t="str">
        <f t="shared" ca="1" si="1169"/>
        <v/>
      </c>
      <c r="Q882" s="243" t="str">
        <f t="shared" ca="1" si="1169"/>
        <v/>
      </c>
      <c r="R882" s="45">
        <f t="shared" ca="1" si="1132"/>
        <v>0.13944343631031764</v>
      </c>
      <c r="S882" s="45">
        <f t="shared" ca="1" si="1156"/>
        <v>5.0695617570641283E-2</v>
      </c>
      <c r="T882" s="77">
        <f t="shared" ca="1" si="1117"/>
        <v>1.7831187991366577E-2</v>
      </c>
      <c r="U882" s="45">
        <f t="shared" ca="1" si="1133"/>
        <v>16.569939418009806</v>
      </c>
      <c r="V882" s="45">
        <f t="shared" ca="1" si="1118"/>
        <v>0.20278247028256513</v>
      </c>
      <c r="W882" s="77">
        <f t="shared" ca="1" si="1119"/>
        <v>6.7874251301475605E-2</v>
      </c>
      <c r="X882" s="45">
        <f t="shared" ca="1" si="1134"/>
        <v>1.0063768696864295</v>
      </c>
      <c r="Y882" s="45">
        <f t="shared" ca="1" si="1120"/>
        <v>8.697527856120435E-3</v>
      </c>
      <c r="Z882" s="77">
        <f t="shared" ca="1" si="1121"/>
        <v>9.0468847099136086E-3</v>
      </c>
      <c r="AA882" s="45">
        <f t="shared" ca="1" si="1135"/>
        <v>39.158084742045432</v>
      </c>
      <c r="AB882" s="45">
        <f t="shared" ca="1" si="1122"/>
        <v>0</v>
      </c>
      <c r="AC882" s="45" cm="1">
        <f t="array" aca="1" ref="AC882" ca="1">pHUM*(T882+W882+Z882+AD882)</f>
        <v>1.0232385713082865E-2</v>
      </c>
      <c r="AD882" s="77">
        <f t="shared" ca="1" si="1123"/>
        <v>1.0713858380978466E-2</v>
      </c>
      <c r="AE882" s="45">
        <f t="shared" ca="1" si="1136"/>
        <v>6.3847072090583081</v>
      </c>
      <c r="AF882" s="45">
        <f t="shared" ca="1" si="1124"/>
        <v>0</v>
      </c>
      <c r="AG882" s="76">
        <f t="shared" ca="1" si="1125"/>
        <v>63.258551675110297</v>
      </c>
      <c r="AH882" s="45">
        <f t="shared" ca="1" si="1126"/>
        <v>8.653626881453097E-2</v>
      </c>
      <c r="AI882" s="77">
        <f t="shared" ca="1" si="1127"/>
        <v>1.1447538979602954E-2</v>
      </c>
      <c r="AJ882" s="384">
        <f t="shared" ca="1" si="1129"/>
        <v>1.8079808287483345E-2</v>
      </c>
      <c r="AU882" s="1"/>
    </row>
    <row r="883" spans="3:47" x14ac:dyDescent="0.25">
      <c r="C883" s="10">
        <f t="shared" si="1154"/>
        <v>66</v>
      </c>
      <c r="D883" s="91">
        <f t="shared" si="1137"/>
        <v>1</v>
      </c>
      <c r="E883" s="278"/>
      <c r="F883" s="76">
        <f t="shared" ref="F883:Q883" si="1170">F811</f>
        <v>0.85587096774193583</v>
      </c>
      <c r="G883" s="46">
        <f t="shared" si="1170"/>
        <v>78.439554282868485</v>
      </c>
      <c r="H883" s="46">
        <f t="shared" si="1113"/>
        <v>-22.909404282868479</v>
      </c>
      <c r="I883" s="45">
        <f t="shared" si="1114"/>
        <v>0</v>
      </c>
      <c r="J883" s="45">
        <f t="shared" si="1115"/>
        <v>0.23072180944359474</v>
      </c>
      <c r="K883" s="45">
        <f t="shared" ca="1" si="1131"/>
        <v>0.74571722023659515</v>
      </c>
      <c r="L883" s="358">
        <f t="shared" si="1116"/>
        <v>0.39170179323548027</v>
      </c>
      <c r="M883" s="76">
        <f t="shared" ca="1" si="1170"/>
        <v>0.25347808785320641</v>
      </c>
      <c r="N883" s="45">
        <f t="shared" ca="1" si="1170"/>
        <v>0.25</v>
      </c>
      <c r="O883" s="45">
        <f t="shared" ca="1" si="1170"/>
        <v>0</v>
      </c>
      <c r="P883" s="46" t="str">
        <f t="shared" ca="1" si="1170"/>
        <v/>
      </c>
      <c r="Q883" s="243" t="str">
        <f t="shared" ca="1" si="1170"/>
        <v/>
      </c>
      <c r="R883" s="45">
        <f t="shared" ca="1" si="1132"/>
        <v>0.17230786588959235</v>
      </c>
      <c r="S883" s="45">
        <f t="shared" ca="1" si="1156"/>
        <v>5.0695617570641283E-2</v>
      </c>
      <c r="T883" s="77">
        <f t="shared" ca="1" si="1117"/>
        <v>0</v>
      </c>
      <c r="U883" s="45">
        <f t="shared" ca="1" si="1133"/>
        <v>16.704847636990895</v>
      </c>
      <c r="V883" s="45">
        <f t="shared" ca="1" si="1118"/>
        <v>0.20278247028256513</v>
      </c>
      <c r="W883" s="77">
        <f t="shared" ca="1" si="1119"/>
        <v>0</v>
      </c>
      <c r="X883" s="45">
        <f t="shared" ca="1" si="1134"/>
        <v>1.0060275128326361</v>
      </c>
      <c r="Y883" s="45">
        <f t="shared" ca="1" si="1120"/>
        <v>0</v>
      </c>
      <c r="Z883" s="77">
        <f t="shared" ca="1" si="1121"/>
        <v>0</v>
      </c>
      <c r="AA883" s="45">
        <f t="shared" ca="1" si="1135"/>
        <v>39.157603269377532</v>
      </c>
      <c r="AB883" s="45">
        <f t="shared" ca="1" si="1122"/>
        <v>0</v>
      </c>
      <c r="AC883" s="45" cm="1">
        <f t="array" aca="1" ref="AC883" ca="1">pHUM*(T883+W883+Z883+AD883)</f>
        <v>0</v>
      </c>
      <c r="AD883" s="77">
        <f t="shared" ca="1" si="1123"/>
        <v>0</v>
      </c>
      <c r="AE883" s="45">
        <f t="shared" ca="1" si="1136"/>
        <v>6.3847072090583081</v>
      </c>
      <c r="AF883" s="45">
        <f t="shared" ca="1" si="1124"/>
        <v>0</v>
      </c>
      <c r="AG883" s="76">
        <f t="shared" ca="1" si="1125"/>
        <v>63.425493494148959</v>
      </c>
      <c r="AH883" s="45">
        <f t="shared" ca="1" si="1126"/>
        <v>0</v>
      </c>
      <c r="AI883" s="77">
        <f t="shared" ca="1" si="1127"/>
        <v>1.1952942953483342E-2</v>
      </c>
      <c r="AJ883" s="384">
        <f t="shared" ca="1" si="1129"/>
        <v>1.2323941498162405E-2</v>
      </c>
      <c r="AU883" s="1"/>
    </row>
    <row r="884" spans="3:47" x14ac:dyDescent="0.25">
      <c r="C884" s="10">
        <f t="shared" si="1154"/>
        <v>66</v>
      </c>
      <c r="D884" s="91">
        <f t="shared" si="1137"/>
        <v>2</v>
      </c>
      <c r="E884" s="278"/>
      <c r="F884" s="76">
        <f t="shared" ref="F884:Q884" si="1171">F812</f>
        <v>0.91042857142857181</v>
      </c>
      <c r="G884" s="46">
        <f t="shared" si="1171"/>
        <v>77.312634079068317</v>
      </c>
      <c r="H884" s="46">
        <f t="shared" si="1113"/>
        <v>-21.782484079068311</v>
      </c>
      <c r="I884" s="45">
        <f t="shared" si="1114"/>
        <v>0</v>
      </c>
      <c r="J884" s="45">
        <f t="shared" si="1115"/>
        <v>0.23463537609132465</v>
      </c>
      <c r="K884" s="45">
        <f t="shared" ca="1" si="1131"/>
        <v>0.75836628037006848</v>
      </c>
      <c r="L884" s="358">
        <f t="shared" si="1116"/>
        <v>0.39364266736760256</v>
      </c>
      <c r="M884" s="76">
        <f t="shared" ca="1" si="1171"/>
        <v>0.25347808785320641</v>
      </c>
      <c r="N884" s="45">
        <f t="shared" ca="1" si="1171"/>
        <v>0.25</v>
      </c>
      <c r="O884" s="45">
        <f t="shared" ca="1" si="1171"/>
        <v>0</v>
      </c>
      <c r="P884" s="46" t="str">
        <f t="shared" ca="1" si="1171"/>
        <v/>
      </c>
      <c r="Q884" s="243" t="str">
        <f t="shared" ca="1" si="1171"/>
        <v/>
      </c>
      <c r="R884" s="45">
        <f t="shared" ca="1" si="1132"/>
        <v>0.22300348346023363</v>
      </c>
      <c r="S884" s="45">
        <f t="shared" ca="1" si="1156"/>
        <v>5.0695617570641283E-2</v>
      </c>
      <c r="T884" s="77">
        <f t="shared" ca="1" si="1117"/>
        <v>0</v>
      </c>
      <c r="U884" s="45">
        <f t="shared" ca="1" si="1133"/>
        <v>16.907630107273459</v>
      </c>
      <c r="V884" s="45">
        <f t="shared" ca="1" si="1118"/>
        <v>0.20278247028256513</v>
      </c>
      <c r="W884" s="77">
        <f t="shared" ca="1" si="1119"/>
        <v>0</v>
      </c>
      <c r="X884" s="45">
        <f t="shared" ca="1" si="1134"/>
        <v>1.0060275128326361</v>
      </c>
      <c r="Y884" s="45">
        <f t="shared" ca="1" si="1120"/>
        <v>0</v>
      </c>
      <c r="Z884" s="77">
        <f t="shared" ca="1" si="1121"/>
        <v>0</v>
      </c>
      <c r="AA884" s="45">
        <f t="shared" ca="1" si="1135"/>
        <v>39.157603269377532</v>
      </c>
      <c r="AB884" s="45">
        <f t="shared" ca="1" si="1122"/>
        <v>0</v>
      </c>
      <c r="AC884" s="45" cm="1">
        <f t="array" aca="1" ref="AC884" ca="1">pHUM*(T884+W884+Z884+AD884)</f>
        <v>0</v>
      </c>
      <c r="AD884" s="77">
        <f t="shared" ca="1" si="1123"/>
        <v>0</v>
      </c>
      <c r="AE884" s="45">
        <f t="shared" ca="1" si="1136"/>
        <v>6.3847072090583081</v>
      </c>
      <c r="AF884" s="45">
        <f t="shared" ca="1" si="1124"/>
        <v>0</v>
      </c>
      <c r="AG884" s="76">
        <f t="shared" ca="1" si="1125"/>
        <v>63.678971582002163</v>
      </c>
      <c r="AH884" s="45">
        <f t="shared" ca="1" si="1126"/>
        <v>0</v>
      </c>
      <c r="AI884" s="77">
        <f t="shared" ca="1" si="1127"/>
        <v>1.2725901662234026E-2</v>
      </c>
      <c r="AJ884" s="384">
        <f t="shared" ca="1" si="1129"/>
        <v>1.3409554450176664E-2</v>
      </c>
      <c r="AU884" s="1"/>
    </row>
    <row r="885" spans="3:47" x14ac:dyDescent="0.25">
      <c r="C885" s="10">
        <f t="shared" si="1154"/>
        <v>66</v>
      </c>
      <c r="D885" s="91">
        <f t="shared" si="1137"/>
        <v>3</v>
      </c>
      <c r="E885" s="278"/>
      <c r="F885" s="76">
        <f t="shared" ref="F885:Q885" si="1172">F813</f>
        <v>1.7499333333333336</v>
      </c>
      <c r="G885" s="46">
        <f t="shared" si="1172"/>
        <v>89.127050621045186</v>
      </c>
      <c r="H885" s="46">
        <f t="shared" si="1113"/>
        <v>-33.596900621045179</v>
      </c>
      <c r="I885" s="45">
        <f t="shared" si="1114"/>
        <v>0</v>
      </c>
      <c r="J885" s="45">
        <f t="shared" si="1115"/>
        <v>0.19161115755788954</v>
      </c>
      <c r="K885" s="45">
        <f t="shared" ca="1" si="1131"/>
        <v>0.61930746869995335</v>
      </c>
      <c r="L885" s="358">
        <f t="shared" si="1116"/>
        <v>0.42389567243620196</v>
      </c>
      <c r="M885" s="76">
        <f t="shared" ca="1" si="1172"/>
        <v>0.25347808785320641</v>
      </c>
      <c r="N885" s="45">
        <f t="shared" ca="1" si="1172"/>
        <v>0.25</v>
      </c>
      <c r="O885" s="45">
        <f t="shared" ca="1" si="1172"/>
        <v>0</v>
      </c>
      <c r="P885" s="46" t="str">
        <f t="shared" ca="1" si="1172"/>
        <v/>
      </c>
      <c r="Q885" s="243" t="str">
        <f t="shared" ca="1" si="1172"/>
        <v/>
      </c>
      <c r="R885" s="45">
        <f t="shared" ca="1" si="1132"/>
        <v>0.27369910103087491</v>
      </c>
      <c r="S885" s="45">
        <f t="shared" ca="1" si="1156"/>
        <v>5.0695617570641283E-2</v>
      </c>
      <c r="T885" s="77">
        <f t="shared" ca="1" si="1117"/>
        <v>0</v>
      </c>
      <c r="U885" s="45">
        <f t="shared" ca="1" si="1133"/>
        <v>17.110412577556023</v>
      </c>
      <c r="V885" s="45">
        <f t="shared" ca="1" si="1118"/>
        <v>0.20278247028256513</v>
      </c>
      <c r="W885" s="77">
        <f t="shared" ca="1" si="1119"/>
        <v>0</v>
      </c>
      <c r="X885" s="45">
        <f t="shared" ca="1" si="1134"/>
        <v>1.0060275128326361</v>
      </c>
      <c r="Y885" s="45">
        <f t="shared" ca="1" si="1120"/>
        <v>0</v>
      </c>
      <c r="Z885" s="77">
        <f t="shared" ca="1" si="1121"/>
        <v>0</v>
      </c>
      <c r="AA885" s="45">
        <f t="shared" ca="1" si="1135"/>
        <v>39.157603269377532</v>
      </c>
      <c r="AB885" s="45">
        <f t="shared" ca="1" si="1122"/>
        <v>0</v>
      </c>
      <c r="AC885" s="45" cm="1">
        <f t="array" aca="1" ref="AC885" ca="1">pHUM*(T885+W885+Z885+AD885)</f>
        <v>0</v>
      </c>
      <c r="AD885" s="77">
        <f t="shared" ca="1" si="1123"/>
        <v>0</v>
      </c>
      <c r="AE885" s="45">
        <f t="shared" ca="1" si="1136"/>
        <v>6.3847072090583081</v>
      </c>
      <c r="AF885" s="45">
        <f t="shared" ca="1" si="1124"/>
        <v>0</v>
      </c>
      <c r="AG885" s="76">
        <f t="shared" ca="1" si="1125"/>
        <v>63.932449669855373</v>
      </c>
      <c r="AH885" s="45">
        <f t="shared" ca="1" si="1126"/>
        <v>0</v>
      </c>
      <c r="AI885" s="77">
        <f t="shared" ca="1" si="1127"/>
        <v>1.3492051134441085E-2</v>
      </c>
      <c r="AJ885" s="384">
        <f t="shared" ca="1" si="1129"/>
        <v>1.2502252196427976E-2</v>
      </c>
      <c r="AU885" s="1"/>
    </row>
    <row r="886" spans="3:47" x14ac:dyDescent="0.25">
      <c r="C886" s="10">
        <f t="shared" si="1154"/>
        <v>66</v>
      </c>
      <c r="D886" s="91">
        <f t="shared" si="1137"/>
        <v>4</v>
      </c>
      <c r="E886" s="278"/>
      <c r="F886" s="76">
        <f t="shared" ref="F886:Q886" si="1173">F814</f>
        <v>5.3144</v>
      </c>
      <c r="G886" s="46">
        <f t="shared" si="1173"/>
        <v>88.517400984298064</v>
      </c>
      <c r="H886" s="46">
        <f t="shared" si="1113"/>
        <v>-32.987250984298058</v>
      </c>
      <c r="I886" s="45">
        <f t="shared" si="1114"/>
        <v>0</v>
      </c>
      <c r="J886" s="45">
        <f t="shared" si="1115"/>
        <v>0.19391725365845511</v>
      </c>
      <c r="K886" s="45">
        <f t="shared" ca="1" si="1131"/>
        <v>0.62676101449980381</v>
      </c>
      <c r="L886" s="358">
        <f t="shared" si="1116"/>
        <v>0.55593677468735669</v>
      </c>
      <c r="M886" s="76">
        <f t="shared" ca="1" si="1173"/>
        <v>0.25347808785320641</v>
      </c>
      <c r="N886" s="45">
        <f t="shared" ca="1" si="1173"/>
        <v>0.25</v>
      </c>
      <c r="O886" s="45">
        <f t="shared" ca="1" si="1173"/>
        <v>0</v>
      </c>
      <c r="P886" s="46" t="str">
        <f t="shared" ca="1" si="1173"/>
        <v/>
      </c>
      <c r="Q886" s="243" t="str">
        <f t="shared" ca="1" si="1173"/>
        <v/>
      </c>
      <c r="R886" s="45">
        <f t="shared" ca="1" si="1132"/>
        <v>0.3243947186015162</v>
      </c>
      <c r="S886" s="45">
        <f t="shared" ca="1" si="1156"/>
        <v>5.0695617570641283E-2</v>
      </c>
      <c r="T886" s="77">
        <f t="shared" ca="1" si="1117"/>
        <v>0</v>
      </c>
      <c r="U886" s="45">
        <f t="shared" ca="1" si="1133"/>
        <v>17.313195047838587</v>
      </c>
      <c r="V886" s="45">
        <f t="shared" ca="1" si="1118"/>
        <v>0.20278247028256513</v>
      </c>
      <c r="W886" s="77">
        <f t="shared" ca="1" si="1119"/>
        <v>0</v>
      </c>
      <c r="X886" s="45">
        <f t="shared" ca="1" si="1134"/>
        <v>1.0060275128326361</v>
      </c>
      <c r="Y886" s="45">
        <f t="shared" ca="1" si="1120"/>
        <v>0</v>
      </c>
      <c r="Z886" s="77">
        <f t="shared" ca="1" si="1121"/>
        <v>0</v>
      </c>
      <c r="AA886" s="45">
        <f t="shared" ca="1" si="1135"/>
        <v>39.157603269377532</v>
      </c>
      <c r="AB886" s="45">
        <f t="shared" ca="1" si="1122"/>
        <v>0</v>
      </c>
      <c r="AC886" s="45" cm="1">
        <f t="array" aca="1" ref="AC886" ca="1">pHUM*(T886+W886+Z886+AD886)</f>
        <v>0</v>
      </c>
      <c r="AD886" s="77">
        <f t="shared" ca="1" si="1123"/>
        <v>0</v>
      </c>
      <c r="AE886" s="45">
        <f t="shared" ca="1" si="1136"/>
        <v>6.3847072090583081</v>
      </c>
      <c r="AF886" s="45">
        <f t="shared" ca="1" si="1124"/>
        <v>0</v>
      </c>
      <c r="AG886" s="76">
        <f t="shared" ca="1" si="1125"/>
        <v>64.185927757708583</v>
      </c>
      <c r="AH886" s="45">
        <f t="shared" ca="1" si="1126"/>
        <v>0</v>
      </c>
      <c r="AI886" s="77">
        <f t="shared" ca="1" si="1127"/>
        <v>1.4251480952586125E-2</v>
      </c>
      <c r="AJ886" s="384">
        <f t="shared" ca="1" si="1129"/>
        <v>1.752791635209805E-2</v>
      </c>
      <c r="AU886" s="1"/>
    </row>
    <row r="887" spans="3:47" x14ac:dyDescent="0.25">
      <c r="C887" s="10">
        <f t="shared" si="1154"/>
        <v>66</v>
      </c>
      <c r="D887" s="91">
        <f t="shared" si="1137"/>
        <v>5</v>
      </c>
      <c r="E887" s="278"/>
      <c r="F887" s="76">
        <f t="shared" ref="F887:Q887" si="1174">F815</f>
        <v>12.662516129032257</v>
      </c>
      <c r="G887" s="46">
        <f t="shared" si="1174"/>
        <v>89.413014608233681</v>
      </c>
      <c r="H887" s="46">
        <f t="shared" si="1113"/>
        <v>-33.882864608233675</v>
      </c>
      <c r="I887" s="45">
        <f t="shared" si="1114"/>
        <v>0</v>
      </c>
      <c r="J887" s="45">
        <f t="shared" si="1115"/>
        <v>0.19052718077467024</v>
      </c>
      <c r="K887" s="45">
        <f t="shared" ca="1" si="1131"/>
        <v>0.6158039414194908</v>
      </c>
      <c r="L887" s="358">
        <f t="shared" si="1116"/>
        <v>0.78870900469063665</v>
      </c>
      <c r="M887" s="76">
        <f t="shared" ca="1" si="1174"/>
        <v>0.25347808785320641</v>
      </c>
      <c r="N887" s="45">
        <f t="shared" ca="1" si="1174"/>
        <v>0.25</v>
      </c>
      <c r="O887" s="45">
        <f t="shared" ca="1" si="1174"/>
        <v>0</v>
      </c>
      <c r="P887" s="46" t="str">
        <f t="shared" ca="1" si="1174"/>
        <v/>
      </c>
      <c r="Q887" s="243" t="str">
        <f t="shared" ca="1" si="1174"/>
        <v/>
      </c>
      <c r="R887" s="45">
        <f t="shared" ca="1" si="1132"/>
        <v>0.37509033617215748</v>
      </c>
      <c r="S887" s="45">
        <f t="shared" ca="1" si="1156"/>
        <v>5.0695617570641283E-2</v>
      </c>
      <c r="T887" s="77">
        <f t="shared" ca="1" si="1117"/>
        <v>0</v>
      </c>
      <c r="U887" s="45">
        <f t="shared" ca="1" si="1133"/>
        <v>17.515977518121151</v>
      </c>
      <c r="V887" s="45">
        <f t="shared" ca="1" si="1118"/>
        <v>0.20278247028256513</v>
      </c>
      <c r="W887" s="77">
        <f t="shared" ca="1" si="1119"/>
        <v>0</v>
      </c>
      <c r="X887" s="45">
        <f t="shared" ca="1" si="1134"/>
        <v>1.0060275128326361</v>
      </c>
      <c r="Y887" s="45">
        <f t="shared" ca="1" si="1120"/>
        <v>0</v>
      </c>
      <c r="Z887" s="77">
        <f t="shared" ca="1" si="1121"/>
        <v>0</v>
      </c>
      <c r="AA887" s="45">
        <f t="shared" ca="1" si="1135"/>
        <v>39.157603269377532</v>
      </c>
      <c r="AB887" s="45">
        <f t="shared" ca="1" si="1122"/>
        <v>0</v>
      </c>
      <c r="AC887" s="45" cm="1">
        <f t="array" aca="1" ref="AC887" ca="1">pHUM*(T887+W887+Z887+AD887)</f>
        <v>0</v>
      </c>
      <c r="AD887" s="77">
        <f t="shared" ca="1" si="1123"/>
        <v>0</v>
      </c>
      <c r="AE887" s="45">
        <f t="shared" ca="1" si="1136"/>
        <v>6.3847072090583081</v>
      </c>
      <c r="AF887" s="45">
        <f t="shared" ca="1" si="1124"/>
        <v>0</v>
      </c>
      <c r="AG887" s="76">
        <f t="shared" ca="1" si="1125"/>
        <v>64.43940584556178</v>
      </c>
      <c r="AH887" s="45">
        <f t="shared" ca="1" si="1126"/>
        <v>0</v>
      </c>
      <c r="AI887" s="77">
        <f t="shared" ca="1" si="1127"/>
        <v>1.5004279134612698E-2</v>
      </c>
      <c r="AJ887" s="384">
        <f t="shared" ca="1" si="1129"/>
        <v>2.5722546334608909E-2</v>
      </c>
      <c r="AU887" s="1"/>
    </row>
    <row r="888" spans="3:47" x14ac:dyDescent="0.25">
      <c r="C888" s="10">
        <f t="shared" si="1154"/>
        <v>66</v>
      </c>
      <c r="D888" s="91">
        <f t="shared" si="1137"/>
        <v>6</v>
      </c>
      <c r="E888" s="278"/>
      <c r="F888" s="76">
        <f t="shared" ref="F888:Q888" si="1175">F816</f>
        <v>17.952400000000004</v>
      </c>
      <c r="G888" s="46">
        <f t="shared" si="1175"/>
        <v>83.948488098886401</v>
      </c>
      <c r="H888" s="46">
        <f t="shared" si="1113"/>
        <v>-28.418338098886395</v>
      </c>
      <c r="I888" s="45">
        <f t="shared" si="1114"/>
        <v>0</v>
      </c>
      <c r="J888" s="45">
        <f t="shared" si="1115"/>
        <v>0.21095121603234232</v>
      </c>
      <c r="K888" s="45">
        <f t="shared" ca="1" si="1131"/>
        <v>0.68181657730811884</v>
      </c>
      <c r="L888" s="358">
        <f t="shared" si="1116"/>
        <v>0.89013124354981255</v>
      </c>
      <c r="M888" s="76">
        <f t="shared" ca="1" si="1175"/>
        <v>0.25347808785320641</v>
      </c>
      <c r="N888" s="45">
        <f t="shared" ca="1" si="1175"/>
        <v>0.25</v>
      </c>
      <c r="O888" s="45">
        <f t="shared" ca="1" si="1175"/>
        <v>0</v>
      </c>
      <c r="P888" s="46" t="str">
        <f t="shared" ca="1" si="1175"/>
        <v/>
      </c>
      <c r="Q888" s="243" t="str">
        <f t="shared" ca="1" si="1175"/>
        <v/>
      </c>
      <c r="R888" s="45">
        <f t="shared" ca="1" si="1132"/>
        <v>0.42578595374279876</v>
      </c>
      <c r="S888" s="45">
        <f t="shared" ca="1" si="1156"/>
        <v>5.0695617570641283E-2</v>
      </c>
      <c r="T888" s="77">
        <f t="shared" ca="1" si="1117"/>
        <v>0</v>
      </c>
      <c r="U888" s="45">
        <f t="shared" ca="1" si="1133"/>
        <v>17.718759988403715</v>
      </c>
      <c r="V888" s="45">
        <f t="shared" ca="1" si="1118"/>
        <v>0.20278247028256513</v>
      </c>
      <c r="W888" s="77">
        <f t="shared" ca="1" si="1119"/>
        <v>0</v>
      </c>
      <c r="X888" s="45">
        <f t="shared" ca="1" si="1134"/>
        <v>1.0060275128326361</v>
      </c>
      <c r="Y888" s="45">
        <f t="shared" ca="1" si="1120"/>
        <v>0</v>
      </c>
      <c r="Z888" s="77">
        <f t="shared" ca="1" si="1121"/>
        <v>0</v>
      </c>
      <c r="AA888" s="45">
        <f t="shared" ca="1" si="1135"/>
        <v>39.157603269377532</v>
      </c>
      <c r="AB888" s="45">
        <f t="shared" ca="1" si="1122"/>
        <v>0</v>
      </c>
      <c r="AC888" s="45" cm="1">
        <f t="array" aca="1" ref="AC888" ca="1">pHUM*(T888+W888+Z888+AD888)</f>
        <v>0</v>
      </c>
      <c r="AD888" s="77">
        <f t="shared" ca="1" si="1123"/>
        <v>0</v>
      </c>
      <c r="AE888" s="45">
        <f t="shared" ca="1" si="1136"/>
        <v>6.3847072090583081</v>
      </c>
      <c r="AF888" s="45">
        <f t="shared" ca="1" si="1124"/>
        <v>0</v>
      </c>
      <c r="AG888" s="76">
        <f t="shared" ca="1" si="1125"/>
        <v>64.69288393341499</v>
      </c>
      <c r="AH888" s="45">
        <f t="shared" ca="1" si="1126"/>
        <v>0</v>
      </c>
      <c r="AI888" s="77">
        <f t="shared" ca="1" si="1127"/>
        <v>1.5750532167933238E-2</v>
      </c>
      <c r="AJ888" s="384">
        <f t="shared" ca="1" si="1129"/>
        <v>3.3740623808208303E-2</v>
      </c>
      <c r="AU888" s="1"/>
    </row>
    <row r="889" spans="3:47" x14ac:dyDescent="0.25">
      <c r="C889" s="10">
        <f t="shared" si="1154"/>
        <v>66</v>
      </c>
      <c r="D889" s="91">
        <f t="shared" si="1137"/>
        <v>7</v>
      </c>
      <c r="E889" s="278"/>
      <c r="F889" s="76">
        <f t="shared" ref="F889:Q889" si="1176">F817</f>
        <v>21.363032258064525</v>
      </c>
      <c r="G889" s="46">
        <f t="shared" si="1176"/>
        <v>73.679575814389409</v>
      </c>
      <c r="H889" s="46">
        <f t="shared" si="1113"/>
        <v>-18.149425814389403</v>
      </c>
      <c r="I889" s="45">
        <f t="shared" si="1114"/>
        <v>0</v>
      </c>
      <c r="J889" s="45">
        <f t="shared" si="1115"/>
        <v>0.2468878570948656</v>
      </c>
      <c r="K889" s="45">
        <f t="shared" ca="1" si="1131"/>
        <v>0.79796759113040194</v>
      </c>
      <c r="L889" s="358">
        <f t="shared" si="1116"/>
        <v>0.92905557700722019</v>
      </c>
      <c r="M889" s="76">
        <f t="shared" ca="1" si="1176"/>
        <v>0.25347808785320641</v>
      </c>
      <c r="N889" s="45">
        <f t="shared" ca="1" si="1176"/>
        <v>0.25</v>
      </c>
      <c r="O889" s="45">
        <f t="shared" ca="1" si="1176"/>
        <v>0</v>
      </c>
      <c r="P889" s="46" t="str">
        <f t="shared" ca="1" si="1176"/>
        <v/>
      </c>
      <c r="Q889" s="243" t="str">
        <f t="shared" ca="1" si="1176"/>
        <v/>
      </c>
      <c r="R889" s="45">
        <f t="shared" ca="1" si="1132"/>
        <v>0.47648157131344004</v>
      </c>
      <c r="S889" s="45">
        <f t="shared" ca="1" si="1156"/>
        <v>5.0695617570641283E-2</v>
      </c>
      <c r="T889" s="77">
        <f t="shared" ca="1" si="1117"/>
        <v>0</v>
      </c>
      <c r="U889" s="45">
        <f t="shared" ca="1" si="1133"/>
        <v>17.921542458686279</v>
      </c>
      <c r="V889" s="45">
        <f t="shared" ca="1" si="1118"/>
        <v>0.20278247028256513</v>
      </c>
      <c r="W889" s="77">
        <f t="shared" ca="1" si="1119"/>
        <v>0</v>
      </c>
      <c r="X889" s="45">
        <f t="shared" ca="1" si="1134"/>
        <v>1.0060275128326361</v>
      </c>
      <c r="Y889" s="45">
        <f t="shared" ca="1" si="1120"/>
        <v>0</v>
      </c>
      <c r="Z889" s="77">
        <f t="shared" ca="1" si="1121"/>
        <v>0</v>
      </c>
      <c r="AA889" s="45">
        <f t="shared" ca="1" si="1135"/>
        <v>39.157603269377532</v>
      </c>
      <c r="AB889" s="45">
        <f t="shared" ca="1" si="1122"/>
        <v>0</v>
      </c>
      <c r="AC889" s="45" cm="1">
        <f t="array" aca="1" ref="AC889" ca="1">pHUM*(T889+W889+Z889+AD889)</f>
        <v>0</v>
      </c>
      <c r="AD889" s="77">
        <f t="shared" ca="1" si="1123"/>
        <v>0</v>
      </c>
      <c r="AE889" s="45">
        <f t="shared" ca="1" si="1136"/>
        <v>6.3847072090583081</v>
      </c>
      <c r="AF889" s="45">
        <f t="shared" ca="1" si="1124"/>
        <v>0</v>
      </c>
      <c r="AG889" s="76">
        <f t="shared" ca="1" si="1125"/>
        <v>64.946362021268186</v>
      </c>
      <c r="AH889" s="45">
        <f t="shared" ca="1" si="1126"/>
        <v>0</v>
      </c>
      <c r="AI889" s="77">
        <f t="shared" ca="1" si="1127"/>
        <v>1.649032504255275E-2</v>
      </c>
      <c r="AJ889" s="384">
        <f t="shared" ca="1" si="1129"/>
        <v>4.3150773272987442E-2</v>
      </c>
      <c r="AU889" s="1"/>
    </row>
    <row r="890" spans="3:47" x14ac:dyDescent="0.25">
      <c r="C890" s="10">
        <f t="shared" si="1154"/>
        <v>66</v>
      </c>
      <c r="D890" s="91">
        <f t="shared" si="1137"/>
        <v>8</v>
      </c>
      <c r="E890" s="278"/>
      <c r="F890" s="76">
        <f t="shared" ref="F890:Q890" si="1177">F818</f>
        <v>21.84690322580645</v>
      </c>
      <c r="G890" s="46">
        <f t="shared" si="1177"/>
        <v>71.917724933598876</v>
      </c>
      <c r="H890" s="46">
        <f t="shared" si="1113"/>
        <v>-16.38757493359887</v>
      </c>
      <c r="I890" s="45">
        <f t="shared" si="1114"/>
        <v>0</v>
      </c>
      <c r="J890" s="45">
        <f t="shared" si="1115"/>
        <v>0.25260629061506468</v>
      </c>
      <c r="K890" s="45">
        <f t="shared" ca="1" si="1131"/>
        <v>0.81645017133846476</v>
      </c>
      <c r="L890" s="358">
        <f t="shared" si="1116"/>
        <v>0.93325603418156189</v>
      </c>
      <c r="M890" s="76">
        <f t="shared" ca="1" si="1177"/>
        <v>0.25347808785320641</v>
      </c>
      <c r="N890" s="45">
        <f t="shared" ca="1" si="1177"/>
        <v>0.25</v>
      </c>
      <c r="O890" s="45">
        <f t="shared" ca="1" si="1177"/>
        <v>0</v>
      </c>
      <c r="P890" s="46" t="str">
        <f t="shared" ca="1" si="1177"/>
        <v/>
      </c>
      <c r="Q890" s="243" t="str">
        <f t="shared" ca="1" si="1177"/>
        <v/>
      </c>
      <c r="R890" s="45">
        <f t="shared" ca="1" si="1132"/>
        <v>0.52717718888408127</v>
      </c>
      <c r="S890" s="45">
        <f t="shared" ca="1" si="1156"/>
        <v>5.0695617570641283E-2</v>
      </c>
      <c r="T890" s="77">
        <f t="shared" ca="1" si="1117"/>
        <v>0</v>
      </c>
      <c r="U890" s="45">
        <f t="shared" ca="1" si="1133"/>
        <v>18.124324928968843</v>
      </c>
      <c r="V890" s="45">
        <f t="shared" ca="1" si="1118"/>
        <v>0.20278247028256513</v>
      </c>
      <c r="W890" s="77">
        <f t="shared" ca="1" si="1119"/>
        <v>0</v>
      </c>
      <c r="X890" s="45">
        <f t="shared" ca="1" si="1134"/>
        <v>1.0060275128326361</v>
      </c>
      <c r="Y890" s="45">
        <f t="shared" ca="1" si="1120"/>
        <v>0</v>
      </c>
      <c r="Z890" s="77">
        <f t="shared" ca="1" si="1121"/>
        <v>0</v>
      </c>
      <c r="AA890" s="45">
        <f t="shared" ca="1" si="1135"/>
        <v>39.157603269377532</v>
      </c>
      <c r="AB890" s="45">
        <f t="shared" ca="1" si="1122"/>
        <v>0</v>
      </c>
      <c r="AC890" s="45" cm="1">
        <f t="array" aca="1" ref="AC890" ca="1">pHUM*(T890+W890+Z890+AD890)</f>
        <v>0</v>
      </c>
      <c r="AD890" s="77">
        <f t="shared" ca="1" si="1123"/>
        <v>0</v>
      </c>
      <c r="AE890" s="45">
        <f t="shared" ca="1" si="1136"/>
        <v>6.3847072090583081</v>
      </c>
      <c r="AF890" s="45">
        <f t="shared" ca="1" si="1124"/>
        <v>0</v>
      </c>
      <c r="AG890" s="76">
        <f t="shared" ca="1" si="1125"/>
        <v>65.199840109121396</v>
      </c>
      <c r="AH890" s="45">
        <f t="shared" ca="1" si="1126"/>
        <v>0</v>
      </c>
      <c r="AI890" s="77">
        <f t="shared" ca="1" si="1127"/>
        <v>1.722374128333605E-2</v>
      </c>
      <c r="AJ890" s="384">
        <f t="shared" ca="1" si="1129"/>
        <v>4.6322192160123121E-2</v>
      </c>
      <c r="AU890" s="1"/>
    </row>
    <row r="891" spans="3:47" x14ac:dyDescent="0.25">
      <c r="C891" s="10">
        <f t="shared" si="1154"/>
        <v>66</v>
      </c>
      <c r="D891" s="91">
        <f t="shared" si="1137"/>
        <v>9</v>
      </c>
      <c r="E891" s="278"/>
      <c r="F891" s="76">
        <f t="shared" ref="F891:Q891" si="1178">F819</f>
        <v>19.915099999999999</v>
      </c>
      <c r="G891" s="46">
        <f t="shared" si="1178"/>
        <v>90.121120170480822</v>
      </c>
      <c r="H891" s="46">
        <f t="shared" si="1113"/>
        <v>-34.590970170480816</v>
      </c>
      <c r="I891" s="45">
        <f t="shared" si="1114"/>
        <v>0</v>
      </c>
      <c r="J891" s="45">
        <f t="shared" si="1115"/>
        <v>0.18783711693191202</v>
      </c>
      <c r="K891" s="45">
        <f t="shared" ca="1" si="1131"/>
        <v>0.60710937138331467</v>
      </c>
      <c r="L891" s="358">
        <f t="shared" si="1116"/>
        <v>0.91464137695305081</v>
      </c>
      <c r="M891" s="76">
        <f t="shared" ca="1" si="1178"/>
        <v>0.25347808785320641</v>
      </c>
      <c r="N891" s="45">
        <f t="shared" ca="1" si="1178"/>
        <v>0.25</v>
      </c>
      <c r="O891" s="45">
        <f t="shared" ca="1" si="1178"/>
        <v>0</v>
      </c>
      <c r="P891" s="46" t="str">
        <f t="shared" ca="1" si="1178"/>
        <v/>
      </c>
      <c r="Q891" s="243" t="str">
        <f t="shared" ca="1" si="1178"/>
        <v/>
      </c>
      <c r="R891" s="45">
        <f t="shared" ca="1" si="1132"/>
        <v>0.5778728064547225</v>
      </c>
      <c r="S891" s="45">
        <f t="shared" ca="1" si="1156"/>
        <v>5.0695617570641283E-2</v>
      </c>
      <c r="T891" s="77">
        <f t="shared" ca="1" si="1117"/>
        <v>0</v>
      </c>
      <c r="U891" s="45">
        <f t="shared" ca="1" si="1133"/>
        <v>18.327107399251407</v>
      </c>
      <c r="V891" s="45">
        <f t="shared" ca="1" si="1118"/>
        <v>0.20278247028256513</v>
      </c>
      <c r="W891" s="77">
        <f t="shared" ca="1" si="1119"/>
        <v>0</v>
      </c>
      <c r="X891" s="45">
        <f t="shared" ca="1" si="1134"/>
        <v>1.0060275128326361</v>
      </c>
      <c r="Y891" s="45">
        <f t="shared" ca="1" si="1120"/>
        <v>0</v>
      </c>
      <c r="Z891" s="77">
        <f t="shared" ca="1" si="1121"/>
        <v>0</v>
      </c>
      <c r="AA891" s="45">
        <f t="shared" ca="1" si="1135"/>
        <v>39.157603269377532</v>
      </c>
      <c r="AB891" s="45">
        <f t="shared" ca="1" si="1122"/>
        <v>0</v>
      </c>
      <c r="AC891" s="45" cm="1">
        <f t="array" aca="1" ref="AC891" ca="1">pHUM*(T891+W891+Z891+AD891)</f>
        <v>0</v>
      </c>
      <c r="AD891" s="77">
        <f t="shared" ca="1" si="1123"/>
        <v>0</v>
      </c>
      <c r="AE891" s="45">
        <f t="shared" ca="1" si="1136"/>
        <v>6.3847072090583081</v>
      </c>
      <c r="AF891" s="45">
        <f t="shared" ca="1" si="1124"/>
        <v>0</v>
      </c>
      <c r="AG891" s="76">
        <f t="shared" ca="1" si="1125"/>
        <v>65.453318196974607</v>
      </c>
      <c r="AH891" s="45">
        <f t="shared" ca="1" si="1126"/>
        <v>0</v>
      </c>
      <c r="AI891" s="77">
        <f t="shared" ca="1" si="1127"/>
        <v>1.7950862981444143E-2</v>
      </c>
      <c r="AJ891" s="384">
        <f t="shared" ca="1" si="1129"/>
        <v>3.5183480238244469E-2</v>
      </c>
      <c r="AU891" s="1"/>
    </row>
    <row r="892" spans="3:47" x14ac:dyDescent="0.25">
      <c r="C892" s="10">
        <f t="shared" si="1154"/>
        <v>66</v>
      </c>
      <c r="D892" s="91">
        <f t="shared" si="1137"/>
        <v>10</v>
      </c>
      <c r="E892" s="278"/>
      <c r="F892" s="76">
        <f t="shared" ref="F892:Q892" si="1179">F820</f>
        <v>16.404967741935486</v>
      </c>
      <c r="G892" s="46">
        <f t="shared" si="1179"/>
        <v>93.270963763991602</v>
      </c>
      <c r="H892" s="46">
        <f t="shared" si="1113"/>
        <v>-37.740813763991596</v>
      </c>
      <c r="I892" s="45">
        <f t="shared" si="1114"/>
        <v>0</v>
      </c>
      <c r="J892" s="45">
        <f t="shared" si="1115"/>
        <v>0.1757835150476853</v>
      </c>
      <c r="K892" s="45">
        <f t="shared" ca="1" si="1131"/>
        <v>0.56815085891056294</v>
      </c>
      <c r="L892" s="358">
        <f t="shared" si="1116"/>
        <v>0.86618676922472848</v>
      </c>
      <c r="M892" s="76">
        <f t="shared" ca="1" si="1179"/>
        <v>0.25347808785320641</v>
      </c>
      <c r="N892" s="45">
        <f t="shared" ca="1" si="1179"/>
        <v>0.25</v>
      </c>
      <c r="O892" s="45">
        <f t="shared" ca="1" si="1179"/>
        <v>0</v>
      </c>
      <c r="P892" s="46" t="str">
        <f t="shared" ca="1" si="1179"/>
        <v/>
      </c>
      <c r="Q892" s="243" t="str">
        <f t="shared" ca="1" si="1179"/>
        <v/>
      </c>
      <c r="R892" s="45">
        <f t="shared" ca="1" si="1132"/>
        <v>0.62856842402536373</v>
      </c>
      <c r="S892" s="45">
        <f t="shared" ca="1" si="1156"/>
        <v>5.0695617570641283E-2</v>
      </c>
      <c r="T892" s="77">
        <f t="shared" ca="1" si="1117"/>
        <v>0</v>
      </c>
      <c r="U892" s="45">
        <f t="shared" ca="1" si="1133"/>
        <v>18.529889869533971</v>
      </c>
      <c r="V892" s="45">
        <f t="shared" ca="1" si="1118"/>
        <v>0.20278247028256513</v>
      </c>
      <c r="W892" s="77">
        <f t="shared" ca="1" si="1119"/>
        <v>0</v>
      </c>
      <c r="X892" s="45">
        <f t="shared" ca="1" si="1134"/>
        <v>1.0060275128326361</v>
      </c>
      <c r="Y892" s="45">
        <f t="shared" ca="1" si="1120"/>
        <v>0</v>
      </c>
      <c r="Z892" s="77">
        <f t="shared" ca="1" si="1121"/>
        <v>0</v>
      </c>
      <c r="AA892" s="45">
        <f t="shared" ca="1" si="1135"/>
        <v>39.157603269377532</v>
      </c>
      <c r="AB892" s="45">
        <f t="shared" ca="1" si="1122"/>
        <v>0</v>
      </c>
      <c r="AC892" s="45" cm="1">
        <f t="array" aca="1" ref="AC892" ca="1">pHUM*(T892+W892+Z892+AD892)</f>
        <v>0</v>
      </c>
      <c r="AD892" s="77">
        <f t="shared" ca="1" si="1123"/>
        <v>0</v>
      </c>
      <c r="AE892" s="45">
        <f t="shared" ca="1" si="1136"/>
        <v>6.3847072090583081</v>
      </c>
      <c r="AF892" s="45">
        <f t="shared" ca="1" si="1124"/>
        <v>0</v>
      </c>
      <c r="AG892" s="76">
        <f t="shared" ca="1" si="1125"/>
        <v>65.706796284827803</v>
      </c>
      <c r="AH892" s="45">
        <f t="shared" ca="1" si="1126"/>
        <v>0</v>
      </c>
      <c r="AI892" s="77">
        <f t="shared" ca="1" si="1127"/>
        <v>1.8671770824964698E-2</v>
      </c>
      <c r="AJ892" s="384">
        <f t="shared" ca="1" si="1129"/>
        <v>3.243377738038733E-2</v>
      </c>
      <c r="AU892" s="1"/>
    </row>
    <row r="893" spans="3:47" x14ac:dyDescent="0.25">
      <c r="C893" s="10">
        <f t="shared" si="1154"/>
        <v>66</v>
      </c>
      <c r="D893" s="91">
        <f t="shared" si="1137"/>
        <v>11</v>
      </c>
      <c r="E893" s="278"/>
      <c r="F893" s="76">
        <f t="shared" ref="F893:Q893" si="1180">F821</f>
        <v>8.5982333333333347</v>
      </c>
      <c r="G893" s="46">
        <f t="shared" si="1180"/>
        <v>93.768190396309464</v>
      </c>
      <c r="H893" s="46">
        <f t="shared" si="1113"/>
        <v>-38.238040396309458</v>
      </c>
      <c r="I893" s="45">
        <f t="shared" si="1114"/>
        <v>0</v>
      </c>
      <c r="J893" s="45">
        <f t="shared" si="1115"/>
        <v>0.17386998013358751</v>
      </c>
      <c r="K893" s="45">
        <f t="shared" ca="1" si="1131"/>
        <v>0.56196611226520721</v>
      </c>
      <c r="L893" s="358">
        <f t="shared" si="1116"/>
        <v>0.6712335176859634</v>
      </c>
      <c r="M893" s="76">
        <f t="shared" ca="1" si="1180"/>
        <v>0.25347808785320641</v>
      </c>
      <c r="N893" s="45">
        <f t="shared" ca="1" si="1180"/>
        <v>0.25</v>
      </c>
      <c r="O893" s="45">
        <f t="shared" ca="1" si="1180"/>
        <v>0</v>
      </c>
      <c r="P893" s="46" t="str">
        <f t="shared" ca="1" si="1180"/>
        <v/>
      </c>
      <c r="Q893" s="243" t="str">
        <f t="shared" ca="1" si="1180"/>
        <v/>
      </c>
      <c r="R893" s="45">
        <f t="shared" ca="1" si="1132"/>
        <v>0.67926404159600495</v>
      </c>
      <c r="S893" s="45">
        <f t="shared" ca="1" si="1156"/>
        <v>5.0695617570641283E-2</v>
      </c>
      <c r="T893" s="77">
        <f t="shared" ca="1" si="1117"/>
        <v>0</v>
      </c>
      <c r="U893" s="45">
        <f t="shared" ca="1" si="1133"/>
        <v>18.732672339816535</v>
      </c>
      <c r="V893" s="45">
        <f t="shared" ca="1" si="1118"/>
        <v>0.20278247028256513</v>
      </c>
      <c r="W893" s="77">
        <f t="shared" ca="1" si="1119"/>
        <v>0</v>
      </c>
      <c r="X893" s="45">
        <f t="shared" ca="1" si="1134"/>
        <v>1.0060275128326361</v>
      </c>
      <c r="Y893" s="45">
        <f t="shared" ca="1" si="1120"/>
        <v>0</v>
      </c>
      <c r="Z893" s="77">
        <f t="shared" ca="1" si="1121"/>
        <v>0</v>
      </c>
      <c r="AA893" s="45">
        <f t="shared" ca="1" si="1135"/>
        <v>39.157603269377532</v>
      </c>
      <c r="AB893" s="45">
        <f t="shared" ca="1" si="1122"/>
        <v>0</v>
      </c>
      <c r="AC893" s="45" cm="1">
        <f t="array" aca="1" ref="AC893" ca="1">pHUM*(T893+W893+Z893+AD893)</f>
        <v>0</v>
      </c>
      <c r="AD893" s="77">
        <f t="shared" ca="1" si="1123"/>
        <v>0</v>
      </c>
      <c r="AE893" s="45">
        <f t="shared" ca="1" si="1136"/>
        <v>6.3847072090583081</v>
      </c>
      <c r="AF893" s="45">
        <f t="shared" ca="1" si="1124"/>
        <v>0</v>
      </c>
      <c r="AG893" s="76">
        <f t="shared" ca="1" si="1125"/>
        <v>65.960274372681013</v>
      </c>
      <c r="AH893" s="45">
        <f t="shared" ca="1" si="1126"/>
        <v>0</v>
      </c>
      <c r="AI893" s="77">
        <f t="shared" ca="1" si="1127"/>
        <v>1.9386544128760525E-2</v>
      </c>
      <c r="AJ893" s="384">
        <f t="shared" ca="1" si="1129"/>
        <v>2.5812120460064758E-2</v>
      </c>
      <c r="AU893" s="1"/>
    </row>
    <row r="894" spans="3:47" x14ac:dyDescent="0.25">
      <c r="C894" s="10">
        <f t="shared" si="1154"/>
        <v>66</v>
      </c>
      <c r="D894" s="91">
        <f t="shared" si="1137"/>
        <v>12</v>
      </c>
      <c r="E894" s="278"/>
      <c r="F894" s="76">
        <f t="shared" ref="F894:Q894" si="1181">F822</f>
        <v>5.8543548387096775</v>
      </c>
      <c r="G894" s="46">
        <f t="shared" si="1181"/>
        <v>92.353978821555827</v>
      </c>
      <c r="H894" s="46">
        <f t="shared" si="1113"/>
        <v>-36.823828821555821</v>
      </c>
      <c r="I894" s="45">
        <f t="shared" si="1114"/>
        <v>0</v>
      </c>
      <c r="J894" s="45">
        <f t="shared" si="1115"/>
        <v>0.17930557122010893</v>
      </c>
      <c r="K894" s="45">
        <f t="shared" ca="1" si="1131"/>
        <v>0.57953451589882432</v>
      </c>
      <c r="L894" s="358">
        <f t="shared" si="1116"/>
        <v>0.57570255434605899</v>
      </c>
      <c r="M894" s="76">
        <f t="shared" ca="1" si="1181"/>
        <v>0.25347808785320641</v>
      </c>
      <c r="N894" s="45">
        <f t="shared" ca="1" si="1181"/>
        <v>0.25</v>
      </c>
      <c r="O894" s="45">
        <f t="shared" ca="1" si="1181"/>
        <v>0</v>
      </c>
      <c r="P894" s="46" t="str">
        <f t="shared" ca="1" si="1181"/>
        <v/>
      </c>
      <c r="Q894" s="243" t="str">
        <f t="shared" ca="1" si="1181"/>
        <v/>
      </c>
      <c r="R894" s="45">
        <f t="shared" ca="1" si="1132"/>
        <v>0.72995965916664618</v>
      </c>
      <c r="S894" s="45">
        <f t="shared" ca="1" si="1156"/>
        <v>5.0695617570641283E-2</v>
      </c>
      <c r="T894" s="77">
        <f t="shared" ca="1" si="1117"/>
        <v>0</v>
      </c>
      <c r="U894" s="45">
        <f t="shared" ca="1" si="1133"/>
        <v>18.935454810099099</v>
      </c>
      <c r="V894" s="45">
        <f t="shared" ca="1" si="1118"/>
        <v>0.20278247028256513</v>
      </c>
      <c r="W894" s="77">
        <f t="shared" ca="1" si="1119"/>
        <v>0</v>
      </c>
      <c r="X894" s="45">
        <f t="shared" ca="1" si="1134"/>
        <v>1.0060275128326361</v>
      </c>
      <c r="Y894" s="45">
        <f t="shared" ca="1" si="1120"/>
        <v>0</v>
      </c>
      <c r="Z894" s="77">
        <f t="shared" ca="1" si="1121"/>
        <v>0</v>
      </c>
      <c r="AA894" s="45">
        <f t="shared" ca="1" si="1135"/>
        <v>39.157603269377532</v>
      </c>
      <c r="AB894" s="45">
        <f t="shared" ca="1" si="1122"/>
        <v>0</v>
      </c>
      <c r="AC894" s="45" cm="1">
        <f t="array" aca="1" ref="AC894" ca="1">pHUM*(T894+W894+Z894+AD894)</f>
        <v>0</v>
      </c>
      <c r="AD894" s="77">
        <f t="shared" ca="1" si="1123"/>
        <v>0</v>
      </c>
      <c r="AE894" s="45">
        <f t="shared" ca="1" si="1136"/>
        <v>6.3847072090583081</v>
      </c>
      <c r="AF894" s="45">
        <f t="shared" ca="1" si="1124"/>
        <v>0</v>
      </c>
      <c r="AG894" s="76">
        <f t="shared" ca="1" si="1125"/>
        <v>66.213752460534224</v>
      </c>
      <c r="AH894" s="45">
        <f t="shared" ca="1" si="1126"/>
        <v>0</v>
      </c>
      <c r="AI894" s="77">
        <f t="shared" ca="1" si="1127"/>
        <v>2.0095260863559377E-2</v>
      </c>
      <c r="AJ894" s="384">
        <f t="shared" ca="1" si="1129"/>
        <v>2.3665272743430554E-2</v>
      </c>
      <c r="AU894" s="1"/>
    </row>
    <row r="895" spans="3:47" x14ac:dyDescent="0.25">
      <c r="C895" s="10">
        <f t="shared" si="1154"/>
        <v>67</v>
      </c>
      <c r="D895" s="91">
        <f t="shared" si="1137"/>
        <v>1</v>
      </c>
      <c r="E895" s="278"/>
      <c r="F895" s="76">
        <f t="shared" ref="F895:Q895" si="1182">F823</f>
        <v>2.2624333333333326</v>
      </c>
      <c r="G895" s="46">
        <f t="shared" si="1182"/>
        <v>87.461548542671366</v>
      </c>
      <c r="H895" s="46">
        <f t="shared" si="1113"/>
        <v>-31.93139854267136</v>
      </c>
      <c r="I895" s="45">
        <f t="shared" si="1114"/>
        <v>0</v>
      </c>
      <c r="J895" s="45">
        <f t="shared" si="1115"/>
        <v>0.19789456043296222</v>
      </c>
      <c r="K895" s="45">
        <f t="shared" ca="1" si="1131"/>
        <v>0.63961608944510806</v>
      </c>
      <c r="L895" s="358">
        <f t="shared" si="1116"/>
        <v>0.44266298791276926</v>
      </c>
      <c r="M895" s="76">
        <f t="shared" ca="1" si="1182"/>
        <v>0.25347808785320641</v>
      </c>
      <c r="N895" s="45">
        <f t="shared" ca="1" si="1182"/>
        <v>0.25</v>
      </c>
      <c r="O895" s="45">
        <f t="shared" ca="1" si="1182"/>
        <v>0</v>
      </c>
      <c r="P895" s="46" t="str">
        <f t="shared" ca="1" si="1182"/>
        <v/>
      </c>
      <c r="Q895" s="243" t="str">
        <f t="shared" ca="1" si="1182"/>
        <v/>
      </c>
      <c r="R895" s="45">
        <f t="shared" ca="1" si="1132"/>
        <v>0.78065527673728741</v>
      </c>
      <c r="S895" s="45">
        <f t="shared" ca="1" si="1156"/>
        <v>5.0695617570641283E-2</v>
      </c>
      <c r="T895" s="77">
        <f t="shared" ca="1" si="1117"/>
        <v>0</v>
      </c>
      <c r="U895" s="45">
        <f t="shared" ca="1" si="1133"/>
        <v>19.138237280381663</v>
      </c>
      <c r="V895" s="45">
        <f t="shared" ca="1" si="1118"/>
        <v>0.20278247028256513</v>
      </c>
      <c r="W895" s="77">
        <f t="shared" ca="1" si="1119"/>
        <v>0</v>
      </c>
      <c r="X895" s="45">
        <f t="shared" ca="1" si="1134"/>
        <v>1.0060275128326361</v>
      </c>
      <c r="Y895" s="45">
        <f t="shared" ca="1" si="1120"/>
        <v>0</v>
      </c>
      <c r="Z895" s="77">
        <f t="shared" ca="1" si="1121"/>
        <v>0</v>
      </c>
      <c r="AA895" s="45">
        <f t="shared" ca="1" si="1135"/>
        <v>39.157603269377532</v>
      </c>
      <c r="AB895" s="45">
        <f t="shared" ca="1" si="1122"/>
        <v>0</v>
      </c>
      <c r="AC895" s="45" cm="1">
        <f t="array" aca="1" ref="AC895" ca="1">pHUM*(T895+W895+Z895+AD895)</f>
        <v>0</v>
      </c>
      <c r="AD895" s="77">
        <f t="shared" ca="1" si="1123"/>
        <v>0</v>
      </c>
      <c r="AE895" s="45">
        <f t="shared" ca="1" si="1136"/>
        <v>6.3847072090583081</v>
      </c>
      <c r="AF895" s="45">
        <f t="shared" ca="1" si="1124"/>
        <v>0</v>
      </c>
      <c r="AG895" s="76">
        <f t="shared" ca="1" si="1125"/>
        <v>66.46723054838742</v>
      </c>
      <c r="AH895" s="45">
        <f t="shared" ca="1" si="1126"/>
        <v>0</v>
      </c>
      <c r="AI895" s="77">
        <f t="shared" ca="1" si="1127"/>
        <v>2.0797997684307283E-2</v>
      </c>
      <c r="AJ895" s="384">
        <f t="shared" ca="1" si="1129"/>
        <v>2.0785271376885239E-2</v>
      </c>
      <c r="AU895" s="1"/>
    </row>
    <row r="896" spans="3:47" x14ac:dyDescent="0.25">
      <c r="C896" s="10">
        <f t="shared" si="1154"/>
        <v>67</v>
      </c>
      <c r="D896" s="91">
        <f t="shared" si="1137"/>
        <v>2</v>
      </c>
      <c r="E896" s="278"/>
      <c r="F896" s="76">
        <f t="shared" ref="F896:Q896" si="1183">F824</f>
        <v>1.5363448275862068</v>
      </c>
      <c r="G896" s="46">
        <f t="shared" si="1183"/>
        <v>89.651029216467379</v>
      </c>
      <c r="H896" s="46">
        <f t="shared" si="1113"/>
        <v>-34.120879216467372</v>
      </c>
      <c r="I896" s="45">
        <f t="shared" si="1114"/>
        <v>0</v>
      </c>
      <c r="J896" s="45">
        <f t="shared" si="1115"/>
        <v>0.18962389606700991</v>
      </c>
      <c r="K896" s="45">
        <f t="shared" ca="1" si="1131"/>
        <v>0.61288442998317227</v>
      </c>
      <c r="L896" s="358">
        <f t="shared" si="1116"/>
        <v>0.41613501220093307</v>
      </c>
      <c r="M896" s="76">
        <f t="shared" ca="1" si="1183"/>
        <v>0.25347808785320641</v>
      </c>
      <c r="N896" s="45">
        <f t="shared" ca="1" si="1183"/>
        <v>0.25</v>
      </c>
      <c r="O896" s="45">
        <f t="shared" ca="1" si="1183"/>
        <v>0</v>
      </c>
      <c r="P896" s="46" t="str">
        <f t="shared" ca="1" si="1183"/>
        <v/>
      </c>
      <c r="Q896" s="243" t="str">
        <f t="shared" ca="1" si="1183"/>
        <v/>
      </c>
      <c r="R896" s="45">
        <f t="shared" ca="1" si="1132"/>
        <v>0.83135089430792863</v>
      </c>
      <c r="S896" s="45">
        <f t="shared" ca="1" si="1156"/>
        <v>5.0695617570641283E-2</v>
      </c>
      <c r="T896" s="77">
        <f t="shared" ca="1" si="1117"/>
        <v>0</v>
      </c>
      <c r="U896" s="45">
        <f t="shared" ca="1" si="1133"/>
        <v>19.341019750664227</v>
      </c>
      <c r="V896" s="45">
        <f t="shared" ca="1" si="1118"/>
        <v>0.20278247028256513</v>
      </c>
      <c r="W896" s="77">
        <f t="shared" ca="1" si="1119"/>
        <v>0</v>
      </c>
      <c r="X896" s="45">
        <f t="shared" ca="1" si="1134"/>
        <v>1.0060275128326361</v>
      </c>
      <c r="Y896" s="45">
        <f t="shared" ca="1" si="1120"/>
        <v>0</v>
      </c>
      <c r="Z896" s="77">
        <f t="shared" ca="1" si="1121"/>
        <v>0</v>
      </c>
      <c r="AA896" s="45">
        <f t="shared" ca="1" si="1135"/>
        <v>39.157603269377532</v>
      </c>
      <c r="AB896" s="45">
        <f t="shared" ca="1" si="1122"/>
        <v>0</v>
      </c>
      <c r="AC896" s="45" cm="1">
        <f t="array" aca="1" ref="AC896" ca="1">pHUM*(T896+W896+Z896+AD896)</f>
        <v>0</v>
      </c>
      <c r="AD896" s="77">
        <f t="shared" ca="1" si="1123"/>
        <v>0</v>
      </c>
      <c r="AE896" s="45">
        <f t="shared" ca="1" si="1136"/>
        <v>6.3847072090583081</v>
      </c>
      <c r="AF896" s="45">
        <f t="shared" ca="1" si="1124"/>
        <v>0</v>
      </c>
      <c r="AG896" s="76">
        <f t="shared" ca="1" si="1125"/>
        <v>66.72070863624063</v>
      </c>
      <c r="AH896" s="45">
        <f t="shared" ca="1" si="1126"/>
        <v>0</v>
      </c>
      <c r="AI896" s="77">
        <f t="shared" ca="1" si="1127"/>
        <v>2.149482995780732E-2</v>
      </c>
      <c r="AJ896" s="384">
        <f t="shared" ca="1" si="1129"/>
        <v>1.9350359158119002E-2</v>
      </c>
      <c r="AU896" s="1"/>
    </row>
    <row r="897" spans="3:47" x14ac:dyDescent="0.25">
      <c r="C897" s="10">
        <f t="shared" si="1154"/>
        <v>67</v>
      </c>
      <c r="D897" s="91">
        <f t="shared" si="1137"/>
        <v>3</v>
      </c>
      <c r="E897" s="278"/>
      <c r="F897" s="76">
        <f t="shared" ref="F897:Q897" ca="1" si="1184">F825</f>
        <v>-0.57999999999999996</v>
      </c>
      <c r="G897" s="46">
        <f t="shared" ca="1" si="1184"/>
        <v>55.530150000000006</v>
      </c>
      <c r="H897" s="46">
        <f t="shared" ca="1" si="1113"/>
        <v>0</v>
      </c>
      <c r="I897" s="45">
        <f t="shared" ca="1" si="1114"/>
        <v>8.1834107856600266E-2</v>
      </c>
      <c r="J897" s="45">
        <f t="shared" ca="1" si="1115"/>
        <v>0.29595601705647312</v>
      </c>
      <c r="K897" s="45">
        <f t="shared" ca="1" si="1131"/>
        <v>0.95656105889548582</v>
      </c>
      <c r="L897" s="358">
        <f t="shared" ca="1" si="1116"/>
        <v>0.34200470507454295</v>
      </c>
      <c r="M897" s="76">
        <f t="shared" ca="1" si="1184"/>
        <v>0.25347808785320641</v>
      </c>
      <c r="N897" s="45">
        <f t="shared" ca="1" si="1184"/>
        <v>0.25</v>
      </c>
      <c r="O897" s="45">
        <f t="shared" ca="1" si="1184"/>
        <v>0</v>
      </c>
      <c r="P897" s="46" t="str">
        <f t="shared" ca="1" si="1184"/>
        <v/>
      </c>
      <c r="Q897" s="243" t="str">
        <f t="shared" ca="1" si="1184"/>
        <v/>
      </c>
      <c r="R897" s="45">
        <f t="shared" ca="1" si="1132"/>
        <v>0.88204651187856986</v>
      </c>
      <c r="S897" s="45">
        <f t="shared" ca="1" si="1156"/>
        <v>5.0695617570641283E-2</v>
      </c>
      <c r="T897" s="77">
        <f t="shared" ca="1" si="1117"/>
        <v>5.8146070292331417E-2</v>
      </c>
      <c r="U897" s="45">
        <f t="shared" ca="1" si="1133"/>
        <v>19.543802220946791</v>
      </c>
      <c r="V897" s="45">
        <f t="shared" ca="1" si="1118"/>
        <v>0.20278247028256513</v>
      </c>
      <c r="W897" s="77">
        <f t="shared" ca="1" si="1119"/>
        <v>3.9942867928115404E-2</v>
      </c>
      <c r="X897" s="45">
        <f t="shared" ca="1" si="1134"/>
        <v>1.0060275128326361</v>
      </c>
      <c r="Y897" s="45">
        <f t="shared" ca="1" si="1120"/>
        <v>8.9021242142010484E-3</v>
      </c>
      <c r="Z897" s="77">
        <f t="shared" ca="1" si="1121"/>
        <v>4.5178302959254409E-3</v>
      </c>
      <c r="AA897" s="45">
        <f t="shared" ca="1" si="1135"/>
        <v>39.157603269377532</v>
      </c>
      <c r="AB897" s="45">
        <f t="shared" ca="1" si="1122"/>
        <v>0</v>
      </c>
      <c r="AC897" s="45" cm="1">
        <f t="array" aca="1" ref="AC897" ca="1">pHUM*(T897+W897+Z897+AD897)</f>
        <v>1.0473087310824762E-2</v>
      </c>
      <c r="AD897" s="77">
        <f t="shared" ca="1" si="1123"/>
        <v>5.3403483551076663E-3</v>
      </c>
      <c r="AE897" s="45">
        <f t="shared" ca="1" si="1136"/>
        <v>6.3847072090583081</v>
      </c>
      <c r="AF897" s="45">
        <f t="shared" ca="1" si="1124"/>
        <v>0</v>
      </c>
      <c r="AG897" s="76">
        <f t="shared" ca="1" si="1125"/>
        <v>66.97418672409384</v>
      </c>
      <c r="AH897" s="45">
        <f t="shared" ca="1" si="1126"/>
        <v>8.8571905346454108E-2</v>
      </c>
      <c r="AI897" s="77">
        <f t="shared" ca="1" si="1127"/>
        <v>2.2185831789664517E-2</v>
      </c>
      <c r="AJ897" s="384">
        <f t="shared" ca="1" si="1129"/>
        <v>2.5618877432989073E-2</v>
      </c>
      <c r="AU897" s="1"/>
    </row>
    <row r="898" spans="3:47" x14ac:dyDescent="0.25">
      <c r="C898" s="10">
        <f t="shared" si="1154"/>
        <v>67</v>
      </c>
      <c r="D898" s="91">
        <f t="shared" si="1137"/>
        <v>4</v>
      </c>
      <c r="E898" s="278"/>
      <c r="F898" s="76">
        <f t="shared" ref="F898:Q898" ca="1" si="1185">F826</f>
        <v>7.18</v>
      </c>
      <c r="G898" s="46">
        <f t="shared" ca="1" si="1185"/>
        <v>29.828585295978598</v>
      </c>
      <c r="H898" s="46">
        <f t="shared" ca="1" si="1113"/>
        <v>25.701564704021408</v>
      </c>
      <c r="I898" s="45">
        <f t="shared" ca="1" si="1114"/>
        <v>0.34975431431902781</v>
      </c>
      <c r="J898" s="45">
        <f t="shared" ca="1" si="1115"/>
        <v>0.29147915612483932</v>
      </c>
      <c r="K898" s="45">
        <f t="shared" ca="1" si="1131"/>
        <v>0.94209137223094908</v>
      </c>
      <c r="L898" s="358">
        <f t="shared" ca="1" si="1116"/>
        <v>0.62308014794471589</v>
      </c>
      <c r="M898" s="76">
        <f t="shared" ca="1" si="1185"/>
        <v>0.25347808785320641</v>
      </c>
      <c r="N898" s="45">
        <f t="shared" ca="1" si="1185"/>
        <v>0.25</v>
      </c>
      <c r="O898" s="45">
        <f t="shared" ca="1" si="1185"/>
        <v>0</v>
      </c>
      <c r="P898" s="46" t="str">
        <f t="shared" ca="1" si="1185"/>
        <v/>
      </c>
      <c r="Q898" s="243" t="str">
        <f t="shared" ca="1" si="1185"/>
        <v/>
      </c>
      <c r="R898" s="45">
        <f t="shared" ca="1" si="1132"/>
        <v>0.87459605915687966</v>
      </c>
      <c r="S898" s="45">
        <f t="shared" ca="1" si="1156"/>
        <v>5.0695617570641283E-2</v>
      </c>
      <c r="T898" s="77">
        <f t="shared" ca="1" si="1117"/>
        <v>0.22112372029543051</v>
      </c>
      <c r="U898" s="45">
        <f t="shared" ca="1" si="1133"/>
        <v>19.70664182330124</v>
      </c>
      <c r="V898" s="45">
        <f t="shared" ca="1" si="1118"/>
        <v>0.20278247028256513</v>
      </c>
      <c r="W898" s="77">
        <f t="shared" ca="1" si="1119"/>
        <v>0.17156092971239184</v>
      </c>
      <c r="X898" s="45">
        <f t="shared" ca="1" si="1134"/>
        <v>1.0104118067509118</v>
      </c>
      <c r="Y898" s="45">
        <f t="shared" ca="1" si="1120"/>
        <v>3.585337922328944E-2</v>
      </c>
      <c r="Z898" s="77">
        <f t="shared" ca="1" si="1121"/>
        <v>1.9251019244742231E-2</v>
      </c>
      <c r="AA898" s="45">
        <f t="shared" ca="1" si="1135"/>
        <v>39.162736008333255</v>
      </c>
      <c r="AB898" s="45">
        <f t="shared" ca="1" si="1122"/>
        <v>0</v>
      </c>
      <c r="AC898" s="45" cm="1">
        <f t="array" aca="1" ref="AC898" ca="1">pHUM*(T898+W898+Z898+AD898)</f>
        <v>4.2180446145046402E-2</v>
      </c>
      <c r="AD898" s="77">
        <f t="shared" ca="1" si="1123"/>
        <v>2.2822240671888889E-2</v>
      </c>
      <c r="AE898" s="45">
        <f t="shared" ca="1" si="1136"/>
        <v>6.3847072090583081</v>
      </c>
      <c r="AF898" s="45">
        <f t="shared" ca="1" si="1124"/>
        <v>0</v>
      </c>
      <c r="AG898" s="76">
        <f t="shared" ca="1" si="1125"/>
        <v>67.139092906600595</v>
      </c>
      <c r="AH898" s="45">
        <f t="shared" ca="1" si="1126"/>
        <v>0.35672408455611765</v>
      </c>
      <c r="AI898" s="77">
        <f t="shared" ca="1" si="1127"/>
        <v>2.2094536147800908E-2</v>
      </c>
      <c r="AJ898" s="384">
        <f t="shared" ca="1" si="1129"/>
        <v>4.5777615993598531E-2</v>
      </c>
      <c r="AU898" s="1"/>
    </row>
    <row r="899" spans="3:47" x14ac:dyDescent="0.25">
      <c r="C899" s="10">
        <f t="shared" si="1154"/>
        <v>67</v>
      </c>
      <c r="D899" s="91">
        <f t="shared" si="1137"/>
        <v>5</v>
      </c>
      <c r="E899" s="278"/>
      <c r="F899" s="76">
        <f t="shared" ref="F899:Q899" ca="1" si="1186">F827</f>
        <v>14.05</v>
      </c>
      <c r="G899" s="46">
        <f t="shared" ca="1" si="1186"/>
        <v>27.012600000000003</v>
      </c>
      <c r="H899" s="46">
        <f t="shared" ca="1" si="1113"/>
        <v>28.517550000000004</v>
      </c>
      <c r="I899" s="45">
        <f t="shared" ca="1" si="1114"/>
        <v>0.75173784437395219</v>
      </c>
      <c r="J899" s="45">
        <f t="shared" ca="1" si="1115"/>
        <v>0.27952512346894071</v>
      </c>
      <c r="K899" s="45">
        <f t="shared" ca="1" si="1131"/>
        <v>0.90345467800480783</v>
      </c>
      <c r="L899" s="358">
        <f t="shared" ca="1" si="1116"/>
        <v>0.82085140481213359</v>
      </c>
      <c r="M899" s="76">
        <f t="shared" ca="1" si="1186"/>
        <v>0.25347808785320641</v>
      </c>
      <c r="N899" s="45">
        <f t="shared" ca="1" si="1186"/>
        <v>0.25</v>
      </c>
      <c r="O899" s="45">
        <f t="shared" ca="1" si="1186"/>
        <v>0</v>
      </c>
      <c r="P899" s="46" t="str">
        <f t="shared" ca="1" si="1186"/>
        <v/>
      </c>
      <c r="Q899" s="243" t="str">
        <f t="shared" ca="1" si="1186"/>
        <v/>
      </c>
      <c r="R899" s="45">
        <f t="shared" ca="1" si="1132"/>
        <v>0.70416795643209051</v>
      </c>
      <c r="S899" s="45">
        <f t="shared" ca="1" si="1156"/>
        <v>5.0695617570641283E-2</v>
      </c>
      <c r="T899" s="77">
        <f t="shared" ca="1" si="1117"/>
        <v>0.32779946324687731</v>
      </c>
      <c r="U899" s="45">
        <f t="shared" ca="1" si="1133"/>
        <v>19.737863363871412</v>
      </c>
      <c r="V899" s="45">
        <f t="shared" ca="1" si="1118"/>
        <v>0.20278247028256513</v>
      </c>
      <c r="W899" s="77">
        <f t="shared" ca="1" si="1119"/>
        <v>0.36747856131357232</v>
      </c>
      <c r="X899" s="45">
        <f t="shared" ca="1" si="1134"/>
        <v>1.027014166729459</v>
      </c>
      <c r="Y899" s="45">
        <f t="shared" ca="1" si="1120"/>
        <v>6.4814064322982312E-2</v>
      </c>
      <c r="Z899" s="77">
        <f t="shared" ca="1" si="1121"/>
        <v>4.1596653486522479E-2</v>
      </c>
      <c r="AA899" s="45">
        <f t="shared" ca="1" si="1135"/>
        <v>39.182094213806415</v>
      </c>
      <c r="AB899" s="45">
        <f t="shared" ca="1" si="1122"/>
        <v>0</v>
      </c>
      <c r="AC899" s="45" cm="1">
        <f t="array" aca="1" ref="AC899" ca="1">pHUM*(T899+W899+Z899+AD899)</f>
        <v>7.6251840379979188E-2</v>
      </c>
      <c r="AD899" s="77">
        <f t="shared" ca="1" si="1123"/>
        <v>4.9060364875422299E-2</v>
      </c>
      <c r="AE899" s="45">
        <f t="shared" ca="1" si="1136"/>
        <v>6.3847072090583081</v>
      </c>
      <c r="AF899" s="45">
        <f t="shared" ca="1" si="1124"/>
        <v>0</v>
      </c>
      <c r="AG899" s="76">
        <f t="shared" ca="1" si="1125"/>
        <v>67.035846909897685</v>
      </c>
      <c r="AH899" s="45">
        <f t="shared" ca="1" si="1126"/>
        <v>0.64486913821943304</v>
      </c>
      <c r="AI899" s="77">
        <f t="shared" ca="1" si="1127"/>
        <v>1.9818959543256354E-2</v>
      </c>
      <c r="AJ899" s="384">
        <f t="shared" ca="1" si="1129"/>
        <v>5.1877687757412305E-2</v>
      </c>
      <c r="AU899" s="1"/>
    </row>
    <row r="900" spans="3:47" x14ac:dyDescent="0.25">
      <c r="C900" s="10">
        <f t="shared" si="1154"/>
        <v>67</v>
      </c>
      <c r="D900" s="91">
        <f t="shared" si="1137"/>
        <v>6</v>
      </c>
      <c r="E900" s="278"/>
      <c r="F900" s="76">
        <f t="shared" ref="F900:Q900" ca="1" si="1187">F828</f>
        <v>17.96</v>
      </c>
      <c r="G900" s="46">
        <f t="shared" ca="1" si="1187"/>
        <v>27.012600000000003</v>
      </c>
      <c r="H900" s="46">
        <f t="shared" ca="1" si="1113"/>
        <v>28.517550000000004</v>
      </c>
      <c r="I900" s="45">
        <f t="shared" ca="1" si="1114"/>
        <v>1.0549705763362276</v>
      </c>
      <c r="J900" s="45">
        <f t="shared" ca="1" si="1115"/>
        <v>0.27952512346894071</v>
      </c>
      <c r="K900" s="45">
        <f t="shared" ca="1" si="1131"/>
        <v>0.90345467800480783</v>
      </c>
      <c r="L900" s="358">
        <f t="shared" ca="1" si="1116"/>
        <v>0.89023829243059249</v>
      </c>
      <c r="M900" s="76">
        <f t="shared" ca="1" si="1187"/>
        <v>0.25347808785320641</v>
      </c>
      <c r="N900" s="45">
        <f t="shared" ca="1" si="1187"/>
        <v>0.25</v>
      </c>
      <c r="O900" s="45">
        <f t="shared" ca="1" si="1187"/>
        <v>0</v>
      </c>
      <c r="P900" s="46" t="str">
        <f t="shared" ca="1" si="1187"/>
        <v/>
      </c>
      <c r="Q900" s="243" t="str">
        <f t="shared" ca="1" si="1187"/>
        <v/>
      </c>
      <c r="R900" s="45">
        <f t="shared" ca="1" si="1132"/>
        <v>0.42706411075585454</v>
      </c>
      <c r="S900" s="45">
        <f t="shared" ca="1" si="1156"/>
        <v>5.0695617570641283E-2</v>
      </c>
      <c r="T900" s="77">
        <f t="shared" ca="1" si="1117"/>
        <v>0.24977319108169391</v>
      </c>
      <c r="U900" s="45">
        <f t="shared" ca="1" si="1133"/>
        <v>19.573167272840404</v>
      </c>
      <c r="V900" s="45">
        <f t="shared" ca="1" si="1118"/>
        <v>0.20278247028256513</v>
      </c>
      <c r="W900" s="77">
        <f t="shared" ca="1" si="1119"/>
        <v>0.50947977918086396</v>
      </c>
      <c r="X900" s="45">
        <f t="shared" ca="1" si="1134"/>
        <v>1.0502315775659188</v>
      </c>
      <c r="Y900" s="45">
        <f t="shared" ca="1" si="1120"/>
        <v>7.3176446037850118E-2</v>
      </c>
      <c r="Z900" s="77">
        <f t="shared" ca="1" si="1121"/>
        <v>5.9203776783510631E-2</v>
      </c>
      <c r="AA900" s="45">
        <f t="shared" ca="1" si="1135"/>
        <v>39.209285689310974</v>
      </c>
      <c r="AB900" s="45">
        <f t="shared" ca="1" si="1122"/>
        <v>0</v>
      </c>
      <c r="AC900" s="45" cm="1">
        <f t="array" aca="1" ref="AC900" ca="1">pHUM*(T900+W900+Z900+AD900)</f>
        <v>8.6089936515117788E-2</v>
      </c>
      <c r="AD900" s="77">
        <f t="shared" ca="1" si="1123"/>
        <v>6.888049770796785E-2</v>
      </c>
      <c r="AE900" s="45">
        <f t="shared" ca="1" si="1136"/>
        <v>6.3847072090583081</v>
      </c>
      <c r="AF900" s="45">
        <f t="shared" ca="1" si="1124"/>
        <v>0</v>
      </c>
      <c r="AG900" s="76">
        <f t="shared" ca="1" si="1125"/>
        <v>66.644455859531462</v>
      </c>
      <c r="AH900" s="45">
        <f t="shared" ca="1" si="1126"/>
        <v>0.72807086220106854</v>
      </c>
      <c r="AI900" s="77">
        <f t="shared" ca="1" si="1127"/>
        <v>1.6069225456766482E-2</v>
      </c>
      <c r="AJ900" s="384">
        <f t="shared" ca="1" si="1129"/>
        <v>4.5618289163675829E-2</v>
      </c>
      <c r="AU900" s="1"/>
    </row>
    <row r="901" spans="3:47" x14ac:dyDescent="0.25">
      <c r="C901" s="10">
        <f t="shared" si="1154"/>
        <v>67</v>
      </c>
      <c r="D901" s="91">
        <f t="shared" si="1137"/>
        <v>7</v>
      </c>
      <c r="E901" s="278"/>
      <c r="F901" s="76">
        <f t="shared" ref="F901:Q901" ca="1" si="1188">F829</f>
        <v>21.89</v>
      </c>
      <c r="G901" s="46">
        <f t="shared" ca="1" si="1188"/>
        <v>27.012600000000003</v>
      </c>
      <c r="H901" s="46">
        <f t="shared" ca="1" si="1113"/>
        <v>28.517550000000004</v>
      </c>
      <c r="I901" s="45">
        <f t="shared" ca="1" si="1114"/>
        <v>1.3816368002949853</v>
      </c>
      <c r="J901" s="45">
        <f t="shared" ca="1" si="1115"/>
        <v>0.27952512346894071</v>
      </c>
      <c r="K901" s="45">
        <f t="shared" ca="1" si="1131"/>
        <v>0.90345467800480783</v>
      </c>
      <c r="L901" s="358">
        <f t="shared" ca="1" si="1116"/>
        <v>0.9336160920992449</v>
      </c>
      <c r="M901" s="76">
        <f t="shared" ca="1" si="1188"/>
        <v>0.25347808785320641</v>
      </c>
      <c r="N901" s="45">
        <f t="shared" ca="1" si="1188"/>
        <v>0.25</v>
      </c>
      <c r="O901" s="45">
        <f t="shared" ca="1" si="1188"/>
        <v>0</v>
      </c>
      <c r="P901" s="46" t="str">
        <f t="shared" ca="1" si="1188"/>
        <v/>
      </c>
      <c r="Q901" s="243" t="str">
        <f t="shared" ca="1" si="1188"/>
        <v/>
      </c>
      <c r="R901" s="45">
        <f t="shared" ca="1" si="1132"/>
        <v>0.22798653724480192</v>
      </c>
      <c r="S901" s="45">
        <f t="shared" ca="1" si="1156"/>
        <v>5.0695617570641283E-2</v>
      </c>
      <c r="T901" s="77">
        <f t="shared" ca="1" si="1117"/>
        <v>0.15589601521205412</v>
      </c>
      <c r="U901" s="45">
        <f t="shared" ca="1" si="1133"/>
        <v>19.266469963942104</v>
      </c>
      <c r="V901" s="45">
        <f t="shared" ca="1" si="1118"/>
        <v>0.20278247028256513</v>
      </c>
      <c r="W901" s="77">
        <f t="shared" ca="1" si="1119"/>
        <v>0.65411961795394324</v>
      </c>
      <c r="X901" s="45">
        <f t="shared" ca="1" si="1134"/>
        <v>1.0642042468202582</v>
      </c>
      <c r="Y901" s="45">
        <f t="shared" ca="1" si="1120"/>
        <v>8.0662436101325952E-2</v>
      </c>
      <c r="Z901" s="77">
        <f t="shared" ca="1" si="1121"/>
        <v>7.7872664199136021E-2</v>
      </c>
      <c r="AA901" s="45">
        <f t="shared" ca="1" si="1135"/>
        <v>39.226495128118124</v>
      </c>
      <c r="AB901" s="45">
        <f t="shared" ca="1" si="1122"/>
        <v>0</v>
      </c>
      <c r="AC901" s="45" cm="1">
        <f t="array" aca="1" ref="AC901" ca="1">pHUM*(T901+W901+Z901+AD901)</f>
        <v>9.489698364861876E-2</v>
      </c>
      <c r="AD901" s="77">
        <f t="shared" ca="1" si="1123"/>
        <v>9.0224028126561231E-2</v>
      </c>
      <c r="AE901" s="45">
        <f t="shared" ca="1" si="1136"/>
        <v>6.3847072090583081</v>
      </c>
      <c r="AF901" s="45">
        <f t="shared" ca="1" si="1124"/>
        <v>0</v>
      </c>
      <c r="AG901" s="76">
        <f t="shared" ca="1" si="1125"/>
        <v>66.169863085183593</v>
      </c>
      <c r="AH901" s="45">
        <f t="shared" ca="1" si="1126"/>
        <v>0.80255290574175009</v>
      </c>
      <c r="AI901" s="77">
        <f t="shared" ca="1" si="1127"/>
        <v>1.3306969663834206E-2</v>
      </c>
      <c r="AJ901" s="384">
        <f t="shared" ca="1" si="1129"/>
        <v>3.9617560791197493E-2</v>
      </c>
      <c r="AU901" s="1"/>
    </row>
    <row r="902" spans="3:47" x14ac:dyDescent="0.25">
      <c r="C902" s="10">
        <f t="shared" si="1154"/>
        <v>67</v>
      </c>
      <c r="D902" s="91">
        <f t="shared" si="1137"/>
        <v>8</v>
      </c>
      <c r="E902" s="278"/>
      <c r="F902" s="76">
        <f t="shared" ref="F902:Q902" ca="1" si="1189">F830</f>
        <v>20.350000000000001</v>
      </c>
      <c r="G902" s="46">
        <f t="shared" ca="1" si="1189"/>
        <v>27.012600000000003</v>
      </c>
      <c r="H902" s="46">
        <f t="shared" ca="1" si="1113"/>
        <v>28.517550000000004</v>
      </c>
      <c r="I902" s="45">
        <f t="shared" ca="1" si="1114"/>
        <v>1.2518642054104028</v>
      </c>
      <c r="J902" s="45">
        <f t="shared" ca="1" si="1115"/>
        <v>0.27952512346894071</v>
      </c>
      <c r="K902" s="45">
        <f t="shared" ca="1" si="1131"/>
        <v>0.90345467800480783</v>
      </c>
      <c r="L902" s="358">
        <f t="shared" ca="1" si="1116"/>
        <v>0.91927514332007565</v>
      </c>
      <c r="M902" s="76">
        <f t="shared" ca="1" si="1189"/>
        <v>0.25347808785320641</v>
      </c>
      <c r="N902" s="45">
        <f t="shared" ca="1" si="1189"/>
        <v>0.25</v>
      </c>
      <c r="O902" s="45">
        <f t="shared" ca="1" si="1189"/>
        <v>0</v>
      </c>
      <c r="P902" s="46" t="str">
        <f t="shared" ca="1" si="1189"/>
        <v/>
      </c>
      <c r="Q902" s="243" t="str">
        <f t="shared" ca="1" si="1189"/>
        <v/>
      </c>
      <c r="R902" s="45">
        <f t="shared" ca="1" si="1132"/>
        <v>0.12278613960338911</v>
      </c>
      <c r="S902" s="45">
        <f t="shared" ca="1" si="1156"/>
        <v>5.0695617570641283E-2</v>
      </c>
      <c r="T902" s="77">
        <f t="shared" ca="1" si="1117"/>
        <v>7.9526332198068456E-2</v>
      </c>
      <c r="U902" s="45">
        <f t="shared" ca="1" si="1133"/>
        <v>18.815132816270726</v>
      </c>
      <c r="V902" s="45">
        <f t="shared" ca="1" si="1118"/>
        <v>0.20278247028256513</v>
      </c>
      <c r="W902" s="77">
        <f t="shared" ca="1" si="1119"/>
        <v>0.57973066284283337</v>
      </c>
      <c r="X902" s="45">
        <f t="shared" ca="1" si="1134"/>
        <v>1.066994018722448</v>
      </c>
      <c r="Y902" s="45">
        <f t="shared" ca="1" si="1120"/>
        <v>6.6965085885026088E-2</v>
      </c>
      <c r="Z902" s="77">
        <f t="shared" ca="1" si="1121"/>
        <v>7.0993165440968259E-2</v>
      </c>
      <c r="AA902" s="45">
        <f t="shared" ca="1" si="1135"/>
        <v>39.231168083640178</v>
      </c>
      <c r="AB902" s="45">
        <f t="shared" ca="1" si="1122"/>
        <v>0</v>
      </c>
      <c r="AC902" s="45" cm="1">
        <f t="array" aca="1" ref="AC902" ca="1">pHUM*(T902+W902+Z902+AD902)</f>
        <v>7.8782453982383635E-2</v>
      </c>
      <c r="AD902" s="77">
        <f t="shared" ca="1" si="1123"/>
        <v>8.1768159910479712E-2</v>
      </c>
      <c r="AE902" s="45">
        <f t="shared" ca="1" si="1136"/>
        <v>6.3847072090583081</v>
      </c>
      <c r="AF902" s="45">
        <f t="shared" ca="1" si="1124"/>
        <v>0</v>
      </c>
      <c r="AG902" s="76">
        <f t="shared" ca="1" si="1125"/>
        <v>65.62078826729504</v>
      </c>
      <c r="AH902" s="45">
        <f t="shared" ca="1" si="1126"/>
        <v>0.66627078052494015</v>
      </c>
      <c r="AI902" s="77">
        <f t="shared" ca="1" si="1127"/>
        <v>1.1762595400153363E-2</v>
      </c>
      <c r="AJ902" s="384">
        <f t="shared" ca="1" si="1129"/>
        <v>3.448188647603101E-2</v>
      </c>
      <c r="AU902" s="1"/>
    </row>
    <row r="903" spans="3:47" x14ac:dyDescent="0.25">
      <c r="C903" s="10">
        <f t="shared" si="1154"/>
        <v>67</v>
      </c>
      <c r="D903" s="91">
        <f t="shared" si="1137"/>
        <v>9</v>
      </c>
      <c r="E903" s="278"/>
      <c r="F903" s="76">
        <f t="shared" ref="F903:Q903" ca="1" si="1190">F831</f>
        <v>17.38</v>
      </c>
      <c r="G903" s="46">
        <f t="shared" ca="1" si="1190"/>
        <v>27.012600000000003</v>
      </c>
      <c r="H903" s="46">
        <f t="shared" ca="1" si="1113"/>
        <v>28.517550000000004</v>
      </c>
      <c r="I903" s="45">
        <f t="shared" ca="1" si="1114"/>
        <v>1.0082864185928893</v>
      </c>
      <c r="J903" s="45">
        <f t="shared" ca="1" si="1115"/>
        <v>0.27952512346894071</v>
      </c>
      <c r="K903" s="45">
        <f t="shared" ca="1" si="1131"/>
        <v>0.90345467800480783</v>
      </c>
      <c r="L903" s="358">
        <f t="shared" ca="1" si="1116"/>
        <v>0.88177917719725518</v>
      </c>
      <c r="M903" s="76">
        <f t="shared" ca="1" si="1190"/>
        <v>0.25347808785320641</v>
      </c>
      <c r="N903" s="45">
        <f t="shared" ca="1" si="1190"/>
        <v>0.25</v>
      </c>
      <c r="O903" s="45">
        <f t="shared" ca="1" si="1190"/>
        <v>0</v>
      </c>
      <c r="P903" s="46" t="str">
        <f t="shared" ca="1" si="1190"/>
        <v/>
      </c>
      <c r="Q903" s="243" t="str">
        <f t="shared" ca="1" si="1190"/>
        <v/>
      </c>
      <c r="R903" s="45">
        <f t="shared" ca="1" si="1132"/>
        <v>9.3955424975961932E-2</v>
      </c>
      <c r="S903" s="45">
        <f t="shared" ca="1" si="1156"/>
        <v>5.0695617570641283E-2</v>
      </c>
      <c r="T903" s="77">
        <f t="shared" ca="1" si="1117"/>
        <v>5.340355944267039E-2</v>
      </c>
      <c r="U903" s="45">
        <f t="shared" ca="1" si="1133"/>
        <v>18.438184623710455</v>
      </c>
      <c r="V903" s="45">
        <f t="shared" ca="1" si="1118"/>
        <v>0.20278247028256513</v>
      </c>
      <c r="W903" s="77">
        <f t="shared" ca="1" si="1119"/>
        <v>0.45896536963492696</v>
      </c>
      <c r="X903" s="45">
        <f t="shared" ca="1" si="1134"/>
        <v>1.0629659391665058</v>
      </c>
      <c r="Y903" s="45">
        <f t="shared" ca="1" si="1120"/>
        <v>5.2414544860255492E-2</v>
      </c>
      <c r="Z903" s="77">
        <f t="shared" ca="1" si="1121"/>
        <v>5.7342885166708601E-2</v>
      </c>
      <c r="AA903" s="45">
        <f t="shared" ca="1" si="1135"/>
        <v>39.228182377712081</v>
      </c>
      <c r="AB903" s="45">
        <f t="shared" ca="1" si="1122"/>
        <v>0</v>
      </c>
      <c r="AC903" s="45" cm="1">
        <f t="array" aca="1" ref="AC903" ca="1">pHUM*(T903+W903+Z903+AD903)</f>
        <v>6.1664170423829989E-2</v>
      </c>
      <c r="AD903" s="77">
        <f t="shared" ca="1" si="1123"/>
        <v>6.5866713268211197E-2</v>
      </c>
      <c r="AE903" s="45">
        <f t="shared" ca="1" si="1136"/>
        <v>6.3847072090583081</v>
      </c>
      <c r="AF903" s="45">
        <f t="shared" ca="1" si="1124"/>
        <v>0</v>
      </c>
      <c r="AG903" s="76">
        <f t="shared" ca="1" si="1125"/>
        <v>65.207995574623311</v>
      </c>
      <c r="AH903" s="45">
        <f t="shared" ca="1" si="1126"/>
        <v>0.52149981222843178</v>
      </c>
      <c r="AI903" s="77">
        <f t="shared" ca="1" si="1127"/>
        <v>1.1272648165618611E-2</v>
      </c>
      <c r="AJ903" s="384">
        <f t="shared" ca="1" si="1129"/>
        <v>3.1697811155485534E-2</v>
      </c>
      <c r="AU903" s="1"/>
    </row>
    <row r="904" spans="3:47" x14ac:dyDescent="0.25">
      <c r="C904" s="10">
        <f t="shared" si="1154"/>
        <v>67</v>
      </c>
      <c r="D904" s="91">
        <f t="shared" si="1137"/>
        <v>10</v>
      </c>
      <c r="E904" s="278"/>
      <c r="F904" s="76">
        <f t="shared" ref="F904:Q904" ca="1" si="1191">F832</f>
        <v>9.61</v>
      </c>
      <c r="G904" s="46">
        <f t="shared" ca="1" si="1191"/>
        <v>27.012600000000003</v>
      </c>
      <c r="H904" s="46">
        <f t="shared" ca="1" si="1113"/>
        <v>28.517550000000004</v>
      </c>
      <c r="I904" s="45">
        <f t="shared" ca="1" si="1114"/>
        <v>0.45243046736638293</v>
      </c>
      <c r="J904" s="45">
        <f t="shared" ca="1" si="1115"/>
        <v>0.27952512346894071</v>
      </c>
      <c r="K904" s="45">
        <f t="shared" ca="1" si="1131"/>
        <v>0.90345467800480783</v>
      </c>
      <c r="L904" s="358">
        <f t="shared" ca="1" si="1116"/>
        <v>0.70354868513849667</v>
      </c>
      <c r="M904" s="76">
        <f t="shared" ca="1" si="1191"/>
        <v>0.25347808785320641</v>
      </c>
      <c r="N904" s="45">
        <f t="shared" ca="1" si="1191"/>
        <v>0.25</v>
      </c>
      <c r="O904" s="45">
        <f t="shared" ca="1" si="1191"/>
        <v>0</v>
      </c>
      <c r="P904" s="46" t="str">
        <f t="shared" ca="1" si="1191"/>
        <v/>
      </c>
      <c r="Q904" s="243" t="str">
        <f t="shared" ca="1" si="1191"/>
        <v/>
      </c>
      <c r="R904" s="45">
        <f t="shared" ca="1" si="1132"/>
        <v>9.1247483103932825E-2</v>
      </c>
      <c r="S904" s="45">
        <f t="shared" ca="1" si="1156"/>
        <v>5.0695617570641283E-2</v>
      </c>
      <c r="T904" s="77">
        <f t="shared" ca="1" si="1117"/>
        <v>2.8660956799418685E-2</v>
      </c>
      <c r="U904" s="45">
        <f t="shared" ca="1" si="1133"/>
        <v>18.182001724358091</v>
      </c>
      <c r="V904" s="45">
        <f t="shared" ca="1" si="1118"/>
        <v>0.20278247028256513</v>
      </c>
      <c r="W904" s="77">
        <f t="shared" ca="1" si="1119"/>
        <v>0.20449361902534272</v>
      </c>
      <c r="X904" s="45">
        <f t="shared" ca="1" si="1134"/>
        <v>1.0580375988600528</v>
      </c>
      <c r="Y904" s="45">
        <f t="shared" ca="1" si="1120"/>
        <v>2.381027611896705E-2</v>
      </c>
      <c r="Z904" s="77">
        <f t="shared" ca="1" si="1121"/>
        <v>2.6002997678079783E-2</v>
      </c>
      <c r="AA904" s="45">
        <f t="shared" ca="1" si="1135"/>
        <v>39.223979834867698</v>
      </c>
      <c r="AB904" s="45">
        <f t="shared" ca="1" si="1122"/>
        <v>0</v>
      </c>
      <c r="AC904" s="45" cm="1">
        <f t="array" aca="1" ref="AC904" ca="1">pHUM*(T904+W904+Z904+AD904)</f>
        <v>2.801208955172594E-2</v>
      </c>
      <c r="AD904" s="77">
        <f t="shared" ca="1" si="1123"/>
        <v>2.9565724118210863E-2</v>
      </c>
      <c r="AE904" s="45">
        <f t="shared" ca="1" si="1136"/>
        <v>6.3847072090583081</v>
      </c>
      <c r="AF904" s="45">
        <f t="shared" ca="1" si="1124"/>
        <v>0</v>
      </c>
      <c r="AG904" s="76">
        <f t="shared" ca="1" si="1125"/>
        <v>64.93997385024808</v>
      </c>
      <c r="AH904" s="45">
        <f t="shared" ca="1" si="1126"/>
        <v>0.23690093195035908</v>
      </c>
      <c r="AI904" s="77">
        <f t="shared" ca="1" si="1127"/>
        <v>1.1171582293917128E-2</v>
      </c>
      <c r="AJ904" s="384">
        <f t="shared" ca="1" si="1129"/>
        <v>2.5064269129695393E-2</v>
      </c>
      <c r="AU904" s="1"/>
    </row>
    <row r="905" spans="3:47" x14ac:dyDescent="0.25">
      <c r="C905" s="10">
        <f t="shared" si="1154"/>
        <v>67</v>
      </c>
      <c r="D905" s="91">
        <f t="shared" si="1137"/>
        <v>11</v>
      </c>
      <c r="E905" s="278"/>
      <c r="F905" s="76">
        <f t="shared" ref="F905:Q905" ca="1" si="1192">F833</f>
        <v>5.71</v>
      </c>
      <c r="G905" s="46">
        <f t="shared" ca="1" si="1192"/>
        <v>27.012600000000003</v>
      </c>
      <c r="H905" s="46">
        <f t="shared" ca="1" si="1113"/>
        <v>28.517550000000004</v>
      </c>
      <c r="I905" s="45">
        <f t="shared" ca="1" si="1114"/>
        <v>0.24617612464957264</v>
      </c>
      <c r="J905" s="45">
        <f t="shared" ca="1" si="1115"/>
        <v>0.27952512346894071</v>
      </c>
      <c r="K905" s="45">
        <f t="shared" ca="1" si="1131"/>
        <v>0.90345467800480783</v>
      </c>
      <c r="L905" s="358">
        <f t="shared" ca="1" si="1116"/>
        <v>0.57043958344737544</v>
      </c>
      <c r="M905" s="76">
        <f t="shared" ca="1" si="1192"/>
        <v>0.25347808785320641</v>
      </c>
      <c r="N905" s="45">
        <f t="shared" ca="1" si="1192"/>
        <v>0.25</v>
      </c>
      <c r="O905" s="45">
        <f t="shared" ca="1" si="1192"/>
        <v>0</v>
      </c>
      <c r="P905" s="46" t="str">
        <f t="shared" ca="1" si="1192"/>
        <v/>
      </c>
      <c r="Q905" s="243" t="str">
        <f t="shared" ca="1" si="1192"/>
        <v/>
      </c>
      <c r="R905" s="45">
        <f t="shared" ca="1" si="1132"/>
        <v>0.11328214387515542</v>
      </c>
      <c r="S905" s="45">
        <f t="shared" ca="1" si="1156"/>
        <v>5.0695617570641283E-2</v>
      </c>
      <c r="T905" s="77">
        <f t="shared" ca="1" si="1117"/>
        <v>2.1010693094592452E-2</v>
      </c>
      <c r="U905" s="45">
        <f t="shared" ca="1" si="1133"/>
        <v>18.180290575615313</v>
      </c>
      <c r="V905" s="45">
        <f t="shared" ca="1" si="1118"/>
        <v>0.20278247028256513</v>
      </c>
      <c r="W905" s="77">
        <f t="shared" ca="1" si="1119"/>
        <v>0.11154523771338111</v>
      </c>
      <c r="X905" s="45">
        <f t="shared" ca="1" si="1134"/>
        <v>1.0558448773009401</v>
      </c>
      <c r="Y905" s="45">
        <f t="shared" ca="1" si="1120"/>
        <v>1.3429396696565257E-2</v>
      </c>
      <c r="Z905" s="77">
        <f t="shared" ca="1" si="1121"/>
        <v>1.4199463935766363E-2</v>
      </c>
      <c r="AA905" s="45">
        <f t="shared" ca="1" si="1135"/>
        <v>39.222426200301207</v>
      </c>
      <c r="AB905" s="45">
        <f t="shared" ca="1" si="1122"/>
        <v>0</v>
      </c>
      <c r="AC905" s="45" cm="1">
        <f t="array" aca="1" ref="AC905" ca="1">pHUM*(T905+W905+Z905+AD905)</f>
        <v>1.5799290231253243E-2</v>
      </c>
      <c r="AD905" s="77">
        <f t="shared" ca="1" si="1123"/>
        <v>1.6089407219933998E-2</v>
      </c>
      <c r="AE905" s="45">
        <f t="shared" ca="1" si="1136"/>
        <v>6.3847072090583081</v>
      </c>
      <c r="AF905" s="45">
        <f t="shared" ca="1" si="1124"/>
        <v>0</v>
      </c>
      <c r="AG905" s="76">
        <f t="shared" ca="1" si="1125"/>
        <v>64.956551006150931</v>
      </c>
      <c r="AH905" s="45">
        <f t="shared" ca="1" si="1126"/>
        <v>0.13361611503585544</v>
      </c>
      <c r="AI905" s="77">
        <f t="shared" ca="1" si="1127"/>
        <v>1.1479085955832136E-2</v>
      </c>
      <c r="AJ905" s="384">
        <f t="shared" ca="1" si="1129"/>
        <v>2.088165307258194E-2</v>
      </c>
      <c r="AU905" s="1"/>
    </row>
    <row r="906" spans="3:47" x14ac:dyDescent="0.25">
      <c r="C906" s="10">
        <f t="shared" si="1154"/>
        <v>67</v>
      </c>
      <c r="D906" s="91">
        <f t="shared" si="1137"/>
        <v>12</v>
      </c>
      <c r="E906" s="278"/>
      <c r="F906" s="76">
        <f t="shared" ref="F906:Q906" ca="1" si="1193">F834</f>
        <v>-0.46</v>
      </c>
      <c r="G906" s="46">
        <f t="shared" ca="1" si="1193"/>
        <v>27.012600000000003</v>
      </c>
      <c r="H906" s="46">
        <f t="shared" ca="1" si="1113"/>
        <v>28.517550000000004</v>
      </c>
      <c r="I906" s="45">
        <f t="shared" ca="1" si="1114"/>
        <v>5.3686278337302371E-2</v>
      </c>
      <c r="J906" s="45">
        <f t="shared" ca="1" si="1115"/>
        <v>0.27952512346894071</v>
      </c>
      <c r="K906" s="45">
        <f t="shared" ca="1" si="1131"/>
        <v>0.90345467800480783</v>
      </c>
      <c r="L906" s="358">
        <f t="shared" ca="1" si="1116"/>
        <v>0.34604490353891793</v>
      </c>
      <c r="M906" s="76">
        <f t="shared" ca="1" si="1193"/>
        <v>0.25347808785320641</v>
      </c>
      <c r="N906" s="45">
        <f t="shared" ca="1" si="1193"/>
        <v>0.25</v>
      </c>
      <c r="O906" s="45">
        <f t="shared" ca="1" si="1193"/>
        <v>0</v>
      </c>
      <c r="P906" s="46" t="str">
        <f t="shared" ca="1" si="1193"/>
        <v/>
      </c>
      <c r="Q906" s="243" t="str">
        <f t="shared" ca="1" si="1193"/>
        <v/>
      </c>
      <c r="R906" s="45">
        <f t="shared" ca="1" si="1132"/>
        <v>0.14296706835120426</v>
      </c>
      <c r="S906" s="45">
        <f t="shared" ca="1" si="1156"/>
        <v>5.0695617570641283E-2</v>
      </c>
      <c r="T906" s="77">
        <f t="shared" ca="1" si="1117"/>
        <v>6.255174458432983E-3</v>
      </c>
      <c r="U906" s="45">
        <f t="shared" ca="1" si="1133"/>
        <v>18.271527808184494</v>
      </c>
      <c r="V906" s="45">
        <f t="shared" ca="1" si="1118"/>
        <v>0.20278247028256513</v>
      </c>
      <c r="W906" s="77">
        <f t="shared" ca="1" si="1119"/>
        <v>2.4506808518308172E-2</v>
      </c>
      <c r="X906" s="45">
        <f t="shared" ca="1" si="1134"/>
        <v>1.0550748100617391</v>
      </c>
      <c r="Y906" s="45">
        <f t="shared" ca="1" si="1120"/>
        <v>3.0828052745477384E-3</v>
      </c>
      <c r="Z906" s="77">
        <f t="shared" ca="1" si="1121"/>
        <v>3.1107722762998931E-3</v>
      </c>
      <c r="AA906" s="45">
        <f t="shared" ca="1" si="1135"/>
        <v>39.22213608331252</v>
      </c>
      <c r="AB906" s="45">
        <f t="shared" ca="1" si="1122"/>
        <v>0</v>
      </c>
      <c r="AC906" s="45" cm="1">
        <f t="array" aca="1" ref="AC906" ca="1">pHUM*(T906+W906+Z906+AD906)</f>
        <v>3.6268297347620449E-3</v>
      </c>
      <c r="AD906" s="77">
        <f t="shared" ca="1" si="1123"/>
        <v>3.5093271866484263E-3</v>
      </c>
      <c r="AE906" s="45">
        <f t="shared" ca="1" si="1136"/>
        <v>6.3847072090583081</v>
      </c>
      <c r="AF906" s="45">
        <f t="shared" ca="1" si="1124"/>
        <v>0</v>
      </c>
      <c r="AG906" s="76">
        <f t="shared" ca="1" si="1125"/>
        <v>65.076412978968264</v>
      </c>
      <c r="AH906" s="45">
        <f t="shared" ca="1" si="1126"/>
        <v>3.0672447430379689E-2</v>
      </c>
      <c r="AI906" s="77">
        <f t="shared" ca="1" si="1127"/>
        <v>1.1915257037018389E-2</v>
      </c>
      <c r="AJ906" s="384">
        <f t="shared" ca="1" si="1129"/>
        <v>1.3148825303198608E-2</v>
      </c>
      <c r="AU906" s="1"/>
    </row>
    <row r="907" spans="3:47" x14ac:dyDescent="0.25">
      <c r="C907" s="10">
        <f t="shared" si="1154"/>
        <v>68</v>
      </c>
      <c r="D907" s="91">
        <f t="shared" si="1137"/>
        <v>1</v>
      </c>
      <c r="E907" s="278"/>
      <c r="F907" s="76">
        <f t="shared" ref="F907:Q907" ca="1" si="1194">F835</f>
        <v>-3.44</v>
      </c>
      <c r="G907" s="46">
        <f t="shared" ca="1" si="1194"/>
        <v>27.012600000000003</v>
      </c>
      <c r="H907" s="46">
        <f t="shared" ca="1" si="1113"/>
        <v>28.517550000000004</v>
      </c>
      <c r="I907" s="45">
        <f t="shared" ca="1" si="1114"/>
        <v>1.6253779081695344E-2</v>
      </c>
      <c r="J907" s="45">
        <f t="shared" ca="1" si="1115"/>
        <v>0.27952512346894071</v>
      </c>
      <c r="K907" s="45">
        <f t="shared" ca="1" si="1131"/>
        <v>0.90345467800480783</v>
      </c>
      <c r="L907" s="358">
        <f t="shared" ca="1" si="1116"/>
        <v>0.25329647647379749</v>
      </c>
      <c r="M907" s="76">
        <f t="shared" ca="1" si="1194"/>
        <v>0.25347808785320641</v>
      </c>
      <c r="N907" s="45">
        <f t="shared" ca="1" si="1194"/>
        <v>0.25</v>
      </c>
      <c r="O907" s="45">
        <f t="shared" ca="1" si="1194"/>
        <v>0</v>
      </c>
      <c r="P907" s="46" t="str">
        <f t="shared" ca="1" si="1194"/>
        <v/>
      </c>
      <c r="Q907" s="243" t="str">
        <f t="shared" ca="1" si="1194"/>
        <v/>
      </c>
      <c r="R907" s="45">
        <f t="shared" ca="1" si="1132"/>
        <v>0.18740751146341256</v>
      </c>
      <c r="S907" s="45">
        <f t="shared" ca="1" si="1156"/>
        <v>5.0695617570641283E-2</v>
      </c>
      <c r="T907" s="77">
        <f t="shared" ca="1" si="1117"/>
        <v>2.5212865139021302E-3</v>
      </c>
      <c r="U907" s="45">
        <f t="shared" ca="1" si="1133"/>
        <v>18.449803469948751</v>
      </c>
      <c r="V907" s="45">
        <f t="shared" ca="1" si="1118"/>
        <v>0.20278247028256513</v>
      </c>
      <c r="W907" s="77">
        <f t="shared" ca="1" si="1119"/>
        <v>7.4954527714782863E-3</v>
      </c>
      <c r="X907" s="45">
        <f t="shared" ca="1" si="1134"/>
        <v>1.0550468430599869</v>
      </c>
      <c r="Y907" s="45">
        <f t="shared" ca="1" si="1120"/>
        <v>9.9142271678427109E-4</v>
      </c>
      <c r="Z907" s="77">
        <f t="shared" ca="1" si="1121"/>
        <v>9.4274595657873391E-4</v>
      </c>
      <c r="AA907" s="45">
        <f t="shared" ca="1" si="1135"/>
        <v>39.222253585860635</v>
      </c>
      <c r="AB907" s="45">
        <f t="shared" ca="1" si="1122"/>
        <v>0</v>
      </c>
      <c r="AC907" s="45" cm="1">
        <f t="array" aca="1" ref="AC907" ca="1">pHUM*(T907+W907+Z907+AD907)</f>
        <v>1.1663796668050248E-3</v>
      </c>
      <c r="AD907" s="77">
        <f t="shared" ca="1" si="1123"/>
        <v>1.0625020166579568E-3</v>
      </c>
      <c r="AE907" s="45">
        <f t="shared" ca="1" si="1136"/>
        <v>6.3847072090583081</v>
      </c>
      <c r="AF907" s="45">
        <f t="shared" ca="1" si="1124"/>
        <v>0</v>
      </c>
      <c r="AG907" s="76">
        <f t="shared" ca="1" si="1125"/>
        <v>65.299218619391098</v>
      </c>
      <c r="AH907" s="45">
        <f t="shared" ca="1" si="1126"/>
        <v>9.8641848750278139E-3</v>
      </c>
      <c r="AI907" s="77">
        <f t="shared" ca="1" si="1127"/>
        <v>1.2574423418704626E-2</v>
      </c>
      <c r="AJ907" s="384">
        <f t="shared" ca="1" si="1129"/>
        <v>1.0157095526982518E-2</v>
      </c>
      <c r="AU907" s="1"/>
    </row>
    <row r="908" spans="3:47" x14ac:dyDescent="0.25">
      <c r="C908" s="10">
        <f t="shared" si="1154"/>
        <v>68</v>
      </c>
      <c r="D908" s="91">
        <f t="shared" si="1137"/>
        <v>2</v>
      </c>
      <c r="E908" s="278"/>
      <c r="F908" s="76">
        <f t="shared" ref="F908:Q908" ca="1" si="1195">F836</f>
        <v>-1.65</v>
      </c>
      <c r="G908" s="46">
        <f t="shared" ca="1" si="1195"/>
        <v>27.012600000000003</v>
      </c>
      <c r="H908" s="46">
        <f t="shared" ca="1" si="1113"/>
        <v>28.517550000000004</v>
      </c>
      <c r="I908" s="45">
        <f t="shared" ca="1" si="1114"/>
        <v>3.508132091145684E-2</v>
      </c>
      <c r="J908" s="45">
        <f t="shared" ca="1" si="1115"/>
        <v>0.27952512346894071</v>
      </c>
      <c r="K908" s="45">
        <f t="shared" ca="1" si="1131"/>
        <v>0.90345467800480783</v>
      </c>
      <c r="L908" s="358">
        <f t="shared" ca="1" si="1116"/>
        <v>0.30703519550320224</v>
      </c>
      <c r="M908" s="76">
        <f t="shared" ca="1" si="1195"/>
        <v>0.25347808785320641</v>
      </c>
      <c r="N908" s="45">
        <f t="shared" ca="1" si="1195"/>
        <v>0.25</v>
      </c>
      <c r="O908" s="45">
        <f t="shared" ca="1" si="1195"/>
        <v>0</v>
      </c>
      <c r="P908" s="46" t="str">
        <f t="shared" ca="1" si="1195"/>
        <v/>
      </c>
      <c r="Q908" s="243" t="str">
        <f t="shared" ca="1" si="1195"/>
        <v/>
      </c>
      <c r="R908" s="45">
        <f t="shared" ca="1" si="1132"/>
        <v>0.23558184252015171</v>
      </c>
      <c r="S908" s="45">
        <f t="shared" ca="1" si="1156"/>
        <v>5.0695617570641283E-2</v>
      </c>
      <c r="T908" s="77">
        <f t="shared" ca="1" si="1117"/>
        <v>6.7874054706907241E-3</v>
      </c>
      <c r="U908" s="45">
        <f t="shared" ca="1" si="1133"/>
        <v>18.645090487459836</v>
      </c>
      <c r="V908" s="45">
        <f t="shared" ca="1" si="1118"/>
        <v>0.20278247028256513</v>
      </c>
      <c r="W908" s="77">
        <f t="shared" ca="1" si="1119"/>
        <v>1.6345191386329599E-2</v>
      </c>
      <c r="X908" s="45">
        <f t="shared" ca="1" si="1134"/>
        <v>1.0550955198201923</v>
      </c>
      <c r="Y908" s="45">
        <f t="shared" ca="1" si="1120"/>
        <v>2.2645260106249291E-3</v>
      </c>
      <c r="Z908" s="77">
        <f t="shared" ca="1" si="1121"/>
        <v>2.0338152223761765E-3</v>
      </c>
      <c r="AA908" s="45">
        <f t="shared" ca="1" si="1135"/>
        <v>39.222357463510782</v>
      </c>
      <c r="AB908" s="45">
        <f t="shared" ca="1" si="1122"/>
        <v>0</v>
      </c>
      <c r="AC908" s="45" cm="1">
        <f t="array" aca="1" ref="AC908" ca="1">pHUM*(T908+W908+Z908+AD908)</f>
        <v>2.6641482477940343E-3</v>
      </c>
      <c r="AD908" s="77">
        <f t="shared" ca="1" si="1123"/>
        <v>2.2932198068312637E-3</v>
      </c>
      <c r="AE908" s="45">
        <f t="shared" ca="1" si="1136"/>
        <v>6.3847072090583081</v>
      </c>
      <c r="AF908" s="45">
        <f t="shared" ca="1" si="1124"/>
        <v>0</v>
      </c>
      <c r="AG908" s="76">
        <f t="shared" ca="1" si="1125"/>
        <v>65.542832522369267</v>
      </c>
      <c r="AH908" s="45">
        <f t="shared" ca="1" si="1126"/>
        <v>2.2530957627808802E-2</v>
      </c>
      <c r="AI908" s="77">
        <f t="shared" ca="1" si="1127"/>
        <v>1.3283827191738788E-2</v>
      </c>
      <c r="AJ908" s="384">
        <f t="shared" ca="1" si="1129"/>
        <v>1.3006562122956922E-2</v>
      </c>
      <c r="AU908" s="1"/>
    </row>
    <row r="909" spans="3:47" x14ac:dyDescent="0.25">
      <c r="C909" s="10">
        <f t="shared" si="1154"/>
        <v>68</v>
      </c>
      <c r="D909" s="91">
        <f t="shared" si="1137"/>
        <v>3</v>
      </c>
      <c r="E909" s="278"/>
      <c r="F909" s="76">
        <f t="shared" ref="F909:Q909" ca="1" si="1196">F837</f>
        <v>4.68</v>
      </c>
      <c r="G909" s="46">
        <f t="shared" ca="1" si="1196"/>
        <v>27.012600000000003</v>
      </c>
      <c r="H909" s="46">
        <f t="shared" ca="1" si="1113"/>
        <v>28.517550000000004</v>
      </c>
      <c r="I909" s="45">
        <f t="shared" ca="1" si="1114"/>
        <v>0.20228669449817699</v>
      </c>
      <c r="J909" s="45">
        <f t="shared" ca="1" si="1115"/>
        <v>0.27952512346894071</v>
      </c>
      <c r="K909" s="45">
        <f t="shared" ca="1" si="1131"/>
        <v>0.90345467800480783</v>
      </c>
      <c r="L909" s="358">
        <f t="shared" ca="1" si="1116"/>
        <v>0.53248567772813127</v>
      </c>
      <c r="M909" s="76">
        <f t="shared" ca="1" si="1196"/>
        <v>0.25347808785320641</v>
      </c>
      <c r="N909" s="45">
        <f t="shared" ca="1" si="1196"/>
        <v>0.25</v>
      </c>
      <c r="O909" s="45">
        <f t="shared" ca="1" si="1196"/>
        <v>0</v>
      </c>
      <c r="P909" s="46" t="str">
        <f t="shared" ca="1" si="1196"/>
        <v/>
      </c>
      <c r="Q909" s="243" t="str">
        <f t="shared" ca="1" si="1196"/>
        <v/>
      </c>
      <c r="R909" s="45">
        <f t="shared" ca="1" si="1132"/>
        <v>0.27949005462010229</v>
      </c>
      <c r="S909" s="45">
        <f t="shared" ca="1" si="1156"/>
        <v>5.0695617570641283E-2</v>
      </c>
      <c r="T909" s="77">
        <f t="shared" ca="1" si="1117"/>
        <v>4.3357229787122406E-2</v>
      </c>
      <c r="U909" s="45">
        <f t="shared" ca="1" si="1133"/>
        <v>18.831527766356071</v>
      </c>
      <c r="V909" s="45">
        <f t="shared" ca="1" si="1118"/>
        <v>0.20278247028256513</v>
      </c>
      <c r="W909" s="77">
        <f t="shared" ca="1" si="1119"/>
        <v>9.499378541459523E-2</v>
      </c>
      <c r="X909" s="45">
        <f t="shared" ca="1" si="1134"/>
        <v>1.055326230608441</v>
      </c>
      <c r="Y909" s="45">
        <f t="shared" ca="1" si="1120"/>
        <v>1.3462709600971248E-2</v>
      </c>
      <c r="Z909" s="77">
        <f t="shared" ca="1" si="1121"/>
        <v>1.1676240996192744E-2</v>
      </c>
      <c r="AA909" s="45">
        <f t="shared" ca="1" si="1135"/>
        <v>39.222728391951748</v>
      </c>
      <c r="AB909" s="45">
        <f t="shared" ca="1" si="1122"/>
        <v>0</v>
      </c>
      <c r="AC909" s="45" cm="1">
        <f t="array" aca="1" ref="AC909" ca="1">pHUM*(T909+W909+Z909+AD909)</f>
        <v>1.5838481883495587E-2</v>
      </c>
      <c r="AD909" s="77">
        <f t="shared" ca="1" si="1123"/>
        <v>1.3221497889853832E-2</v>
      </c>
      <c r="AE909" s="45">
        <f t="shared" ca="1" si="1136"/>
        <v>6.3847072090583081</v>
      </c>
      <c r="AF909" s="45">
        <f t="shared" ca="1" si="1124"/>
        <v>0</v>
      </c>
      <c r="AG909" s="76">
        <f t="shared" ca="1" si="1125"/>
        <v>65.773779652594669</v>
      </c>
      <c r="AH909" s="45">
        <f t="shared" ca="1" si="1126"/>
        <v>0.13394756260329738</v>
      </c>
      <c r="AI909" s="77">
        <f t="shared" ca="1" si="1127"/>
        <v>1.3926985144706642E-2</v>
      </c>
      <c r="AJ909" s="384">
        <f t="shared" ca="1" si="1129"/>
        <v>2.3648947856275138E-2</v>
      </c>
      <c r="AU909" s="1"/>
    </row>
    <row r="910" spans="3:47" x14ac:dyDescent="0.25">
      <c r="C910" s="10">
        <f t="shared" si="1154"/>
        <v>68</v>
      </c>
      <c r="D910" s="91">
        <f t="shared" si="1137"/>
        <v>4</v>
      </c>
      <c r="E910" s="278"/>
      <c r="F910" s="76">
        <f t="shared" ref="F910:Q910" ca="1" si="1197">F838</f>
        <v>7.69</v>
      </c>
      <c r="G910" s="46">
        <f t="shared" ca="1" si="1197"/>
        <v>27.012600000000003</v>
      </c>
      <c r="H910" s="46">
        <f t="shared" ca="1" si="1113"/>
        <v>28.517550000000004</v>
      </c>
      <c r="I910" s="45">
        <f t="shared" ca="1" si="1114"/>
        <v>0.3433111911106958</v>
      </c>
      <c r="J910" s="45">
        <f t="shared" ca="1" si="1115"/>
        <v>0.27952512346894071</v>
      </c>
      <c r="K910" s="45">
        <f t="shared" ca="1" si="1131"/>
        <v>0.90345467800480783</v>
      </c>
      <c r="L910" s="358">
        <f t="shared" ca="1" si="1116"/>
        <v>0.64074183470648283</v>
      </c>
      <c r="M910" s="76">
        <f t="shared" ca="1" si="1197"/>
        <v>0.25347808785320641</v>
      </c>
      <c r="N910" s="45">
        <f t="shared" ca="1" si="1197"/>
        <v>0.25</v>
      </c>
      <c r="O910" s="45">
        <f t="shared" ca="1" si="1197"/>
        <v>0</v>
      </c>
      <c r="P910" s="46" t="str">
        <f t="shared" ca="1" si="1197"/>
        <v/>
      </c>
      <c r="Q910" s="243" t="str">
        <f t="shared" ca="1" si="1197"/>
        <v/>
      </c>
      <c r="R910" s="45">
        <f t="shared" ca="1" si="1132"/>
        <v>0.28682844240362115</v>
      </c>
      <c r="S910" s="45">
        <f t="shared" ca="1" si="1156"/>
        <v>5.0695617570641283E-2</v>
      </c>
      <c r="T910" s="77">
        <f t="shared" ca="1" si="1117"/>
        <v>7.1364922050609986E-2</v>
      </c>
      <c r="U910" s="45">
        <f t="shared" ca="1" si="1133"/>
        <v>18.939316451224041</v>
      </c>
      <c r="V910" s="45">
        <f t="shared" ca="1" si="1118"/>
        <v>0.20278247028256513</v>
      </c>
      <c r="W910" s="77">
        <f t="shared" ca="1" si="1119"/>
        <v>0.16185639974226634</v>
      </c>
      <c r="X910" s="45">
        <f t="shared" ca="1" si="1134"/>
        <v>1.0571126992132194</v>
      </c>
      <c r="Y910" s="45">
        <f t="shared" ca="1" si="1120"/>
        <v>2.271420339008581E-2</v>
      </c>
      <c r="Z910" s="77">
        <f t="shared" ca="1" si="1121"/>
        <v>1.9773256157890644E-2</v>
      </c>
      <c r="AA910" s="45">
        <f t="shared" ca="1" si="1135"/>
        <v>39.225345375945395</v>
      </c>
      <c r="AB910" s="45">
        <f t="shared" ca="1" si="1122"/>
        <v>0</v>
      </c>
      <c r="AC910" s="45" cm="1">
        <f t="array" aca="1" ref="AC910" ca="1">pHUM*(T910+W910+Z910+AD910)</f>
        <v>2.6722592223630364E-2</v>
      </c>
      <c r="AD910" s="77">
        <f t="shared" ca="1" si="1123"/>
        <v>2.2437746851074202E-2</v>
      </c>
      <c r="AE910" s="45">
        <f t="shared" ca="1" si="1136"/>
        <v>6.3847072090583081</v>
      </c>
      <c r="AF910" s="45">
        <f t="shared" ca="1" si="1124"/>
        <v>0</v>
      </c>
      <c r="AG910" s="76">
        <f t="shared" ca="1" si="1125"/>
        <v>65.893310177844583</v>
      </c>
      <c r="AH910" s="45">
        <f t="shared" ca="1" si="1126"/>
        <v>0.22599552918812502</v>
      </c>
      <c r="AI910" s="77">
        <f t="shared" ca="1" si="1127"/>
        <v>1.404878195183705E-2</v>
      </c>
      <c r="AJ910" s="384">
        <f t="shared" ca="1" si="1129"/>
        <v>2.8705588897240952E-2</v>
      </c>
      <c r="AU910" s="1"/>
    </row>
    <row r="911" spans="3:47" x14ac:dyDescent="0.25">
      <c r="C911" s="10">
        <f t="shared" si="1154"/>
        <v>68</v>
      </c>
      <c r="D911" s="91">
        <f t="shared" si="1137"/>
        <v>5</v>
      </c>
      <c r="E911" s="278"/>
      <c r="F911" s="76">
        <f t="shared" ref="F911:Q911" ca="1" si="1198">F839</f>
        <v>15.52</v>
      </c>
      <c r="G911" s="46">
        <f t="shared" ca="1" si="1198"/>
        <v>27.012600000000003</v>
      </c>
      <c r="H911" s="46">
        <f t="shared" ca="1" si="1113"/>
        <v>28.517550000000004</v>
      </c>
      <c r="I911" s="45">
        <f t="shared" ca="1" si="1114"/>
        <v>0.86230369296737164</v>
      </c>
      <c r="J911" s="45">
        <f t="shared" ca="1" si="1115"/>
        <v>0.27952512346894071</v>
      </c>
      <c r="K911" s="45">
        <f t="shared" ca="1" si="1131"/>
        <v>0.90345467800480783</v>
      </c>
      <c r="L911" s="358">
        <f t="shared" ca="1" si="1116"/>
        <v>0.85046529796407655</v>
      </c>
      <c r="M911" s="76">
        <f t="shared" ca="1" si="1198"/>
        <v>0.25347808785320641</v>
      </c>
      <c r="N911" s="45">
        <f t="shared" ca="1" si="1198"/>
        <v>0.25</v>
      </c>
      <c r="O911" s="45">
        <f t="shared" ca="1" si="1198"/>
        <v>0</v>
      </c>
      <c r="P911" s="46" t="str">
        <f t="shared" ca="1" si="1198"/>
        <v/>
      </c>
      <c r="Q911" s="243" t="str">
        <f t="shared" ca="1" si="1198"/>
        <v/>
      </c>
      <c r="R911" s="45">
        <f t="shared" ca="1" si="1132"/>
        <v>0.26615913792365242</v>
      </c>
      <c r="S911" s="45">
        <f t="shared" ca="1" si="1156"/>
        <v>5.0695617570641283E-2</v>
      </c>
      <c r="T911" s="77">
        <f t="shared" ca="1" si="1117"/>
        <v>0.13642231208113587</v>
      </c>
      <c r="U911" s="45">
        <f t="shared" ca="1" si="1133"/>
        <v>18.980242521764339</v>
      </c>
      <c r="V911" s="45">
        <f t="shared" ca="1" si="1118"/>
        <v>0.20278247028256513</v>
      </c>
      <c r="W911" s="77">
        <f t="shared" ca="1" si="1119"/>
        <v>0.40478951051875117</v>
      </c>
      <c r="X911" s="45">
        <f t="shared" ca="1" si="1134"/>
        <v>1.0600536464454144</v>
      </c>
      <c r="Y911" s="45">
        <f t="shared" ca="1" si="1120"/>
        <v>5.332777704946056E-2</v>
      </c>
      <c r="Z911" s="77">
        <f t="shared" ca="1" si="1121"/>
        <v>4.9101290167795075E-2</v>
      </c>
      <c r="AA911" s="45">
        <f t="shared" ca="1" si="1135"/>
        <v>39.229630221317947</v>
      </c>
      <c r="AB911" s="45">
        <f t="shared" ca="1" si="1122"/>
        <v>0</v>
      </c>
      <c r="AC911" s="45" cm="1">
        <f t="array" aca="1" ref="AC911" ca="1">pHUM*(T911+W911+Z911+AD911)</f>
        <v>6.2738561234659485E-2</v>
      </c>
      <c r="AD911" s="77">
        <f t="shared" ca="1" si="1123"/>
        <v>5.6339264029217989E-2</v>
      </c>
      <c r="AE911" s="45">
        <f t="shared" ca="1" si="1136"/>
        <v>6.3847072090583081</v>
      </c>
      <c r="AF911" s="45">
        <f t="shared" ca="1" si="1124"/>
        <v>0</v>
      </c>
      <c r="AG911" s="76">
        <f t="shared" ca="1" si="1125"/>
        <v>65.920792736509654</v>
      </c>
      <c r="AH911" s="45">
        <f t="shared" ca="1" si="1126"/>
        <v>0.53058603851278008</v>
      </c>
      <c r="AI911" s="77">
        <f t="shared" ca="1" si="1127"/>
        <v>1.3773008503541807E-2</v>
      </c>
      <c r="AJ911" s="384">
        <f t="shared" ca="1" si="1129"/>
        <v>3.7353093801432147E-2</v>
      </c>
      <c r="AU911" s="1"/>
    </row>
    <row r="912" spans="3:47" x14ac:dyDescent="0.25">
      <c r="C912" s="10">
        <f t="shared" si="1154"/>
        <v>68</v>
      </c>
      <c r="D912" s="91">
        <f t="shared" si="1137"/>
        <v>6</v>
      </c>
      <c r="E912" s="278"/>
      <c r="F912" s="76">
        <f t="shared" ref="F912:Q912" ca="1" si="1199">F840</f>
        <v>17.8</v>
      </c>
      <c r="G912" s="46">
        <f t="shared" ca="1" si="1199"/>
        <v>27.012600000000003</v>
      </c>
      <c r="H912" s="46">
        <f t="shared" ca="1" si="1113"/>
        <v>28.517550000000004</v>
      </c>
      <c r="I912" s="45">
        <f t="shared" ca="1" si="1114"/>
        <v>1.0420430221807615</v>
      </c>
      <c r="J912" s="45">
        <f t="shared" ca="1" si="1115"/>
        <v>0.27952512346894071</v>
      </c>
      <c r="K912" s="45">
        <f t="shared" ca="1" si="1131"/>
        <v>0.90345467800480783</v>
      </c>
      <c r="L912" s="358">
        <f t="shared" ca="1" si="1116"/>
        <v>0.88796358149435028</v>
      </c>
      <c r="M912" s="76">
        <f t="shared" ca="1" si="1199"/>
        <v>0.25347808785320641</v>
      </c>
      <c r="N912" s="45">
        <f t="shared" ca="1" si="1199"/>
        <v>0.25</v>
      </c>
      <c r="O912" s="45">
        <f t="shared" ca="1" si="1199"/>
        <v>0</v>
      </c>
      <c r="P912" s="46" t="str">
        <f t="shared" ca="1" si="1199"/>
        <v/>
      </c>
      <c r="Q912" s="243" t="str">
        <f t="shared" ca="1" si="1199"/>
        <v/>
      </c>
      <c r="R912" s="45">
        <f t="shared" ca="1" si="1132"/>
        <v>0.18043244341315784</v>
      </c>
      <c r="S912" s="45">
        <f t="shared" ca="1" si="1156"/>
        <v>5.0695617570641283E-2</v>
      </c>
      <c r="T912" s="77">
        <f t="shared" ca="1" si="1117"/>
        <v>0.10471661384205616</v>
      </c>
      <c r="U912" s="45">
        <f t="shared" ca="1" si="1133"/>
        <v>18.778235481528153</v>
      </c>
      <c r="V912" s="45">
        <f t="shared" ca="1" si="1118"/>
        <v>0.20278247028256513</v>
      </c>
      <c r="W912" s="77">
        <f t="shared" ca="1" si="1119"/>
        <v>0.48287620042370227</v>
      </c>
      <c r="X912" s="45">
        <f t="shared" ca="1" si="1134"/>
        <v>1.0642801333270797</v>
      </c>
      <c r="Y912" s="45">
        <f t="shared" ca="1" si="1120"/>
        <v>5.8960751709812811E-2</v>
      </c>
      <c r="Z912" s="77">
        <f t="shared" ca="1" si="1121"/>
        <v>5.9281407929908818E-2</v>
      </c>
      <c r="AA912" s="45">
        <f t="shared" ca="1" si="1135"/>
        <v>39.236029518523388</v>
      </c>
      <c r="AB912" s="45">
        <f t="shared" ca="1" si="1122"/>
        <v>0</v>
      </c>
      <c r="AC912" s="45" cm="1">
        <f t="array" aca="1" ref="AC912" ca="1">pHUM*(T912+W912+Z912+AD912)</f>
        <v>6.936559024683861E-2</v>
      </c>
      <c r="AD912" s="77">
        <f t="shared" ca="1" si="1123"/>
        <v>6.8083579167778449E-2</v>
      </c>
      <c r="AE912" s="45">
        <f t="shared" ca="1" si="1136"/>
        <v>6.3847072090583081</v>
      </c>
      <c r="AF912" s="45">
        <f t="shared" ca="1" si="1124"/>
        <v>0</v>
      </c>
      <c r="AG912" s="76">
        <f t="shared" ca="1" si="1125"/>
        <v>65.643684785850084</v>
      </c>
      <c r="AH912" s="45">
        <f t="shared" ca="1" si="1126"/>
        <v>0.58663145940679429</v>
      </c>
      <c r="AI912" s="77">
        <f t="shared" ca="1" si="1127"/>
        <v>1.2550757316884778E-2</v>
      </c>
      <c r="AJ912" s="384">
        <f t="shared" ca="1" si="1129"/>
        <v>3.553914659260804E-2</v>
      </c>
      <c r="AU912" s="1"/>
    </row>
    <row r="913" spans="3:47" x14ac:dyDescent="0.25">
      <c r="C913" s="10">
        <f t="shared" si="1154"/>
        <v>68</v>
      </c>
      <c r="D913" s="91">
        <f t="shared" si="1137"/>
        <v>7</v>
      </c>
      <c r="E913" s="278"/>
      <c r="F913" s="76">
        <f t="shared" ref="F913:Q913" ca="1" si="1200">F841</f>
        <v>22.99</v>
      </c>
      <c r="G913" s="46">
        <f t="shared" ca="1" si="1200"/>
        <v>27.012600000000003</v>
      </c>
      <c r="H913" s="46">
        <f t="shared" ca="1" si="1113"/>
        <v>28.517550000000004</v>
      </c>
      <c r="I913" s="45">
        <f t="shared" ca="1" si="1114"/>
        <v>1.4752596357037575</v>
      </c>
      <c r="J913" s="45">
        <f t="shared" ca="1" si="1115"/>
        <v>0.27952512346894071</v>
      </c>
      <c r="K913" s="45">
        <f t="shared" ca="1" si="1131"/>
        <v>0.90345467800480783</v>
      </c>
      <c r="L913" s="358">
        <f t="shared" ca="1" si="1116"/>
        <v>0.94206720469222516</v>
      </c>
      <c r="M913" s="76">
        <f t="shared" ca="1" si="1200"/>
        <v>0.25347808785320641</v>
      </c>
      <c r="N913" s="45">
        <f t="shared" ca="1" si="1200"/>
        <v>0.25</v>
      </c>
      <c r="O913" s="45">
        <f t="shared" ca="1" si="1200"/>
        <v>0</v>
      </c>
      <c r="P913" s="46" t="str">
        <f t="shared" ca="1" si="1200"/>
        <v/>
      </c>
      <c r="Q913" s="243" t="str">
        <f t="shared" ca="1" si="1200"/>
        <v/>
      </c>
      <c r="R913" s="45">
        <f t="shared" ca="1" si="1132"/>
        <v>0.12641144714174296</v>
      </c>
      <c r="S913" s="45">
        <f t="shared" ca="1" si="1156"/>
        <v>5.0695617570641283E-2</v>
      </c>
      <c r="T913" s="77">
        <f t="shared" ca="1" si="1117"/>
        <v>8.9439515862024505E-2</v>
      </c>
      <c r="U913" s="45">
        <f t="shared" ca="1" si="1133"/>
        <v>18.498141751387013</v>
      </c>
      <c r="V913" s="45">
        <f t="shared" ca="1" si="1118"/>
        <v>0.20278247028256513</v>
      </c>
      <c r="W913" s="77">
        <f t="shared" ca="1" si="1119"/>
        <v>0.66981130293265079</v>
      </c>
      <c r="X913" s="45">
        <f t="shared" ca="1" si="1134"/>
        <v>1.0639594771069836</v>
      </c>
      <c r="Y913" s="45">
        <f t="shared" ca="1" si="1120"/>
        <v>7.7397942291949809E-2</v>
      </c>
      <c r="Z913" s="77">
        <f t="shared" ca="1" si="1121"/>
        <v>8.2919408107419365E-2</v>
      </c>
      <c r="AA913" s="45">
        <f t="shared" ca="1" si="1135"/>
        <v>39.237311529602451</v>
      </c>
      <c r="AB913" s="45">
        <f t="shared" ca="1" si="1122"/>
        <v>0</v>
      </c>
      <c r="AC913" s="45" cm="1">
        <f t="array" aca="1" ref="AC913" ca="1">pHUM*(T913+W913+Z913+AD913)</f>
        <v>9.1056402696411548E-2</v>
      </c>
      <c r="AD913" s="77">
        <f t="shared" ca="1" si="1123"/>
        <v>9.635686182051563E-2</v>
      </c>
      <c r="AE913" s="45">
        <f t="shared" ca="1" si="1136"/>
        <v>6.3847072090583081</v>
      </c>
      <c r="AF913" s="45">
        <f t="shared" ca="1" si="1124"/>
        <v>0</v>
      </c>
      <c r="AG913" s="76">
        <f t="shared" ca="1" si="1125"/>
        <v>65.310531414296491</v>
      </c>
      <c r="AH913" s="45">
        <f t="shared" ca="1" si="1126"/>
        <v>0.77007274373424894</v>
      </c>
      <c r="AI913" s="77">
        <f t="shared" ca="1" si="1127"/>
        <v>1.1738651367021409E-2</v>
      </c>
      <c r="AJ913" s="384">
        <f t="shared" ca="1" si="1129"/>
        <v>3.5264855670148476E-2</v>
      </c>
      <c r="AU913" s="1"/>
    </row>
    <row r="914" spans="3:47" x14ac:dyDescent="0.25">
      <c r="C914" s="10">
        <f t="shared" si="1154"/>
        <v>68</v>
      </c>
      <c r="D914" s="91">
        <f t="shared" si="1137"/>
        <v>8</v>
      </c>
      <c r="E914" s="278"/>
      <c r="F914" s="76">
        <f t="shared" ref="F914:Q914" ca="1" si="1201">F842</f>
        <v>21.76</v>
      </c>
      <c r="G914" s="46">
        <f t="shared" ca="1" si="1201"/>
        <v>27.012600000000003</v>
      </c>
      <c r="H914" s="46">
        <f t="shared" ref="H914:H977" ca="1" si="1202">FC-G914</f>
        <v>28.517550000000004</v>
      </c>
      <c r="I914" s="45">
        <f t="shared" ref="I914:I977" ca="1" si="1203">PRODUCT(47.91/(1+EXP(106.06/(F914+18.27))), IF(IF(H914&lt;=0,1-((1-RM_PWP)*(G914-FC)/(WSAT-FC)),IF(H914&lt;=Wat1bar,1,1-((1-RM_PWP)*(H914-Wat1bar)/(FC-Wat1bar))))&lt;=RM_PWP,RM_PWP,IF(H914&lt;=0,1-((1-RM_PWP)*(G914-FC)/(WSAT-FC)),IF(H914&lt;=Wat1bar,1,1-((1-RM_PWP)*(H914-Wat1bar)/(FC-Wat1bar))))),0.56+(ATAN(3.14*0.45*(SoilpH-5)))/3.14,EXP(-0.09*SoilSal))</f>
        <v>1.3706166748122235</v>
      </c>
      <c r="J914" s="45">
        <f t="shared" ref="J914:J977" ca="1" si="1204">POWER(((G914/150)-$J$9),$M$9)*POWER(($L$9-(G914/150)),$N$9)</f>
        <v>0.27952512346894071</v>
      </c>
      <c r="K914" s="45">
        <f t="shared" ca="1" si="1131"/>
        <v>0.90345467800480783</v>
      </c>
      <c r="L914" s="358">
        <f t="shared" ref="L914:L977" ca="1" si="1205">1/(1+EXP(-(F914-3.8)/6.7))+1/(1+EXP((F914-62.2)/7.1))-1</f>
        <v>0.93252308258228611</v>
      </c>
      <c r="M914" s="76">
        <f t="shared" ca="1" si="1201"/>
        <v>0.25347808785320641</v>
      </c>
      <c r="N914" s="45">
        <f t="shared" ca="1" si="1201"/>
        <v>0.25</v>
      </c>
      <c r="O914" s="45">
        <f t="shared" ca="1" si="1201"/>
        <v>0</v>
      </c>
      <c r="P914" s="46" t="str">
        <f t="shared" ca="1" si="1201"/>
        <v/>
      </c>
      <c r="Q914" s="243" t="str">
        <f t="shared" ca="1" si="1201"/>
        <v/>
      </c>
      <c r="R914" s="45">
        <f t="shared" ca="1" si="1132"/>
        <v>8.7667548850359739E-2</v>
      </c>
      <c r="S914" s="45">
        <f t="shared" ca="1" si="1156"/>
        <v>5.0695617570641283E-2</v>
      </c>
      <c r="T914" s="77">
        <f t="shared" ref="T914:T977" ca="1" si="1206">R914*(1-EXP(-kDPM*I914))</f>
        <v>5.9690870583984493E-2</v>
      </c>
      <c r="U914" s="45">
        <f t="shared" ca="1" si="1133"/>
        <v>18.031112918736927</v>
      </c>
      <c r="V914" s="45">
        <f t="shared" ref="V914:V977" ca="1" si="1207">M914*1/(1+N914)</f>
        <v>0.20278247028256513</v>
      </c>
      <c r="W914" s="77">
        <f t="shared" ref="W914:W977" ca="1" si="1208">U914*(1-EXP(-kRPM*I914))</f>
        <v>0.60737814150971092</v>
      </c>
      <c r="X914" s="45">
        <f t="shared" ca="1" si="1134"/>
        <v>1.0584380112915139</v>
      </c>
      <c r="Y914" s="45">
        <f t="shared" ref="Y914:Y977" ca="1" si="1209">pBIO*(T914+W914+Z914+AD914)</f>
        <v>6.8731905574677163E-2</v>
      </c>
      <c r="Z914" s="77">
        <f t="shared" ref="Z914:Z977" ca="1" si="1210">X914*(1-EXP(-kBIO*I914))</f>
        <v>7.6855959130645732E-2</v>
      </c>
      <c r="AA914" s="45">
        <f t="shared" ca="1" si="1135"/>
        <v>39.232011070478343</v>
      </c>
      <c r="AB914" s="45">
        <f t="shared" ref="AB914:AB977" ca="1" si="1211">IF(O914&gt;0,O914*(1-Q914)/(1+P914),0)</f>
        <v>0</v>
      </c>
      <c r="AC914" s="45" cm="1">
        <f t="array" aca="1" ref="AC914" ca="1">pHUM*(T914+W914+Z914+AD914)</f>
        <v>8.086106538197313E-2</v>
      </c>
      <c r="AD914" s="77">
        <f t="shared" ref="AD914:AD977" ca="1" si="1212">AA914*(1-EXP(-kHUM*I914))</f>
        <v>8.9517796517928336E-2</v>
      </c>
      <c r="AE914" s="45">
        <f t="shared" ca="1" si="1136"/>
        <v>6.3847072090583081</v>
      </c>
      <c r="AF914" s="45">
        <f t="shared" ref="AF914:AF977" ca="1" si="1213">IF(O914&gt;0,O914*Q914,0)</f>
        <v>0</v>
      </c>
      <c r="AG914" s="76">
        <f t="shared" ref="AG914:AG977" ca="1" si="1214">R914+U914+X914+AA914+AE914</f>
        <v>64.793936758415455</v>
      </c>
      <c r="AH914" s="45">
        <f t="shared" ref="AH914:AH977" ca="1" si="1215">p_CO2*(T914+W914+Z914+AD914)</f>
        <v>0.68384979678561919</v>
      </c>
      <c r="AI914" s="77">
        <f t="shared" ref="AI914:AI977" ca="1" si="1216">((kRPM*U914)+(kDPM*R914)+(kBIO*X914)+(kHUM*AA914))/(U914+R914+AA914+X914)</f>
        <v>1.1084462068934774E-2</v>
      </c>
      <c r="AJ914" s="384">
        <f t="shared" ca="1" si="1129"/>
        <v>3.2962274865759866E-2</v>
      </c>
      <c r="AU914" s="1"/>
    </row>
    <row r="915" spans="3:47" x14ac:dyDescent="0.25">
      <c r="C915" s="10">
        <f t="shared" si="1154"/>
        <v>68</v>
      </c>
      <c r="D915" s="91">
        <f t="shared" si="1137"/>
        <v>9</v>
      </c>
      <c r="E915" s="278"/>
      <c r="F915" s="76">
        <f t="shared" ref="F915:Q915" ca="1" si="1217">F843</f>
        <v>16.16</v>
      </c>
      <c r="G915" s="46">
        <f t="shared" ca="1" si="1217"/>
        <v>27.012600000000003</v>
      </c>
      <c r="H915" s="46">
        <f t="shared" ca="1" si="1202"/>
        <v>28.517550000000004</v>
      </c>
      <c r="I915" s="45">
        <f t="shared" ca="1" si="1203"/>
        <v>0.91183635166446475</v>
      </c>
      <c r="J915" s="45">
        <f t="shared" ca="1" si="1204"/>
        <v>0.27952512346894071</v>
      </c>
      <c r="K915" s="45">
        <f t="shared" ca="1" si="1131"/>
        <v>0.90345467800480783</v>
      </c>
      <c r="L915" s="358">
        <f t="shared" ca="1" si="1205"/>
        <v>0.86198800670670384</v>
      </c>
      <c r="M915" s="76">
        <f t="shared" ca="1" si="1217"/>
        <v>0.25347808785320641</v>
      </c>
      <c r="N915" s="45">
        <f t="shared" ca="1" si="1217"/>
        <v>0.25</v>
      </c>
      <c r="O915" s="45">
        <f t="shared" ca="1" si="1217"/>
        <v>0</v>
      </c>
      <c r="P915" s="46" t="str">
        <f t="shared" ca="1" si="1217"/>
        <v/>
      </c>
      <c r="Q915" s="243" t="str">
        <f t="shared" ca="1" si="1217"/>
        <v/>
      </c>
      <c r="R915" s="45">
        <f t="shared" ca="1" si="1132"/>
        <v>7.8672295837016529E-2</v>
      </c>
      <c r="S915" s="45">
        <f t="shared" ca="1" si="1156"/>
        <v>5.0695617570641283E-2</v>
      </c>
      <c r="T915" s="77">
        <f t="shared" ca="1" si="1206"/>
        <v>4.1874886484751211E-2</v>
      </c>
      <c r="U915" s="45">
        <f t="shared" ca="1" si="1133"/>
        <v>17.626517247509781</v>
      </c>
      <c r="V915" s="45">
        <f t="shared" ca="1" si="1207"/>
        <v>0.20278247028256513</v>
      </c>
      <c r="W915" s="77">
        <f t="shared" ca="1" si="1208"/>
        <v>0.39726724228514615</v>
      </c>
      <c r="X915" s="45">
        <f t="shared" ca="1" si="1134"/>
        <v>1.0503139577355454</v>
      </c>
      <c r="Y915" s="45">
        <f t="shared" ca="1" si="1209"/>
        <v>4.5363774949803586E-2</v>
      </c>
      <c r="Z915" s="77">
        <f t="shared" ca="1" si="1210"/>
        <v>5.137526664716846E-2</v>
      </c>
      <c r="AA915" s="45">
        <f t="shared" ca="1" si="1135"/>
        <v>39.223354339342386</v>
      </c>
      <c r="AB915" s="45">
        <f t="shared" ca="1" si="1211"/>
        <v>0</v>
      </c>
      <c r="AC915" s="45" cm="1">
        <f t="array" aca="1" ref="AC915" ca="1">pHUM*(T915+W915+Z915+AD915)</f>
        <v>5.336914699976892E-2</v>
      </c>
      <c r="AD915" s="77">
        <f t="shared" ca="1" si="1212"/>
        <v>5.9563528911785374E-2</v>
      </c>
      <c r="AE915" s="45">
        <f t="shared" ca="1" si="1136"/>
        <v>6.3847072090583081</v>
      </c>
      <c r="AF915" s="45">
        <f t="shared" ca="1" si="1213"/>
        <v>0</v>
      </c>
      <c r="AG915" s="76">
        <f t="shared" ca="1" si="1214"/>
        <v>64.363565049483043</v>
      </c>
      <c r="AH915" s="45">
        <f t="shared" ca="1" si="1215"/>
        <v>0.45134800237927869</v>
      </c>
      <c r="AI915" s="77">
        <f t="shared" ca="1" si="1216"/>
        <v>1.0855037958120518E-2</v>
      </c>
      <c r="AJ915" s="384">
        <f t="shared" ref="AJ915:AJ978" ca="1" si="1218">(530)*(1-EXP((-$AJ$9*L915*K915*AI915)))</f>
        <v>2.9838488108413497E-2</v>
      </c>
      <c r="AU915" s="1"/>
    </row>
    <row r="916" spans="3:47" x14ac:dyDescent="0.25">
      <c r="C916" s="10">
        <f t="shared" si="1154"/>
        <v>68</v>
      </c>
      <c r="D916" s="91">
        <f t="shared" si="1137"/>
        <v>10</v>
      </c>
      <c r="E916" s="278"/>
      <c r="F916" s="76">
        <f t="shared" ref="F916:Q916" ca="1" si="1219">F844</f>
        <v>11.21</v>
      </c>
      <c r="G916" s="46">
        <f t="shared" ca="1" si="1219"/>
        <v>27.012600000000003</v>
      </c>
      <c r="H916" s="46">
        <f t="shared" ca="1" si="1202"/>
        <v>28.517550000000004</v>
      </c>
      <c r="I916" s="45">
        <f t="shared" ca="1" si="1203"/>
        <v>0.55341948356365211</v>
      </c>
      <c r="J916" s="45">
        <f t="shared" ca="1" si="1204"/>
        <v>0.27952512346894071</v>
      </c>
      <c r="K916" s="45">
        <f t="shared" ref="K916:K979" ca="1" si="1220">J916/$I$15</f>
        <v>0.90345467800480783</v>
      </c>
      <c r="L916" s="358">
        <f t="shared" ca="1" si="1205"/>
        <v>0.75061725573145499</v>
      </c>
      <c r="M916" s="76">
        <f t="shared" ca="1" si="1219"/>
        <v>0.25347808785320641</v>
      </c>
      <c r="N916" s="45">
        <f t="shared" ca="1" si="1219"/>
        <v>0.25</v>
      </c>
      <c r="O916" s="45">
        <f t="shared" ca="1" si="1219"/>
        <v>0</v>
      </c>
      <c r="P916" s="46" t="str">
        <f t="shared" ca="1" si="1219"/>
        <v/>
      </c>
      <c r="Q916" s="243" t="str">
        <f t="shared" ca="1" si="1219"/>
        <v/>
      </c>
      <c r="R916" s="45">
        <f t="shared" ref="R916:R979" ca="1" si="1221">R915+S916-T915</f>
        <v>8.7493026922906586E-2</v>
      </c>
      <c r="S916" s="45">
        <f t="shared" ca="1" si="1156"/>
        <v>5.0695617570641283E-2</v>
      </c>
      <c r="T916" s="77">
        <f t="shared" ca="1" si="1206"/>
        <v>3.2325406484756646E-2</v>
      </c>
      <c r="U916" s="45">
        <f t="shared" ref="U916:U979" ca="1" si="1222">U915+V916-W915</f>
        <v>17.432032475507199</v>
      </c>
      <c r="V916" s="45">
        <f t="shared" ca="1" si="1207"/>
        <v>0.20278247028256513</v>
      </c>
      <c r="W916" s="77">
        <f t="shared" ca="1" si="1208"/>
        <v>0.23951990225043387</v>
      </c>
      <c r="X916" s="45">
        <f t="shared" ref="X916:X979" ca="1" si="1223">X915+Y915-Z915</f>
        <v>1.0443024660381803</v>
      </c>
      <c r="Y916" s="45">
        <f t="shared" ca="1" si="1209"/>
        <v>2.798193903025839E-2</v>
      </c>
      <c r="Z916" s="77">
        <f t="shared" ca="1" si="1210"/>
        <v>3.1307663662004846E-2</v>
      </c>
      <c r="AA916" s="45">
        <f t="shared" ref="AA916:AA979" ca="1" si="1224">AA915+AC915+AB916-AD915</f>
        <v>39.217159957430368</v>
      </c>
      <c r="AB916" s="45">
        <f t="shared" ca="1" si="1211"/>
        <v>0</v>
      </c>
      <c r="AC916" s="45" cm="1">
        <f t="array" aca="1" ref="AC916" ca="1">pHUM*(T916+W916+Z916+AD916)</f>
        <v>3.2919928270892226E-2</v>
      </c>
      <c r="AD916" s="77">
        <f t="shared" ca="1" si="1212"/>
        <v>3.6155890309009807E-2</v>
      </c>
      <c r="AE916" s="45">
        <f t="shared" ref="AE916:AE979" ca="1" si="1225">AE915+AF916</f>
        <v>6.3847072090583081</v>
      </c>
      <c r="AF916" s="45">
        <f t="shared" ca="1" si="1213"/>
        <v>0</v>
      </c>
      <c r="AG916" s="76">
        <f t="shared" ca="1" si="1214"/>
        <v>64.165695134956962</v>
      </c>
      <c r="AH916" s="45">
        <f t="shared" ca="1" si="1215"/>
        <v>0.27840699540505454</v>
      </c>
      <c r="AI916" s="77">
        <f t="shared" ca="1" si="1216"/>
        <v>1.0929377624369008E-2</v>
      </c>
      <c r="AJ916" s="384">
        <f t="shared" ca="1" si="1218"/>
        <v>2.6161324434077482E-2</v>
      </c>
      <c r="AU916" s="1"/>
    </row>
    <row r="917" spans="3:47" x14ac:dyDescent="0.25">
      <c r="C917" s="10">
        <f t="shared" si="1154"/>
        <v>68</v>
      </c>
      <c r="D917" s="91">
        <f t="shared" ref="D917:D980" si="1226">IF(D916+1&lt;13,D916+1,1)</f>
        <v>11</v>
      </c>
      <c r="E917" s="278"/>
      <c r="F917" s="76">
        <f t="shared" ref="F917:Q917" ca="1" si="1227">F845</f>
        <v>1.8</v>
      </c>
      <c r="G917" s="46">
        <f t="shared" ca="1" si="1227"/>
        <v>27.012600000000003</v>
      </c>
      <c r="H917" s="46">
        <f t="shared" ca="1" si="1202"/>
        <v>28.517550000000004</v>
      </c>
      <c r="I917" s="45">
        <f t="shared" ca="1" si="1203"/>
        <v>0.10471759589279002</v>
      </c>
      <c r="J917" s="45">
        <f t="shared" ca="1" si="1204"/>
        <v>0.27952512346894071</v>
      </c>
      <c r="K917" s="45">
        <f t="shared" ca="1" si="1220"/>
        <v>0.90345467800480783</v>
      </c>
      <c r="L917" s="358">
        <f t="shared" ca="1" si="1205"/>
        <v>0.42572038710161686</v>
      </c>
      <c r="M917" s="76">
        <f t="shared" ca="1" si="1227"/>
        <v>0.25347808785320641</v>
      </c>
      <c r="N917" s="45">
        <f t="shared" ca="1" si="1227"/>
        <v>0.25</v>
      </c>
      <c r="O917" s="45">
        <f t="shared" ca="1" si="1227"/>
        <v>0</v>
      </c>
      <c r="P917" s="46" t="str">
        <f t="shared" ca="1" si="1227"/>
        <v/>
      </c>
      <c r="Q917" s="243" t="str">
        <f t="shared" ca="1" si="1227"/>
        <v/>
      </c>
      <c r="R917" s="45">
        <f t="shared" ca="1" si="1221"/>
        <v>0.10586323800879122</v>
      </c>
      <c r="S917" s="45">
        <f t="shared" ca="1" si="1156"/>
        <v>5.0695617570641283E-2</v>
      </c>
      <c r="T917" s="77">
        <f t="shared" ca="1" si="1206"/>
        <v>8.8465126159825002E-3</v>
      </c>
      <c r="U917" s="45">
        <f t="shared" ca="1" si="1222"/>
        <v>17.395295043539331</v>
      </c>
      <c r="V917" s="45">
        <f t="shared" ca="1" si="1207"/>
        <v>0.20278247028256513</v>
      </c>
      <c r="W917" s="77">
        <f t="shared" ca="1" si="1208"/>
        <v>4.548027862681607E-2</v>
      </c>
      <c r="X917" s="45">
        <f t="shared" ca="1" si="1223"/>
        <v>1.0409767414064339</v>
      </c>
      <c r="Y917" s="45">
        <f t="shared" ca="1" si="1209"/>
        <v>5.537558901213659E-3</v>
      </c>
      <c r="Z917" s="77">
        <f t="shared" ca="1" si="1210"/>
        <v>5.9782397306106794E-3</v>
      </c>
      <c r="AA917" s="45">
        <f t="shared" ca="1" si="1224"/>
        <v>39.21392399539225</v>
      </c>
      <c r="AB917" s="45">
        <f t="shared" ca="1" si="1211"/>
        <v>0</v>
      </c>
      <c r="AC917" s="45" cm="1">
        <f t="array" aca="1" ref="AC917" ca="1">pHUM*(T917+W917+Z917+AD917)</f>
        <v>6.5147751778984221E-3</v>
      </c>
      <c r="AD917" s="77">
        <f t="shared" ca="1" si="1212"/>
        <v>6.8433825410232777E-3</v>
      </c>
      <c r="AE917" s="45">
        <f t="shared" ca="1" si="1225"/>
        <v>6.3847072090583081</v>
      </c>
      <c r="AF917" s="45">
        <f t="shared" ca="1" si="1213"/>
        <v>0</v>
      </c>
      <c r="AG917" s="76">
        <f t="shared" ca="1" si="1214"/>
        <v>64.140766227405109</v>
      </c>
      <c r="AH917" s="45">
        <f t="shared" ca="1" si="1215"/>
        <v>5.5096079435320452E-2</v>
      </c>
      <c r="AI917" s="77">
        <f t="shared" ca="1" si="1216"/>
        <v>1.1179987222818761E-2</v>
      </c>
      <c r="AJ917" s="384">
        <f t="shared" ca="1" si="1218"/>
        <v>1.5178050960011902E-2</v>
      </c>
      <c r="AU917" s="1"/>
    </row>
    <row r="918" spans="3:47" x14ac:dyDescent="0.25">
      <c r="C918" s="10">
        <f t="shared" si="1154"/>
        <v>68</v>
      </c>
      <c r="D918" s="91">
        <f t="shared" si="1226"/>
        <v>12</v>
      </c>
      <c r="E918" s="278"/>
      <c r="F918" s="76">
        <f t="shared" ref="F918:Q918" ca="1" si="1228">F846</f>
        <v>-0.63</v>
      </c>
      <c r="G918" s="46">
        <f t="shared" ca="1" si="1228"/>
        <v>27.012600000000003</v>
      </c>
      <c r="H918" s="46">
        <f t="shared" ca="1" si="1202"/>
        <v>28.517550000000004</v>
      </c>
      <c r="I918" s="45">
        <f t="shared" ca="1" si="1203"/>
        <v>5.069926650983797E-2</v>
      </c>
      <c r="J918" s="45">
        <f t="shared" ca="1" si="1204"/>
        <v>0.27952512346894071</v>
      </c>
      <c r="K918" s="45">
        <f t="shared" ca="1" si="1220"/>
        <v>0.90345467800480783</v>
      </c>
      <c r="L918" s="358">
        <f t="shared" ca="1" si="1205"/>
        <v>0.3403279781726225</v>
      </c>
      <c r="M918" s="76">
        <f t="shared" ca="1" si="1228"/>
        <v>0.25347808785320641</v>
      </c>
      <c r="N918" s="45">
        <f t="shared" ca="1" si="1228"/>
        <v>0.25</v>
      </c>
      <c r="O918" s="45">
        <f t="shared" ca="1" si="1228"/>
        <v>0</v>
      </c>
      <c r="P918" s="46" t="str">
        <f t="shared" ca="1" si="1228"/>
        <v/>
      </c>
      <c r="Q918" s="243" t="str">
        <f t="shared" ca="1" si="1228"/>
        <v/>
      </c>
      <c r="R918" s="45">
        <f t="shared" ca="1" si="1221"/>
        <v>0.14771234296345001</v>
      </c>
      <c r="S918" s="45">
        <f t="shared" ca="1" si="1156"/>
        <v>5.0695617570641283E-2</v>
      </c>
      <c r="T918" s="77">
        <f t="shared" ca="1" si="1206"/>
        <v>6.1107593251454049E-3</v>
      </c>
      <c r="U918" s="45">
        <f t="shared" ca="1" si="1222"/>
        <v>17.55259723519508</v>
      </c>
      <c r="V918" s="45">
        <f t="shared" ca="1" si="1207"/>
        <v>0.20278247028256513</v>
      </c>
      <c r="W918" s="77">
        <f t="shared" ca="1" si="1208"/>
        <v>2.2233501874685053E-2</v>
      </c>
      <c r="X918" s="45">
        <f t="shared" ca="1" si="1223"/>
        <v>1.0405360605770368</v>
      </c>
      <c r="Y918" s="45">
        <f t="shared" ca="1" si="1209"/>
        <v>2.8496690216519419E-3</v>
      </c>
      <c r="Z918" s="77">
        <f t="shared" ca="1" si="1210"/>
        <v>2.8974512372836932E-3</v>
      </c>
      <c r="AA918" s="45">
        <f t="shared" ca="1" si="1224"/>
        <v>39.213595388029127</v>
      </c>
      <c r="AB918" s="45">
        <f t="shared" ca="1" si="1211"/>
        <v>0</v>
      </c>
      <c r="AC918" s="45" cm="1">
        <f t="array" aca="1" ref="AC918" ca="1">pHUM*(T918+W918+Z918+AD918)</f>
        <v>3.3525517901787549E-3</v>
      </c>
      <c r="AD918" s="77">
        <f t="shared" ca="1" si="1212"/>
        <v>3.3133608828671314E-3</v>
      </c>
      <c r="AE918" s="45">
        <f t="shared" ca="1" si="1225"/>
        <v>6.3847072090583081</v>
      </c>
      <c r="AF918" s="45">
        <f t="shared" ca="1" si="1213"/>
        <v>0</v>
      </c>
      <c r="AG918" s="76">
        <f t="shared" ca="1" si="1214"/>
        <v>64.339148235823004</v>
      </c>
      <c r="AH918" s="45">
        <f t="shared" ca="1" si="1215"/>
        <v>2.8352852508150589E-2</v>
      </c>
      <c r="AI918" s="77">
        <f t="shared" ca="1" si="1216"/>
        <v>1.1810898587479933E-2</v>
      </c>
      <c r="AJ918" s="384">
        <f t="shared" ca="1" si="1218"/>
        <v>1.2818340744088497E-2</v>
      </c>
      <c r="AU918" s="1"/>
    </row>
    <row r="919" spans="3:47" x14ac:dyDescent="0.25">
      <c r="C919" s="10">
        <f t="shared" si="1154"/>
        <v>69</v>
      </c>
      <c r="D919" s="91">
        <f t="shared" si="1226"/>
        <v>1</v>
      </c>
      <c r="E919" s="278"/>
      <c r="F919" s="76">
        <f t="shared" ref="F919:Q919" ca="1" si="1229">F847</f>
        <v>-5.04</v>
      </c>
      <c r="G919" s="46">
        <f t="shared" ca="1" si="1229"/>
        <v>27.012600000000003</v>
      </c>
      <c r="H919" s="46">
        <f t="shared" ca="1" si="1202"/>
        <v>28.517550000000004</v>
      </c>
      <c r="I919" s="45">
        <f t="shared" ca="1" si="1203"/>
        <v>6.847402527399577E-3</v>
      </c>
      <c r="J919" s="45">
        <f t="shared" ca="1" si="1204"/>
        <v>0.27952512346894071</v>
      </c>
      <c r="K919" s="45">
        <f t="shared" ca="1" si="1220"/>
        <v>0.90345467800480783</v>
      </c>
      <c r="L919" s="358">
        <f t="shared" ca="1" si="1205"/>
        <v>0.21084054547214914</v>
      </c>
      <c r="M919" s="76">
        <f t="shared" ca="1" si="1229"/>
        <v>0.25347808785320641</v>
      </c>
      <c r="N919" s="45">
        <f t="shared" ca="1" si="1229"/>
        <v>0.25</v>
      </c>
      <c r="O919" s="45">
        <f t="shared" ca="1" si="1229"/>
        <v>0</v>
      </c>
      <c r="P919" s="46" t="str">
        <f t="shared" ca="1" si="1229"/>
        <v/>
      </c>
      <c r="Q919" s="243" t="str">
        <f t="shared" ca="1" si="1229"/>
        <v/>
      </c>
      <c r="R919" s="45">
        <f t="shared" ca="1" si="1221"/>
        <v>0.19229720120894589</v>
      </c>
      <c r="S919" s="45">
        <f t="shared" ca="1" si="1156"/>
        <v>5.0695617570641283E-2</v>
      </c>
      <c r="T919" s="77">
        <f t="shared" ca="1" si="1206"/>
        <v>1.0941555975497383E-3</v>
      </c>
      <c r="U919" s="45">
        <f t="shared" ca="1" si="1222"/>
        <v>17.73314620360296</v>
      </c>
      <c r="V919" s="45">
        <f t="shared" ca="1" si="1207"/>
        <v>0.20278247028256513</v>
      </c>
      <c r="W919" s="77">
        <f t="shared" ca="1" si="1208"/>
        <v>3.0353899392106466E-3</v>
      </c>
      <c r="X919" s="45">
        <f t="shared" ca="1" si="1223"/>
        <v>1.0404882783614051</v>
      </c>
      <c r="Y919" s="45">
        <f t="shared" ca="1" si="1209"/>
        <v>4.0976790828797338E-4</v>
      </c>
      <c r="Z919" s="77">
        <f t="shared" ca="1" si="1210"/>
        <v>3.9178153519177231E-4</v>
      </c>
      <c r="AA919" s="45">
        <f t="shared" ca="1" si="1224"/>
        <v>39.213634578936436</v>
      </c>
      <c r="AB919" s="45">
        <f t="shared" ca="1" si="1211"/>
        <v>0</v>
      </c>
      <c r="AC919" s="45" cm="1">
        <f t="array" aca="1" ref="AC919" ca="1">pHUM*(T919+W919+Z919+AD919)</f>
        <v>4.8207989210349812E-4</v>
      </c>
      <c r="AD919" s="77">
        <f t="shared" ca="1" si="1212"/>
        <v>4.4751668059635755E-4</v>
      </c>
      <c r="AE919" s="45">
        <f t="shared" ca="1" si="1225"/>
        <v>6.3847072090583081</v>
      </c>
      <c r="AF919" s="45">
        <f t="shared" ca="1" si="1213"/>
        <v>0</v>
      </c>
      <c r="AG919" s="76">
        <f t="shared" ca="1" si="1214"/>
        <v>64.56427347116805</v>
      </c>
      <c r="AH919" s="45">
        <f t="shared" ca="1" si="1215"/>
        <v>4.0769959521570424E-3</v>
      </c>
      <c r="AI919" s="77">
        <f t="shared" ca="1" si="1216"/>
        <v>1.2481344952524247E-2</v>
      </c>
      <c r="AJ919" s="384">
        <f t="shared" ca="1" si="1218"/>
        <v>8.3920593898578755E-3</v>
      </c>
      <c r="AU919" s="1"/>
    </row>
    <row r="920" spans="3:47" x14ac:dyDescent="0.25">
      <c r="C920" s="10">
        <f t="shared" si="1154"/>
        <v>69</v>
      </c>
      <c r="D920" s="91">
        <f t="shared" si="1226"/>
        <v>2</v>
      </c>
      <c r="E920" s="278"/>
      <c r="F920" s="76">
        <f t="shared" ref="F920:Q920" ca="1" si="1230">F848</f>
        <v>-4.4400000000000004</v>
      </c>
      <c r="G920" s="46">
        <f t="shared" ca="1" si="1230"/>
        <v>27.012600000000003</v>
      </c>
      <c r="H920" s="46">
        <f t="shared" ca="1" si="1202"/>
        <v>28.517550000000004</v>
      </c>
      <c r="I920" s="45">
        <f t="shared" ca="1" si="1203"/>
        <v>9.6941753008840392E-3</v>
      </c>
      <c r="J920" s="45">
        <f t="shared" ca="1" si="1204"/>
        <v>0.27952512346894071</v>
      </c>
      <c r="K920" s="45">
        <f t="shared" ca="1" si="1220"/>
        <v>0.90345467800480783</v>
      </c>
      <c r="L920" s="358">
        <f t="shared" ca="1" si="1205"/>
        <v>0.22612365929309886</v>
      </c>
      <c r="M920" s="76">
        <f t="shared" ca="1" si="1230"/>
        <v>0.25347808785320641</v>
      </c>
      <c r="N920" s="45">
        <f t="shared" ca="1" si="1230"/>
        <v>0.25</v>
      </c>
      <c r="O920" s="45">
        <f t="shared" ca="1" si="1230"/>
        <v>0</v>
      </c>
      <c r="P920" s="46" t="str">
        <f t="shared" ca="1" si="1230"/>
        <v/>
      </c>
      <c r="Q920" s="243" t="str">
        <f t="shared" ca="1" si="1230"/>
        <v/>
      </c>
      <c r="R920" s="45">
        <f t="shared" ca="1" si="1221"/>
        <v>0.24189866318203743</v>
      </c>
      <c r="S920" s="45">
        <f t="shared" ca="1" si="1156"/>
        <v>5.0695617570641283E-2</v>
      </c>
      <c r="T920" s="77">
        <f t="shared" ca="1" si="1206"/>
        <v>1.9463012095627269E-3</v>
      </c>
      <c r="U920" s="45">
        <f t="shared" ca="1" si="1222"/>
        <v>17.932893283946314</v>
      </c>
      <c r="V920" s="45">
        <f t="shared" ca="1" si="1207"/>
        <v>0.20278247028256513</v>
      </c>
      <c r="W920" s="77">
        <f t="shared" ca="1" si="1208"/>
        <v>4.3455886711666839E-3</v>
      </c>
      <c r="X920" s="45">
        <f t="shared" ca="1" si="1223"/>
        <v>1.0405062647345014</v>
      </c>
      <c r="Y920" s="45">
        <f t="shared" ca="1" si="1209"/>
        <v>6.1686377631057251E-4</v>
      </c>
      <c r="Z920" s="77">
        <f t="shared" ca="1" si="1210"/>
        <v>5.5462888570587089E-4</v>
      </c>
      <c r="AA920" s="45">
        <f t="shared" ca="1" si="1224"/>
        <v>39.213669142147943</v>
      </c>
      <c r="AB920" s="45">
        <f t="shared" ca="1" si="1211"/>
        <v>0</v>
      </c>
      <c r="AC920" s="45" cm="1">
        <f t="array" aca="1" ref="AC920" ca="1">pHUM*(T920+W920+Z920+AD920)</f>
        <v>7.2572208977714409E-4</v>
      </c>
      <c r="AD920" s="77">
        <f t="shared" ca="1" si="1212"/>
        <v>6.335685198053132E-4</v>
      </c>
      <c r="AE920" s="45">
        <f t="shared" ca="1" si="1225"/>
        <v>6.3847072090583081</v>
      </c>
      <c r="AF920" s="45">
        <f t="shared" ca="1" si="1213"/>
        <v>0</v>
      </c>
      <c r="AG920" s="76">
        <f t="shared" ca="1" si="1214"/>
        <v>64.8136745630691</v>
      </c>
      <c r="AH920" s="45">
        <f t="shared" ca="1" si="1215"/>
        <v>6.1375014201528796E-3</v>
      </c>
      <c r="AI920" s="77">
        <f t="shared" ca="1" si="1216"/>
        <v>1.3220985175622934E-2</v>
      </c>
      <c r="AJ920" s="384">
        <f t="shared" ca="1" si="1218"/>
        <v>9.533719868516366E-3</v>
      </c>
      <c r="AU920" s="1"/>
    </row>
    <row r="921" spans="3:47" x14ac:dyDescent="0.25">
      <c r="C921" s="10">
        <f t="shared" si="1154"/>
        <v>69</v>
      </c>
      <c r="D921" s="91">
        <f t="shared" si="1226"/>
        <v>3</v>
      </c>
      <c r="E921" s="278"/>
      <c r="F921" s="76">
        <f t="shared" ref="F921:Q921" ca="1" si="1231">F849</f>
        <v>-0.82</v>
      </c>
      <c r="G921" s="46">
        <f t="shared" ca="1" si="1231"/>
        <v>27.012600000000003</v>
      </c>
      <c r="H921" s="46">
        <f t="shared" ca="1" si="1202"/>
        <v>28.517550000000004</v>
      </c>
      <c r="I921" s="45">
        <f t="shared" ca="1" si="1203"/>
        <v>4.749388171975074E-2</v>
      </c>
      <c r="J921" s="45">
        <f t="shared" ca="1" si="1204"/>
        <v>0.27952512346894071</v>
      </c>
      <c r="K921" s="45">
        <f t="shared" ca="1" si="1220"/>
        <v>0.90345467800480783</v>
      </c>
      <c r="L921" s="358">
        <f t="shared" ca="1" si="1205"/>
        <v>0.33399301288143546</v>
      </c>
      <c r="M921" s="76">
        <f t="shared" ca="1" si="1231"/>
        <v>0.25347808785320641</v>
      </c>
      <c r="N921" s="45">
        <f t="shared" ca="1" si="1231"/>
        <v>0.25</v>
      </c>
      <c r="O921" s="45">
        <f t="shared" ca="1" si="1231"/>
        <v>0</v>
      </c>
      <c r="P921" s="46" t="str">
        <f t="shared" ca="1" si="1231"/>
        <v/>
      </c>
      <c r="Q921" s="243" t="str">
        <f t="shared" ca="1" si="1231"/>
        <v/>
      </c>
      <c r="R921" s="45">
        <f t="shared" ca="1" si="1221"/>
        <v>0.29064797954311594</v>
      </c>
      <c r="S921" s="45">
        <f t="shared" ca="1" si="1156"/>
        <v>5.0695617570641283E-2</v>
      </c>
      <c r="T921" s="77">
        <f t="shared" ca="1" si="1206"/>
        <v>1.1278666868164679E-2</v>
      </c>
      <c r="U921" s="45">
        <f t="shared" ca="1" si="1222"/>
        <v>18.13133016555771</v>
      </c>
      <c r="V921" s="45">
        <f t="shared" ca="1" si="1207"/>
        <v>0.20278247028256513</v>
      </c>
      <c r="W921" s="77">
        <f t="shared" ca="1" si="1208"/>
        <v>2.1515405603319309E-2</v>
      </c>
      <c r="X921" s="45">
        <f t="shared" ca="1" si="1223"/>
        <v>1.0405684996251061</v>
      </c>
      <c r="Y921" s="45">
        <f t="shared" ca="1" si="1209"/>
        <v>3.1842796755709225E-3</v>
      </c>
      <c r="Z921" s="77">
        <f t="shared" ca="1" si="1210"/>
        <v>2.7145880308991747E-3</v>
      </c>
      <c r="AA921" s="45">
        <f t="shared" ca="1" si="1224"/>
        <v>39.213761295717916</v>
      </c>
      <c r="AB921" s="45">
        <f t="shared" ca="1" si="1211"/>
        <v>0</v>
      </c>
      <c r="AC921" s="45" cm="1">
        <f t="array" aca="1" ref="AC921" ca="1">pHUM*(T921+W921+Z921+AD921)</f>
        <v>3.7462113830246148E-3</v>
      </c>
      <c r="AD921" s="77">
        <f t="shared" ca="1" si="1212"/>
        <v>3.1039000527699218E-3</v>
      </c>
      <c r="AE921" s="45">
        <f t="shared" ca="1" si="1225"/>
        <v>6.3847072090583081</v>
      </c>
      <c r="AF921" s="45">
        <f t="shared" ca="1" si="1213"/>
        <v>0</v>
      </c>
      <c r="AG921" s="76">
        <f t="shared" ca="1" si="1214"/>
        <v>65.061015149502154</v>
      </c>
      <c r="AH921" s="45">
        <f t="shared" ca="1" si="1215"/>
        <v>3.1682069496557545E-2</v>
      </c>
      <c r="AI921" s="77">
        <f t="shared" ca="1" si="1216"/>
        <v>1.3942210557864815E-2</v>
      </c>
      <c r="AJ921" s="384">
        <f t="shared" ca="1" si="1218"/>
        <v>1.4849758959984971E-2</v>
      </c>
      <c r="AU921" s="1"/>
    </row>
    <row r="922" spans="3:47" x14ac:dyDescent="0.25">
      <c r="C922" s="10">
        <f t="shared" si="1154"/>
        <v>69</v>
      </c>
      <c r="D922" s="91">
        <f t="shared" si="1226"/>
        <v>4</v>
      </c>
      <c r="E922" s="278"/>
      <c r="F922" s="76">
        <f t="shared" ref="F922:Q922" ca="1" si="1232">F850</f>
        <v>6.18</v>
      </c>
      <c r="G922" s="46">
        <f t="shared" ca="1" si="1232"/>
        <v>27.012600000000003</v>
      </c>
      <c r="H922" s="46">
        <f t="shared" ca="1" si="1202"/>
        <v>28.517550000000004</v>
      </c>
      <c r="I922" s="45">
        <f t="shared" ca="1" si="1203"/>
        <v>0.26773980091806004</v>
      </c>
      <c r="J922" s="45">
        <f t="shared" ca="1" si="1204"/>
        <v>0.27952512346894071</v>
      </c>
      <c r="K922" s="45">
        <f t="shared" ca="1" si="1220"/>
        <v>0.90345467800480783</v>
      </c>
      <c r="L922" s="358">
        <f t="shared" ca="1" si="1205"/>
        <v>0.58750950384279488</v>
      </c>
      <c r="M922" s="76">
        <f t="shared" ca="1" si="1232"/>
        <v>0.25347808785320641</v>
      </c>
      <c r="N922" s="45">
        <f t="shared" ca="1" si="1232"/>
        <v>0.25</v>
      </c>
      <c r="O922" s="45">
        <f t="shared" ca="1" si="1232"/>
        <v>0</v>
      </c>
      <c r="P922" s="46" t="str">
        <f t="shared" ca="1" si="1232"/>
        <v/>
      </c>
      <c r="Q922" s="243" t="str">
        <f t="shared" ca="1" si="1232"/>
        <v/>
      </c>
      <c r="R922" s="45">
        <f t="shared" ca="1" si="1221"/>
        <v>0.33006493024559252</v>
      </c>
      <c r="S922" s="45">
        <f t="shared" ca="1" si="1156"/>
        <v>5.0695617570641283E-2</v>
      </c>
      <c r="T922" s="77">
        <f t="shared" ca="1" si="1206"/>
        <v>6.6005843202412762E-2</v>
      </c>
      <c r="U922" s="45">
        <f t="shared" ca="1" si="1222"/>
        <v>18.312597230236953</v>
      </c>
      <c r="V922" s="45">
        <f t="shared" ca="1" si="1207"/>
        <v>0.20278247028256513</v>
      </c>
      <c r="W922" s="77">
        <f t="shared" ca="1" si="1208"/>
        <v>0.12216596366781529</v>
      </c>
      <c r="X922" s="45">
        <f t="shared" ca="1" si="1223"/>
        <v>1.0410381912697779</v>
      </c>
      <c r="Y922" s="45">
        <f t="shared" ca="1" si="1209"/>
        <v>1.821577050022399E-2</v>
      </c>
      <c r="Z922" s="77">
        <f t="shared" ca="1" si="1210"/>
        <v>1.5217684261012922E-2</v>
      </c>
      <c r="AA922" s="45">
        <f t="shared" ca="1" si="1224"/>
        <v>39.214403607048169</v>
      </c>
      <c r="AB922" s="45">
        <f t="shared" ca="1" si="1211"/>
        <v>0</v>
      </c>
      <c r="AC922" s="45" cm="1">
        <f t="array" aca="1" ref="AC922" ca="1">pHUM*(T922+W922+Z922+AD922)</f>
        <v>2.1430318235557636E-2</v>
      </c>
      <c r="AD922" s="77">
        <f t="shared" ca="1" si="1212"/>
        <v>1.7494857343131689E-2</v>
      </c>
      <c r="AE922" s="45">
        <f t="shared" ca="1" si="1225"/>
        <v>6.3847072090583081</v>
      </c>
      <c r="AF922" s="45">
        <f t="shared" ca="1" si="1213"/>
        <v>0</v>
      </c>
      <c r="AG922" s="76">
        <f t="shared" ca="1" si="1214"/>
        <v>65.282811167858796</v>
      </c>
      <c r="AH922" s="45">
        <f t="shared" ca="1" si="1215"/>
        <v>0.18123825973859106</v>
      </c>
      <c r="AI922" s="77">
        <f t="shared" ca="1" si="1216"/>
        <v>1.452480507279573E-2</v>
      </c>
      <c r="AJ922" s="384">
        <f t="shared" ca="1" si="1218"/>
        <v>2.7212630783581826E-2</v>
      </c>
      <c r="AU922" s="1"/>
    </row>
    <row r="923" spans="3:47" x14ac:dyDescent="0.25">
      <c r="C923" s="10">
        <f t="shared" si="1154"/>
        <v>69</v>
      </c>
      <c r="D923" s="91">
        <f t="shared" si="1226"/>
        <v>5</v>
      </c>
      <c r="E923" s="278"/>
      <c r="F923" s="76">
        <f t="shared" ref="F923:Q923" ca="1" si="1233">F851</f>
        <v>13.58</v>
      </c>
      <c r="G923" s="46">
        <f t="shared" ca="1" si="1233"/>
        <v>27.012600000000003</v>
      </c>
      <c r="H923" s="46">
        <f t="shared" ca="1" si="1202"/>
        <v>28.517550000000004</v>
      </c>
      <c r="I923" s="45">
        <f t="shared" ca="1" si="1203"/>
        <v>0.71743035359667851</v>
      </c>
      <c r="J923" s="45">
        <f t="shared" ca="1" si="1204"/>
        <v>0.27952512346894071</v>
      </c>
      <c r="K923" s="45">
        <f t="shared" ca="1" si="1220"/>
        <v>0.90345467800480783</v>
      </c>
      <c r="L923" s="358">
        <f t="shared" ca="1" si="1205"/>
        <v>0.81042644426030708</v>
      </c>
      <c r="M923" s="76">
        <f t="shared" ca="1" si="1233"/>
        <v>0.25347808785320641</v>
      </c>
      <c r="N923" s="45">
        <f t="shared" ca="1" si="1233"/>
        <v>0.25</v>
      </c>
      <c r="O923" s="45">
        <f t="shared" ca="1" si="1233"/>
        <v>0</v>
      </c>
      <c r="P923" s="46" t="str">
        <f t="shared" ca="1" si="1233"/>
        <v/>
      </c>
      <c r="Q923" s="243" t="str">
        <f t="shared" ca="1" si="1233"/>
        <v/>
      </c>
      <c r="R923" s="45">
        <f t="shared" ca="1" si="1221"/>
        <v>0.31475470461382105</v>
      </c>
      <c r="S923" s="45">
        <f t="shared" ca="1" si="1156"/>
        <v>5.0695617570641283E-2</v>
      </c>
      <c r="T923" s="77">
        <f t="shared" ca="1" si="1206"/>
        <v>0.14164336103755834</v>
      </c>
      <c r="U923" s="45">
        <f t="shared" ca="1" si="1222"/>
        <v>18.393213736851703</v>
      </c>
      <c r="V923" s="45">
        <f t="shared" ca="1" si="1207"/>
        <v>0.20278247028256513</v>
      </c>
      <c r="W923" s="77">
        <f t="shared" ca="1" si="1208"/>
        <v>0.32695538456190865</v>
      </c>
      <c r="X923" s="45">
        <f t="shared" ca="1" si="1223"/>
        <v>1.0440362775089889</v>
      </c>
      <c r="Y923" s="45">
        <f t="shared" ca="1" si="1209"/>
        <v>4.5840266476735191E-2</v>
      </c>
      <c r="Z923" s="77">
        <f t="shared" ca="1" si="1210"/>
        <v>4.0394092834927522E-2</v>
      </c>
      <c r="AA923" s="45">
        <f t="shared" ca="1" si="1224"/>
        <v>39.218339067940597</v>
      </c>
      <c r="AB923" s="45">
        <f t="shared" ca="1" si="1211"/>
        <v>0</v>
      </c>
      <c r="AC923" s="45" cm="1">
        <f t="array" aca="1" ref="AC923" ca="1">pHUM*(T923+W923+Z923+AD923)</f>
        <v>5.3929725266747282E-2</v>
      </c>
      <c r="AD923" s="77">
        <f t="shared" ca="1" si="1212"/>
        <v>4.6866019936749909E-2</v>
      </c>
      <c r="AE923" s="45">
        <f t="shared" ca="1" si="1225"/>
        <v>6.3847072090583081</v>
      </c>
      <c r="AF923" s="45">
        <f t="shared" ca="1" si="1213"/>
        <v>0</v>
      </c>
      <c r="AG923" s="76">
        <f t="shared" ca="1" si="1214"/>
        <v>65.355050995973414</v>
      </c>
      <c r="AH923" s="45">
        <f t="shared" ca="1" si="1215"/>
        <v>0.45608886662766202</v>
      </c>
      <c r="AI923" s="77">
        <f t="shared" ca="1" si="1216"/>
        <v>1.4327741200934219E-2</v>
      </c>
      <c r="AJ923" s="384">
        <f t="shared" ca="1" si="1218"/>
        <v>3.7028202521161013E-2</v>
      </c>
      <c r="AU923" s="1"/>
    </row>
    <row r="924" spans="3:47" x14ac:dyDescent="0.25">
      <c r="C924" s="10">
        <f t="shared" si="1154"/>
        <v>69</v>
      </c>
      <c r="D924" s="91">
        <f t="shared" si="1226"/>
        <v>6</v>
      </c>
      <c r="E924" s="278"/>
      <c r="F924" s="76">
        <f t="shared" ref="F924:Q924" ca="1" si="1234">F852</f>
        <v>18.37</v>
      </c>
      <c r="G924" s="46">
        <f t="shared" ca="1" si="1234"/>
        <v>27.012600000000003</v>
      </c>
      <c r="H924" s="46">
        <f t="shared" ca="1" si="1202"/>
        <v>28.517550000000004</v>
      </c>
      <c r="I924" s="45">
        <f t="shared" ca="1" si="1203"/>
        <v>1.0882596087882719</v>
      </c>
      <c r="J924" s="45">
        <f t="shared" ca="1" si="1204"/>
        <v>0.27952512346894071</v>
      </c>
      <c r="K924" s="45">
        <f t="shared" ca="1" si="1220"/>
        <v>0.90345467800480783</v>
      </c>
      <c r="L924" s="358">
        <f t="shared" ca="1" si="1205"/>
        <v>0.89586760620832129</v>
      </c>
      <c r="M924" s="76">
        <f t="shared" ca="1" si="1234"/>
        <v>0.25347808785320641</v>
      </c>
      <c r="N924" s="45">
        <f t="shared" ca="1" si="1234"/>
        <v>0.25</v>
      </c>
      <c r="O924" s="45">
        <f t="shared" ca="1" si="1234"/>
        <v>0</v>
      </c>
      <c r="P924" s="46" t="str">
        <f t="shared" ca="1" si="1234"/>
        <v/>
      </c>
      <c r="Q924" s="243" t="str">
        <f t="shared" ca="1" si="1234"/>
        <v/>
      </c>
      <c r="R924" s="45">
        <f t="shared" ca="1" si="1221"/>
        <v>0.22380696114690399</v>
      </c>
      <c r="S924" s="45">
        <f t="shared" ca="1" si="1156"/>
        <v>5.0695617570641283E-2</v>
      </c>
      <c r="T924" s="77">
        <f t="shared" ca="1" si="1206"/>
        <v>0.1334379969187959</v>
      </c>
      <c r="U924" s="45">
        <f t="shared" ca="1" si="1222"/>
        <v>18.269040822572357</v>
      </c>
      <c r="V924" s="45">
        <f t="shared" ca="1" si="1207"/>
        <v>0.20278247028256513</v>
      </c>
      <c r="W924" s="77">
        <f t="shared" ca="1" si="1208"/>
        <v>0.49033607375639177</v>
      </c>
      <c r="X924" s="45">
        <f t="shared" ca="1" si="1223"/>
        <v>1.0494824511507965</v>
      </c>
      <c r="Y924" s="45">
        <f t="shared" ca="1" si="1209"/>
        <v>6.2331242311525405E-2</v>
      </c>
      <c r="Z924" s="77">
        <f t="shared" ca="1" si="1210"/>
        <v>6.0973063445588498E-2</v>
      </c>
      <c r="AA924" s="45">
        <f t="shared" ca="1" si="1224"/>
        <v>39.225402773270595</v>
      </c>
      <c r="AB924" s="45">
        <f t="shared" ca="1" si="1211"/>
        <v>0</v>
      </c>
      <c r="AC924" s="45" cm="1">
        <f t="array" aca="1" ref="AC924" ca="1">pHUM*(T924+W924+Z924+AD924)</f>
        <v>7.3330873307676944E-2</v>
      </c>
      <c r="AD924" s="77">
        <f t="shared" ca="1" si="1212"/>
        <v>7.1081220623276056E-2</v>
      </c>
      <c r="AE924" s="45">
        <f t="shared" ca="1" si="1225"/>
        <v>6.3847072090583081</v>
      </c>
      <c r="AF924" s="45">
        <f t="shared" ca="1" si="1213"/>
        <v>0</v>
      </c>
      <c r="AG924" s="76">
        <f t="shared" ca="1" si="1214"/>
        <v>65.152440217198958</v>
      </c>
      <c r="AH924" s="45">
        <f t="shared" ca="1" si="1215"/>
        <v>0.62016623912484992</v>
      </c>
      <c r="AI924" s="77">
        <f t="shared" ca="1" si="1216"/>
        <v>1.3039962380648348E-2</v>
      </c>
      <c r="AJ924" s="384">
        <f t="shared" ca="1" si="1218"/>
        <v>3.7253010768356631E-2</v>
      </c>
      <c r="AU924" s="1"/>
    </row>
    <row r="925" spans="3:47" x14ac:dyDescent="0.25">
      <c r="C925" s="10">
        <f t="shared" si="1154"/>
        <v>69</v>
      </c>
      <c r="D925" s="91">
        <f t="shared" si="1226"/>
        <v>7</v>
      </c>
      <c r="E925" s="278"/>
      <c r="F925" s="76">
        <f t="shared" ref="F925:Q925" ca="1" si="1235">F853</f>
        <v>22.71</v>
      </c>
      <c r="G925" s="46">
        <f t="shared" ca="1" si="1235"/>
        <v>27.012600000000003</v>
      </c>
      <c r="H925" s="46">
        <f t="shared" ca="1" si="1202"/>
        <v>28.517550000000004</v>
      </c>
      <c r="I925" s="45">
        <f t="shared" ca="1" si="1203"/>
        <v>1.4513708414333564</v>
      </c>
      <c r="J925" s="45">
        <f t="shared" ca="1" si="1204"/>
        <v>0.27952512346894071</v>
      </c>
      <c r="K925" s="45">
        <f t="shared" ca="1" si="1220"/>
        <v>0.90345467800480783</v>
      </c>
      <c r="L925" s="358">
        <f t="shared" ca="1" si="1205"/>
        <v>0.94004721434733285</v>
      </c>
      <c r="M925" s="76">
        <f t="shared" ca="1" si="1235"/>
        <v>0.25347808785320641</v>
      </c>
      <c r="N925" s="45">
        <f t="shared" ca="1" si="1235"/>
        <v>0.25</v>
      </c>
      <c r="O925" s="45">
        <f t="shared" ca="1" si="1235"/>
        <v>0</v>
      </c>
      <c r="P925" s="46" t="str">
        <f t="shared" ca="1" si="1235"/>
        <v/>
      </c>
      <c r="Q925" s="243" t="str">
        <f t="shared" ca="1" si="1235"/>
        <v/>
      </c>
      <c r="R925" s="45">
        <f t="shared" ca="1" si="1221"/>
        <v>0.14106458179874934</v>
      </c>
      <c r="S925" s="45">
        <f t="shared" ca="1" si="1156"/>
        <v>5.0695617570641283E-2</v>
      </c>
      <c r="T925" s="77">
        <f t="shared" ca="1" si="1206"/>
        <v>9.8977446831495092E-2</v>
      </c>
      <c r="U925" s="45">
        <f t="shared" ca="1" si="1222"/>
        <v>17.981487219098529</v>
      </c>
      <c r="V925" s="45">
        <f t="shared" ca="1" si="1207"/>
        <v>0.20278247028256513</v>
      </c>
      <c r="W925" s="77">
        <f t="shared" ca="1" si="1208"/>
        <v>0.64075028077493934</v>
      </c>
      <c r="X925" s="45">
        <f t="shared" ca="1" si="1223"/>
        <v>1.0508406300167334</v>
      </c>
      <c r="Y925" s="45">
        <f t="shared" ca="1" si="1209"/>
        <v>7.5468107107725196E-2</v>
      </c>
      <c r="Z925" s="77">
        <f t="shared" ca="1" si="1210"/>
        <v>8.0623078194556178E-2</v>
      </c>
      <c r="AA925" s="45">
        <f t="shared" ca="1" si="1224"/>
        <v>39.227652425954993</v>
      </c>
      <c r="AB925" s="45">
        <f t="shared" ca="1" si="1211"/>
        <v>0</v>
      </c>
      <c r="AC925" s="45" cm="1">
        <f t="array" aca="1" ref="AC925" ca="1">pHUM*(T925+W925+Z925+AD925)</f>
        <v>8.8786008362029642E-2</v>
      </c>
      <c r="AD925" s="77">
        <f t="shared" ca="1" si="1212"/>
        <v>9.4775110441700006E-2</v>
      </c>
      <c r="AE925" s="45">
        <f t="shared" ca="1" si="1225"/>
        <v>6.3847072090583081</v>
      </c>
      <c r="AF925" s="45">
        <f t="shared" ca="1" si="1213"/>
        <v>0</v>
      </c>
      <c r="AG925" s="76">
        <f t="shared" ca="1" si="1214"/>
        <v>64.785752065927312</v>
      </c>
      <c r="AH925" s="45">
        <f t="shared" ca="1" si="1215"/>
        <v>0.7508718007729358</v>
      </c>
      <c r="AI925" s="77">
        <f t="shared" ca="1" si="1216"/>
        <v>1.1819423020524012E-2</v>
      </c>
      <c r="AJ925" s="384">
        <f t="shared" ca="1" si="1218"/>
        <v>3.5431365980163054E-2</v>
      </c>
      <c r="AU925" s="1"/>
    </row>
    <row r="926" spans="3:47" x14ac:dyDescent="0.25">
      <c r="C926" s="10">
        <f t="shared" si="1154"/>
        <v>69</v>
      </c>
      <c r="D926" s="91">
        <f t="shared" si="1226"/>
        <v>8</v>
      </c>
      <c r="E926" s="278"/>
      <c r="F926" s="76">
        <f t="shared" ref="F926:Q926" ca="1" si="1236">F854</f>
        <v>19.329999999999998</v>
      </c>
      <c r="G926" s="46">
        <f t="shared" ca="1" si="1236"/>
        <v>27.012600000000003</v>
      </c>
      <c r="H926" s="46">
        <f t="shared" ca="1" si="1202"/>
        <v>28.517550000000004</v>
      </c>
      <c r="I926" s="45">
        <f t="shared" ca="1" si="1203"/>
        <v>1.1670427279291871</v>
      </c>
      <c r="J926" s="45">
        <f t="shared" ca="1" si="1204"/>
        <v>0.27952512346894071</v>
      </c>
      <c r="K926" s="45">
        <f t="shared" ca="1" si="1220"/>
        <v>0.90345467800480783</v>
      </c>
      <c r="L926" s="358">
        <f t="shared" ca="1" si="1205"/>
        <v>0.9079689727892073</v>
      </c>
      <c r="M926" s="76">
        <f t="shared" ca="1" si="1236"/>
        <v>0.25347808785320641</v>
      </c>
      <c r="N926" s="45">
        <f t="shared" ca="1" si="1236"/>
        <v>0.25</v>
      </c>
      <c r="O926" s="45">
        <f t="shared" ca="1" si="1236"/>
        <v>0</v>
      </c>
      <c r="P926" s="46" t="str">
        <f t="shared" ca="1" si="1236"/>
        <v/>
      </c>
      <c r="Q926" s="243" t="str">
        <f t="shared" ca="1" si="1236"/>
        <v/>
      </c>
      <c r="R926" s="45">
        <f t="shared" ca="1" si="1221"/>
        <v>9.278275253789553E-2</v>
      </c>
      <c r="S926" s="45">
        <f t="shared" ca="1" si="1156"/>
        <v>5.0695617570641283E-2</v>
      </c>
      <c r="T926" s="77">
        <f t="shared" ca="1" si="1206"/>
        <v>5.7699455138857644E-2</v>
      </c>
      <c r="U926" s="45">
        <f t="shared" ca="1" si="1222"/>
        <v>17.543519408606155</v>
      </c>
      <c r="V926" s="45">
        <f t="shared" ca="1" si="1207"/>
        <v>0.20278247028256513</v>
      </c>
      <c r="W926" s="77">
        <f t="shared" ca="1" si="1208"/>
        <v>0.50445611169198179</v>
      </c>
      <c r="X926" s="45">
        <f t="shared" ca="1" si="1223"/>
        <v>1.0456856589299024</v>
      </c>
      <c r="Y926" s="45">
        <f t="shared" ca="1" si="1209"/>
        <v>5.8006073599584741E-2</v>
      </c>
      <c r="Z926" s="77">
        <f t="shared" ca="1" si="1210"/>
        <v>6.5011029555221908E-2</v>
      </c>
      <c r="AA926" s="45">
        <f t="shared" ca="1" si="1224"/>
        <v>39.221663323875319</v>
      </c>
      <c r="AB926" s="45">
        <f t="shared" ca="1" si="1211"/>
        <v>0</v>
      </c>
      <c r="AC926" s="45" cm="1">
        <f t="array" aca="1" ref="AC926" ca="1">pHUM*(T926+W926+Z926+AD926)</f>
        <v>6.8242439528923227E-2</v>
      </c>
      <c r="AD926" s="77">
        <f t="shared" ca="1" si="1212"/>
        <v>7.6214782647190837E-2</v>
      </c>
      <c r="AE926" s="45">
        <f t="shared" ca="1" si="1225"/>
        <v>6.3847072090583081</v>
      </c>
      <c r="AF926" s="45">
        <f t="shared" ca="1" si="1213"/>
        <v>0</v>
      </c>
      <c r="AG926" s="76">
        <f t="shared" ca="1" si="1214"/>
        <v>64.288358353007581</v>
      </c>
      <c r="AH926" s="45">
        <f t="shared" ca="1" si="1215"/>
        <v>0.57713286590474422</v>
      </c>
      <c r="AI926" s="77">
        <f t="shared" ca="1" si="1216"/>
        <v>1.103193120222474E-2</v>
      </c>
      <c r="AJ926" s="384">
        <f t="shared" ca="1" si="1218"/>
        <v>3.1942281677376227E-2</v>
      </c>
      <c r="AU926" s="1"/>
    </row>
    <row r="927" spans="3:47" x14ac:dyDescent="0.25">
      <c r="C927" s="10">
        <f t="shared" si="1154"/>
        <v>69</v>
      </c>
      <c r="D927" s="91">
        <f t="shared" si="1226"/>
        <v>9</v>
      </c>
      <c r="E927" s="278"/>
      <c r="F927" s="76">
        <f t="shared" ref="F927:Q927" ca="1" si="1237">F855</f>
        <v>15.36</v>
      </c>
      <c r="G927" s="46">
        <f t="shared" ca="1" si="1237"/>
        <v>27.012600000000003</v>
      </c>
      <c r="H927" s="46">
        <f t="shared" ca="1" si="1202"/>
        <v>28.517550000000004</v>
      </c>
      <c r="I927" s="45">
        <f t="shared" ca="1" si="1203"/>
        <v>0.85004563012661705</v>
      </c>
      <c r="J927" s="45">
        <f t="shared" ca="1" si="1204"/>
        <v>0.27952512346894071</v>
      </c>
      <c r="K927" s="45">
        <f t="shared" ca="1" si="1220"/>
        <v>0.90345467800480783</v>
      </c>
      <c r="L927" s="358">
        <f t="shared" ca="1" si="1205"/>
        <v>0.84745728919304408</v>
      </c>
      <c r="M927" s="76">
        <f t="shared" ca="1" si="1237"/>
        <v>0.25347808785320641</v>
      </c>
      <c r="N927" s="45">
        <f t="shared" ca="1" si="1237"/>
        <v>0.25</v>
      </c>
      <c r="O927" s="45">
        <f t="shared" ca="1" si="1237"/>
        <v>0</v>
      </c>
      <c r="P927" s="46" t="str">
        <f t="shared" ca="1" si="1237"/>
        <v/>
      </c>
      <c r="Q927" s="243" t="str">
        <f t="shared" ca="1" si="1237"/>
        <v/>
      </c>
      <c r="R927" s="45">
        <f t="shared" ca="1" si="1221"/>
        <v>8.5778914969679168E-2</v>
      </c>
      <c r="S927" s="45">
        <f t="shared" ca="1" si="1156"/>
        <v>5.0695617570641283E-2</v>
      </c>
      <c r="T927" s="77">
        <f t="shared" ca="1" si="1206"/>
        <v>4.3537468977546526E-2</v>
      </c>
      <c r="U927" s="45">
        <f t="shared" ca="1" si="1222"/>
        <v>17.241845767196736</v>
      </c>
      <c r="V927" s="45">
        <f t="shared" ca="1" si="1207"/>
        <v>0.20278247028256513</v>
      </c>
      <c r="W927" s="77">
        <f t="shared" ca="1" si="1208"/>
        <v>0.36254302092817037</v>
      </c>
      <c r="X927" s="45">
        <f t="shared" ca="1" si="1223"/>
        <v>1.0386807029742651</v>
      </c>
      <c r="Y927" s="45">
        <f t="shared" ca="1" si="1209"/>
        <v>4.1979243221331383E-2</v>
      </c>
      <c r="Z927" s="77">
        <f t="shared" ca="1" si="1210"/>
        <v>4.7443242802034519E-2</v>
      </c>
      <c r="AA927" s="45">
        <f t="shared" ca="1" si="1224"/>
        <v>39.21369098075705</v>
      </c>
      <c r="AB927" s="45">
        <f t="shared" ca="1" si="1211"/>
        <v>0</v>
      </c>
      <c r="AC927" s="45" cm="1">
        <f t="array" aca="1" ref="AC927" ca="1">pHUM*(T927+W927+Z927+AD927)</f>
        <v>4.9387344966272215E-2</v>
      </c>
      <c r="AD927" s="77">
        <f t="shared" ca="1" si="1212"/>
        <v>5.5516375602626573E-2</v>
      </c>
      <c r="AE927" s="45">
        <f t="shared" ca="1" si="1225"/>
        <v>6.3847072090583081</v>
      </c>
      <c r="AF927" s="45">
        <f t="shared" ca="1" si="1213"/>
        <v>0</v>
      </c>
      <c r="AG927" s="76">
        <f t="shared" ca="1" si="1214"/>
        <v>63.964703574956033</v>
      </c>
      <c r="AH927" s="45">
        <f t="shared" ca="1" si="1215"/>
        <v>0.41767352012277437</v>
      </c>
      <c r="AI927" s="77">
        <f t="shared" ca="1" si="1216"/>
        <v>1.0854675287712704E-2</v>
      </c>
      <c r="AJ927" s="384">
        <f t="shared" ca="1" si="1218"/>
        <v>2.9334528125428694E-2</v>
      </c>
      <c r="AU927" s="1"/>
    </row>
    <row r="928" spans="3:47" x14ac:dyDescent="0.25">
      <c r="C928" s="10">
        <f t="shared" si="1154"/>
        <v>69</v>
      </c>
      <c r="D928" s="91">
        <f t="shared" si="1226"/>
        <v>10</v>
      </c>
      <c r="E928" s="278"/>
      <c r="F928" s="76">
        <f t="shared" ref="F928:Q928" ca="1" si="1238">F856</f>
        <v>10.24</v>
      </c>
      <c r="G928" s="46">
        <f t="shared" ca="1" si="1238"/>
        <v>27.012600000000003</v>
      </c>
      <c r="H928" s="46">
        <f t="shared" ca="1" si="1202"/>
        <v>28.517550000000004</v>
      </c>
      <c r="I928" s="45">
        <f t="shared" ca="1" si="1203"/>
        <v>0.49116850915432075</v>
      </c>
      <c r="J928" s="45">
        <f t="shared" ca="1" si="1204"/>
        <v>0.27952512346894071</v>
      </c>
      <c r="K928" s="45">
        <f t="shared" ca="1" si="1220"/>
        <v>0.90345467800480783</v>
      </c>
      <c r="L928" s="358">
        <f t="shared" ca="1" si="1205"/>
        <v>0.72269796343841763</v>
      </c>
      <c r="M928" s="76">
        <f t="shared" ca="1" si="1238"/>
        <v>0.25347808785320641</v>
      </c>
      <c r="N928" s="45">
        <f t="shared" ca="1" si="1238"/>
        <v>0.25</v>
      </c>
      <c r="O928" s="45">
        <f t="shared" ca="1" si="1238"/>
        <v>0</v>
      </c>
      <c r="P928" s="46" t="str">
        <f t="shared" ca="1" si="1238"/>
        <v/>
      </c>
      <c r="Q928" s="243" t="str">
        <f t="shared" ca="1" si="1238"/>
        <v/>
      </c>
      <c r="R928" s="45">
        <f t="shared" ca="1" si="1221"/>
        <v>9.2937063562773911E-2</v>
      </c>
      <c r="S928" s="45">
        <f t="shared" ca="1" si="1156"/>
        <v>5.0695617570641283E-2</v>
      </c>
      <c r="T928" s="77">
        <f t="shared" ca="1" si="1206"/>
        <v>3.1216606232968552E-2</v>
      </c>
      <c r="U928" s="45">
        <f t="shared" ca="1" si="1222"/>
        <v>17.082085216551128</v>
      </c>
      <c r="V928" s="45">
        <f t="shared" ca="1" si="1207"/>
        <v>0.20278247028256513</v>
      </c>
      <c r="W928" s="77">
        <f t="shared" ca="1" si="1208"/>
        <v>0.2084720027636463</v>
      </c>
      <c r="X928" s="45">
        <f t="shared" ca="1" si="1223"/>
        <v>1.0332167033935618</v>
      </c>
      <c r="Y928" s="45">
        <f t="shared" ca="1" si="1209"/>
        <v>2.4683276906110559E-2</v>
      </c>
      <c r="Z928" s="77">
        <f t="shared" ca="1" si="1210"/>
        <v>2.753795934491601E-2</v>
      </c>
      <c r="AA928" s="45">
        <f t="shared" ca="1" si="1224"/>
        <v>39.207561950120692</v>
      </c>
      <c r="AB928" s="45">
        <f t="shared" ca="1" si="1211"/>
        <v>0</v>
      </c>
      <c r="AC928" s="45" cm="1">
        <f t="array" aca="1" ref="AC928" ca="1">pHUM*(T928+W928+Z928+AD928)</f>
        <v>2.9039149301306539E-2</v>
      </c>
      <c r="AD928" s="77">
        <f t="shared" ca="1" si="1212"/>
        <v>3.2082732769378335E-2</v>
      </c>
      <c r="AE928" s="45">
        <f t="shared" ca="1" si="1225"/>
        <v>6.3847072090583081</v>
      </c>
      <c r="AF928" s="45">
        <f t="shared" ca="1" si="1213"/>
        <v>0</v>
      </c>
      <c r="AG928" s="76">
        <f t="shared" ca="1" si="1214"/>
        <v>63.800508142686468</v>
      </c>
      <c r="AH928" s="45">
        <f t="shared" ca="1" si="1215"/>
        <v>0.24558687490349213</v>
      </c>
      <c r="AI928" s="77">
        <f t="shared" ca="1" si="1216"/>
        <v>1.091463549167173E-2</v>
      </c>
      <c r="AJ928" s="384">
        <f t="shared" ca="1" si="1218"/>
        <v>2.5154299692328186E-2</v>
      </c>
      <c r="AU928" s="1"/>
    </row>
    <row r="929" spans="3:47" x14ac:dyDescent="0.25">
      <c r="C929" s="10">
        <f t="shared" si="1154"/>
        <v>69</v>
      </c>
      <c r="D929" s="91">
        <f t="shared" si="1226"/>
        <v>11</v>
      </c>
      <c r="E929" s="278"/>
      <c r="F929" s="76">
        <f t="shared" ref="F929:Q929" ca="1" si="1239">F857</f>
        <v>1.6</v>
      </c>
      <c r="G929" s="46">
        <f t="shared" ca="1" si="1239"/>
        <v>27.012600000000003</v>
      </c>
      <c r="H929" s="46">
        <f t="shared" ca="1" si="1202"/>
        <v>28.517550000000004</v>
      </c>
      <c r="I929" s="45">
        <f t="shared" ca="1" si="1203"/>
        <v>9.9319080037688343E-2</v>
      </c>
      <c r="J929" s="45">
        <f t="shared" ca="1" si="1204"/>
        <v>0.27952512346894071</v>
      </c>
      <c r="K929" s="45">
        <f t="shared" ca="1" si="1220"/>
        <v>0.90345467800480783</v>
      </c>
      <c r="L929" s="358">
        <f t="shared" ca="1" si="1205"/>
        <v>0.41844375967031366</v>
      </c>
      <c r="M929" s="76">
        <f t="shared" ca="1" si="1239"/>
        <v>0.25347808785320641</v>
      </c>
      <c r="N929" s="45">
        <f t="shared" ca="1" si="1239"/>
        <v>0.25</v>
      </c>
      <c r="O929" s="45">
        <f t="shared" ca="1" si="1239"/>
        <v>0</v>
      </c>
      <c r="P929" s="46" t="str">
        <f t="shared" ca="1" si="1239"/>
        <v/>
      </c>
      <c r="Q929" s="243" t="str">
        <f t="shared" ca="1" si="1239"/>
        <v/>
      </c>
      <c r="R929" s="45">
        <f t="shared" ca="1" si="1221"/>
        <v>0.11241607490044665</v>
      </c>
      <c r="S929" s="45">
        <f t="shared" ca="1" si="1156"/>
        <v>5.0695617570641283E-2</v>
      </c>
      <c r="T929" s="77">
        <f t="shared" ca="1" si="1206"/>
        <v>8.9295880519691829E-3</v>
      </c>
      <c r="U929" s="45">
        <f t="shared" ca="1" si="1222"/>
        <v>17.076395684070047</v>
      </c>
      <c r="V929" s="45">
        <f t="shared" ca="1" si="1207"/>
        <v>0.20278247028256513</v>
      </c>
      <c r="W929" s="77">
        <f t="shared" ca="1" si="1208"/>
        <v>4.2347701800981054E-2</v>
      </c>
      <c r="X929" s="45">
        <f t="shared" ca="1" si="1223"/>
        <v>1.0303620209547562</v>
      </c>
      <c r="Y929" s="45">
        <f t="shared" ca="1" si="1209"/>
        <v>5.2267384313048641E-3</v>
      </c>
      <c r="Z929" s="77">
        <f t="shared" ca="1" si="1210"/>
        <v>5.6130586787803954E-3</v>
      </c>
      <c r="AA929" s="45">
        <f t="shared" ca="1" si="1224"/>
        <v>39.204518366652621</v>
      </c>
      <c r="AB929" s="45">
        <f t="shared" ca="1" si="1211"/>
        <v>0</v>
      </c>
      <c r="AC929" s="45" cm="1">
        <f t="array" aca="1" ref="AC929" ca="1">pHUM*(T929+W929+Z929+AD929)</f>
        <v>6.1491040368292513E-3</v>
      </c>
      <c r="AD929" s="77">
        <f t="shared" ca="1" si="1212"/>
        <v>6.4890574083333987E-3</v>
      </c>
      <c r="AE929" s="45">
        <f t="shared" ca="1" si="1225"/>
        <v>6.3847072090583081</v>
      </c>
      <c r="AF929" s="45">
        <f t="shared" ca="1" si="1213"/>
        <v>0</v>
      </c>
      <c r="AG929" s="76">
        <f t="shared" ca="1" si="1214"/>
        <v>63.808399355636176</v>
      </c>
      <c r="AH929" s="45">
        <f t="shared" ca="1" si="1215"/>
        <v>5.2003563471929914E-2</v>
      </c>
      <c r="AI929" s="77">
        <f t="shared" ca="1" si="1216"/>
        <v>1.1190515719111907E-2</v>
      </c>
      <c r="AJ929" s="384">
        <f t="shared" ca="1" si="1218"/>
        <v>1.4932672787626444E-2</v>
      </c>
      <c r="AU929" s="1"/>
    </row>
    <row r="930" spans="3:47" x14ac:dyDescent="0.25">
      <c r="C930" s="10">
        <f t="shared" si="1154"/>
        <v>69</v>
      </c>
      <c r="D930" s="91">
        <f t="shared" si="1226"/>
        <v>12</v>
      </c>
      <c r="E930" s="278"/>
      <c r="F930" s="76">
        <f t="shared" ref="F930:Q930" ca="1" si="1240">F858</f>
        <v>-3.59</v>
      </c>
      <c r="G930" s="46">
        <f t="shared" ca="1" si="1240"/>
        <v>27.012600000000003</v>
      </c>
      <c r="H930" s="46">
        <f t="shared" ca="1" si="1202"/>
        <v>28.517550000000004</v>
      </c>
      <c r="I930" s="45">
        <f t="shared" ca="1" si="1203"/>
        <v>1.5109209527995384E-2</v>
      </c>
      <c r="J930" s="45">
        <f t="shared" ca="1" si="1204"/>
        <v>0.27952512346894071</v>
      </c>
      <c r="K930" s="45">
        <f t="shared" ca="1" si="1220"/>
        <v>0.90345467800480783</v>
      </c>
      <c r="L930" s="358">
        <f t="shared" ca="1" si="1205"/>
        <v>0.24908644075501707</v>
      </c>
      <c r="M930" s="76">
        <f t="shared" ca="1" si="1240"/>
        <v>0.25347808785320641</v>
      </c>
      <c r="N930" s="45">
        <f t="shared" ca="1" si="1240"/>
        <v>0.25</v>
      </c>
      <c r="O930" s="45">
        <f t="shared" ca="1" si="1240"/>
        <v>0</v>
      </c>
      <c r="P930" s="46" t="str">
        <f t="shared" ca="1" si="1240"/>
        <v/>
      </c>
      <c r="Q930" s="243" t="str">
        <f t="shared" ca="1" si="1240"/>
        <v/>
      </c>
      <c r="R930" s="45">
        <f t="shared" ca="1" si="1221"/>
        <v>0.15418210441911873</v>
      </c>
      <c r="S930" s="45">
        <f t="shared" ca="1" si="1156"/>
        <v>5.0695617570641283E-2</v>
      </c>
      <c r="T930" s="77">
        <f t="shared" ca="1" si="1206"/>
        <v>1.9291377207575763E-3</v>
      </c>
      <c r="U930" s="45">
        <f t="shared" ca="1" si="1222"/>
        <v>17.236830452551629</v>
      </c>
      <c r="V930" s="45">
        <f t="shared" ca="1" si="1207"/>
        <v>0.20278247028256513</v>
      </c>
      <c r="W930" s="77">
        <f t="shared" ca="1" si="1208"/>
        <v>6.5096425508381073E-3</v>
      </c>
      <c r="X930" s="45">
        <f t="shared" ca="1" si="1223"/>
        <v>1.0299757007072807</v>
      </c>
      <c r="Y930" s="45">
        <f t="shared" ca="1" si="1209"/>
        <v>8.4789485505676538E-4</v>
      </c>
      <c r="Z930" s="77">
        <f t="shared" ca="1" si="1210"/>
        <v>8.5556098927272147E-4</v>
      </c>
      <c r="AA930" s="45">
        <f t="shared" ca="1" si="1224"/>
        <v>39.20417841328112</v>
      </c>
      <c r="AB930" s="45">
        <f t="shared" ca="1" si="1211"/>
        <v>0</v>
      </c>
      <c r="AC930" s="45" cm="1">
        <f t="array" aca="1" ref="AC930" ca="1">pHUM*(T930+W930+Z930+AD930)</f>
        <v>9.9752335889031216E-4</v>
      </c>
      <c r="AD930" s="77">
        <f t="shared" ca="1" si="1212"/>
        <v>9.872278131207125E-4</v>
      </c>
      <c r="AE930" s="45">
        <f t="shared" ca="1" si="1225"/>
        <v>6.3847072090583081</v>
      </c>
      <c r="AF930" s="45">
        <f t="shared" ca="1" si="1213"/>
        <v>0</v>
      </c>
      <c r="AG930" s="76">
        <f t="shared" ca="1" si="1214"/>
        <v>64.009873880017452</v>
      </c>
      <c r="AH930" s="45">
        <f t="shared" ca="1" si="1215"/>
        <v>8.436150860042041E-3</v>
      </c>
      <c r="AI930" s="77">
        <f t="shared" ca="1" si="1216"/>
        <v>1.1824604571035255E-2</v>
      </c>
      <c r="AJ930" s="384">
        <f t="shared" ca="1" si="1218"/>
        <v>9.392675850543597E-3</v>
      </c>
      <c r="AU930" s="1"/>
    </row>
    <row r="931" spans="3:47" x14ac:dyDescent="0.25">
      <c r="C931" s="10">
        <f t="shared" si="1154"/>
        <v>70</v>
      </c>
      <c r="D931" s="91">
        <f t="shared" si="1226"/>
        <v>1</v>
      </c>
      <c r="E931" s="278"/>
      <c r="F931" s="76">
        <f t="shared" ref="F931:Q931" ca="1" si="1241">F859</f>
        <v>-7.32</v>
      </c>
      <c r="G931" s="46">
        <f t="shared" ca="1" si="1241"/>
        <v>27.012600000000003</v>
      </c>
      <c r="H931" s="46">
        <f t="shared" ca="1" si="1202"/>
        <v>28.517550000000004</v>
      </c>
      <c r="I931" s="45">
        <f t="shared" ca="1" si="1203"/>
        <v>1.2903599790233234E-3</v>
      </c>
      <c r="J931" s="45">
        <f t="shared" ca="1" si="1204"/>
        <v>0.27952512346894071</v>
      </c>
      <c r="K931" s="45">
        <f t="shared" ca="1" si="1220"/>
        <v>0.90345467800480783</v>
      </c>
      <c r="L931" s="358">
        <f t="shared" ca="1" si="1205"/>
        <v>0.15974615302556239</v>
      </c>
      <c r="M931" s="76">
        <f t="shared" ca="1" si="1241"/>
        <v>0.25347808785320641</v>
      </c>
      <c r="N931" s="45">
        <f t="shared" ca="1" si="1241"/>
        <v>0.25</v>
      </c>
      <c r="O931" s="45">
        <f t="shared" ca="1" si="1241"/>
        <v>0</v>
      </c>
      <c r="P931" s="46" t="str">
        <f t="shared" ca="1" si="1241"/>
        <v/>
      </c>
      <c r="Q931" s="243" t="str">
        <f t="shared" ca="1" si="1241"/>
        <v/>
      </c>
      <c r="R931" s="45">
        <f t="shared" ca="1" si="1221"/>
        <v>0.20294858426900242</v>
      </c>
      <c r="S931" s="45">
        <f t="shared" ca="1" si="1156"/>
        <v>5.0695617570641283E-2</v>
      </c>
      <c r="T931" s="77">
        <f t="shared" ca="1" si="1206"/>
        <v>2.1811331947600471E-4</v>
      </c>
      <c r="U931" s="45">
        <f t="shared" ca="1" si="1222"/>
        <v>17.433103280283355</v>
      </c>
      <c r="V931" s="45">
        <f t="shared" ca="1" si="1207"/>
        <v>0.20278247028256513</v>
      </c>
      <c r="W931" s="77">
        <f t="shared" ca="1" si="1208"/>
        <v>5.6236539885528409E-4</v>
      </c>
      <c r="X931" s="45">
        <f t="shared" ca="1" si="1223"/>
        <v>1.0299680345730649</v>
      </c>
      <c r="Y931" s="45">
        <f t="shared" ca="1" si="1209"/>
        <v>7.7345006124670838E-5</v>
      </c>
      <c r="Z931" s="77">
        <f t="shared" ca="1" si="1210"/>
        <v>7.3094030466740908E-5</v>
      </c>
      <c r="AA931" s="45">
        <f t="shared" ca="1" si="1224"/>
        <v>39.204188708826891</v>
      </c>
      <c r="AB931" s="45">
        <f t="shared" ca="1" si="1211"/>
        <v>0</v>
      </c>
      <c r="AC931" s="45" cm="1">
        <f t="array" aca="1" ref="AC931" ca="1">pHUM*(T931+W931+Z931+AD931)</f>
        <v>9.0994124852553931E-5</v>
      </c>
      <c r="AD931" s="77">
        <f t="shared" ca="1" si="1212"/>
        <v>8.4312436206041599E-5</v>
      </c>
      <c r="AE931" s="45">
        <f t="shared" ca="1" si="1225"/>
        <v>6.3847072090583081</v>
      </c>
      <c r="AF931" s="45">
        <f t="shared" ca="1" si="1213"/>
        <v>0</v>
      </c>
      <c r="AG931" s="76">
        <f t="shared" ca="1" si="1214"/>
        <v>64.254915817010627</v>
      </c>
      <c r="AH931" s="45">
        <f t="shared" ca="1" si="1215"/>
        <v>7.6954605402684655E-4</v>
      </c>
      <c r="AI931" s="77">
        <f t="shared" ca="1" si="1216"/>
        <v>1.2561557598179958E-2</v>
      </c>
      <c r="AJ931" s="384">
        <f t="shared" ca="1" si="1218"/>
        <v>6.3992304496163221E-3</v>
      </c>
      <c r="AU931" s="1"/>
    </row>
    <row r="932" spans="3:47" x14ac:dyDescent="0.25">
      <c r="C932" s="10">
        <f t="shared" si="1154"/>
        <v>70</v>
      </c>
      <c r="D932" s="91">
        <f t="shared" si="1226"/>
        <v>2</v>
      </c>
      <c r="E932" s="278"/>
      <c r="F932" s="76">
        <f t="shared" ref="F932:Q932" ca="1" si="1242">F860</f>
        <v>-7.56</v>
      </c>
      <c r="G932" s="46">
        <f t="shared" ca="1" si="1242"/>
        <v>27.012600000000003</v>
      </c>
      <c r="H932" s="46">
        <f t="shared" ca="1" si="1202"/>
        <v>28.517550000000004</v>
      </c>
      <c r="I932" s="45">
        <f t="shared" ca="1" si="1203"/>
        <v>1.0386103497602255E-3</v>
      </c>
      <c r="J932" s="45">
        <f t="shared" ca="1" si="1204"/>
        <v>0.27952512346894071</v>
      </c>
      <c r="K932" s="45">
        <f t="shared" ca="1" si="1220"/>
        <v>0.90345467800480783</v>
      </c>
      <c r="L932" s="358">
        <f t="shared" ca="1" si="1205"/>
        <v>0.15499691161362872</v>
      </c>
      <c r="M932" s="76">
        <f t="shared" ca="1" si="1242"/>
        <v>0.25347808785320641</v>
      </c>
      <c r="N932" s="45">
        <f t="shared" ca="1" si="1242"/>
        <v>0.25</v>
      </c>
      <c r="O932" s="45">
        <f t="shared" ca="1" si="1242"/>
        <v>0</v>
      </c>
      <c r="P932" s="46" t="str">
        <f t="shared" ca="1" si="1242"/>
        <v/>
      </c>
      <c r="Q932" s="243" t="str">
        <f t="shared" ca="1" si="1242"/>
        <v/>
      </c>
      <c r="R932" s="45">
        <f t="shared" ca="1" si="1221"/>
        <v>0.25342608852016768</v>
      </c>
      <c r="S932" s="45">
        <f t="shared" ca="1" si="1156"/>
        <v>5.0695617570641283E-2</v>
      </c>
      <c r="T932" s="77">
        <f t="shared" ca="1" si="1206"/>
        <v>2.1924757134496564E-4</v>
      </c>
      <c r="U932" s="45">
        <f t="shared" ca="1" si="1222"/>
        <v>17.635323385167062</v>
      </c>
      <c r="V932" s="45">
        <f t="shared" ca="1" si="1207"/>
        <v>0.20278247028256513</v>
      </c>
      <c r="W932" s="77">
        <f t="shared" ca="1" si="1208"/>
        <v>4.5789978996183743E-4</v>
      </c>
      <c r="X932" s="45">
        <f t="shared" ca="1" si="1223"/>
        <v>1.0299722855487228</v>
      </c>
      <c r="Y932" s="45">
        <f t="shared" ca="1" si="1209"/>
        <v>6.6291007893162868E-5</v>
      </c>
      <c r="Z932" s="77">
        <f t="shared" ca="1" si="1210"/>
        <v>5.8834012745130302E-5</v>
      </c>
      <c r="AA932" s="45">
        <f t="shared" ca="1" si="1224"/>
        <v>39.204195390515537</v>
      </c>
      <c r="AB932" s="45">
        <f t="shared" ca="1" si="1211"/>
        <v>0</v>
      </c>
      <c r="AC932" s="45" cm="1">
        <f t="array" aca="1" ref="AC932" ca="1">pHUM*(T932+W932+Z932+AD932)</f>
        <v>7.7989421050779842E-5</v>
      </c>
      <c r="AD932" s="77">
        <f t="shared" ca="1" si="1212"/>
        <v>6.7863079742141544E-5</v>
      </c>
      <c r="AE932" s="45">
        <f t="shared" ca="1" si="1225"/>
        <v>6.3847072090583081</v>
      </c>
      <c r="AF932" s="45">
        <f t="shared" ca="1" si="1213"/>
        <v>0</v>
      </c>
      <c r="AG932" s="76">
        <f t="shared" ca="1" si="1214"/>
        <v>64.507624358809792</v>
      </c>
      <c r="AH932" s="45">
        <f t="shared" ca="1" si="1215"/>
        <v>6.5956402485013222E-4</v>
      </c>
      <c r="AI932" s="77">
        <f t="shared" ca="1" si="1216"/>
        <v>1.3317643556861027E-2</v>
      </c>
      <c r="AJ932" s="384">
        <f t="shared" ca="1" si="1218"/>
        <v>6.5827021429931687E-3</v>
      </c>
      <c r="AU932" s="1"/>
    </row>
    <row r="933" spans="3:47" x14ac:dyDescent="0.25">
      <c r="C933" s="10">
        <f t="shared" ref="C933:C996" si="1243">IF(D933=1,C932+1,C932)</f>
        <v>70</v>
      </c>
      <c r="D933" s="91">
        <f t="shared" si="1226"/>
        <v>3</v>
      </c>
      <c r="E933" s="278"/>
      <c r="F933" s="76">
        <f t="shared" ref="F933:Q933" ca="1" si="1244">F861</f>
        <v>-3.72</v>
      </c>
      <c r="G933" s="46">
        <f t="shared" ca="1" si="1244"/>
        <v>27.012600000000003</v>
      </c>
      <c r="H933" s="46">
        <f t="shared" ca="1" si="1202"/>
        <v>28.517550000000004</v>
      </c>
      <c r="I933" s="45">
        <f t="shared" ca="1" si="1203"/>
        <v>1.416534540335657E-2</v>
      </c>
      <c r="J933" s="45">
        <f t="shared" ca="1" si="1204"/>
        <v>0.27952512346894071</v>
      </c>
      <c r="K933" s="45">
        <f t="shared" ca="1" si="1220"/>
        <v>0.90345467800480783</v>
      </c>
      <c r="L933" s="358">
        <f t="shared" ca="1" si="1205"/>
        <v>0.24547574864616473</v>
      </c>
      <c r="M933" s="76">
        <f t="shared" ca="1" si="1244"/>
        <v>0.25347808785320641</v>
      </c>
      <c r="N933" s="45">
        <f t="shared" ca="1" si="1244"/>
        <v>0.25</v>
      </c>
      <c r="O933" s="45">
        <f t="shared" ca="1" si="1244"/>
        <v>0</v>
      </c>
      <c r="P933" s="46" t="str">
        <f t="shared" ca="1" si="1244"/>
        <v/>
      </c>
      <c r="Q933" s="243" t="str">
        <f t="shared" ca="1" si="1244"/>
        <v/>
      </c>
      <c r="R933" s="45">
        <f t="shared" ca="1" si="1221"/>
        <v>0.30390245851946401</v>
      </c>
      <c r="S933" s="45">
        <f t="shared" ref="S933:S996" ca="1" si="1245">M933*N933/(1+N933) +   IF(O933&gt;0,O933*P933*(1-Q933)/(1+P933),0)</f>
        <v>5.0695617570641283E-2</v>
      </c>
      <c r="T933" s="77">
        <f t="shared" ca="1" si="1206"/>
        <v>3.5663121478739478E-3</v>
      </c>
      <c r="U933" s="45">
        <f t="shared" ca="1" si="1222"/>
        <v>17.837647955659666</v>
      </c>
      <c r="V933" s="45">
        <f t="shared" ca="1" si="1207"/>
        <v>0.20278247028256513</v>
      </c>
      <c r="W933" s="77">
        <f t="shared" ca="1" si="1208"/>
        <v>6.3157927285608954E-3</v>
      </c>
      <c r="X933" s="45">
        <f t="shared" ca="1" si="1223"/>
        <v>1.0299797425438708</v>
      </c>
      <c r="Y933" s="45">
        <f t="shared" ca="1" si="1209"/>
        <v>9.5743076381329321E-4</v>
      </c>
      <c r="Z933" s="77">
        <f t="shared" ca="1" si="1210"/>
        <v>8.0213852340939328E-4</v>
      </c>
      <c r="AA933" s="45">
        <f t="shared" ca="1" si="1224"/>
        <v>39.204205516856845</v>
      </c>
      <c r="AB933" s="45">
        <f t="shared" ca="1" si="1211"/>
        <v>0</v>
      </c>
      <c r="AC933" s="45" cm="1">
        <f t="array" aca="1" ref="AC933" ca="1">pHUM*(T933+W933+Z933+AD933)</f>
        <v>1.1263891338979921E-3</v>
      </c>
      <c r="AD933" s="77">
        <f t="shared" ca="1" si="1212"/>
        <v>9.2555759493771577E-4</v>
      </c>
      <c r="AE933" s="45">
        <f t="shared" ca="1" si="1225"/>
        <v>6.3847072090583081</v>
      </c>
      <c r="AF933" s="45">
        <f t="shared" ca="1" si="1213"/>
        <v>0</v>
      </c>
      <c r="AG933" s="76">
        <f t="shared" ca="1" si="1214"/>
        <v>64.760442882638159</v>
      </c>
      <c r="AH933" s="45">
        <f t="shared" ca="1" si="1215"/>
        <v>9.5259810970706685E-3</v>
      </c>
      <c r="AI933" s="77">
        <f t="shared" ca="1" si="1216"/>
        <v>1.4067188473949744E-2</v>
      </c>
      <c r="AJ933" s="384">
        <f t="shared" ca="1" si="1218"/>
        <v>1.1012041955470453E-2</v>
      </c>
      <c r="AU933" s="1"/>
    </row>
    <row r="934" spans="3:47" x14ac:dyDescent="0.25">
      <c r="C934" s="10">
        <f t="shared" si="1243"/>
        <v>70</v>
      </c>
      <c r="D934" s="91">
        <f t="shared" si="1226"/>
        <v>4</v>
      </c>
      <c r="E934" s="278"/>
      <c r="F934" s="76">
        <f t="shared" ref="F934:Q934" ca="1" si="1246">F862</f>
        <v>5.88</v>
      </c>
      <c r="G934" s="46">
        <f t="shared" ca="1" si="1246"/>
        <v>27.012600000000003</v>
      </c>
      <c r="H934" s="46">
        <f t="shared" ca="1" si="1202"/>
        <v>28.517550000000004</v>
      </c>
      <c r="I934" s="45">
        <f t="shared" ca="1" si="1203"/>
        <v>0.2538659245156123</v>
      </c>
      <c r="J934" s="45">
        <f t="shared" ca="1" si="1204"/>
        <v>0.27952512346894071</v>
      </c>
      <c r="K934" s="45">
        <f t="shared" ca="1" si="1220"/>
        <v>0.90345467800480783</v>
      </c>
      <c r="L934" s="358">
        <f t="shared" ca="1" si="1205"/>
        <v>0.57663575359475594</v>
      </c>
      <c r="M934" s="76">
        <f t="shared" ca="1" si="1246"/>
        <v>0.25347808785320641</v>
      </c>
      <c r="N934" s="45">
        <f t="shared" ca="1" si="1246"/>
        <v>0.25</v>
      </c>
      <c r="O934" s="45">
        <f t="shared" ca="1" si="1246"/>
        <v>0</v>
      </c>
      <c r="P934" s="46" t="str">
        <f t="shared" ca="1" si="1246"/>
        <v/>
      </c>
      <c r="Q934" s="243" t="str">
        <f t="shared" ca="1" si="1246"/>
        <v/>
      </c>
      <c r="R934" s="45">
        <f t="shared" ca="1" si="1221"/>
        <v>0.35103176394223135</v>
      </c>
      <c r="S934" s="45">
        <f t="shared" ca="1" si="1245"/>
        <v>5.0695617570641283E-2</v>
      </c>
      <c r="T934" s="77">
        <f t="shared" ca="1" si="1206"/>
        <v>6.6933045521027232E-2</v>
      </c>
      <c r="U934" s="45">
        <f t="shared" ca="1" si="1222"/>
        <v>18.034114633213669</v>
      </c>
      <c r="V934" s="45">
        <f t="shared" ca="1" si="1207"/>
        <v>0.20278247028256513</v>
      </c>
      <c r="W934" s="77">
        <f t="shared" ca="1" si="1208"/>
        <v>0.11409374022015412</v>
      </c>
      <c r="X934" s="45">
        <f t="shared" ca="1" si="1223"/>
        <v>1.0301350347842748</v>
      </c>
      <c r="Y934" s="45">
        <f t="shared" ca="1" si="1209"/>
        <v>1.7474399674997469E-2</v>
      </c>
      <c r="Z934" s="77">
        <f t="shared" ca="1" si="1210"/>
        <v>1.4283440842322317E-2</v>
      </c>
      <c r="AA934" s="45">
        <f t="shared" ca="1" si="1224"/>
        <v>39.204406348395807</v>
      </c>
      <c r="AB934" s="45">
        <f t="shared" ca="1" si="1211"/>
        <v>0</v>
      </c>
      <c r="AC934" s="45" cm="1">
        <f t="array" aca="1" ref="AC934" ca="1">pHUM*(T934+W934+Z934+AD934)</f>
        <v>2.0558117264702903E-2</v>
      </c>
      <c r="AD934" s="77">
        <f t="shared" ca="1" si="1212"/>
        <v>1.6584262707802597E-2</v>
      </c>
      <c r="AE934" s="45">
        <f t="shared" ca="1" si="1225"/>
        <v>6.3847072090583081</v>
      </c>
      <c r="AF934" s="45">
        <f t="shared" ca="1" si="1213"/>
        <v>0</v>
      </c>
      <c r="AG934" s="76">
        <f t="shared" ca="1" si="1214"/>
        <v>65.004394989394285</v>
      </c>
      <c r="AH934" s="45">
        <f t="shared" ca="1" si="1215"/>
        <v>0.17386197235160591</v>
      </c>
      <c r="AI934" s="77">
        <f t="shared" ca="1" si="1216"/>
        <v>1.4762573338593493E-2</v>
      </c>
      <c r="AJ934" s="384">
        <f t="shared" ca="1" si="1218"/>
        <v>2.7146196117051602E-2</v>
      </c>
      <c r="AU934" s="1"/>
    </row>
    <row r="935" spans="3:47" x14ac:dyDescent="0.25">
      <c r="C935" s="10">
        <f t="shared" si="1243"/>
        <v>70</v>
      </c>
      <c r="D935" s="91">
        <f t="shared" si="1226"/>
        <v>5</v>
      </c>
      <c r="E935" s="278"/>
      <c r="F935" s="76">
        <f t="shared" ref="F935:Q935" ca="1" si="1247">F863</f>
        <v>13.3</v>
      </c>
      <c r="G935" s="46">
        <f t="shared" ca="1" si="1247"/>
        <v>27.012600000000003</v>
      </c>
      <c r="H935" s="46">
        <f t="shared" ca="1" si="1202"/>
        <v>28.517550000000004</v>
      </c>
      <c r="I935" s="45">
        <f t="shared" ca="1" si="1203"/>
        <v>0.69725265541392489</v>
      </c>
      <c r="J935" s="45">
        <f t="shared" ca="1" si="1204"/>
        <v>0.27952512346894071</v>
      </c>
      <c r="K935" s="45">
        <f t="shared" ca="1" si="1220"/>
        <v>0.90345467800480783</v>
      </c>
      <c r="L935" s="358">
        <f t="shared" ca="1" si="1205"/>
        <v>0.80399103068855049</v>
      </c>
      <c r="M935" s="76">
        <f t="shared" ca="1" si="1247"/>
        <v>0.25347808785320641</v>
      </c>
      <c r="N935" s="45">
        <f t="shared" ca="1" si="1247"/>
        <v>0.25</v>
      </c>
      <c r="O935" s="45">
        <f t="shared" ca="1" si="1247"/>
        <v>0</v>
      </c>
      <c r="P935" s="46" t="str">
        <f t="shared" ca="1" si="1247"/>
        <v/>
      </c>
      <c r="Q935" s="243" t="str">
        <f t="shared" ca="1" si="1247"/>
        <v/>
      </c>
      <c r="R935" s="45">
        <f t="shared" ca="1" si="1221"/>
        <v>0.33479433599184538</v>
      </c>
      <c r="S935" s="45">
        <f t="shared" ca="1" si="1245"/>
        <v>5.0695617570641283E-2</v>
      </c>
      <c r="T935" s="77">
        <f t="shared" ca="1" si="1206"/>
        <v>0.14753910809057297</v>
      </c>
      <c r="U935" s="45">
        <f t="shared" ca="1" si="1222"/>
        <v>18.122803363276077</v>
      </c>
      <c r="V935" s="45">
        <f t="shared" ca="1" si="1207"/>
        <v>0.20278247028256513</v>
      </c>
      <c r="W935" s="77">
        <f t="shared" ca="1" si="1208"/>
        <v>0.31316693363568465</v>
      </c>
      <c r="X935" s="45">
        <f t="shared" ca="1" si="1223"/>
        <v>1.0333259936169501</v>
      </c>
      <c r="Y935" s="45">
        <f t="shared" ca="1" si="1209"/>
        <v>4.4954648886590683E-2</v>
      </c>
      <c r="Z935" s="77">
        <f t="shared" ca="1" si="1210"/>
        <v>3.8876707361759209E-2</v>
      </c>
      <c r="AA935" s="45">
        <f t="shared" ca="1" si="1224"/>
        <v>39.208380202952711</v>
      </c>
      <c r="AB935" s="45">
        <f t="shared" ca="1" si="1211"/>
        <v>0</v>
      </c>
      <c r="AC935" s="45" cm="1">
        <f t="array" aca="1" ref="AC935" ca="1">pHUM*(T935+W935+Z935+AD935)</f>
        <v>5.2887822219518446E-2</v>
      </c>
      <c r="AD935" s="77">
        <f t="shared" ca="1" si="1212"/>
        <v>4.5537114498684826E-2</v>
      </c>
      <c r="AE935" s="45">
        <f t="shared" ca="1" si="1225"/>
        <v>6.3847072090583081</v>
      </c>
      <c r="AF935" s="45">
        <f t="shared" ca="1" si="1213"/>
        <v>0</v>
      </c>
      <c r="AG935" s="76">
        <f t="shared" ca="1" si="1214"/>
        <v>65.084011104895893</v>
      </c>
      <c r="AH935" s="45">
        <f t="shared" ca="1" si="1215"/>
        <v>0.44727739248059251</v>
      </c>
      <c r="AI935" s="77">
        <f t="shared" ca="1" si="1216"/>
        <v>1.4552908422528476E-2</v>
      </c>
      <c r="AJ935" s="384">
        <f t="shared" ca="1" si="1218"/>
        <v>3.7311454781121522E-2</v>
      </c>
      <c r="AU935" s="1"/>
    </row>
    <row r="936" spans="3:47" x14ac:dyDescent="0.25">
      <c r="C936" s="10">
        <f t="shared" si="1243"/>
        <v>70</v>
      </c>
      <c r="D936" s="91">
        <f t="shared" si="1226"/>
        <v>6</v>
      </c>
      <c r="E936" s="278"/>
      <c r="F936" s="76">
        <f t="shared" ref="F936:Q936" ca="1" si="1248">F864</f>
        <v>18.579999999999998</v>
      </c>
      <c r="G936" s="46">
        <f t="shared" ca="1" si="1248"/>
        <v>27.012600000000003</v>
      </c>
      <c r="H936" s="46">
        <f t="shared" ca="1" si="1202"/>
        <v>28.517550000000004</v>
      </c>
      <c r="I936" s="45">
        <f t="shared" ca="1" si="1203"/>
        <v>1.1053966357180092</v>
      </c>
      <c r="J936" s="45">
        <f t="shared" ca="1" si="1204"/>
        <v>0.27952512346894071</v>
      </c>
      <c r="K936" s="45">
        <f t="shared" ca="1" si="1220"/>
        <v>0.90345467800480783</v>
      </c>
      <c r="L936" s="358">
        <f t="shared" ca="1" si="1205"/>
        <v>0.89864190578209513</v>
      </c>
      <c r="M936" s="76">
        <f t="shared" ca="1" si="1248"/>
        <v>0.25347808785320641</v>
      </c>
      <c r="N936" s="45">
        <f t="shared" ca="1" si="1248"/>
        <v>0.25</v>
      </c>
      <c r="O936" s="45">
        <f t="shared" ca="1" si="1248"/>
        <v>0</v>
      </c>
      <c r="P936" s="46" t="str">
        <f t="shared" ca="1" si="1248"/>
        <v/>
      </c>
      <c r="Q936" s="243" t="str">
        <f t="shared" ca="1" si="1248"/>
        <v/>
      </c>
      <c r="R936" s="45">
        <f t="shared" ca="1" si="1221"/>
        <v>0.2379508454719137</v>
      </c>
      <c r="S936" s="45">
        <f t="shared" ca="1" si="1245"/>
        <v>5.0695617570641283E-2</v>
      </c>
      <c r="T936" s="77">
        <f t="shared" ca="1" si="1206"/>
        <v>0.14323320525148991</v>
      </c>
      <c r="U936" s="45">
        <f t="shared" ca="1" si="1222"/>
        <v>18.012418899922956</v>
      </c>
      <c r="V936" s="45">
        <f t="shared" ca="1" si="1207"/>
        <v>0.20278247028256513</v>
      </c>
      <c r="W936" s="77">
        <f t="shared" ca="1" si="1208"/>
        <v>0.49095666383656228</v>
      </c>
      <c r="X936" s="45">
        <f t="shared" ca="1" si="1223"/>
        <v>1.0394039351417814</v>
      </c>
      <c r="Y936" s="45">
        <f t="shared" ca="1" si="1209"/>
        <v>6.330873523501919E-2</v>
      </c>
      <c r="Z936" s="77">
        <f t="shared" ca="1" si="1210"/>
        <v>6.1309843551554166E-2</v>
      </c>
      <c r="AA936" s="45">
        <f t="shared" ca="1" si="1224"/>
        <v>39.215730910673543</v>
      </c>
      <c r="AB936" s="45">
        <f t="shared" ca="1" si="1211"/>
        <v>0</v>
      </c>
      <c r="AC936" s="45" cm="1">
        <f t="array" aca="1" ref="AC936" ca="1">pHUM*(T936+W936+Z936+AD936)</f>
        <v>7.4480864982375522E-2</v>
      </c>
      <c r="AD936" s="77">
        <f t="shared" ca="1" si="1212"/>
        <v>7.2181716754325789E-2</v>
      </c>
      <c r="AE936" s="45">
        <f t="shared" ca="1" si="1225"/>
        <v>6.3847072090583081</v>
      </c>
      <c r="AF936" s="45">
        <f t="shared" ca="1" si="1213"/>
        <v>0</v>
      </c>
      <c r="AG936" s="76">
        <f t="shared" ca="1" si="1214"/>
        <v>64.890211800268503</v>
      </c>
      <c r="AH936" s="45">
        <f t="shared" ca="1" si="1215"/>
        <v>0.62989182917653752</v>
      </c>
      <c r="AI936" s="77">
        <f t="shared" ca="1" si="1216"/>
        <v>1.3180462540461698E-2</v>
      </c>
      <c r="AJ936" s="384">
        <f t="shared" ca="1" si="1218"/>
        <v>3.7770985133397383E-2</v>
      </c>
      <c r="AU936" s="1"/>
    </row>
    <row r="937" spans="3:47" x14ac:dyDescent="0.25">
      <c r="C937" s="10">
        <f t="shared" si="1243"/>
        <v>70</v>
      </c>
      <c r="D937" s="91">
        <f t="shared" si="1226"/>
        <v>7</v>
      </c>
      <c r="E937" s="278"/>
      <c r="F937" s="76">
        <f t="shared" ref="F937:Q937" ca="1" si="1249">F865</f>
        <v>20.88</v>
      </c>
      <c r="G937" s="46">
        <f t="shared" ca="1" si="1249"/>
        <v>27.012600000000003</v>
      </c>
      <c r="H937" s="46">
        <f t="shared" ca="1" si="1202"/>
        <v>28.517550000000004</v>
      </c>
      <c r="I937" s="45">
        <f t="shared" ca="1" si="1203"/>
        <v>1.2963209464812457</v>
      </c>
      <c r="J937" s="45">
        <f t="shared" ca="1" si="1204"/>
        <v>0.27952512346894071</v>
      </c>
      <c r="K937" s="45">
        <f t="shared" ca="1" si="1220"/>
        <v>0.90345467800480783</v>
      </c>
      <c r="L937" s="358">
        <f t="shared" ca="1" si="1205"/>
        <v>0.92456370800230281</v>
      </c>
      <c r="M937" s="76">
        <f t="shared" ca="1" si="1249"/>
        <v>0.25347808785320641</v>
      </c>
      <c r="N937" s="45">
        <f t="shared" ca="1" si="1249"/>
        <v>0.25</v>
      </c>
      <c r="O937" s="45">
        <f t="shared" ca="1" si="1249"/>
        <v>0</v>
      </c>
      <c r="P937" s="46" t="str">
        <f t="shared" ca="1" si="1249"/>
        <v/>
      </c>
      <c r="Q937" s="243" t="str">
        <f t="shared" ca="1" si="1249"/>
        <v/>
      </c>
      <c r="R937" s="45">
        <f t="shared" ca="1" si="1221"/>
        <v>0.14541325779106506</v>
      </c>
      <c r="S937" s="45">
        <f t="shared" ca="1" si="1245"/>
        <v>5.0695617570641283E-2</v>
      </c>
      <c r="T937" s="77">
        <f t="shared" ca="1" si="1206"/>
        <v>9.6044771709889135E-2</v>
      </c>
      <c r="U937" s="45">
        <f t="shared" ca="1" si="1222"/>
        <v>17.724244706368957</v>
      </c>
      <c r="V937" s="45">
        <f t="shared" ca="1" si="1207"/>
        <v>0.20278247028256513</v>
      </c>
      <c r="W937" s="77">
        <f t="shared" ca="1" si="1208"/>
        <v>0.56519977076140437</v>
      </c>
      <c r="X937" s="45">
        <f t="shared" ca="1" si="1223"/>
        <v>1.0414028268252464</v>
      </c>
      <c r="Y937" s="45">
        <f t="shared" ca="1" si="1209"/>
        <v>6.7421225327648937E-2</v>
      </c>
      <c r="Z937" s="77">
        <f t="shared" ca="1" si="1210"/>
        <v>7.1664466862752962E-2</v>
      </c>
      <c r="AA937" s="45">
        <f t="shared" ca="1" si="1224"/>
        <v>39.21803005890159</v>
      </c>
      <c r="AB937" s="45">
        <f t="shared" ca="1" si="1211"/>
        <v>0</v>
      </c>
      <c r="AC937" s="45" cm="1">
        <f t="array" aca="1" ref="AC937" ca="1">pHUM*(T937+W937+Z937+AD937)</f>
        <v>7.9319088620763464E-2</v>
      </c>
      <c r="AD937" s="77">
        <f t="shared" ca="1" si="1212"/>
        <v>8.4640455820803026E-2</v>
      </c>
      <c r="AE937" s="45">
        <f t="shared" ca="1" si="1225"/>
        <v>6.3847072090583081</v>
      </c>
      <c r="AF937" s="45">
        <f t="shared" ca="1" si="1213"/>
        <v>0</v>
      </c>
      <c r="AG937" s="76">
        <f t="shared" ca="1" si="1214"/>
        <v>64.51379805894517</v>
      </c>
      <c r="AH937" s="45">
        <f t="shared" ca="1" si="1215"/>
        <v>0.67080915120643714</v>
      </c>
      <c r="AI937" s="77">
        <f t="shared" ca="1" si="1216"/>
        <v>1.1817222002764895E-2</v>
      </c>
      <c r="AJ937" s="384">
        <f t="shared" ca="1" si="1218"/>
        <v>3.4841306406599992E-2</v>
      </c>
      <c r="AU937" s="1"/>
    </row>
    <row r="938" spans="3:47" x14ac:dyDescent="0.25">
      <c r="C938" s="10">
        <f t="shared" si="1243"/>
        <v>70</v>
      </c>
      <c r="D938" s="91">
        <f t="shared" si="1226"/>
        <v>8</v>
      </c>
      <c r="E938" s="278"/>
      <c r="F938" s="76">
        <f t="shared" ref="F938:Q938" ca="1" si="1250">F866</f>
        <v>19.38</v>
      </c>
      <c r="G938" s="46">
        <f t="shared" ca="1" si="1250"/>
        <v>27.012600000000003</v>
      </c>
      <c r="H938" s="46">
        <f t="shared" ca="1" si="1202"/>
        <v>28.517550000000004</v>
      </c>
      <c r="I938" s="45">
        <f t="shared" ca="1" si="1203"/>
        <v>1.1711755949831784</v>
      </c>
      <c r="J938" s="45">
        <f t="shared" ca="1" si="1204"/>
        <v>0.27952512346894071</v>
      </c>
      <c r="K938" s="45">
        <f t="shared" ca="1" si="1220"/>
        <v>0.90345467800480783</v>
      </c>
      <c r="L938" s="358">
        <f t="shared" ca="1" si="1205"/>
        <v>0.9085593811553081</v>
      </c>
      <c r="M938" s="76">
        <f t="shared" ca="1" si="1250"/>
        <v>0.25347808785320641</v>
      </c>
      <c r="N938" s="45">
        <f t="shared" ca="1" si="1250"/>
        <v>0.25</v>
      </c>
      <c r="O938" s="45">
        <f t="shared" ca="1" si="1250"/>
        <v>0</v>
      </c>
      <c r="P938" s="46" t="str">
        <f t="shared" ca="1" si="1250"/>
        <v/>
      </c>
      <c r="Q938" s="243" t="str">
        <f t="shared" ca="1" si="1250"/>
        <v/>
      </c>
      <c r="R938" s="45">
        <f t="shared" ca="1" si="1221"/>
        <v>0.10006410365181721</v>
      </c>
      <c r="S938" s="45">
        <f t="shared" ca="1" si="1245"/>
        <v>5.0695617570641283E-2</v>
      </c>
      <c r="T938" s="77">
        <f t="shared" ca="1" si="1206"/>
        <v>6.2357646589744672E-2</v>
      </c>
      <c r="U938" s="45">
        <f t="shared" ca="1" si="1222"/>
        <v>17.361827405890118</v>
      </c>
      <c r="V938" s="45">
        <f t="shared" ca="1" si="1207"/>
        <v>0.20278247028256513</v>
      </c>
      <c r="W938" s="77">
        <f t="shared" ca="1" si="1208"/>
        <v>0.50097382047892747</v>
      </c>
      <c r="X938" s="45">
        <f t="shared" ca="1" si="1223"/>
        <v>1.0371595852901425</v>
      </c>
      <c r="Y938" s="45">
        <f t="shared" ca="1" si="1209"/>
        <v>5.8098360916515414E-2</v>
      </c>
      <c r="Z938" s="77">
        <f t="shared" ca="1" si="1210"/>
        <v>6.4702029627793728E-2</v>
      </c>
      <c r="AA938" s="45">
        <f t="shared" ca="1" si="1224"/>
        <v>39.21270869170155</v>
      </c>
      <c r="AB938" s="45">
        <f t="shared" ca="1" si="1211"/>
        <v>0</v>
      </c>
      <c r="AC938" s="45" cm="1">
        <f t="array" aca="1" ref="AC938" ca="1">pHUM*(T938+W938+Z938+AD938)</f>
        <v>6.8351012842959316E-2</v>
      </c>
      <c r="AD938" s="77">
        <f t="shared" ca="1" si="1212"/>
        <v>7.6466957913217781E-2</v>
      </c>
      <c r="AE938" s="45">
        <f t="shared" ca="1" si="1225"/>
        <v>6.3847072090583081</v>
      </c>
      <c r="AF938" s="45">
        <f t="shared" ca="1" si="1213"/>
        <v>0</v>
      </c>
      <c r="AG938" s="76">
        <f t="shared" ca="1" si="1214"/>
        <v>64.096466995591939</v>
      </c>
      <c r="AH938" s="45">
        <f t="shared" ca="1" si="1215"/>
        <v>0.57805108085020895</v>
      </c>
      <c r="AI938" s="77">
        <f t="shared" ca="1" si="1216"/>
        <v>1.1086661232202769E-2</v>
      </c>
      <c r="AJ938" s="384">
        <f t="shared" ca="1" si="1218"/>
        <v>3.2121617261755553E-2</v>
      </c>
      <c r="AU938" s="1"/>
    </row>
    <row r="939" spans="3:47" x14ac:dyDescent="0.25">
      <c r="C939" s="10">
        <f t="shared" si="1243"/>
        <v>70</v>
      </c>
      <c r="D939" s="91">
        <f t="shared" si="1226"/>
        <v>9</v>
      </c>
      <c r="E939" s="278"/>
      <c r="F939" s="76">
        <f t="shared" ref="F939:Q939" ca="1" si="1251">F867</f>
        <v>16.57</v>
      </c>
      <c r="G939" s="46">
        <f t="shared" ca="1" si="1251"/>
        <v>27.012600000000003</v>
      </c>
      <c r="H939" s="46">
        <f t="shared" ca="1" si="1202"/>
        <v>28.517550000000004</v>
      </c>
      <c r="I939" s="45">
        <f t="shared" ca="1" si="1203"/>
        <v>0.9439672665218134</v>
      </c>
      <c r="J939" s="45">
        <f t="shared" ca="1" si="1204"/>
        <v>0.27952512346894071</v>
      </c>
      <c r="K939" s="45">
        <f t="shared" ca="1" si="1220"/>
        <v>0.90345467800480783</v>
      </c>
      <c r="L939" s="358">
        <f t="shared" ca="1" si="1205"/>
        <v>0.86895066774150642</v>
      </c>
      <c r="M939" s="76">
        <f t="shared" ca="1" si="1251"/>
        <v>0.25347808785320641</v>
      </c>
      <c r="N939" s="45">
        <f t="shared" ca="1" si="1251"/>
        <v>0.25</v>
      </c>
      <c r="O939" s="45">
        <f t="shared" ca="1" si="1251"/>
        <v>0</v>
      </c>
      <c r="P939" s="46" t="str">
        <f t="shared" ca="1" si="1251"/>
        <v/>
      </c>
      <c r="Q939" s="243" t="str">
        <f t="shared" ca="1" si="1251"/>
        <v/>
      </c>
      <c r="R939" s="45">
        <f t="shared" ca="1" si="1221"/>
        <v>8.8402074632713837E-2</v>
      </c>
      <c r="S939" s="45">
        <f t="shared" ca="1" si="1245"/>
        <v>5.0695617570641283E-2</v>
      </c>
      <c r="T939" s="77">
        <f t="shared" ca="1" si="1206"/>
        <v>4.8146195874830794E-2</v>
      </c>
      <c r="U939" s="45">
        <f t="shared" ca="1" si="1222"/>
        <v>17.063636055693756</v>
      </c>
      <c r="V939" s="45">
        <f t="shared" ca="1" si="1207"/>
        <v>0.20278247028256513</v>
      </c>
      <c r="W939" s="77">
        <f t="shared" ca="1" si="1208"/>
        <v>0.39797345337661411</v>
      </c>
      <c r="X939" s="45">
        <f t="shared" ca="1" si="1223"/>
        <v>1.030555916578864</v>
      </c>
      <c r="Y939" s="45">
        <f t="shared" ca="1" si="1209"/>
        <v>4.6172730308961532E-2</v>
      </c>
      <c r="Z939" s="77">
        <f t="shared" ca="1" si="1210"/>
        <v>5.2139404543545188E-2</v>
      </c>
      <c r="AA939" s="45">
        <f t="shared" ca="1" si="1224"/>
        <v>39.204592746631292</v>
      </c>
      <c r="AB939" s="45">
        <f t="shared" ca="1" si="1211"/>
        <v>0</v>
      </c>
      <c r="AC939" s="45" cm="1">
        <f t="array" aca="1" ref="AC939" ca="1">pHUM*(T939+W939+Z939+AD939)</f>
        <v>5.432085918701357E-2</v>
      </c>
      <c r="AD939" s="77">
        <f t="shared" ca="1" si="1212"/>
        <v>6.1631259461453182E-2</v>
      </c>
      <c r="AE939" s="45">
        <f t="shared" ca="1" si="1225"/>
        <v>6.3847072090583081</v>
      </c>
      <c r="AF939" s="45">
        <f t="shared" ca="1" si="1213"/>
        <v>0</v>
      </c>
      <c r="AG939" s="76">
        <f t="shared" ca="1" si="1214"/>
        <v>63.771894002594934</v>
      </c>
      <c r="AH939" s="45">
        <f t="shared" ca="1" si="1215"/>
        <v>0.4593967237604682</v>
      </c>
      <c r="AI939" s="77">
        <f t="shared" ca="1" si="1216"/>
        <v>1.0843550538228875E-2</v>
      </c>
      <c r="AJ939" s="384">
        <f t="shared" ca="1" si="1218"/>
        <v>3.0047669087484019E-2</v>
      </c>
      <c r="AU939" s="1"/>
    </row>
    <row r="940" spans="3:47" x14ac:dyDescent="0.25">
      <c r="C940" s="10">
        <f t="shared" si="1243"/>
        <v>70</v>
      </c>
      <c r="D940" s="91">
        <f t="shared" si="1226"/>
        <v>10</v>
      </c>
      <c r="E940" s="278"/>
      <c r="F940" s="76">
        <f t="shared" ref="F940:Q940" ca="1" si="1252">F868</f>
        <v>10.87</v>
      </c>
      <c r="G940" s="46">
        <f t="shared" ca="1" si="1252"/>
        <v>27.012600000000003</v>
      </c>
      <c r="H940" s="46">
        <f t="shared" ca="1" si="1202"/>
        <v>28.517550000000004</v>
      </c>
      <c r="I940" s="45">
        <f t="shared" ca="1" si="1203"/>
        <v>0.53125146958099567</v>
      </c>
      <c r="J940" s="45">
        <f t="shared" ca="1" si="1204"/>
        <v>0.27952512346894071</v>
      </c>
      <c r="K940" s="45">
        <f t="shared" ca="1" si="1220"/>
        <v>0.90345467800480783</v>
      </c>
      <c r="L940" s="358">
        <f t="shared" ca="1" si="1205"/>
        <v>0.74105246316705919</v>
      </c>
      <c r="M940" s="76">
        <f t="shared" ca="1" si="1252"/>
        <v>0.25347808785320641</v>
      </c>
      <c r="N940" s="45">
        <f t="shared" ca="1" si="1252"/>
        <v>0.25</v>
      </c>
      <c r="O940" s="45">
        <f t="shared" ca="1" si="1252"/>
        <v>0</v>
      </c>
      <c r="P940" s="46" t="str">
        <f t="shared" ca="1" si="1252"/>
        <v/>
      </c>
      <c r="Q940" s="243" t="str">
        <f t="shared" ca="1" si="1252"/>
        <v/>
      </c>
      <c r="R940" s="45">
        <f t="shared" ca="1" si="1221"/>
        <v>9.0951496328524312E-2</v>
      </c>
      <c r="S940" s="45">
        <f t="shared" ca="1" si="1245"/>
        <v>5.0695617570641283E-2</v>
      </c>
      <c r="T940" s="77">
        <f t="shared" ca="1" si="1206"/>
        <v>3.2533920585815154E-2</v>
      </c>
      <c r="U940" s="45">
        <f t="shared" ca="1" si="1222"/>
        <v>16.868445072599705</v>
      </c>
      <c r="V940" s="45">
        <f t="shared" ca="1" si="1207"/>
        <v>0.20278247028256513</v>
      </c>
      <c r="W940" s="77">
        <f t="shared" ca="1" si="1208"/>
        <v>0.22255348613801357</v>
      </c>
      <c r="X940" s="45">
        <f t="shared" ca="1" si="1223"/>
        <v>1.0245892423442804</v>
      </c>
      <c r="Y940" s="45">
        <f t="shared" ca="1" si="1209"/>
        <v>2.6330393706947643E-2</v>
      </c>
      <c r="Z940" s="77">
        <f t="shared" ca="1" si="1210"/>
        <v>2.9504162134198098E-2</v>
      </c>
      <c r="AA940" s="45">
        <f t="shared" ca="1" si="1224"/>
        <v>39.197282346356857</v>
      </c>
      <c r="AB940" s="45">
        <f t="shared" ca="1" si="1211"/>
        <v>0</v>
      </c>
      <c r="AC940" s="45" cm="1">
        <f t="array" aca="1" ref="AC940" ca="1">pHUM*(T940+W940+Z940+AD940)</f>
        <v>3.0976933772879578E-2</v>
      </c>
      <c r="AD940" s="77">
        <f t="shared" ca="1" si="1212"/>
        <v>3.4690662929057661E-2</v>
      </c>
      <c r="AE940" s="45">
        <f t="shared" ca="1" si="1225"/>
        <v>6.3847072090583081</v>
      </c>
      <c r="AF940" s="45">
        <f t="shared" ca="1" si="1213"/>
        <v>0</v>
      </c>
      <c r="AG940" s="76">
        <f t="shared" ca="1" si="1214"/>
        <v>63.565975366687674</v>
      </c>
      <c r="AH940" s="45">
        <f t="shared" ca="1" si="1215"/>
        <v>0.26197490430725728</v>
      </c>
      <c r="AI940" s="77">
        <f t="shared" ca="1" si="1216"/>
        <v>1.0828463107092042E-2</v>
      </c>
      <c r="AJ940" s="384">
        <f t="shared" ca="1" si="1218"/>
        <v>2.5589497726056232E-2</v>
      </c>
      <c r="AU940" s="1"/>
    </row>
    <row r="941" spans="3:47" x14ac:dyDescent="0.25">
      <c r="C941" s="10">
        <f t="shared" si="1243"/>
        <v>70</v>
      </c>
      <c r="D941" s="91">
        <f t="shared" si="1226"/>
        <v>11</v>
      </c>
      <c r="E941" s="278"/>
      <c r="F941" s="76">
        <f t="shared" ref="F941:Q941" ca="1" si="1253">F869</f>
        <v>1.4</v>
      </c>
      <c r="G941" s="46">
        <f t="shared" ca="1" si="1253"/>
        <v>28.536243189942063</v>
      </c>
      <c r="H941" s="46">
        <f t="shared" ca="1" si="1202"/>
        <v>26.993906810057943</v>
      </c>
      <c r="I941" s="45">
        <f t="shared" ca="1" si="1203"/>
        <v>9.940372096718314E-2</v>
      </c>
      <c r="J941" s="45">
        <f t="shared" ca="1" si="1204"/>
        <v>0.28648639837560558</v>
      </c>
      <c r="K941" s="45">
        <f t="shared" ca="1" si="1220"/>
        <v>0.92595425264501963</v>
      </c>
      <c r="L941" s="358">
        <f t="shared" ca="1" si="1205"/>
        <v>0.41120226021724715</v>
      </c>
      <c r="M941" s="76">
        <f t="shared" ca="1" si="1253"/>
        <v>0.25347808785320641</v>
      </c>
      <c r="N941" s="45">
        <f t="shared" ca="1" si="1253"/>
        <v>0.25</v>
      </c>
      <c r="O941" s="45">
        <f t="shared" ca="1" si="1253"/>
        <v>0</v>
      </c>
      <c r="P941" s="46" t="str">
        <f t="shared" ca="1" si="1253"/>
        <v/>
      </c>
      <c r="Q941" s="243" t="str">
        <f t="shared" ca="1" si="1253"/>
        <v/>
      </c>
      <c r="R941" s="45">
        <f t="shared" ca="1" si="1221"/>
        <v>0.10911319331335044</v>
      </c>
      <c r="S941" s="45">
        <f t="shared" ca="1" si="1245"/>
        <v>5.0695617570641283E-2</v>
      </c>
      <c r="T941" s="77">
        <f t="shared" ca="1" si="1206"/>
        <v>8.6743136422450483E-3</v>
      </c>
      <c r="U941" s="45">
        <f t="shared" ca="1" si="1222"/>
        <v>16.848674056744255</v>
      </c>
      <c r="V941" s="45">
        <f t="shared" ca="1" si="1207"/>
        <v>0.20278247028256513</v>
      </c>
      <c r="W941" s="77">
        <f t="shared" ca="1" si="1208"/>
        <v>4.1818539363347666E-2</v>
      </c>
      <c r="X941" s="45">
        <f t="shared" ca="1" si="1223"/>
        <v>1.02141547391703</v>
      </c>
      <c r="Y941" s="45">
        <f t="shared" ca="1" si="1209"/>
        <v>5.1587250567037756E-3</v>
      </c>
      <c r="Z941" s="77">
        <f t="shared" ca="1" si="1210"/>
        <v>5.5690499921091626E-3</v>
      </c>
      <c r="AA941" s="45">
        <f t="shared" ca="1" si="1224"/>
        <v>39.193568617200675</v>
      </c>
      <c r="AB941" s="45">
        <f t="shared" ca="1" si="1211"/>
        <v>0</v>
      </c>
      <c r="AC941" s="45" cm="1">
        <f t="array" aca="1" ref="AC941" ca="1">pHUM*(T941+W941+Z941+AD941)</f>
        <v>6.0690883020044417E-3</v>
      </c>
      <c r="AD941" s="77">
        <f t="shared" ca="1" si="1212"/>
        <v>6.4927730778680812E-3</v>
      </c>
      <c r="AE941" s="45">
        <f t="shared" ca="1" si="1225"/>
        <v>6.3847072090583081</v>
      </c>
      <c r="AF941" s="45">
        <f t="shared" ca="1" si="1213"/>
        <v>0</v>
      </c>
      <c r="AG941" s="76">
        <f t="shared" ca="1" si="1214"/>
        <v>63.557478550233618</v>
      </c>
      <c r="AH941" s="45">
        <f t="shared" ca="1" si="1215"/>
        <v>5.1326862716861744E-2</v>
      </c>
      <c r="AI941" s="77">
        <f t="shared" ca="1" si="1216"/>
        <v>1.1082985188163468E-2</v>
      </c>
      <c r="AJ941" s="384">
        <f t="shared" ca="1" si="1218"/>
        <v>1.4895180574815425E-2</v>
      </c>
      <c r="AU941" s="1"/>
    </row>
    <row r="942" spans="3:47" x14ac:dyDescent="0.25">
      <c r="C942" s="10">
        <f t="shared" si="1243"/>
        <v>70</v>
      </c>
      <c r="D942" s="91">
        <f t="shared" si="1226"/>
        <v>12</v>
      </c>
      <c r="E942" s="278"/>
      <c r="F942" s="76">
        <f t="shared" ref="F942:Q942" ca="1" si="1254">F870</f>
        <v>-1.78</v>
      </c>
      <c r="G942" s="46">
        <f t="shared" ca="1" si="1254"/>
        <v>32.216243189942062</v>
      </c>
      <c r="H942" s="46">
        <f t="shared" ca="1" si="1202"/>
        <v>23.313906810057944</v>
      </c>
      <c r="I942" s="45">
        <f t="shared" ca="1" si="1203"/>
        <v>3.9789790397057247E-2</v>
      </c>
      <c r="J942" s="45">
        <f t="shared" ca="1" si="1204"/>
        <v>0.29882189650486002</v>
      </c>
      <c r="K942" s="45">
        <f t="shared" ca="1" si="1220"/>
        <v>0.96582388351071458</v>
      </c>
      <c r="L942" s="358">
        <f t="shared" ca="1" si="1205"/>
        <v>0.30292377267304249</v>
      </c>
      <c r="M942" s="76">
        <f t="shared" ca="1" si="1254"/>
        <v>0.25347808785320641</v>
      </c>
      <c r="N942" s="45">
        <f t="shared" ca="1" si="1254"/>
        <v>0.25</v>
      </c>
      <c r="O942" s="45">
        <f t="shared" ca="1" si="1254"/>
        <v>0</v>
      </c>
      <c r="P942" s="46" t="str">
        <f t="shared" ca="1" si="1254"/>
        <v/>
      </c>
      <c r="Q942" s="243" t="str">
        <f t="shared" ca="1" si="1254"/>
        <v/>
      </c>
      <c r="R942" s="45">
        <f t="shared" ca="1" si="1221"/>
        <v>0.15113449724174668</v>
      </c>
      <c r="S942" s="45">
        <f t="shared" ca="1" si="1245"/>
        <v>5.0695617570641283E-2</v>
      </c>
      <c r="T942" s="77">
        <f t="shared" ca="1" si="1206"/>
        <v>4.9291689443774654E-3</v>
      </c>
      <c r="U942" s="45">
        <f t="shared" ca="1" si="1222"/>
        <v>17.009637987663471</v>
      </c>
      <c r="V942" s="45">
        <f t="shared" ca="1" si="1207"/>
        <v>0.20278247028256513</v>
      </c>
      <c r="W942" s="77">
        <f t="shared" ca="1" si="1208"/>
        <v>1.6911835382114892E-2</v>
      </c>
      <c r="X942" s="45">
        <f t="shared" ca="1" si="1223"/>
        <v>1.0210051489816248</v>
      </c>
      <c r="Y942" s="45">
        <f t="shared" ca="1" si="1209"/>
        <v>2.1995742370400566E-3</v>
      </c>
      <c r="Z942" s="77">
        <f t="shared" ca="1" si="1210"/>
        <v>2.2319637994646091E-3</v>
      </c>
      <c r="AA942" s="45">
        <f t="shared" ca="1" si="1224"/>
        <v>39.193144932424815</v>
      </c>
      <c r="AB942" s="45">
        <f t="shared" ca="1" si="1211"/>
        <v>0</v>
      </c>
      <c r="AC942" s="45" cm="1">
        <f t="array" aca="1" ref="AC942" ca="1">pHUM*(T942+W942+Z942+AD942)</f>
        <v>2.587734396517714E-3</v>
      </c>
      <c r="AD942" s="77">
        <f t="shared" ca="1" si="1212"/>
        <v>2.5990588554783774E-3</v>
      </c>
      <c r="AE942" s="45">
        <f t="shared" ca="1" si="1225"/>
        <v>6.3847072090583081</v>
      </c>
      <c r="AF942" s="45">
        <f t="shared" ca="1" si="1213"/>
        <v>0</v>
      </c>
      <c r="AG942" s="76">
        <f t="shared" ca="1" si="1214"/>
        <v>63.759629775369959</v>
      </c>
      <c r="AH942" s="45">
        <f t="shared" ca="1" si="1215"/>
        <v>2.1884718347877575E-2</v>
      </c>
      <c r="AI942" s="77">
        <f t="shared" ca="1" si="1216"/>
        <v>1.1723999360469178E-2</v>
      </c>
      <c r="AJ942" s="384">
        <f t="shared" ca="1" si="1218"/>
        <v>1.2107437111915642E-2</v>
      </c>
      <c r="AU942" s="1"/>
    </row>
    <row r="943" spans="3:47" x14ac:dyDescent="0.25">
      <c r="C943" s="10">
        <f t="shared" si="1243"/>
        <v>71</v>
      </c>
      <c r="D943" s="91">
        <f t="shared" si="1226"/>
        <v>1</v>
      </c>
      <c r="E943" s="278"/>
      <c r="F943" s="76">
        <f t="shared" ref="F943:Q943" ca="1" si="1255">F871</f>
        <v>-8.2799999999999994</v>
      </c>
      <c r="G943" s="46">
        <f t="shared" ca="1" si="1255"/>
        <v>27.676243189942063</v>
      </c>
      <c r="H943" s="46">
        <f t="shared" ca="1" si="1202"/>
        <v>27.853906810057943</v>
      </c>
      <c r="I943" s="45">
        <f t="shared" ca="1" si="1203"/>
        <v>5.2124139735228647E-4</v>
      </c>
      <c r="J943" s="45">
        <f t="shared" ca="1" si="1204"/>
        <v>0.28271042830183513</v>
      </c>
      <c r="K943" s="45">
        <f t="shared" ca="1" si="1220"/>
        <v>0.91374991914963299</v>
      </c>
      <c r="L943" s="358">
        <f t="shared" ca="1" si="1205"/>
        <v>0.14143923467074027</v>
      </c>
      <c r="M943" s="76">
        <f t="shared" ca="1" si="1255"/>
        <v>0.25347808785320641</v>
      </c>
      <c r="N943" s="45">
        <f t="shared" ca="1" si="1255"/>
        <v>0.25</v>
      </c>
      <c r="O943" s="45">
        <f t="shared" ca="1" si="1255"/>
        <v>0</v>
      </c>
      <c r="P943" s="46" t="str">
        <f t="shared" ca="1" si="1255"/>
        <v/>
      </c>
      <c r="Q943" s="243" t="str">
        <f t="shared" ca="1" si="1255"/>
        <v/>
      </c>
      <c r="R943" s="45">
        <f t="shared" ca="1" si="1221"/>
        <v>0.19690094586801049</v>
      </c>
      <c r="S943" s="45">
        <f t="shared" ca="1" si="1245"/>
        <v>5.0695617570641283E-2</v>
      </c>
      <c r="T943" s="77">
        <f t="shared" ca="1" si="1206"/>
        <v>8.5508864309104358E-5</v>
      </c>
      <c r="U943" s="45">
        <f t="shared" ca="1" si="1222"/>
        <v>17.195508622563921</v>
      </c>
      <c r="V943" s="45">
        <f t="shared" ca="1" si="1207"/>
        <v>0.20278247028256513</v>
      </c>
      <c r="W943" s="77">
        <f t="shared" ca="1" si="1208"/>
        <v>2.2407381360529683E-4</v>
      </c>
      <c r="X943" s="45">
        <f t="shared" ca="1" si="1223"/>
        <v>1.0209727594192002</v>
      </c>
      <c r="Y943" s="45">
        <f t="shared" ca="1" si="1209"/>
        <v>3.0752135001412359E-5</v>
      </c>
      <c r="Z943" s="77">
        <f t="shared" ca="1" si="1210"/>
        <v>2.9269110178330174E-5</v>
      </c>
      <c r="AA943" s="45">
        <f t="shared" ca="1" si="1224"/>
        <v>39.193133607965855</v>
      </c>
      <c r="AB943" s="45">
        <f t="shared" ca="1" si="1211"/>
        <v>0</v>
      </c>
      <c r="AC943" s="45" cm="1">
        <f t="array" aca="1" ref="AC943" ca="1">pHUM*(T943+W943+Z943+AD943)</f>
        <v>3.6178982354602772E-5</v>
      </c>
      <c r="AD943" s="77">
        <f t="shared" ca="1" si="1212"/>
        <v>3.404845809226495E-5</v>
      </c>
      <c r="AE943" s="45">
        <f t="shared" ca="1" si="1225"/>
        <v>6.3847072090583081</v>
      </c>
      <c r="AF943" s="45">
        <f t="shared" ca="1" si="1213"/>
        <v>0</v>
      </c>
      <c r="AG943" s="76">
        <f t="shared" ca="1" si="1214"/>
        <v>63.991223144875292</v>
      </c>
      <c r="AH943" s="45">
        <f t="shared" ca="1" si="1215"/>
        <v>3.0596912882898124E-4</v>
      </c>
      <c r="AI943" s="77">
        <f t="shared" ca="1" si="1216"/>
        <v>1.2419553875338748E-2</v>
      </c>
      <c r="AJ943" s="384">
        <f t="shared" ca="1" si="1218"/>
        <v>5.6656667029919561E-3</v>
      </c>
      <c r="AU943" s="1"/>
    </row>
    <row r="944" spans="3:47" x14ac:dyDescent="0.25">
      <c r="C944" s="10">
        <f t="shared" si="1243"/>
        <v>71</v>
      </c>
      <c r="D944" s="91">
        <f t="shared" si="1226"/>
        <v>2</v>
      </c>
      <c r="E944" s="278"/>
      <c r="F944" s="76">
        <f t="shared" ref="F944:Q944" ca="1" si="1256">F872</f>
        <v>-13.02</v>
      </c>
      <c r="G944" s="46">
        <f t="shared" ca="1" si="1256"/>
        <v>27.012600000000003</v>
      </c>
      <c r="H944" s="46">
        <f t="shared" ca="1" si="1202"/>
        <v>28.517550000000004</v>
      </c>
      <c r="I944" s="45">
        <f t="shared" ca="1" si="1203"/>
        <v>3.4968020066039631E-8</v>
      </c>
      <c r="J944" s="45">
        <f t="shared" ca="1" si="1204"/>
        <v>0.27952512346894071</v>
      </c>
      <c r="K944" s="45">
        <f t="shared" ca="1" si="1220"/>
        <v>0.90345467800480783</v>
      </c>
      <c r="L944" s="358">
        <f t="shared" ca="1" si="1205"/>
        <v>7.5103934893711255E-2</v>
      </c>
      <c r="M944" s="76">
        <f t="shared" ca="1" si="1256"/>
        <v>0.25347808785320641</v>
      </c>
      <c r="N944" s="45">
        <f t="shared" ca="1" si="1256"/>
        <v>0.25</v>
      </c>
      <c r="O944" s="45">
        <f t="shared" ca="1" si="1256"/>
        <v>0</v>
      </c>
      <c r="P944" s="46" t="str">
        <f t="shared" ca="1" si="1256"/>
        <v/>
      </c>
      <c r="Q944" s="243" t="str">
        <f t="shared" ca="1" si="1256"/>
        <v/>
      </c>
      <c r="R944" s="45">
        <f t="shared" ca="1" si="1221"/>
        <v>0.24751105457434266</v>
      </c>
      <c r="S944" s="45">
        <f t="shared" ca="1" si="1245"/>
        <v>5.0695617570641283E-2</v>
      </c>
      <c r="T944" s="77">
        <f t="shared" ca="1" si="1206"/>
        <v>7.2124761619648606E-9</v>
      </c>
      <c r="U944" s="45">
        <f t="shared" ca="1" si="1222"/>
        <v>17.398067019032879</v>
      </c>
      <c r="V944" s="45">
        <f t="shared" ca="1" si="1207"/>
        <v>0.20278247028256513</v>
      </c>
      <c r="W944" s="77">
        <f t="shared" ca="1" si="1208"/>
        <v>1.5209398709185335E-8</v>
      </c>
      <c r="X944" s="45">
        <f t="shared" ca="1" si="1223"/>
        <v>1.0209742424440231</v>
      </c>
      <c r="Y944" s="45">
        <f t="shared" ca="1" si="1209"/>
        <v>2.1993767561740303E-9</v>
      </c>
      <c r="Z944" s="77">
        <f t="shared" ca="1" si="1210"/>
        <v>1.9635796474843583E-9</v>
      </c>
      <c r="AA944" s="45">
        <f t="shared" ca="1" si="1224"/>
        <v>39.19313573849012</v>
      </c>
      <c r="AB944" s="45">
        <f t="shared" ca="1" si="1211"/>
        <v>0</v>
      </c>
      <c r="AC944" s="45" cm="1">
        <f t="array" aca="1" ref="AC944" ca="1">pHUM*(T944+W944+Z944+AD944)</f>
        <v>2.5875020660870948E-9</v>
      </c>
      <c r="AD944" s="77">
        <f t="shared" ca="1" si="1212"/>
        <v>2.2841778107366435E-9</v>
      </c>
      <c r="AE944" s="45">
        <f t="shared" ca="1" si="1225"/>
        <v>6.3847072090583081</v>
      </c>
      <c r="AF944" s="45">
        <f t="shared" ca="1" si="1213"/>
        <v>0</v>
      </c>
      <c r="AG944" s="76">
        <f t="shared" ca="1" si="1214"/>
        <v>64.244395263599671</v>
      </c>
      <c r="AH944" s="45">
        <f t="shared" ca="1" si="1215"/>
        <v>2.1882753507110075E-8</v>
      </c>
      <c r="AI944" s="77">
        <f t="shared" ca="1" si="1216"/>
        <v>1.3181653574317012E-2</v>
      </c>
      <c r="AJ944" s="384">
        <f t="shared" ca="1" si="1218"/>
        <v>3.1570958072979494E-3</v>
      </c>
      <c r="AU944" s="1"/>
    </row>
    <row r="945" spans="3:47" x14ac:dyDescent="0.25">
      <c r="C945" s="10">
        <f t="shared" si="1243"/>
        <v>71</v>
      </c>
      <c r="D945" s="91">
        <f t="shared" si="1226"/>
        <v>3</v>
      </c>
      <c r="E945" s="278"/>
      <c r="F945" s="76">
        <f t="shared" ref="F945:Q945" ca="1" si="1257">F873</f>
        <v>-3.52</v>
      </c>
      <c r="G945" s="46">
        <f t="shared" ca="1" si="1257"/>
        <v>29.742600000000003</v>
      </c>
      <c r="H945" s="46">
        <f t="shared" ca="1" si="1202"/>
        <v>25.787550000000003</v>
      </c>
      <c r="I945" s="45">
        <f t="shared" ca="1" si="1203"/>
        <v>1.7216068766348798E-2</v>
      </c>
      <c r="J945" s="45">
        <f t="shared" ca="1" si="1204"/>
        <v>0.2911707845539237</v>
      </c>
      <c r="K945" s="45">
        <f t="shared" ca="1" si="1220"/>
        <v>0.94109468279262609</v>
      </c>
      <c r="L945" s="358">
        <f t="shared" ca="1" si="1205"/>
        <v>0.2510452916114092</v>
      </c>
      <c r="M945" s="76">
        <f t="shared" ca="1" si="1257"/>
        <v>0.25347808785320641</v>
      </c>
      <c r="N945" s="45">
        <f t="shared" ca="1" si="1257"/>
        <v>0.25</v>
      </c>
      <c r="O945" s="45">
        <f t="shared" ca="1" si="1257"/>
        <v>0</v>
      </c>
      <c r="P945" s="46" t="str">
        <f t="shared" ca="1" si="1257"/>
        <v/>
      </c>
      <c r="Q945" s="243" t="str">
        <f t="shared" ca="1" si="1257"/>
        <v/>
      </c>
      <c r="R945" s="45">
        <f t="shared" ca="1" si="1221"/>
        <v>0.2982066649325078</v>
      </c>
      <c r="S945" s="45">
        <f t="shared" ca="1" si="1245"/>
        <v>5.0695617570641283E-2</v>
      </c>
      <c r="T945" s="77">
        <f t="shared" ca="1" si="1206"/>
        <v>4.2477452355207971E-3</v>
      </c>
      <c r="U945" s="45">
        <f t="shared" ca="1" si="1222"/>
        <v>17.600849474106045</v>
      </c>
      <c r="V945" s="45">
        <f t="shared" ca="1" si="1207"/>
        <v>0.20278247028256513</v>
      </c>
      <c r="W945" s="77">
        <f t="shared" ca="1" si="1208"/>
        <v>7.5738058658588068E-3</v>
      </c>
      <c r="X945" s="45">
        <f t="shared" ca="1" si="1223"/>
        <v>1.0209742426798201</v>
      </c>
      <c r="Y945" s="45">
        <f t="shared" ca="1" si="1209"/>
        <v>1.1473208722134777E-3</v>
      </c>
      <c r="Z945" s="77">
        <f t="shared" ca="1" si="1210"/>
        <v>9.6628639972838593E-4</v>
      </c>
      <c r="AA945" s="45">
        <f t="shared" ca="1" si="1224"/>
        <v>39.193135738793451</v>
      </c>
      <c r="AB945" s="45">
        <f t="shared" ca="1" si="1211"/>
        <v>0</v>
      </c>
      <c r="AC945" s="45" cm="1">
        <f t="array" aca="1" ref="AC945" ca="1">pHUM*(T945+W945+Z945+AD945)</f>
        <v>1.3497892614276208E-3</v>
      </c>
      <c r="AD945" s="77">
        <f t="shared" ca="1" si="1212"/>
        <v>1.1245700661045388E-3</v>
      </c>
      <c r="AE945" s="45">
        <f t="shared" ca="1" si="1225"/>
        <v>6.3847072090583081</v>
      </c>
      <c r="AF945" s="45">
        <f t="shared" ca="1" si="1213"/>
        <v>0</v>
      </c>
      <c r="AG945" s="76">
        <f t="shared" ca="1" si="1214"/>
        <v>64.497873329570126</v>
      </c>
      <c r="AH945" s="45">
        <f t="shared" ca="1" si="1215"/>
        <v>1.1415297433571432E-2</v>
      </c>
      <c r="AI945" s="77">
        <f t="shared" ca="1" si="1216"/>
        <v>1.3938360638081845E-2</v>
      </c>
      <c r="AJ945" s="384">
        <f t="shared" ca="1" si="1218"/>
        <v>1.1623647572471807E-2</v>
      </c>
      <c r="AU945" s="1"/>
    </row>
    <row r="946" spans="3:47" x14ac:dyDescent="0.25">
      <c r="C946" s="10">
        <f t="shared" si="1243"/>
        <v>71</v>
      </c>
      <c r="D946" s="91">
        <f t="shared" si="1226"/>
        <v>4</v>
      </c>
      <c r="E946" s="278"/>
      <c r="F946" s="76">
        <f t="shared" ref="F946:Q946" ca="1" si="1258">F874</f>
        <v>6.08</v>
      </c>
      <c r="G946" s="46">
        <f t="shared" ca="1" si="1258"/>
        <v>27.012600000000003</v>
      </c>
      <c r="H946" s="46">
        <f t="shared" ca="1" si="1202"/>
        <v>28.517550000000004</v>
      </c>
      <c r="I946" s="45">
        <f t="shared" ca="1" si="1203"/>
        <v>0.26307228538649535</v>
      </c>
      <c r="J946" s="45">
        <f t="shared" ca="1" si="1204"/>
        <v>0.27952512346894071</v>
      </c>
      <c r="K946" s="45">
        <f t="shared" ca="1" si="1220"/>
        <v>0.90345467800480783</v>
      </c>
      <c r="L946" s="358">
        <f t="shared" ca="1" si="1205"/>
        <v>0.58389398806465831</v>
      </c>
      <c r="M946" s="76">
        <f t="shared" ca="1" si="1258"/>
        <v>0.25347808785320641</v>
      </c>
      <c r="N946" s="45">
        <f t="shared" ca="1" si="1258"/>
        <v>0.25</v>
      </c>
      <c r="O946" s="45">
        <f t="shared" ca="1" si="1258"/>
        <v>0</v>
      </c>
      <c r="P946" s="46" t="str">
        <f t="shared" ca="1" si="1258"/>
        <v/>
      </c>
      <c r="Q946" s="243" t="str">
        <f t="shared" ca="1" si="1258"/>
        <v/>
      </c>
      <c r="R946" s="45">
        <f t="shared" ca="1" si="1221"/>
        <v>0.34465453726762829</v>
      </c>
      <c r="S946" s="45">
        <f t="shared" ca="1" si="1245"/>
        <v>5.0695617570641283E-2</v>
      </c>
      <c r="T946" s="77">
        <f t="shared" ca="1" si="1206"/>
        <v>6.7848877793297319E-2</v>
      </c>
      <c r="U946" s="45">
        <f t="shared" ca="1" si="1222"/>
        <v>17.796058138522749</v>
      </c>
      <c r="V946" s="45">
        <f t="shared" ca="1" si="1207"/>
        <v>0.20278247028256513</v>
      </c>
      <c r="W946" s="77">
        <f t="shared" ca="1" si="1208"/>
        <v>0.1166572056686202</v>
      </c>
      <c r="X946" s="45">
        <f t="shared" ca="1" si="1223"/>
        <v>1.0211552771523051</v>
      </c>
      <c r="Y946" s="45">
        <f t="shared" ca="1" si="1209"/>
        <v>1.7842287025779602E-2</v>
      </c>
      <c r="Z946" s="77">
        <f t="shared" ca="1" si="1210"/>
        <v>1.4668694486963941E-2</v>
      </c>
      <c r="AA946" s="45">
        <f t="shared" ca="1" si="1224"/>
        <v>39.193360957988773</v>
      </c>
      <c r="AB946" s="45">
        <f t="shared" ca="1" si="1211"/>
        <v>0</v>
      </c>
      <c r="AC946" s="45" cm="1">
        <f t="array" aca="1" ref="AC946" ca="1">pHUM*(T946+W946+Z946+AD946)</f>
        <v>2.0990925912681889E-2</v>
      </c>
      <c r="AD946" s="77">
        <f t="shared" ca="1" si="1212"/>
        <v>1.718071164919064E-2</v>
      </c>
      <c r="AE946" s="45">
        <f t="shared" ca="1" si="1225"/>
        <v>6.3847072090583081</v>
      </c>
      <c r="AF946" s="45">
        <f t="shared" ca="1" si="1213"/>
        <v>0</v>
      </c>
      <c r="AG946" s="76">
        <f t="shared" ca="1" si="1214"/>
        <v>64.739936119989764</v>
      </c>
      <c r="AH946" s="45">
        <f t="shared" ca="1" si="1215"/>
        <v>0.17752227665961062</v>
      </c>
      <c r="AI946" s="77">
        <f t="shared" ca="1" si="1216"/>
        <v>1.4627641640517134E-2</v>
      </c>
      <c r="AJ946" s="384">
        <f t="shared" ca="1" si="1218"/>
        <v>2.7236645990438291E-2</v>
      </c>
      <c r="AU946" s="1"/>
    </row>
    <row r="947" spans="3:47" x14ac:dyDescent="0.25">
      <c r="C947" s="10">
        <f t="shared" si="1243"/>
        <v>71</v>
      </c>
      <c r="D947" s="91">
        <f t="shared" si="1226"/>
        <v>5</v>
      </c>
      <c r="E947" s="278"/>
      <c r="F947" s="76">
        <f t="shared" ref="F947:Q947" ca="1" si="1259">F875</f>
        <v>16.079999999999998</v>
      </c>
      <c r="G947" s="46">
        <f t="shared" ca="1" si="1259"/>
        <v>27.012600000000003</v>
      </c>
      <c r="H947" s="46">
        <f t="shared" ca="1" si="1202"/>
        <v>28.517550000000004</v>
      </c>
      <c r="I947" s="45">
        <f t="shared" ca="1" si="1203"/>
        <v>0.90560233354751607</v>
      </c>
      <c r="J947" s="45">
        <f t="shared" ca="1" si="1204"/>
        <v>0.27952512346894071</v>
      </c>
      <c r="K947" s="45">
        <f t="shared" ca="1" si="1220"/>
        <v>0.90345467800480783</v>
      </c>
      <c r="L947" s="358">
        <f t="shared" ca="1" si="1205"/>
        <v>0.86059167822175908</v>
      </c>
      <c r="M947" s="76">
        <f t="shared" ca="1" si="1259"/>
        <v>0.25347808785320641</v>
      </c>
      <c r="N947" s="45">
        <f t="shared" ca="1" si="1259"/>
        <v>0.25</v>
      </c>
      <c r="O947" s="45">
        <f t="shared" ca="1" si="1259"/>
        <v>0</v>
      </c>
      <c r="P947" s="46" t="str">
        <f t="shared" ca="1" si="1259"/>
        <v/>
      </c>
      <c r="Q947" s="243" t="str">
        <f t="shared" ca="1" si="1259"/>
        <v/>
      </c>
      <c r="R947" s="45">
        <f t="shared" ca="1" si="1221"/>
        <v>0.32750127704497223</v>
      </c>
      <c r="S947" s="45">
        <f t="shared" ca="1" si="1245"/>
        <v>5.0695617570641283E-2</v>
      </c>
      <c r="T947" s="77">
        <f t="shared" ca="1" si="1206"/>
        <v>0.17352118168479536</v>
      </c>
      <c r="U947" s="45">
        <f t="shared" ca="1" si="1222"/>
        <v>17.882183403136693</v>
      </c>
      <c r="V947" s="45">
        <f t="shared" ca="1" si="1207"/>
        <v>0.20278247028256513</v>
      </c>
      <c r="W947" s="77">
        <f t="shared" ca="1" si="1208"/>
        <v>0.40030511130556673</v>
      </c>
      <c r="X947" s="45">
        <f t="shared" ca="1" si="1223"/>
        <v>1.0243288696911208</v>
      </c>
      <c r="Y947" s="45">
        <f t="shared" ca="1" si="1209"/>
        <v>5.6301650596572557E-2</v>
      </c>
      <c r="Z947" s="77">
        <f t="shared" ca="1" si="1210"/>
        <v>4.9770136216305015E-2</v>
      </c>
      <c r="AA947" s="45">
        <f t="shared" ca="1" si="1224"/>
        <v>39.197171172252268</v>
      </c>
      <c r="AB947" s="45">
        <f t="shared" ca="1" si="1211"/>
        <v>0</v>
      </c>
      <c r="AC947" s="45" cm="1">
        <f t="array" aca="1" ref="AC947" ca="1">pHUM*(T947+W947+Z947+AD947)</f>
        <v>6.6237235995967716E-2</v>
      </c>
      <c r="AD947" s="77">
        <f t="shared" ca="1" si="1212"/>
        <v>5.9117124409018916E-2</v>
      </c>
      <c r="AE947" s="45">
        <f t="shared" ca="1" si="1225"/>
        <v>6.3847072090583081</v>
      </c>
      <c r="AF947" s="45">
        <f t="shared" ca="1" si="1213"/>
        <v>0</v>
      </c>
      <c r="AG947" s="76">
        <f t="shared" ca="1" si="1214"/>
        <v>64.815891931183359</v>
      </c>
      <c r="AH947" s="45">
        <f t="shared" ca="1" si="1215"/>
        <v>0.56017466702314589</v>
      </c>
      <c r="AI947" s="77">
        <f t="shared" ca="1" si="1216"/>
        <v>1.440393561084124E-2</v>
      </c>
      <c r="AJ947" s="384">
        <f t="shared" ca="1" si="1218"/>
        <v>3.9529251158042511E-2</v>
      </c>
      <c r="AU947" s="1"/>
    </row>
    <row r="948" spans="3:47" x14ac:dyDescent="0.25">
      <c r="C948" s="10">
        <f t="shared" si="1243"/>
        <v>71</v>
      </c>
      <c r="D948" s="91">
        <f t="shared" si="1226"/>
        <v>6</v>
      </c>
      <c r="E948" s="278"/>
      <c r="F948" s="76">
        <f t="shared" ref="F948:Q948" ca="1" si="1260">F876</f>
        <v>17.399999999999999</v>
      </c>
      <c r="G948" s="46">
        <f t="shared" ca="1" si="1260"/>
        <v>27.012600000000003</v>
      </c>
      <c r="H948" s="46">
        <f t="shared" ca="1" si="1202"/>
        <v>28.517550000000004</v>
      </c>
      <c r="I948" s="45">
        <f t="shared" ca="1" si="1203"/>
        <v>1.0098878501236044</v>
      </c>
      <c r="J948" s="45">
        <f t="shared" ca="1" si="1204"/>
        <v>0.27952512346894071</v>
      </c>
      <c r="K948" s="45">
        <f t="shared" ca="1" si="1220"/>
        <v>0.90345467800480783</v>
      </c>
      <c r="L948" s="358">
        <f t="shared" ca="1" si="1205"/>
        <v>0.88208077264421947</v>
      </c>
      <c r="M948" s="76">
        <f t="shared" ca="1" si="1260"/>
        <v>0.25347808785320641</v>
      </c>
      <c r="N948" s="45">
        <f t="shared" ca="1" si="1260"/>
        <v>0.25</v>
      </c>
      <c r="O948" s="45">
        <f t="shared" ca="1" si="1260"/>
        <v>0</v>
      </c>
      <c r="P948" s="46" t="str">
        <f t="shared" ca="1" si="1260"/>
        <v/>
      </c>
      <c r="Q948" s="243" t="str">
        <f t="shared" ca="1" si="1260"/>
        <v/>
      </c>
      <c r="R948" s="45">
        <f t="shared" ca="1" si="1221"/>
        <v>0.20467571293081815</v>
      </c>
      <c r="S948" s="45">
        <f t="shared" ca="1" si="1245"/>
        <v>5.0695617570641283E-2</v>
      </c>
      <c r="T948" s="77">
        <f t="shared" ca="1" si="1206"/>
        <v>0.11645395421434461</v>
      </c>
      <c r="U948" s="45">
        <f t="shared" ca="1" si="1222"/>
        <v>17.68466076211369</v>
      </c>
      <c r="V948" s="45">
        <f t="shared" ca="1" si="1207"/>
        <v>0.20278247028256513</v>
      </c>
      <c r="W948" s="77">
        <f t="shared" ca="1" si="1208"/>
        <v>0.44089895016673347</v>
      </c>
      <c r="X948" s="45">
        <f t="shared" ca="1" si="1223"/>
        <v>1.0308603840713884</v>
      </c>
      <c r="Y948" s="45">
        <f t="shared" ca="1" si="1209"/>
        <v>5.599381787679536E-2</v>
      </c>
      <c r="Z948" s="77">
        <f t="shared" ca="1" si="1210"/>
        <v>5.5696810083713237E-2</v>
      </c>
      <c r="AA948" s="45">
        <f t="shared" ca="1" si="1224"/>
        <v>39.204291283839218</v>
      </c>
      <c r="AB948" s="45">
        <f t="shared" ca="1" si="1211"/>
        <v>0</v>
      </c>
      <c r="AC948" s="45" cm="1">
        <f t="array" aca="1" ref="AC948" ca="1">pHUM*(T948+W948+Z948+AD948)</f>
        <v>6.5875079855053364E-2</v>
      </c>
      <c r="AD948" s="77">
        <f t="shared" ca="1" si="1212"/>
        <v>6.5931061020744058E-2</v>
      </c>
      <c r="AE948" s="45">
        <f t="shared" ca="1" si="1225"/>
        <v>6.3847072090583081</v>
      </c>
      <c r="AF948" s="45">
        <f t="shared" ca="1" si="1213"/>
        <v>0</v>
      </c>
      <c r="AG948" s="76">
        <f t="shared" ca="1" si="1214"/>
        <v>64.509195352013421</v>
      </c>
      <c r="AH948" s="45">
        <f t="shared" ca="1" si="1215"/>
        <v>0.55711187775368676</v>
      </c>
      <c r="AI948" s="77">
        <f t="shared" ca="1" si="1216"/>
        <v>1.2640411008039119E-2</v>
      </c>
      <c r="AJ948" s="384">
        <f t="shared" ca="1" si="1218"/>
        <v>3.5555881707282078E-2</v>
      </c>
      <c r="AU948" s="1"/>
    </row>
    <row r="949" spans="3:47" x14ac:dyDescent="0.25">
      <c r="C949" s="10">
        <f t="shared" si="1243"/>
        <v>71</v>
      </c>
      <c r="D949" s="91">
        <f t="shared" si="1226"/>
        <v>7</v>
      </c>
      <c r="E949" s="278"/>
      <c r="F949" s="76">
        <f t="shared" ref="F949:Q949" ca="1" si="1261">F877</f>
        <v>21.29</v>
      </c>
      <c r="G949" s="46">
        <f t="shared" ca="1" si="1261"/>
        <v>27.012600000000003</v>
      </c>
      <c r="H949" s="46">
        <f t="shared" ca="1" si="1202"/>
        <v>28.517550000000004</v>
      </c>
      <c r="I949" s="45">
        <f t="shared" ca="1" si="1203"/>
        <v>1.3308669995183955</v>
      </c>
      <c r="J949" s="45">
        <f t="shared" ca="1" si="1204"/>
        <v>0.27952512346894071</v>
      </c>
      <c r="K949" s="45">
        <f t="shared" ca="1" si="1220"/>
        <v>0.90345467800480783</v>
      </c>
      <c r="L949" s="358">
        <f t="shared" ca="1" si="1205"/>
        <v>0.92839591561968593</v>
      </c>
      <c r="M949" s="76">
        <f t="shared" ca="1" si="1261"/>
        <v>0.25347808785320641</v>
      </c>
      <c r="N949" s="45">
        <f t="shared" ca="1" si="1261"/>
        <v>0.25</v>
      </c>
      <c r="O949" s="45">
        <f t="shared" ca="1" si="1261"/>
        <v>0</v>
      </c>
      <c r="P949" s="46" t="str">
        <f t="shared" ca="1" si="1261"/>
        <v/>
      </c>
      <c r="Q949" s="243" t="str">
        <f t="shared" ca="1" si="1261"/>
        <v/>
      </c>
      <c r="R949" s="45">
        <f t="shared" ca="1" si="1221"/>
        <v>0.13891737628711481</v>
      </c>
      <c r="S949" s="45">
        <f t="shared" ca="1" si="1245"/>
        <v>5.0695617570641283E-2</v>
      </c>
      <c r="T949" s="77">
        <f t="shared" ca="1" si="1206"/>
        <v>9.3092664317525969E-2</v>
      </c>
      <c r="U949" s="45">
        <f t="shared" ca="1" si="1222"/>
        <v>17.446544282229521</v>
      </c>
      <c r="V949" s="45">
        <f t="shared" ca="1" si="1207"/>
        <v>0.20278247028256513</v>
      </c>
      <c r="W949" s="77">
        <f t="shared" ca="1" si="1208"/>
        <v>0.57092526401682664</v>
      </c>
      <c r="X949" s="45">
        <f t="shared" ca="1" si="1223"/>
        <v>1.0311573918644705</v>
      </c>
      <c r="Y949" s="45">
        <f t="shared" ca="1" si="1209"/>
        <v>6.7925395316796464E-2</v>
      </c>
      <c r="Z949" s="77">
        <f t="shared" ca="1" si="1210"/>
        <v>7.2782099621863619E-2</v>
      </c>
      <c r="AA949" s="45">
        <f t="shared" ca="1" si="1224"/>
        <v>39.204235302673531</v>
      </c>
      <c r="AB949" s="45">
        <f t="shared" ca="1" si="1211"/>
        <v>0</v>
      </c>
      <c r="AC949" s="45" cm="1">
        <f t="array" aca="1" ref="AC949" ca="1">pHUM*(T949+W949+Z949+AD949)</f>
        <v>7.9912229784466438E-2</v>
      </c>
      <c r="AD949" s="77">
        <f t="shared" ca="1" si="1212"/>
        <v>8.6863000145191771E-2</v>
      </c>
      <c r="AE949" s="45">
        <f t="shared" ca="1" si="1225"/>
        <v>6.3847072090583081</v>
      </c>
      <c r="AF949" s="45">
        <f t="shared" ca="1" si="1213"/>
        <v>0</v>
      </c>
      <c r="AG949" s="76">
        <f t="shared" ca="1" si="1214"/>
        <v>64.205561562112948</v>
      </c>
      <c r="AH949" s="45">
        <f t="shared" ca="1" si="1215"/>
        <v>0.67582540300014515</v>
      </c>
      <c r="AI949" s="77">
        <f t="shared" ca="1" si="1216"/>
        <v>1.165638494207173E-2</v>
      </c>
      <c r="AJ949" s="384">
        <f t="shared" ca="1" si="1218"/>
        <v>3.4509560850628507E-2</v>
      </c>
      <c r="AU949" s="1"/>
    </row>
    <row r="950" spans="3:47" x14ac:dyDescent="0.25">
      <c r="C950" s="10">
        <f t="shared" si="1243"/>
        <v>71</v>
      </c>
      <c r="D950" s="91">
        <f t="shared" si="1226"/>
        <v>8</v>
      </c>
      <c r="E950" s="278"/>
      <c r="F950" s="76">
        <f t="shared" ref="F950:Q950" ca="1" si="1262">F878</f>
        <v>21.81</v>
      </c>
      <c r="G950" s="46">
        <f t="shared" ca="1" si="1262"/>
        <v>27.012600000000003</v>
      </c>
      <c r="H950" s="46">
        <f t="shared" ca="1" si="1202"/>
        <v>28.517550000000004</v>
      </c>
      <c r="I950" s="45">
        <f t="shared" ca="1" si="1203"/>
        <v>1.3748539373542934</v>
      </c>
      <c r="J950" s="45">
        <f t="shared" ca="1" si="1204"/>
        <v>0.27952512346894071</v>
      </c>
      <c r="K950" s="45">
        <f t="shared" ca="1" si="1220"/>
        <v>0.90345467800480783</v>
      </c>
      <c r="L950" s="358">
        <f t="shared" ca="1" si="1205"/>
        <v>0.93294591915671865</v>
      </c>
      <c r="M950" s="76">
        <f t="shared" ca="1" si="1262"/>
        <v>0.25347808785320641</v>
      </c>
      <c r="N950" s="45">
        <f t="shared" ca="1" si="1262"/>
        <v>0.25</v>
      </c>
      <c r="O950" s="45">
        <f t="shared" ca="1" si="1262"/>
        <v>0</v>
      </c>
      <c r="P950" s="46" t="str">
        <f t="shared" ca="1" si="1262"/>
        <v/>
      </c>
      <c r="Q950" s="243" t="str">
        <f t="shared" ca="1" si="1262"/>
        <v/>
      </c>
      <c r="R950" s="45">
        <f t="shared" ca="1" si="1221"/>
        <v>9.6520329540230126E-2</v>
      </c>
      <c r="S950" s="45">
        <f t="shared" ca="1" si="1245"/>
        <v>5.0695617570641283E-2</v>
      </c>
      <c r="T950" s="77">
        <f t="shared" ca="1" si="1206"/>
        <v>6.5827101645662786E-2</v>
      </c>
      <c r="U950" s="45">
        <f t="shared" ca="1" si="1222"/>
        <v>17.07840148849526</v>
      </c>
      <c r="V950" s="45">
        <f t="shared" ca="1" si="1207"/>
        <v>0.20278247028256513</v>
      </c>
      <c r="W950" s="77">
        <f t="shared" ca="1" si="1208"/>
        <v>0.57703415977830341</v>
      </c>
      <c r="X950" s="45">
        <f t="shared" ca="1" si="1223"/>
        <v>1.0263006875594034</v>
      </c>
      <c r="Y950" s="45">
        <f t="shared" ca="1" si="1209"/>
        <v>6.6577641582929156E-2</v>
      </c>
      <c r="Z950" s="77">
        <f t="shared" ca="1" si="1210"/>
        <v>7.4744169349255318E-2</v>
      </c>
      <c r="AA950" s="45">
        <f t="shared" ca="1" si="1224"/>
        <v>39.197284532312807</v>
      </c>
      <c r="AB950" s="45">
        <f t="shared" ca="1" si="1211"/>
        <v>0</v>
      </c>
      <c r="AC950" s="45" cm="1">
        <f t="array" aca="1" ref="AC950" ca="1">pHUM*(T950+W950+Z950+AD950)</f>
        <v>7.8326637156387241E-2</v>
      </c>
      <c r="AD950" s="77">
        <f t="shared" ca="1" si="1212"/>
        <v>8.9714741811560264E-2</v>
      </c>
      <c r="AE950" s="45">
        <f t="shared" ca="1" si="1225"/>
        <v>6.3847072090583081</v>
      </c>
      <c r="AF950" s="45">
        <f t="shared" ca="1" si="1213"/>
        <v>0</v>
      </c>
      <c r="AG950" s="76">
        <f t="shared" ca="1" si="1214"/>
        <v>63.783214246966004</v>
      </c>
      <c r="AH950" s="45">
        <f t="shared" ca="1" si="1215"/>
        <v>0.6624158938454654</v>
      </c>
      <c r="AI950" s="77">
        <f t="shared" ca="1" si="1216"/>
        <v>1.0961417343427992E-2</v>
      </c>
      <c r="AJ950" s="384">
        <f t="shared" ca="1" si="1218"/>
        <v>3.2611163281828226E-2</v>
      </c>
      <c r="AU950" s="1"/>
    </row>
    <row r="951" spans="3:47" x14ac:dyDescent="0.25">
      <c r="C951" s="10">
        <f t="shared" si="1243"/>
        <v>71</v>
      </c>
      <c r="D951" s="91">
        <f t="shared" si="1226"/>
        <v>9</v>
      </c>
      <c r="E951" s="278"/>
      <c r="F951" s="76">
        <f t="shared" ref="F951:Q951" ca="1" si="1263">F879</f>
        <v>19.09</v>
      </c>
      <c r="G951" s="46">
        <f t="shared" ca="1" si="1263"/>
        <v>27.012600000000003</v>
      </c>
      <c r="H951" s="46">
        <f t="shared" ca="1" si="1202"/>
        <v>28.517550000000004</v>
      </c>
      <c r="I951" s="45">
        <f t="shared" ca="1" si="1203"/>
        <v>1.1472439462064867</v>
      </c>
      <c r="J951" s="45">
        <f t="shared" ca="1" si="1204"/>
        <v>0.27952512346894071</v>
      </c>
      <c r="K951" s="45">
        <f t="shared" ca="1" si="1220"/>
        <v>0.90345467800480783</v>
      </c>
      <c r="L951" s="358">
        <f t="shared" ca="1" si="1205"/>
        <v>0.90508116523032656</v>
      </c>
      <c r="M951" s="76">
        <f t="shared" ca="1" si="1263"/>
        <v>0.25347808785320641</v>
      </c>
      <c r="N951" s="45">
        <f t="shared" ca="1" si="1263"/>
        <v>0.25</v>
      </c>
      <c r="O951" s="45">
        <f t="shared" ca="1" si="1263"/>
        <v>0</v>
      </c>
      <c r="P951" s="46" t="str">
        <f t="shared" ca="1" si="1263"/>
        <v/>
      </c>
      <c r="Q951" s="243" t="str">
        <f t="shared" ca="1" si="1263"/>
        <v/>
      </c>
      <c r="R951" s="45">
        <f t="shared" ca="1" si="1221"/>
        <v>8.1388845465208623E-2</v>
      </c>
      <c r="S951" s="45">
        <f t="shared" ca="1" si="1245"/>
        <v>5.0695617570641283E-2</v>
      </c>
      <c r="T951" s="77">
        <f t="shared" ca="1" si="1206"/>
        <v>5.0101878867953413E-2</v>
      </c>
      <c r="U951" s="45">
        <f t="shared" ca="1" si="1222"/>
        <v>16.70414979899952</v>
      </c>
      <c r="V951" s="45">
        <f t="shared" ca="1" si="1207"/>
        <v>0.20278247028256513</v>
      </c>
      <c r="W951" s="77">
        <f t="shared" ca="1" si="1208"/>
        <v>0.47228812210362781</v>
      </c>
      <c r="X951" s="45">
        <f t="shared" ca="1" si="1223"/>
        <v>1.0181341597930773</v>
      </c>
      <c r="Y951" s="45">
        <f t="shared" ca="1" si="1209"/>
        <v>5.438749672581264E-2</v>
      </c>
      <c r="Z951" s="77">
        <f t="shared" ca="1" si="1210"/>
        <v>6.2257814266647823E-2</v>
      </c>
      <c r="AA951" s="45">
        <f t="shared" ca="1" si="1224"/>
        <v>39.185896427657632</v>
      </c>
      <c r="AB951" s="45">
        <f t="shared" ca="1" si="1211"/>
        <v>0</v>
      </c>
      <c r="AC951" s="45" cm="1">
        <f t="array" aca="1" ref="AC951" ca="1">pHUM*(T951+W951+Z951+AD951)</f>
        <v>6.3985290265661923E-2</v>
      </c>
      <c r="AD951" s="77">
        <f t="shared" ca="1" si="1212"/>
        <v>7.4854717431771398E-2</v>
      </c>
      <c r="AE951" s="45">
        <f t="shared" ca="1" si="1225"/>
        <v>6.3847072090583081</v>
      </c>
      <c r="AF951" s="45">
        <f t="shared" ca="1" si="1213"/>
        <v>0</v>
      </c>
      <c r="AG951" s="76">
        <f t="shared" ca="1" si="1214"/>
        <v>63.374276440973745</v>
      </c>
      <c r="AH951" s="45">
        <f t="shared" ca="1" si="1215"/>
        <v>0.5411297456785259</v>
      </c>
      <c r="AI951" s="77">
        <f t="shared" ca="1" si="1216"/>
        <v>1.0646421743628924E-2</v>
      </c>
      <c r="AJ951" s="384">
        <f t="shared" ca="1" si="1218"/>
        <v>3.0728055124777942E-2</v>
      </c>
      <c r="AU951" s="1"/>
    </row>
    <row r="952" spans="3:47" x14ac:dyDescent="0.25">
      <c r="C952" s="10">
        <f t="shared" si="1243"/>
        <v>71</v>
      </c>
      <c r="D952" s="91">
        <f t="shared" si="1226"/>
        <v>10</v>
      </c>
      <c r="E952" s="278"/>
      <c r="F952" s="76">
        <f t="shared" ref="F952:Q952" ca="1" si="1264">F880</f>
        <v>9.02</v>
      </c>
      <c r="G952" s="46">
        <f t="shared" ca="1" si="1264"/>
        <v>27.012600000000003</v>
      </c>
      <c r="H952" s="46">
        <f t="shared" ca="1" si="1202"/>
        <v>28.517550000000004</v>
      </c>
      <c r="I952" s="45">
        <f t="shared" ca="1" si="1203"/>
        <v>0.41742778729268759</v>
      </c>
      <c r="J952" s="45">
        <f t="shared" ca="1" si="1204"/>
        <v>0.27952512346894071</v>
      </c>
      <c r="K952" s="45">
        <f t="shared" ca="1" si="1220"/>
        <v>0.90345467800480783</v>
      </c>
      <c r="L952" s="358">
        <f t="shared" ca="1" si="1205"/>
        <v>0.68492882381082199</v>
      </c>
      <c r="M952" s="76">
        <f t="shared" ca="1" si="1264"/>
        <v>0.25347808785320641</v>
      </c>
      <c r="N952" s="45">
        <f t="shared" ca="1" si="1264"/>
        <v>0.25</v>
      </c>
      <c r="O952" s="45">
        <f t="shared" ca="1" si="1264"/>
        <v>0</v>
      </c>
      <c r="P952" s="46" t="str">
        <f t="shared" ca="1" si="1264"/>
        <v/>
      </c>
      <c r="Q952" s="243" t="str">
        <f t="shared" ca="1" si="1264"/>
        <v/>
      </c>
      <c r="R952" s="45">
        <f t="shared" ca="1" si="1221"/>
        <v>8.1982584167896499E-2</v>
      </c>
      <c r="S952" s="45">
        <f t="shared" ca="1" si="1245"/>
        <v>5.0695617570641283E-2</v>
      </c>
      <c r="T952" s="77">
        <f t="shared" ca="1" si="1206"/>
        <v>2.4086465507844296E-2</v>
      </c>
      <c r="U952" s="45">
        <f t="shared" ca="1" si="1222"/>
        <v>16.434644147178457</v>
      </c>
      <c r="V952" s="45">
        <f t="shared" ca="1" si="1207"/>
        <v>0.20278247028256513</v>
      </c>
      <c r="W952" s="77">
        <f t="shared" ca="1" si="1208"/>
        <v>0.17061513641409215</v>
      </c>
      <c r="X952" s="45">
        <f t="shared" ca="1" si="1223"/>
        <v>1.0102638422522421</v>
      </c>
      <c r="Y952" s="45">
        <f t="shared" ca="1" si="1209"/>
        <v>2.0194354025447586E-2</v>
      </c>
      <c r="Z952" s="77">
        <f t="shared" ca="1" si="1210"/>
        <v>2.2929944941423527E-2</v>
      </c>
      <c r="AA952" s="45">
        <f t="shared" ca="1" si="1224"/>
        <v>39.175027000491525</v>
      </c>
      <c r="AB952" s="45">
        <f t="shared" ca="1" si="1211"/>
        <v>0</v>
      </c>
      <c r="AC952" s="45" cm="1">
        <f t="array" aca="1" ref="AC952" ca="1">pHUM*(T952+W952+Z952+AD952)</f>
        <v>2.3758063559350104E-2</v>
      </c>
      <c r="AD952" s="77">
        <f t="shared" ca="1" si="1212"/>
        <v>2.724509624745243E-2</v>
      </c>
      <c r="AE952" s="45">
        <f t="shared" ca="1" si="1225"/>
        <v>6.3847072090583081</v>
      </c>
      <c r="AF952" s="45">
        <f t="shared" ca="1" si="1213"/>
        <v>0</v>
      </c>
      <c r="AG952" s="76">
        <f t="shared" ca="1" si="1214"/>
        <v>63.086624783148423</v>
      </c>
      <c r="AH952" s="45">
        <f t="shared" ca="1" si="1215"/>
        <v>0.20092422552601474</v>
      </c>
      <c r="AI952" s="77">
        <f t="shared" ca="1" si="1216"/>
        <v>1.0582378383000621E-2</v>
      </c>
      <c r="AJ952" s="384">
        <f t="shared" ca="1" si="1218"/>
        <v>2.3114032976300214E-2</v>
      </c>
      <c r="AU952" s="1"/>
    </row>
    <row r="953" spans="3:47" x14ac:dyDescent="0.25">
      <c r="C953" s="10">
        <f t="shared" si="1243"/>
        <v>71</v>
      </c>
      <c r="D953" s="91">
        <f t="shared" si="1226"/>
        <v>11</v>
      </c>
      <c r="E953" s="278"/>
      <c r="F953" s="76">
        <f t="shared" ref="F953:Q953" ca="1" si="1265">F881</f>
        <v>5.62</v>
      </c>
      <c r="G953" s="46">
        <f t="shared" ca="1" si="1265"/>
        <v>27.012600000000003</v>
      </c>
      <c r="H953" s="46">
        <f t="shared" ca="1" si="1202"/>
        <v>28.517550000000004</v>
      </c>
      <c r="I953" s="45">
        <f t="shared" ca="1" si="1203"/>
        <v>0.24215575259059691</v>
      </c>
      <c r="J953" s="45">
        <f t="shared" ca="1" si="1204"/>
        <v>0.27952512346894071</v>
      </c>
      <c r="K953" s="45">
        <f t="shared" ca="1" si="1220"/>
        <v>0.90345467800480783</v>
      </c>
      <c r="L953" s="358">
        <f t="shared" ca="1" si="1205"/>
        <v>0.5671500175141555</v>
      </c>
      <c r="M953" s="76">
        <f t="shared" ca="1" si="1265"/>
        <v>0.25347808785320641</v>
      </c>
      <c r="N953" s="45">
        <f t="shared" ca="1" si="1265"/>
        <v>0.25</v>
      </c>
      <c r="O953" s="45">
        <f t="shared" ca="1" si="1265"/>
        <v>0</v>
      </c>
      <c r="P953" s="46" t="str">
        <f t="shared" ca="1" si="1265"/>
        <v/>
      </c>
      <c r="Q953" s="243" t="str">
        <f t="shared" ca="1" si="1265"/>
        <v/>
      </c>
      <c r="R953" s="45">
        <f t="shared" ca="1" si="1221"/>
        <v>0.10859173623069349</v>
      </c>
      <c r="S953" s="45">
        <f t="shared" ca="1" si="1245"/>
        <v>5.0695617570641283E-2</v>
      </c>
      <c r="T953" s="77">
        <f t="shared" ca="1" si="1206"/>
        <v>1.9843917491017132E-2</v>
      </c>
      <c r="U953" s="45">
        <f t="shared" ca="1" si="1222"/>
        <v>16.466811481046928</v>
      </c>
      <c r="V953" s="45">
        <f t="shared" ca="1" si="1207"/>
        <v>0.20278247028256513</v>
      </c>
      <c r="W953" s="77">
        <f t="shared" ca="1" si="1208"/>
        <v>9.938718490026216E-2</v>
      </c>
      <c r="X953" s="45">
        <f t="shared" ca="1" si="1223"/>
        <v>1.0075282513362662</v>
      </c>
      <c r="Y953" s="45">
        <f t="shared" ca="1" si="1209"/>
        <v>1.2235460425511761E-2</v>
      </c>
      <c r="Z953" s="77">
        <f t="shared" ca="1" si="1210"/>
        <v>1.3329867503298395E-2</v>
      </c>
      <c r="AA953" s="45">
        <f t="shared" ca="1" si="1224"/>
        <v>39.171539967803419</v>
      </c>
      <c r="AB953" s="45">
        <f t="shared" ca="1" si="1211"/>
        <v>0</v>
      </c>
      <c r="AC953" s="45" cm="1">
        <f t="array" aca="1" ref="AC953" ca="1">pHUM*(T953+W953+Z953+AD953)</f>
        <v>1.4394659324131484E-2</v>
      </c>
      <c r="AD953" s="77">
        <f t="shared" ca="1" si="1212"/>
        <v>1.5806166392075854E-2</v>
      </c>
      <c r="AE953" s="45">
        <f t="shared" ca="1" si="1225"/>
        <v>6.3847072090583081</v>
      </c>
      <c r="AF953" s="45">
        <f t="shared" ca="1" si="1213"/>
        <v>0</v>
      </c>
      <c r="AG953" s="76">
        <f t="shared" ca="1" si="1214"/>
        <v>63.13917864547561</v>
      </c>
      <c r="AH953" s="45">
        <f t="shared" ca="1" si="1215"/>
        <v>0.12173701653701031</v>
      </c>
      <c r="AI953" s="77">
        <f t="shared" ca="1" si="1216"/>
        <v>1.0974700998129916E-2</v>
      </c>
      <c r="AJ953" s="384">
        <f t="shared" ca="1" si="1218"/>
        <v>1.9849016097366334E-2</v>
      </c>
      <c r="AU953" s="1"/>
    </row>
    <row r="954" spans="3:47" x14ac:dyDescent="0.25">
      <c r="C954" s="10">
        <f t="shared" si="1243"/>
        <v>71</v>
      </c>
      <c r="D954" s="91">
        <f t="shared" si="1226"/>
        <v>12</v>
      </c>
      <c r="E954" s="278"/>
      <c r="F954" s="76">
        <f t="shared" ref="F954:Q954" ca="1" si="1266">F882</f>
        <v>3.68</v>
      </c>
      <c r="G954" s="46">
        <f t="shared" ca="1" si="1266"/>
        <v>27.012600000000003</v>
      </c>
      <c r="H954" s="46">
        <f t="shared" ca="1" si="1202"/>
        <v>28.517550000000004</v>
      </c>
      <c r="I954" s="45">
        <f t="shared" ca="1" si="1203"/>
        <v>0.16418562454767627</v>
      </c>
      <c r="J954" s="45">
        <f t="shared" ca="1" si="1204"/>
        <v>0.27952512346894071</v>
      </c>
      <c r="K954" s="45">
        <f t="shared" ca="1" si="1220"/>
        <v>0.90345467800480783</v>
      </c>
      <c r="L954" s="358">
        <f t="shared" ca="1" si="1205"/>
        <v>0.49525928680467546</v>
      </c>
      <c r="M954" s="76">
        <f t="shared" ca="1" si="1266"/>
        <v>0.25347808785320641</v>
      </c>
      <c r="N954" s="45">
        <f t="shared" ca="1" si="1266"/>
        <v>0.25</v>
      </c>
      <c r="O954" s="45">
        <f t="shared" ca="1" si="1266"/>
        <v>0</v>
      </c>
      <c r="P954" s="46" t="str">
        <f t="shared" ca="1" si="1266"/>
        <v/>
      </c>
      <c r="Q954" s="243" t="str">
        <f t="shared" ca="1" si="1266"/>
        <v/>
      </c>
      <c r="R954" s="45">
        <f t="shared" ca="1" si="1221"/>
        <v>0.13944343631031764</v>
      </c>
      <c r="S954" s="45">
        <f t="shared" ca="1" si="1245"/>
        <v>5.0695617570641283E-2</v>
      </c>
      <c r="T954" s="77">
        <f t="shared" ca="1" si="1206"/>
        <v>1.7831187991366577E-2</v>
      </c>
      <c r="U954" s="45">
        <f t="shared" ca="1" si="1222"/>
        <v>16.57020676642923</v>
      </c>
      <c r="V954" s="45">
        <f t="shared" ca="1" si="1207"/>
        <v>0.20278247028256513</v>
      </c>
      <c r="W954" s="77">
        <f t="shared" ca="1" si="1208"/>
        <v>6.787534642158119E-2</v>
      </c>
      <c r="X954" s="45">
        <f t="shared" ca="1" si="1223"/>
        <v>1.0064338442584795</v>
      </c>
      <c r="Y954" s="45">
        <f t="shared" ca="1" si="1209"/>
        <v>8.697932154586599E-3</v>
      </c>
      <c r="Z954" s="77">
        <f t="shared" ca="1" si="1210"/>
        <v>9.0473968862168005E-3</v>
      </c>
      <c r="AA954" s="45">
        <f t="shared" ca="1" si="1224"/>
        <v>39.170128460735476</v>
      </c>
      <c r="AB954" s="45">
        <f t="shared" ca="1" si="1211"/>
        <v>0</v>
      </c>
      <c r="AC954" s="45" cm="1">
        <f t="array" aca="1" ref="AC954" ca="1">pHUM*(T954+W954+Z954+AD954)</f>
        <v>1.0232861358337175E-2</v>
      </c>
      <c r="AD954" s="77">
        <f t="shared" ca="1" si="1212"/>
        <v>1.0717153605892439E-2</v>
      </c>
      <c r="AE954" s="45">
        <f t="shared" ca="1" si="1225"/>
        <v>6.3847072090583081</v>
      </c>
      <c r="AF954" s="45">
        <f t="shared" ca="1" si="1213"/>
        <v>0</v>
      </c>
      <c r="AG954" s="76">
        <f t="shared" ca="1" si="1214"/>
        <v>63.270919716791809</v>
      </c>
      <c r="AH954" s="45">
        <f t="shared" ca="1" si="1215"/>
        <v>8.6540291392133248E-2</v>
      </c>
      <c r="AI954" s="77">
        <f t="shared" ca="1" si="1216"/>
        <v>1.144557552557965E-2</v>
      </c>
      <c r="AJ954" s="384">
        <f t="shared" ca="1" si="1218"/>
        <v>1.8076707335615838E-2</v>
      </c>
      <c r="AU954" s="1"/>
    </row>
    <row r="955" spans="3:47" x14ac:dyDescent="0.25">
      <c r="C955" s="10">
        <f t="shared" si="1243"/>
        <v>72</v>
      </c>
      <c r="D955" s="91">
        <f t="shared" si="1226"/>
        <v>1</v>
      </c>
      <c r="E955" s="278"/>
      <c r="F955" s="76">
        <f t="shared" ref="F955:Q955" si="1267">F883</f>
        <v>0.85587096774193583</v>
      </c>
      <c r="G955" s="46">
        <f t="shared" si="1267"/>
        <v>78.439554282868485</v>
      </c>
      <c r="H955" s="46">
        <f t="shared" si="1202"/>
        <v>-22.909404282868479</v>
      </c>
      <c r="I955" s="45">
        <f t="shared" si="1203"/>
        <v>0</v>
      </c>
      <c r="J955" s="45">
        <f t="shared" si="1204"/>
        <v>0.23072180944359474</v>
      </c>
      <c r="K955" s="45">
        <f t="shared" ca="1" si="1220"/>
        <v>0.74571722023659515</v>
      </c>
      <c r="L955" s="358">
        <f t="shared" si="1205"/>
        <v>0.39170179323548027</v>
      </c>
      <c r="M955" s="76">
        <f t="shared" ca="1" si="1267"/>
        <v>0.25347808785320641</v>
      </c>
      <c r="N955" s="45">
        <f t="shared" ca="1" si="1267"/>
        <v>0.25</v>
      </c>
      <c r="O955" s="45">
        <f t="shared" ca="1" si="1267"/>
        <v>0</v>
      </c>
      <c r="P955" s="46" t="str">
        <f t="shared" ca="1" si="1267"/>
        <v/>
      </c>
      <c r="Q955" s="243" t="str">
        <f t="shared" ca="1" si="1267"/>
        <v/>
      </c>
      <c r="R955" s="45">
        <f t="shared" ca="1" si="1221"/>
        <v>0.17230786588959235</v>
      </c>
      <c r="S955" s="45">
        <f t="shared" ca="1" si="1245"/>
        <v>5.0695617570641283E-2</v>
      </c>
      <c r="T955" s="77">
        <f t="shared" ca="1" si="1206"/>
        <v>0</v>
      </c>
      <c r="U955" s="45">
        <f t="shared" ca="1" si="1222"/>
        <v>16.705113890290214</v>
      </c>
      <c r="V955" s="45">
        <f t="shared" ca="1" si="1207"/>
        <v>0.20278247028256513</v>
      </c>
      <c r="W955" s="77">
        <f t="shared" ca="1" si="1208"/>
        <v>0</v>
      </c>
      <c r="X955" s="45">
        <f t="shared" ca="1" si="1223"/>
        <v>1.0060843795268493</v>
      </c>
      <c r="Y955" s="45">
        <f t="shared" ca="1" si="1209"/>
        <v>0</v>
      </c>
      <c r="Z955" s="77">
        <f t="shared" ca="1" si="1210"/>
        <v>0</v>
      </c>
      <c r="AA955" s="45">
        <f t="shared" ca="1" si="1224"/>
        <v>39.16964416848792</v>
      </c>
      <c r="AB955" s="45">
        <f t="shared" ca="1" si="1211"/>
        <v>0</v>
      </c>
      <c r="AC955" s="45" cm="1">
        <f t="array" aca="1" ref="AC955" ca="1">pHUM*(T955+W955+Z955+AD955)</f>
        <v>0</v>
      </c>
      <c r="AD955" s="77">
        <f t="shared" ca="1" si="1212"/>
        <v>0</v>
      </c>
      <c r="AE955" s="45">
        <f t="shared" ca="1" si="1225"/>
        <v>6.3847072090583081</v>
      </c>
      <c r="AF955" s="45">
        <f t="shared" ca="1" si="1213"/>
        <v>0</v>
      </c>
      <c r="AG955" s="76">
        <f t="shared" ca="1" si="1214"/>
        <v>63.437857513252879</v>
      </c>
      <c r="AH955" s="45">
        <f t="shared" ca="1" si="1215"/>
        <v>0</v>
      </c>
      <c r="AI955" s="77">
        <f t="shared" ca="1" si="1216"/>
        <v>1.1950875859053894E-2</v>
      </c>
      <c r="AJ955" s="384">
        <f t="shared" ca="1" si="1218"/>
        <v>1.2321810269496636E-2</v>
      </c>
      <c r="AU955" s="1"/>
    </row>
    <row r="956" spans="3:47" x14ac:dyDescent="0.25">
      <c r="C956" s="10">
        <f t="shared" si="1243"/>
        <v>72</v>
      </c>
      <c r="D956" s="91">
        <f t="shared" si="1226"/>
        <v>2</v>
      </c>
      <c r="E956" s="278"/>
      <c r="F956" s="76">
        <f t="shared" ref="F956:Q956" si="1268">F884</f>
        <v>0.91042857142857181</v>
      </c>
      <c r="G956" s="46">
        <f t="shared" si="1268"/>
        <v>77.312634079068317</v>
      </c>
      <c r="H956" s="46">
        <f t="shared" si="1202"/>
        <v>-21.782484079068311</v>
      </c>
      <c r="I956" s="45">
        <f t="shared" si="1203"/>
        <v>0</v>
      </c>
      <c r="J956" s="45">
        <f t="shared" si="1204"/>
        <v>0.23463537609132465</v>
      </c>
      <c r="K956" s="45">
        <f t="shared" ca="1" si="1220"/>
        <v>0.75836628037006848</v>
      </c>
      <c r="L956" s="358">
        <f t="shared" si="1205"/>
        <v>0.39364266736760256</v>
      </c>
      <c r="M956" s="76">
        <f t="shared" ca="1" si="1268"/>
        <v>0.25347808785320641</v>
      </c>
      <c r="N956" s="45">
        <f t="shared" ca="1" si="1268"/>
        <v>0.25</v>
      </c>
      <c r="O956" s="45">
        <f t="shared" ca="1" si="1268"/>
        <v>0</v>
      </c>
      <c r="P956" s="46" t="str">
        <f t="shared" ca="1" si="1268"/>
        <v/>
      </c>
      <c r="Q956" s="243" t="str">
        <f t="shared" ca="1" si="1268"/>
        <v/>
      </c>
      <c r="R956" s="45">
        <f t="shared" ca="1" si="1221"/>
        <v>0.22300348346023363</v>
      </c>
      <c r="S956" s="45">
        <f t="shared" ca="1" si="1245"/>
        <v>5.0695617570641283E-2</v>
      </c>
      <c r="T956" s="77">
        <f t="shared" ca="1" si="1206"/>
        <v>0</v>
      </c>
      <c r="U956" s="45">
        <f t="shared" ca="1" si="1222"/>
        <v>16.907896360572778</v>
      </c>
      <c r="V956" s="45">
        <f t="shared" ca="1" si="1207"/>
        <v>0.20278247028256513</v>
      </c>
      <c r="W956" s="77">
        <f t="shared" ca="1" si="1208"/>
        <v>0</v>
      </c>
      <c r="X956" s="45">
        <f t="shared" ca="1" si="1223"/>
        <v>1.0060843795268493</v>
      </c>
      <c r="Y956" s="45">
        <f t="shared" ca="1" si="1209"/>
        <v>0</v>
      </c>
      <c r="Z956" s="77">
        <f t="shared" ca="1" si="1210"/>
        <v>0</v>
      </c>
      <c r="AA956" s="45">
        <f t="shared" ca="1" si="1224"/>
        <v>39.16964416848792</v>
      </c>
      <c r="AB956" s="45">
        <f t="shared" ca="1" si="1211"/>
        <v>0</v>
      </c>
      <c r="AC956" s="45" cm="1">
        <f t="array" aca="1" ref="AC956" ca="1">pHUM*(T956+W956+Z956+AD956)</f>
        <v>0</v>
      </c>
      <c r="AD956" s="77">
        <f t="shared" ca="1" si="1212"/>
        <v>0</v>
      </c>
      <c r="AE956" s="45">
        <f t="shared" ca="1" si="1225"/>
        <v>6.3847072090583081</v>
      </c>
      <c r="AF956" s="45">
        <f t="shared" ca="1" si="1213"/>
        <v>0</v>
      </c>
      <c r="AG956" s="76">
        <f t="shared" ca="1" si="1214"/>
        <v>63.69133560110609</v>
      </c>
      <c r="AH956" s="45">
        <f t="shared" ca="1" si="1215"/>
        <v>0</v>
      </c>
      <c r="AI956" s="77">
        <f t="shared" ca="1" si="1216"/>
        <v>1.2723676943575905E-2</v>
      </c>
      <c r="AJ956" s="384">
        <f t="shared" ca="1" si="1218"/>
        <v>1.3407210246249024E-2</v>
      </c>
      <c r="AU956" s="1"/>
    </row>
    <row r="957" spans="3:47" x14ac:dyDescent="0.25">
      <c r="C957" s="10">
        <f t="shared" si="1243"/>
        <v>72</v>
      </c>
      <c r="D957" s="91">
        <f t="shared" si="1226"/>
        <v>3</v>
      </c>
      <c r="E957" s="278"/>
      <c r="F957" s="76">
        <f t="shared" ref="F957:Q957" si="1269">F885</f>
        <v>1.7499333333333336</v>
      </c>
      <c r="G957" s="46">
        <f t="shared" si="1269"/>
        <v>89.127050621045186</v>
      </c>
      <c r="H957" s="46">
        <f t="shared" si="1202"/>
        <v>-33.596900621045179</v>
      </c>
      <c r="I957" s="45">
        <f t="shared" si="1203"/>
        <v>0</v>
      </c>
      <c r="J957" s="45">
        <f t="shared" si="1204"/>
        <v>0.19161115755788954</v>
      </c>
      <c r="K957" s="45">
        <f t="shared" ca="1" si="1220"/>
        <v>0.61930746869995335</v>
      </c>
      <c r="L957" s="358">
        <f t="shared" si="1205"/>
        <v>0.42389567243620196</v>
      </c>
      <c r="M957" s="76">
        <f t="shared" ca="1" si="1269"/>
        <v>0.25347808785320641</v>
      </c>
      <c r="N957" s="45">
        <f t="shared" ca="1" si="1269"/>
        <v>0.25</v>
      </c>
      <c r="O957" s="45">
        <f t="shared" ca="1" si="1269"/>
        <v>0</v>
      </c>
      <c r="P957" s="46" t="str">
        <f t="shared" ca="1" si="1269"/>
        <v/>
      </c>
      <c r="Q957" s="243" t="str">
        <f t="shared" ca="1" si="1269"/>
        <v/>
      </c>
      <c r="R957" s="45">
        <f t="shared" ca="1" si="1221"/>
        <v>0.27369910103087491</v>
      </c>
      <c r="S957" s="45">
        <f t="shared" ca="1" si="1245"/>
        <v>5.0695617570641283E-2</v>
      </c>
      <c r="T957" s="77">
        <f t="shared" ca="1" si="1206"/>
        <v>0</v>
      </c>
      <c r="U957" s="45">
        <f t="shared" ca="1" si="1222"/>
        <v>17.110678830855342</v>
      </c>
      <c r="V957" s="45">
        <f t="shared" ca="1" si="1207"/>
        <v>0.20278247028256513</v>
      </c>
      <c r="W957" s="77">
        <f t="shared" ca="1" si="1208"/>
        <v>0</v>
      </c>
      <c r="X957" s="45">
        <f t="shared" ca="1" si="1223"/>
        <v>1.0060843795268493</v>
      </c>
      <c r="Y957" s="45">
        <f t="shared" ca="1" si="1209"/>
        <v>0</v>
      </c>
      <c r="Z957" s="77">
        <f t="shared" ca="1" si="1210"/>
        <v>0</v>
      </c>
      <c r="AA957" s="45">
        <f t="shared" ca="1" si="1224"/>
        <v>39.16964416848792</v>
      </c>
      <c r="AB957" s="45">
        <f t="shared" ca="1" si="1211"/>
        <v>0</v>
      </c>
      <c r="AC957" s="45" cm="1">
        <f t="array" aca="1" ref="AC957" ca="1">pHUM*(T957+W957+Z957+AD957)</f>
        <v>0</v>
      </c>
      <c r="AD957" s="77">
        <f t="shared" ca="1" si="1212"/>
        <v>0</v>
      </c>
      <c r="AE957" s="45">
        <f t="shared" ca="1" si="1225"/>
        <v>6.3847072090583081</v>
      </c>
      <c r="AF957" s="45">
        <f t="shared" ca="1" si="1213"/>
        <v>0</v>
      </c>
      <c r="AG957" s="76">
        <f t="shared" ca="1" si="1214"/>
        <v>63.944813688959293</v>
      </c>
      <c r="AH957" s="45">
        <f t="shared" ca="1" si="1215"/>
        <v>0</v>
      </c>
      <c r="AI957" s="77">
        <f t="shared" ca="1" si="1216"/>
        <v>1.3489671642454281E-2</v>
      </c>
      <c r="AJ957" s="384">
        <f t="shared" ca="1" si="1218"/>
        <v>1.2500047293860783E-2</v>
      </c>
      <c r="AU957" s="1"/>
    </row>
    <row r="958" spans="3:47" x14ac:dyDescent="0.25">
      <c r="C958" s="10">
        <f t="shared" si="1243"/>
        <v>72</v>
      </c>
      <c r="D958" s="91">
        <f t="shared" si="1226"/>
        <v>4</v>
      </c>
      <c r="E958" s="278"/>
      <c r="F958" s="76">
        <f t="shared" ref="F958:Q958" si="1270">F886</f>
        <v>5.3144</v>
      </c>
      <c r="G958" s="46">
        <f t="shared" si="1270"/>
        <v>88.517400984298064</v>
      </c>
      <c r="H958" s="46">
        <f t="shared" si="1202"/>
        <v>-32.987250984298058</v>
      </c>
      <c r="I958" s="45">
        <f t="shared" si="1203"/>
        <v>0</v>
      </c>
      <c r="J958" s="45">
        <f t="shared" si="1204"/>
        <v>0.19391725365845511</v>
      </c>
      <c r="K958" s="45">
        <f t="shared" ca="1" si="1220"/>
        <v>0.62676101449980381</v>
      </c>
      <c r="L958" s="358">
        <f t="shared" si="1205"/>
        <v>0.55593677468735669</v>
      </c>
      <c r="M958" s="76">
        <f t="shared" ca="1" si="1270"/>
        <v>0.25347808785320641</v>
      </c>
      <c r="N958" s="45">
        <f t="shared" ca="1" si="1270"/>
        <v>0.25</v>
      </c>
      <c r="O958" s="45">
        <f t="shared" ca="1" si="1270"/>
        <v>0</v>
      </c>
      <c r="P958" s="46" t="str">
        <f t="shared" ca="1" si="1270"/>
        <v/>
      </c>
      <c r="Q958" s="243" t="str">
        <f t="shared" ca="1" si="1270"/>
        <v/>
      </c>
      <c r="R958" s="45">
        <f t="shared" ca="1" si="1221"/>
        <v>0.3243947186015162</v>
      </c>
      <c r="S958" s="45">
        <f t="shared" ca="1" si="1245"/>
        <v>5.0695617570641283E-2</v>
      </c>
      <c r="T958" s="77">
        <f t="shared" ca="1" si="1206"/>
        <v>0</v>
      </c>
      <c r="U958" s="45">
        <f t="shared" ca="1" si="1222"/>
        <v>17.313461301137906</v>
      </c>
      <c r="V958" s="45">
        <f t="shared" ca="1" si="1207"/>
        <v>0.20278247028256513</v>
      </c>
      <c r="W958" s="77">
        <f t="shared" ca="1" si="1208"/>
        <v>0</v>
      </c>
      <c r="X958" s="45">
        <f t="shared" ca="1" si="1223"/>
        <v>1.0060843795268493</v>
      </c>
      <c r="Y958" s="45">
        <f t="shared" ca="1" si="1209"/>
        <v>0</v>
      </c>
      <c r="Z958" s="77">
        <f t="shared" ca="1" si="1210"/>
        <v>0</v>
      </c>
      <c r="AA958" s="45">
        <f t="shared" ca="1" si="1224"/>
        <v>39.16964416848792</v>
      </c>
      <c r="AB958" s="45">
        <f t="shared" ca="1" si="1211"/>
        <v>0</v>
      </c>
      <c r="AC958" s="45" cm="1">
        <f t="array" aca="1" ref="AC958" ca="1">pHUM*(T958+W958+Z958+AD958)</f>
        <v>0</v>
      </c>
      <c r="AD958" s="77">
        <f t="shared" ca="1" si="1212"/>
        <v>0</v>
      </c>
      <c r="AE958" s="45">
        <f t="shared" ca="1" si="1225"/>
        <v>6.3847072090583081</v>
      </c>
      <c r="AF958" s="45">
        <f t="shared" ca="1" si="1213"/>
        <v>0</v>
      </c>
      <c r="AG958" s="76">
        <f t="shared" ca="1" si="1214"/>
        <v>64.198291776812496</v>
      </c>
      <c r="AH958" s="45">
        <f t="shared" ca="1" si="1215"/>
        <v>0</v>
      </c>
      <c r="AI958" s="77">
        <f t="shared" ca="1" si="1216"/>
        <v>1.4248949481514016E-2</v>
      </c>
      <c r="AJ958" s="384">
        <f t="shared" ca="1" si="1218"/>
        <v>1.7524802943711393E-2</v>
      </c>
      <c r="AU958" s="1"/>
    </row>
    <row r="959" spans="3:47" x14ac:dyDescent="0.25">
      <c r="C959" s="10">
        <f t="shared" si="1243"/>
        <v>72</v>
      </c>
      <c r="D959" s="91">
        <f t="shared" si="1226"/>
        <v>5</v>
      </c>
      <c r="E959" s="278"/>
      <c r="F959" s="76">
        <f t="shared" ref="F959:Q959" si="1271">F887</f>
        <v>12.662516129032257</v>
      </c>
      <c r="G959" s="46">
        <f t="shared" si="1271"/>
        <v>89.413014608233681</v>
      </c>
      <c r="H959" s="46">
        <f t="shared" si="1202"/>
        <v>-33.882864608233675</v>
      </c>
      <c r="I959" s="45">
        <f t="shared" si="1203"/>
        <v>0</v>
      </c>
      <c r="J959" s="45">
        <f t="shared" si="1204"/>
        <v>0.19052718077467024</v>
      </c>
      <c r="K959" s="45">
        <f t="shared" ca="1" si="1220"/>
        <v>0.6158039414194908</v>
      </c>
      <c r="L959" s="358">
        <f t="shared" si="1205"/>
        <v>0.78870900469063665</v>
      </c>
      <c r="M959" s="76">
        <f t="shared" ca="1" si="1271"/>
        <v>0.25347808785320641</v>
      </c>
      <c r="N959" s="45">
        <f t="shared" ca="1" si="1271"/>
        <v>0.25</v>
      </c>
      <c r="O959" s="45">
        <f t="shared" ca="1" si="1271"/>
        <v>0</v>
      </c>
      <c r="P959" s="46" t="str">
        <f t="shared" ca="1" si="1271"/>
        <v/>
      </c>
      <c r="Q959" s="243" t="str">
        <f t="shared" ca="1" si="1271"/>
        <v/>
      </c>
      <c r="R959" s="45">
        <f t="shared" ca="1" si="1221"/>
        <v>0.37509033617215748</v>
      </c>
      <c r="S959" s="45">
        <f t="shared" ca="1" si="1245"/>
        <v>5.0695617570641283E-2</v>
      </c>
      <c r="T959" s="77">
        <f t="shared" ca="1" si="1206"/>
        <v>0</v>
      </c>
      <c r="U959" s="45">
        <f t="shared" ca="1" si="1222"/>
        <v>17.51624377142047</v>
      </c>
      <c r="V959" s="45">
        <f t="shared" ca="1" si="1207"/>
        <v>0.20278247028256513</v>
      </c>
      <c r="W959" s="77">
        <f t="shared" ca="1" si="1208"/>
        <v>0</v>
      </c>
      <c r="X959" s="45">
        <f t="shared" ca="1" si="1223"/>
        <v>1.0060843795268493</v>
      </c>
      <c r="Y959" s="45">
        <f t="shared" ca="1" si="1209"/>
        <v>0</v>
      </c>
      <c r="Z959" s="77">
        <f t="shared" ca="1" si="1210"/>
        <v>0</v>
      </c>
      <c r="AA959" s="45">
        <f t="shared" ca="1" si="1224"/>
        <v>39.16964416848792</v>
      </c>
      <c r="AB959" s="45">
        <f t="shared" ca="1" si="1211"/>
        <v>0</v>
      </c>
      <c r="AC959" s="45" cm="1">
        <f t="array" aca="1" ref="AC959" ca="1">pHUM*(T959+W959+Z959+AD959)</f>
        <v>0</v>
      </c>
      <c r="AD959" s="77">
        <f t="shared" ca="1" si="1212"/>
        <v>0</v>
      </c>
      <c r="AE959" s="45">
        <f t="shared" ca="1" si="1225"/>
        <v>6.3847072090583081</v>
      </c>
      <c r="AF959" s="45">
        <f t="shared" ca="1" si="1213"/>
        <v>0</v>
      </c>
      <c r="AG959" s="76">
        <f t="shared" ca="1" si="1214"/>
        <v>64.451769864665707</v>
      </c>
      <c r="AH959" s="45">
        <f t="shared" ca="1" si="1215"/>
        <v>0</v>
      </c>
      <c r="AI959" s="77">
        <f t="shared" ca="1" si="1216"/>
        <v>1.5001598423364477E-2</v>
      </c>
      <c r="AJ959" s="384">
        <f t="shared" ca="1" si="1218"/>
        <v>2.571795077590977E-2</v>
      </c>
      <c r="AU959" s="1"/>
    </row>
    <row r="960" spans="3:47" x14ac:dyDescent="0.25">
      <c r="C960" s="10">
        <f t="shared" si="1243"/>
        <v>72</v>
      </c>
      <c r="D960" s="91">
        <f t="shared" si="1226"/>
        <v>6</v>
      </c>
      <c r="E960" s="278"/>
      <c r="F960" s="76">
        <f t="shared" ref="F960:Q960" si="1272">F888</f>
        <v>17.952400000000004</v>
      </c>
      <c r="G960" s="46">
        <f t="shared" si="1272"/>
        <v>83.948488098886401</v>
      </c>
      <c r="H960" s="46">
        <f t="shared" si="1202"/>
        <v>-28.418338098886395</v>
      </c>
      <c r="I960" s="45">
        <f t="shared" si="1203"/>
        <v>0</v>
      </c>
      <c r="J960" s="45">
        <f t="shared" si="1204"/>
        <v>0.21095121603234232</v>
      </c>
      <c r="K960" s="45">
        <f t="shared" ca="1" si="1220"/>
        <v>0.68181657730811884</v>
      </c>
      <c r="L960" s="358">
        <f t="shared" si="1205"/>
        <v>0.89013124354981255</v>
      </c>
      <c r="M960" s="76">
        <f t="shared" ca="1" si="1272"/>
        <v>0.25347808785320641</v>
      </c>
      <c r="N960" s="45">
        <f t="shared" ca="1" si="1272"/>
        <v>0.25</v>
      </c>
      <c r="O960" s="45">
        <f t="shared" ca="1" si="1272"/>
        <v>0</v>
      </c>
      <c r="P960" s="46" t="str">
        <f t="shared" ca="1" si="1272"/>
        <v/>
      </c>
      <c r="Q960" s="243" t="str">
        <f t="shared" ca="1" si="1272"/>
        <v/>
      </c>
      <c r="R960" s="45">
        <f t="shared" ca="1" si="1221"/>
        <v>0.42578595374279876</v>
      </c>
      <c r="S960" s="45">
        <f t="shared" ca="1" si="1245"/>
        <v>5.0695617570641283E-2</v>
      </c>
      <c r="T960" s="77">
        <f t="shared" ca="1" si="1206"/>
        <v>0</v>
      </c>
      <c r="U960" s="45">
        <f t="shared" ca="1" si="1222"/>
        <v>17.719026241703034</v>
      </c>
      <c r="V960" s="45">
        <f t="shared" ca="1" si="1207"/>
        <v>0.20278247028256513</v>
      </c>
      <c r="W960" s="77">
        <f t="shared" ca="1" si="1208"/>
        <v>0</v>
      </c>
      <c r="X960" s="45">
        <f t="shared" ca="1" si="1223"/>
        <v>1.0060843795268493</v>
      </c>
      <c r="Y960" s="45">
        <f t="shared" ca="1" si="1209"/>
        <v>0</v>
      </c>
      <c r="Z960" s="77">
        <f t="shared" ca="1" si="1210"/>
        <v>0</v>
      </c>
      <c r="AA960" s="45">
        <f t="shared" ca="1" si="1224"/>
        <v>39.16964416848792</v>
      </c>
      <c r="AB960" s="45">
        <f t="shared" ca="1" si="1211"/>
        <v>0</v>
      </c>
      <c r="AC960" s="45" cm="1">
        <f t="array" aca="1" ref="AC960" ca="1">pHUM*(T960+W960+Z960+AD960)</f>
        <v>0</v>
      </c>
      <c r="AD960" s="77">
        <f t="shared" ca="1" si="1212"/>
        <v>0</v>
      </c>
      <c r="AE960" s="45">
        <f t="shared" ca="1" si="1225"/>
        <v>6.3847072090583081</v>
      </c>
      <c r="AF960" s="45">
        <f t="shared" ca="1" si="1213"/>
        <v>0</v>
      </c>
      <c r="AG960" s="76">
        <f t="shared" ca="1" si="1214"/>
        <v>64.705247952518917</v>
      </c>
      <c r="AH960" s="45">
        <f t="shared" ca="1" si="1215"/>
        <v>0</v>
      </c>
      <c r="AI960" s="77">
        <f t="shared" ca="1" si="1216"/>
        <v>1.5747704901370365E-2</v>
      </c>
      <c r="AJ960" s="384">
        <f t="shared" ca="1" si="1218"/>
        <v>3.3734567460366183E-2</v>
      </c>
      <c r="AU960" s="1"/>
    </row>
    <row r="961" spans="3:47" x14ac:dyDescent="0.25">
      <c r="C961" s="10">
        <f t="shared" si="1243"/>
        <v>72</v>
      </c>
      <c r="D961" s="91">
        <f t="shared" si="1226"/>
        <v>7</v>
      </c>
      <c r="E961" s="278"/>
      <c r="F961" s="76">
        <f t="shared" ref="F961:Q961" si="1273">F889</f>
        <v>21.363032258064525</v>
      </c>
      <c r="G961" s="46">
        <f t="shared" si="1273"/>
        <v>73.679575814389409</v>
      </c>
      <c r="H961" s="46">
        <f t="shared" si="1202"/>
        <v>-18.149425814389403</v>
      </c>
      <c r="I961" s="45">
        <f t="shared" si="1203"/>
        <v>0</v>
      </c>
      <c r="J961" s="45">
        <f t="shared" si="1204"/>
        <v>0.2468878570948656</v>
      </c>
      <c r="K961" s="45">
        <f t="shared" ca="1" si="1220"/>
        <v>0.79796759113040194</v>
      </c>
      <c r="L961" s="358">
        <f t="shared" si="1205"/>
        <v>0.92905557700722019</v>
      </c>
      <c r="M961" s="76">
        <f t="shared" ca="1" si="1273"/>
        <v>0.25347808785320641</v>
      </c>
      <c r="N961" s="45">
        <f t="shared" ca="1" si="1273"/>
        <v>0.25</v>
      </c>
      <c r="O961" s="45">
        <f t="shared" ca="1" si="1273"/>
        <v>0</v>
      </c>
      <c r="P961" s="46" t="str">
        <f t="shared" ca="1" si="1273"/>
        <v/>
      </c>
      <c r="Q961" s="243" t="str">
        <f t="shared" ca="1" si="1273"/>
        <v/>
      </c>
      <c r="R961" s="45">
        <f t="shared" ca="1" si="1221"/>
        <v>0.47648157131344004</v>
      </c>
      <c r="S961" s="45">
        <f t="shared" ca="1" si="1245"/>
        <v>5.0695617570641283E-2</v>
      </c>
      <c r="T961" s="77">
        <f t="shared" ca="1" si="1206"/>
        <v>0</v>
      </c>
      <c r="U961" s="45">
        <f t="shared" ca="1" si="1222"/>
        <v>17.921808711985598</v>
      </c>
      <c r="V961" s="45">
        <f t="shared" ca="1" si="1207"/>
        <v>0.20278247028256513</v>
      </c>
      <c r="W961" s="77">
        <f t="shared" ca="1" si="1208"/>
        <v>0</v>
      </c>
      <c r="X961" s="45">
        <f t="shared" ca="1" si="1223"/>
        <v>1.0060843795268493</v>
      </c>
      <c r="Y961" s="45">
        <f t="shared" ca="1" si="1209"/>
        <v>0</v>
      </c>
      <c r="Z961" s="77">
        <f t="shared" ca="1" si="1210"/>
        <v>0</v>
      </c>
      <c r="AA961" s="45">
        <f t="shared" ca="1" si="1224"/>
        <v>39.16964416848792</v>
      </c>
      <c r="AB961" s="45">
        <f t="shared" ca="1" si="1211"/>
        <v>0</v>
      </c>
      <c r="AC961" s="45" cm="1">
        <f t="array" aca="1" ref="AC961" ca="1">pHUM*(T961+W961+Z961+AD961)</f>
        <v>0</v>
      </c>
      <c r="AD961" s="77">
        <f t="shared" ca="1" si="1212"/>
        <v>0</v>
      </c>
      <c r="AE961" s="45">
        <f t="shared" ca="1" si="1225"/>
        <v>6.3847072090583081</v>
      </c>
      <c r="AF961" s="45">
        <f t="shared" ca="1" si="1213"/>
        <v>0</v>
      </c>
      <c r="AG961" s="76">
        <f t="shared" ca="1" si="1214"/>
        <v>64.958726040372113</v>
      </c>
      <c r="AH961" s="45">
        <f t="shared" ca="1" si="1215"/>
        <v>0</v>
      </c>
      <c r="AI961" s="77">
        <f t="shared" ca="1" si="1216"/>
        <v>1.6487353852740617E-2</v>
      </c>
      <c r="AJ961" s="384">
        <f t="shared" ca="1" si="1218"/>
        <v>4.314299877982708E-2</v>
      </c>
      <c r="AU961" s="1"/>
    </row>
    <row r="962" spans="3:47" x14ac:dyDescent="0.25">
      <c r="C962" s="10">
        <f t="shared" si="1243"/>
        <v>72</v>
      </c>
      <c r="D962" s="91">
        <f t="shared" si="1226"/>
        <v>8</v>
      </c>
      <c r="E962" s="278"/>
      <c r="F962" s="76">
        <f t="shared" ref="F962:Q962" si="1274">F890</f>
        <v>21.84690322580645</v>
      </c>
      <c r="G962" s="46">
        <f t="shared" si="1274"/>
        <v>71.917724933598876</v>
      </c>
      <c r="H962" s="46">
        <f t="shared" si="1202"/>
        <v>-16.38757493359887</v>
      </c>
      <c r="I962" s="45">
        <f t="shared" si="1203"/>
        <v>0</v>
      </c>
      <c r="J962" s="45">
        <f t="shared" si="1204"/>
        <v>0.25260629061506468</v>
      </c>
      <c r="K962" s="45">
        <f t="shared" ca="1" si="1220"/>
        <v>0.81645017133846476</v>
      </c>
      <c r="L962" s="358">
        <f t="shared" si="1205"/>
        <v>0.93325603418156189</v>
      </c>
      <c r="M962" s="76">
        <f t="shared" ca="1" si="1274"/>
        <v>0.25347808785320641</v>
      </c>
      <c r="N962" s="45">
        <f t="shared" ca="1" si="1274"/>
        <v>0.25</v>
      </c>
      <c r="O962" s="45">
        <f t="shared" ca="1" si="1274"/>
        <v>0</v>
      </c>
      <c r="P962" s="46" t="str">
        <f t="shared" ca="1" si="1274"/>
        <v/>
      </c>
      <c r="Q962" s="243" t="str">
        <f t="shared" ca="1" si="1274"/>
        <v/>
      </c>
      <c r="R962" s="45">
        <f t="shared" ca="1" si="1221"/>
        <v>0.52717718888408127</v>
      </c>
      <c r="S962" s="45">
        <f t="shared" ca="1" si="1245"/>
        <v>5.0695617570641283E-2</v>
      </c>
      <c r="T962" s="77">
        <f t="shared" ca="1" si="1206"/>
        <v>0</v>
      </c>
      <c r="U962" s="45">
        <f t="shared" ca="1" si="1222"/>
        <v>18.124591182268162</v>
      </c>
      <c r="V962" s="45">
        <f t="shared" ca="1" si="1207"/>
        <v>0.20278247028256513</v>
      </c>
      <c r="W962" s="77">
        <f t="shared" ca="1" si="1208"/>
        <v>0</v>
      </c>
      <c r="X962" s="45">
        <f t="shared" ca="1" si="1223"/>
        <v>1.0060843795268493</v>
      </c>
      <c r="Y962" s="45">
        <f t="shared" ca="1" si="1209"/>
        <v>0</v>
      </c>
      <c r="Z962" s="77">
        <f t="shared" ca="1" si="1210"/>
        <v>0</v>
      </c>
      <c r="AA962" s="45">
        <f t="shared" ca="1" si="1224"/>
        <v>39.16964416848792</v>
      </c>
      <c r="AB962" s="45">
        <f t="shared" ca="1" si="1211"/>
        <v>0</v>
      </c>
      <c r="AC962" s="45" cm="1">
        <f t="array" aca="1" ref="AC962" ca="1">pHUM*(T962+W962+Z962+AD962)</f>
        <v>0</v>
      </c>
      <c r="AD962" s="77">
        <f t="shared" ca="1" si="1212"/>
        <v>0</v>
      </c>
      <c r="AE962" s="45">
        <f t="shared" ca="1" si="1225"/>
        <v>6.3847072090583081</v>
      </c>
      <c r="AF962" s="45">
        <f t="shared" ca="1" si="1213"/>
        <v>0</v>
      </c>
      <c r="AG962" s="76">
        <f t="shared" ca="1" si="1214"/>
        <v>65.212204128225324</v>
      </c>
      <c r="AH962" s="45">
        <f t="shared" ca="1" si="1215"/>
        <v>0</v>
      </c>
      <c r="AI962" s="77">
        <f t="shared" ca="1" si="1216"/>
        <v>1.722062875076185E-2</v>
      </c>
      <c r="AJ962" s="384">
        <f t="shared" ca="1" si="1218"/>
        <v>4.6313821561075885E-2</v>
      </c>
      <c r="AU962" s="1"/>
    </row>
    <row r="963" spans="3:47" x14ac:dyDescent="0.25">
      <c r="C963" s="10">
        <f t="shared" si="1243"/>
        <v>72</v>
      </c>
      <c r="D963" s="91">
        <f t="shared" si="1226"/>
        <v>9</v>
      </c>
      <c r="E963" s="278"/>
      <c r="F963" s="76">
        <f t="shared" ref="F963:Q963" si="1275">F891</f>
        <v>19.915099999999999</v>
      </c>
      <c r="G963" s="46">
        <f t="shared" si="1275"/>
        <v>90.121120170480822</v>
      </c>
      <c r="H963" s="46">
        <f t="shared" si="1202"/>
        <v>-34.590970170480816</v>
      </c>
      <c r="I963" s="45">
        <f t="shared" si="1203"/>
        <v>0</v>
      </c>
      <c r="J963" s="45">
        <f t="shared" si="1204"/>
        <v>0.18783711693191202</v>
      </c>
      <c r="K963" s="45">
        <f t="shared" ca="1" si="1220"/>
        <v>0.60710937138331467</v>
      </c>
      <c r="L963" s="358">
        <f t="shared" si="1205"/>
        <v>0.91464137695305081</v>
      </c>
      <c r="M963" s="76">
        <f t="shared" ca="1" si="1275"/>
        <v>0.25347808785320641</v>
      </c>
      <c r="N963" s="45">
        <f t="shared" ca="1" si="1275"/>
        <v>0.25</v>
      </c>
      <c r="O963" s="45">
        <f t="shared" ca="1" si="1275"/>
        <v>0</v>
      </c>
      <c r="P963" s="46" t="str">
        <f t="shared" ca="1" si="1275"/>
        <v/>
      </c>
      <c r="Q963" s="243" t="str">
        <f t="shared" ca="1" si="1275"/>
        <v/>
      </c>
      <c r="R963" s="45">
        <f t="shared" ca="1" si="1221"/>
        <v>0.5778728064547225</v>
      </c>
      <c r="S963" s="45">
        <f t="shared" ca="1" si="1245"/>
        <v>5.0695617570641283E-2</v>
      </c>
      <c r="T963" s="77">
        <f t="shared" ca="1" si="1206"/>
        <v>0</v>
      </c>
      <c r="U963" s="45">
        <f t="shared" ca="1" si="1222"/>
        <v>18.327373652550726</v>
      </c>
      <c r="V963" s="45">
        <f t="shared" ca="1" si="1207"/>
        <v>0.20278247028256513</v>
      </c>
      <c r="W963" s="77">
        <f t="shared" ca="1" si="1208"/>
        <v>0</v>
      </c>
      <c r="X963" s="45">
        <f t="shared" ca="1" si="1223"/>
        <v>1.0060843795268493</v>
      </c>
      <c r="Y963" s="45">
        <f t="shared" ca="1" si="1209"/>
        <v>0</v>
      </c>
      <c r="Z963" s="77">
        <f t="shared" ca="1" si="1210"/>
        <v>0</v>
      </c>
      <c r="AA963" s="45">
        <f t="shared" ca="1" si="1224"/>
        <v>39.16964416848792</v>
      </c>
      <c r="AB963" s="45">
        <f t="shared" ca="1" si="1211"/>
        <v>0</v>
      </c>
      <c r="AC963" s="45" cm="1">
        <f t="array" aca="1" ref="AC963" ca="1">pHUM*(T963+W963+Z963+AD963)</f>
        <v>0</v>
      </c>
      <c r="AD963" s="77">
        <f t="shared" ca="1" si="1212"/>
        <v>0</v>
      </c>
      <c r="AE963" s="45">
        <f t="shared" ca="1" si="1225"/>
        <v>6.3847072090583081</v>
      </c>
      <c r="AF963" s="45">
        <f t="shared" ca="1" si="1213"/>
        <v>0</v>
      </c>
      <c r="AG963" s="76">
        <f t="shared" ca="1" si="1214"/>
        <v>65.46568221607852</v>
      </c>
      <c r="AH963" s="45">
        <f t="shared" ca="1" si="1215"/>
        <v>0</v>
      </c>
      <c r="AI963" s="77">
        <f t="shared" ca="1" si="1216"/>
        <v>1.7947611636202076E-2</v>
      </c>
      <c r="AJ963" s="384">
        <f t="shared" ca="1" si="1218"/>
        <v>3.5177107851279699E-2</v>
      </c>
      <c r="AU963" s="1"/>
    </row>
    <row r="964" spans="3:47" x14ac:dyDescent="0.25">
      <c r="C964" s="10">
        <f t="shared" si="1243"/>
        <v>72</v>
      </c>
      <c r="D964" s="91">
        <f t="shared" si="1226"/>
        <v>10</v>
      </c>
      <c r="E964" s="278"/>
      <c r="F964" s="76">
        <f t="shared" ref="F964:Q964" si="1276">F892</f>
        <v>16.404967741935486</v>
      </c>
      <c r="G964" s="46">
        <f t="shared" si="1276"/>
        <v>93.270963763991602</v>
      </c>
      <c r="H964" s="46">
        <f t="shared" si="1202"/>
        <v>-37.740813763991596</v>
      </c>
      <c r="I964" s="45">
        <f t="shared" si="1203"/>
        <v>0</v>
      </c>
      <c r="J964" s="45">
        <f t="shared" si="1204"/>
        <v>0.1757835150476853</v>
      </c>
      <c r="K964" s="45">
        <f t="shared" ca="1" si="1220"/>
        <v>0.56815085891056294</v>
      </c>
      <c r="L964" s="358">
        <f t="shared" si="1205"/>
        <v>0.86618676922472848</v>
      </c>
      <c r="M964" s="76">
        <f t="shared" ca="1" si="1276"/>
        <v>0.25347808785320641</v>
      </c>
      <c r="N964" s="45">
        <f t="shared" ca="1" si="1276"/>
        <v>0.25</v>
      </c>
      <c r="O964" s="45">
        <f t="shared" ca="1" si="1276"/>
        <v>0</v>
      </c>
      <c r="P964" s="46" t="str">
        <f t="shared" ca="1" si="1276"/>
        <v/>
      </c>
      <c r="Q964" s="243" t="str">
        <f t="shared" ca="1" si="1276"/>
        <v/>
      </c>
      <c r="R964" s="45">
        <f t="shared" ca="1" si="1221"/>
        <v>0.62856842402536373</v>
      </c>
      <c r="S964" s="45">
        <f t="shared" ca="1" si="1245"/>
        <v>5.0695617570641283E-2</v>
      </c>
      <c r="T964" s="77">
        <f t="shared" ca="1" si="1206"/>
        <v>0</v>
      </c>
      <c r="U964" s="45">
        <f t="shared" ca="1" si="1222"/>
        <v>18.53015612283329</v>
      </c>
      <c r="V964" s="45">
        <f t="shared" ca="1" si="1207"/>
        <v>0.20278247028256513</v>
      </c>
      <c r="W964" s="77">
        <f t="shared" ca="1" si="1208"/>
        <v>0</v>
      </c>
      <c r="X964" s="45">
        <f t="shared" ca="1" si="1223"/>
        <v>1.0060843795268493</v>
      </c>
      <c r="Y964" s="45">
        <f t="shared" ca="1" si="1209"/>
        <v>0</v>
      </c>
      <c r="Z964" s="77">
        <f t="shared" ca="1" si="1210"/>
        <v>0</v>
      </c>
      <c r="AA964" s="45">
        <f t="shared" ca="1" si="1224"/>
        <v>39.16964416848792</v>
      </c>
      <c r="AB964" s="45">
        <f t="shared" ca="1" si="1211"/>
        <v>0</v>
      </c>
      <c r="AC964" s="45" cm="1">
        <f t="array" aca="1" ref="AC964" ca="1">pHUM*(T964+W964+Z964+AD964)</f>
        <v>0</v>
      </c>
      <c r="AD964" s="77">
        <f t="shared" ca="1" si="1212"/>
        <v>0</v>
      </c>
      <c r="AE964" s="45">
        <f t="shared" ca="1" si="1225"/>
        <v>6.3847072090583081</v>
      </c>
      <c r="AF964" s="45">
        <f t="shared" ca="1" si="1213"/>
        <v>0</v>
      </c>
      <c r="AG964" s="76">
        <f t="shared" ca="1" si="1214"/>
        <v>65.71916030393173</v>
      </c>
      <c r="AH964" s="45">
        <f t="shared" ca="1" si="1215"/>
        <v>0</v>
      </c>
      <c r="AI964" s="77">
        <f t="shared" ca="1" si="1216"/>
        <v>1.8668383147909449E-2</v>
      </c>
      <c r="AJ964" s="384">
        <f t="shared" ca="1" si="1218"/>
        <v>3.242789300000104E-2</v>
      </c>
      <c r="AU964" s="1"/>
    </row>
    <row r="965" spans="3:47" x14ac:dyDescent="0.25">
      <c r="C965" s="10">
        <f t="shared" si="1243"/>
        <v>72</v>
      </c>
      <c r="D965" s="91">
        <f t="shared" si="1226"/>
        <v>11</v>
      </c>
      <c r="E965" s="278"/>
      <c r="F965" s="76">
        <f t="shared" ref="F965:Q965" si="1277">F893</f>
        <v>8.5982333333333347</v>
      </c>
      <c r="G965" s="46">
        <f t="shared" si="1277"/>
        <v>93.768190396309464</v>
      </c>
      <c r="H965" s="46">
        <f t="shared" si="1202"/>
        <v>-38.238040396309458</v>
      </c>
      <c r="I965" s="45">
        <f t="shared" si="1203"/>
        <v>0</v>
      </c>
      <c r="J965" s="45">
        <f t="shared" si="1204"/>
        <v>0.17386998013358751</v>
      </c>
      <c r="K965" s="45">
        <f t="shared" ca="1" si="1220"/>
        <v>0.56196611226520721</v>
      </c>
      <c r="L965" s="358">
        <f t="shared" si="1205"/>
        <v>0.6712335176859634</v>
      </c>
      <c r="M965" s="76">
        <f t="shared" ca="1" si="1277"/>
        <v>0.25347808785320641</v>
      </c>
      <c r="N965" s="45">
        <f t="shared" ca="1" si="1277"/>
        <v>0.25</v>
      </c>
      <c r="O965" s="45">
        <f t="shared" ca="1" si="1277"/>
        <v>0</v>
      </c>
      <c r="P965" s="46" t="str">
        <f t="shared" ca="1" si="1277"/>
        <v/>
      </c>
      <c r="Q965" s="243" t="str">
        <f t="shared" ca="1" si="1277"/>
        <v/>
      </c>
      <c r="R965" s="45">
        <f t="shared" ca="1" si="1221"/>
        <v>0.67926404159600495</v>
      </c>
      <c r="S965" s="45">
        <f t="shared" ca="1" si="1245"/>
        <v>5.0695617570641283E-2</v>
      </c>
      <c r="T965" s="77">
        <f t="shared" ca="1" si="1206"/>
        <v>0</v>
      </c>
      <c r="U965" s="45">
        <f t="shared" ca="1" si="1222"/>
        <v>18.732938593115854</v>
      </c>
      <c r="V965" s="45">
        <f t="shared" ca="1" si="1207"/>
        <v>0.20278247028256513</v>
      </c>
      <c r="W965" s="77">
        <f t="shared" ca="1" si="1208"/>
        <v>0</v>
      </c>
      <c r="X965" s="45">
        <f t="shared" ca="1" si="1223"/>
        <v>1.0060843795268493</v>
      </c>
      <c r="Y965" s="45">
        <f t="shared" ca="1" si="1209"/>
        <v>0</v>
      </c>
      <c r="Z965" s="77">
        <f t="shared" ca="1" si="1210"/>
        <v>0</v>
      </c>
      <c r="AA965" s="45">
        <f t="shared" ca="1" si="1224"/>
        <v>39.16964416848792</v>
      </c>
      <c r="AB965" s="45">
        <f t="shared" ca="1" si="1211"/>
        <v>0</v>
      </c>
      <c r="AC965" s="45" cm="1">
        <f t="array" aca="1" ref="AC965" ca="1">pHUM*(T965+W965+Z965+AD965)</f>
        <v>0</v>
      </c>
      <c r="AD965" s="77">
        <f t="shared" ca="1" si="1212"/>
        <v>0</v>
      </c>
      <c r="AE965" s="45">
        <f t="shared" ca="1" si="1225"/>
        <v>6.3847072090583081</v>
      </c>
      <c r="AF965" s="45">
        <f t="shared" ca="1" si="1213"/>
        <v>0</v>
      </c>
      <c r="AG965" s="76">
        <f t="shared" ca="1" si="1214"/>
        <v>65.97263839178494</v>
      </c>
      <c r="AH965" s="45">
        <f t="shared" ca="1" si="1215"/>
        <v>0</v>
      </c>
      <c r="AI965" s="77">
        <f t="shared" ca="1" si="1216"/>
        <v>1.9383022552630039E-2</v>
      </c>
      <c r="AJ965" s="384">
        <f t="shared" ca="1" si="1218"/>
        <v>2.5807431788656965E-2</v>
      </c>
      <c r="AU965" s="1"/>
    </row>
    <row r="966" spans="3:47" x14ac:dyDescent="0.25">
      <c r="C966" s="10">
        <f t="shared" si="1243"/>
        <v>72</v>
      </c>
      <c r="D966" s="91">
        <f t="shared" si="1226"/>
        <v>12</v>
      </c>
      <c r="E966" s="278"/>
      <c r="F966" s="76">
        <f t="shared" ref="F966:Q966" si="1278">F894</f>
        <v>5.8543548387096775</v>
      </c>
      <c r="G966" s="46">
        <f t="shared" si="1278"/>
        <v>92.353978821555827</v>
      </c>
      <c r="H966" s="46">
        <f t="shared" si="1202"/>
        <v>-36.823828821555821</v>
      </c>
      <c r="I966" s="45">
        <f t="shared" si="1203"/>
        <v>0</v>
      </c>
      <c r="J966" s="45">
        <f t="shared" si="1204"/>
        <v>0.17930557122010893</v>
      </c>
      <c r="K966" s="45">
        <f t="shared" ca="1" si="1220"/>
        <v>0.57953451589882432</v>
      </c>
      <c r="L966" s="358">
        <f t="shared" si="1205"/>
        <v>0.57570255434605899</v>
      </c>
      <c r="M966" s="76">
        <f t="shared" ca="1" si="1278"/>
        <v>0.25347808785320641</v>
      </c>
      <c r="N966" s="45">
        <f t="shared" ca="1" si="1278"/>
        <v>0.25</v>
      </c>
      <c r="O966" s="45">
        <f t="shared" ca="1" si="1278"/>
        <v>0</v>
      </c>
      <c r="P966" s="46" t="str">
        <f t="shared" ca="1" si="1278"/>
        <v/>
      </c>
      <c r="Q966" s="243" t="str">
        <f t="shared" ca="1" si="1278"/>
        <v/>
      </c>
      <c r="R966" s="45">
        <f t="shared" ca="1" si="1221"/>
        <v>0.72995965916664618</v>
      </c>
      <c r="S966" s="45">
        <f t="shared" ca="1" si="1245"/>
        <v>5.0695617570641283E-2</v>
      </c>
      <c r="T966" s="77">
        <f t="shared" ca="1" si="1206"/>
        <v>0</v>
      </c>
      <c r="U966" s="45">
        <f t="shared" ca="1" si="1222"/>
        <v>18.935721063398418</v>
      </c>
      <c r="V966" s="45">
        <f t="shared" ca="1" si="1207"/>
        <v>0.20278247028256513</v>
      </c>
      <c r="W966" s="77">
        <f t="shared" ca="1" si="1208"/>
        <v>0</v>
      </c>
      <c r="X966" s="45">
        <f t="shared" ca="1" si="1223"/>
        <v>1.0060843795268493</v>
      </c>
      <c r="Y966" s="45">
        <f t="shared" ca="1" si="1209"/>
        <v>0</v>
      </c>
      <c r="Z966" s="77">
        <f t="shared" ca="1" si="1210"/>
        <v>0</v>
      </c>
      <c r="AA966" s="45">
        <f t="shared" ca="1" si="1224"/>
        <v>39.16964416848792</v>
      </c>
      <c r="AB966" s="45">
        <f t="shared" ca="1" si="1211"/>
        <v>0</v>
      </c>
      <c r="AC966" s="45" cm="1">
        <f t="array" aca="1" ref="AC966" ca="1">pHUM*(T966+W966+Z966+AD966)</f>
        <v>0</v>
      </c>
      <c r="AD966" s="77">
        <f t="shared" ca="1" si="1212"/>
        <v>0</v>
      </c>
      <c r="AE966" s="45">
        <f t="shared" ca="1" si="1225"/>
        <v>6.3847072090583081</v>
      </c>
      <c r="AF966" s="45">
        <f t="shared" ca="1" si="1213"/>
        <v>0</v>
      </c>
      <c r="AG966" s="76">
        <f t="shared" ca="1" si="1214"/>
        <v>66.226116479638137</v>
      </c>
      <c r="AH966" s="45">
        <f t="shared" ca="1" si="1215"/>
        <v>0</v>
      </c>
      <c r="AI966" s="77">
        <f t="shared" ca="1" si="1216"/>
        <v>2.0091607774067814E-2</v>
      </c>
      <c r="AJ966" s="384">
        <f t="shared" ca="1" si="1218"/>
        <v>2.3660970762519051E-2</v>
      </c>
      <c r="AU966" s="1"/>
    </row>
    <row r="967" spans="3:47" x14ac:dyDescent="0.25">
      <c r="C967" s="10">
        <f t="shared" si="1243"/>
        <v>73</v>
      </c>
      <c r="D967" s="91">
        <f t="shared" si="1226"/>
        <v>1</v>
      </c>
      <c r="E967" s="278"/>
      <c r="F967" s="76">
        <f t="shared" ref="F967:Q967" si="1279">F895</f>
        <v>2.2624333333333326</v>
      </c>
      <c r="G967" s="46">
        <f t="shared" si="1279"/>
        <v>87.461548542671366</v>
      </c>
      <c r="H967" s="46">
        <f t="shared" si="1202"/>
        <v>-31.93139854267136</v>
      </c>
      <c r="I967" s="45">
        <f t="shared" si="1203"/>
        <v>0</v>
      </c>
      <c r="J967" s="45">
        <f t="shared" si="1204"/>
        <v>0.19789456043296222</v>
      </c>
      <c r="K967" s="45">
        <f t="shared" ca="1" si="1220"/>
        <v>0.63961608944510806</v>
      </c>
      <c r="L967" s="358">
        <f t="shared" si="1205"/>
        <v>0.44266298791276926</v>
      </c>
      <c r="M967" s="76">
        <f t="shared" ca="1" si="1279"/>
        <v>0.25347808785320641</v>
      </c>
      <c r="N967" s="45">
        <f t="shared" ca="1" si="1279"/>
        <v>0.25</v>
      </c>
      <c r="O967" s="45">
        <f t="shared" ca="1" si="1279"/>
        <v>0</v>
      </c>
      <c r="P967" s="46" t="str">
        <f t="shared" ca="1" si="1279"/>
        <v/>
      </c>
      <c r="Q967" s="243" t="str">
        <f t="shared" ca="1" si="1279"/>
        <v/>
      </c>
      <c r="R967" s="45">
        <f t="shared" ca="1" si="1221"/>
        <v>0.78065527673728741</v>
      </c>
      <c r="S967" s="45">
        <f t="shared" ca="1" si="1245"/>
        <v>5.0695617570641283E-2</v>
      </c>
      <c r="T967" s="77">
        <f t="shared" ca="1" si="1206"/>
        <v>0</v>
      </c>
      <c r="U967" s="45">
        <f t="shared" ca="1" si="1222"/>
        <v>19.138503533680982</v>
      </c>
      <c r="V967" s="45">
        <f t="shared" ca="1" si="1207"/>
        <v>0.20278247028256513</v>
      </c>
      <c r="W967" s="77">
        <f t="shared" ca="1" si="1208"/>
        <v>0</v>
      </c>
      <c r="X967" s="45">
        <f t="shared" ca="1" si="1223"/>
        <v>1.0060843795268493</v>
      </c>
      <c r="Y967" s="45">
        <f t="shared" ca="1" si="1209"/>
        <v>0</v>
      </c>
      <c r="Z967" s="77">
        <f t="shared" ca="1" si="1210"/>
        <v>0</v>
      </c>
      <c r="AA967" s="45">
        <f t="shared" ca="1" si="1224"/>
        <v>39.16964416848792</v>
      </c>
      <c r="AB967" s="45">
        <f t="shared" ca="1" si="1211"/>
        <v>0</v>
      </c>
      <c r="AC967" s="45" cm="1">
        <f t="array" aca="1" ref="AC967" ca="1">pHUM*(T967+W967+Z967+AD967)</f>
        <v>0</v>
      </c>
      <c r="AD967" s="77">
        <f t="shared" ca="1" si="1212"/>
        <v>0</v>
      </c>
      <c r="AE967" s="45">
        <f t="shared" ca="1" si="1225"/>
        <v>6.3847072090583081</v>
      </c>
      <c r="AF967" s="45">
        <f t="shared" ca="1" si="1213"/>
        <v>0</v>
      </c>
      <c r="AG967" s="76">
        <f t="shared" ca="1" si="1214"/>
        <v>66.479594567491347</v>
      </c>
      <c r="AH967" s="45">
        <f t="shared" ca="1" si="1215"/>
        <v>0</v>
      </c>
      <c r="AI967" s="77">
        <f t="shared" ca="1" si="1216"/>
        <v>2.0794215421209131E-2</v>
      </c>
      <c r="AJ967" s="384">
        <f t="shared" ca="1" si="1218"/>
        <v>2.0781491502269711E-2</v>
      </c>
      <c r="AU967" s="1"/>
    </row>
    <row r="968" spans="3:47" x14ac:dyDescent="0.25">
      <c r="C968" s="10">
        <f t="shared" si="1243"/>
        <v>73</v>
      </c>
      <c r="D968" s="91">
        <f t="shared" si="1226"/>
        <v>2</v>
      </c>
      <c r="E968" s="278"/>
      <c r="F968" s="76">
        <f t="shared" ref="F968:Q968" si="1280">F896</f>
        <v>1.5363448275862068</v>
      </c>
      <c r="G968" s="46">
        <f t="shared" si="1280"/>
        <v>89.651029216467379</v>
      </c>
      <c r="H968" s="46">
        <f t="shared" si="1202"/>
        <v>-34.120879216467372</v>
      </c>
      <c r="I968" s="45">
        <f t="shared" si="1203"/>
        <v>0</v>
      </c>
      <c r="J968" s="45">
        <f t="shared" si="1204"/>
        <v>0.18962389606700991</v>
      </c>
      <c r="K968" s="45">
        <f t="shared" ca="1" si="1220"/>
        <v>0.61288442998317227</v>
      </c>
      <c r="L968" s="358">
        <f t="shared" si="1205"/>
        <v>0.41613501220093307</v>
      </c>
      <c r="M968" s="76">
        <f t="shared" ca="1" si="1280"/>
        <v>0.25347808785320641</v>
      </c>
      <c r="N968" s="45">
        <f t="shared" ca="1" si="1280"/>
        <v>0.25</v>
      </c>
      <c r="O968" s="45">
        <f t="shared" ca="1" si="1280"/>
        <v>0</v>
      </c>
      <c r="P968" s="46" t="str">
        <f t="shared" ca="1" si="1280"/>
        <v/>
      </c>
      <c r="Q968" s="243" t="str">
        <f t="shared" ca="1" si="1280"/>
        <v/>
      </c>
      <c r="R968" s="45">
        <f t="shared" ca="1" si="1221"/>
        <v>0.83135089430792863</v>
      </c>
      <c r="S968" s="45">
        <f t="shared" ca="1" si="1245"/>
        <v>5.0695617570641283E-2</v>
      </c>
      <c r="T968" s="77">
        <f t="shared" ca="1" si="1206"/>
        <v>0</v>
      </c>
      <c r="U968" s="45">
        <f t="shared" ca="1" si="1222"/>
        <v>19.341286003963546</v>
      </c>
      <c r="V968" s="45">
        <f t="shared" ca="1" si="1207"/>
        <v>0.20278247028256513</v>
      </c>
      <c r="W968" s="77">
        <f t="shared" ca="1" si="1208"/>
        <v>0</v>
      </c>
      <c r="X968" s="45">
        <f t="shared" ca="1" si="1223"/>
        <v>1.0060843795268493</v>
      </c>
      <c r="Y968" s="45">
        <f t="shared" ca="1" si="1209"/>
        <v>0</v>
      </c>
      <c r="Z968" s="77">
        <f t="shared" ca="1" si="1210"/>
        <v>0</v>
      </c>
      <c r="AA968" s="45">
        <f t="shared" ca="1" si="1224"/>
        <v>39.16964416848792</v>
      </c>
      <c r="AB968" s="45">
        <f t="shared" ca="1" si="1211"/>
        <v>0</v>
      </c>
      <c r="AC968" s="45" cm="1">
        <f t="array" aca="1" ref="AC968" ca="1">pHUM*(T968+W968+Z968+AD968)</f>
        <v>0</v>
      </c>
      <c r="AD968" s="77">
        <f t="shared" ca="1" si="1212"/>
        <v>0</v>
      </c>
      <c r="AE968" s="45">
        <f t="shared" ca="1" si="1225"/>
        <v>6.3847072090583081</v>
      </c>
      <c r="AF968" s="45">
        <f t="shared" ca="1" si="1213"/>
        <v>0</v>
      </c>
      <c r="AG968" s="76">
        <f t="shared" ca="1" si="1214"/>
        <v>66.733072655344557</v>
      </c>
      <c r="AH968" s="45">
        <f t="shared" ca="1" si="1215"/>
        <v>0</v>
      </c>
      <c r="AI968" s="77">
        <f t="shared" ca="1" si="1216"/>
        <v>2.149092081593346E-2</v>
      </c>
      <c r="AJ968" s="384">
        <f t="shared" ca="1" si="1218"/>
        <v>1.9346840083102057E-2</v>
      </c>
      <c r="AU968" s="1"/>
    </row>
    <row r="969" spans="3:47" x14ac:dyDescent="0.25">
      <c r="C969" s="10">
        <f t="shared" si="1243"/>
        <v>73</v>
      </c>
      <c r="D969" s="91">
        <f t="shared" si="1226"/>
        <v>3</v>
      </c>
      <c r="E969" s="278"/>
      <c r="F969" s="76">
        <f t="shared" ref="F969:Q969" ca="1" si="1281">F897</f>
        <v>-0.57999999999999996</v>
      </c>
      <c r="G969" s="46">
        <f t="shared" ca="1" si="1281"/>
        <v>55.530150000000006</v>
      </c>
      <c r="H969" s="46">
        <f t="shared" ca="1" si="1202"/>
        <v>0</v>
      </c>
      <c r="I969" s="45">
        <f t="shared" ca="1" si="1203"/>
        <v>8.1834107856600266E-2</v>
      </c>
      <c r="J969" s="45">
        <f t="shared" ca="1" si="1204"/>
        <v>0.29595601705647312</v>
      </c>
      <c r="K969" s="45">
        <f t="shared" ca="1" si="1220"/>
        <v>0.95656105889548582</v>
      </c>
      <c r="L969" s="358">
        <f t="shared" ca="1" si="1205"/>
        <v>0.34200470507454295</v>
      </c>
      <c r="M969" s="76">
        <f t="shared" ca="1" si="1281"/>
        <v>0.25347808785320641</v>
      </c>
      <c r="N969" s="45">
        <f t="shared" ca="1" si="1281"/>
        <v>0.25</v>
      </c>
      <c r="O969" s="45">
        <f t="shared" ca="1" si="1281"/>
        <v>0</v>
      </c>
      <c r="P969" s="46" t="str">
        <f t="shared" ca="1" si="1281"/>
        <v/>
      </c>
      <c r="Q969" s="243" t="str">
        <f t="shared" ca="1" si="1281"/>
        <v/>
      </c>
      <c r="R969" s="45">
        <f t="shared" ca="1" si="1221"/>
        <v>0.88204651187856986</v>
      </c>
      <c r="S969" s="45">
        <f t="shared" ca="1" si="1245"/>
        <v>5.0695617570641283E-2</v>
      </c>
      <c r="T969" s="77">
        <f t="shared" ca="1" si="1206"/>
        <v>5.8146070292331417E-2</v>
      </c>
      <c r="U969" s="45">
        <f t="shared" ca="1" si="1222"/>
        <v>19.54406847424611</v>
      </c>
      <c r="V969" s="45">
        <f t="shared" ca="1" si="1207"/>
        <v>0.20278247028256513</v>
      </c>
      <c r="W969" s="77">
        <f t="shared" ca="1" si="1208"/>
        <v>3.9943412086322183E-2</v>
      </c>
      <c r="X969" s="45">
        <f t="shared" ca="1" si="1223"/>
        <v>1.0060843795268493</v>
      </c>
      <c r="Y969" s="45">
        <f t="shared" ca="1" si="1209"/>
        <v>8.9023255734577127E-3</v>
      </c>
      <c r="Z969" s="77">
        <f t="shared" ca="1" si="1210"/>
        <v>4.518085670724507E-3</v>
      </c>
      <c r="AA969" s="45">
        <f t="shared" ca="1" si="1224"/>
        <v>39.16964416848792</v>
      </c>
      <c r="AB969" s="45">
        <f t="shared" ca="1" si="1211"/>
        <v>0</v>
      </c>
      <c r="AC969" s="45" cm="1">
        <f t="array" aca="1" ref="AC969" ca="1">pHUM*(T969+W969+Z969+AD969)</f>
        <v>1.0473324204067897E-2</v>
      </c>
      <c r="AD969" s="77">
        <f t="shared" ca="1" si="1212"/>
        <v>5.3419905035128126E-3</v>
      </c>
      <c r="AE969" s="45">
        <f t="shared" ca="1" si="1225"/>
        <v>6.3847072090583081</v>
      </c>
      <c r="AF969" s="45">
        <f t="shared" ca="1" si="1213"/>
        <v>0</v>
      </c>
      <c r="AG969" s="76">
        <f t="shared" ca="1" si="1214"/>
        <v>66.986550743197753</v>
      </c>
      <c r="AH969" s="45">
        <f t="shared" ca="1" si="1215"/>
        <v>8.857390877536532E-2</v>
      </c>
      <c r="AI969" s="77">
        <f t="shared" ca="1" si="1216"/>
        <v>2.2181798019931136E-2</v>
      </c>
      <c r="AJ969" s="384">
        <f t="shared" ca="1" si="1218"/>
        <v>2.5614219588457887E-2</v>
      </c>
      <c r="AU969" s="1"/>
    </row>
    <row r="970" spans="3:47" x14ac:dyDescent="0.25">
      <c r="C970" s="10">
        <f t="shared" si="1243"/>
        <v>73</v>
      </c>
      <c r="D970" s="91">
        <f t="shared" si="1226"/>
        <v>4</v>
      </c>
      <c r="E970" s="278"/>
      <c r="F970" s="76">
        <f t="shared" ref="F970:Q970" ca="1" si="1282">F898</f>
        <v>7.18</v>
      </c>
      <c r="G970" s="46">
        <f t="shared" ca="1" si="1282"/>
        <v>29.828585295978598</v>
      </c>
      <c r="H970" s="46">
        <f t="shared" ca="1" si="1202"/>
        <v>25.701564704021408</v>
      </c>
      <c r="I970" s="45">
        <f t="shared" ca="1" si="1203"/>
        <v>0.34975431431902781</v>
      </c>
      <c r="J970" s="45">
        <f t="shared" ca="1" si="1204"/>
        <v>0.29147915612483932</v>
      </c>
      <c r="K970" s="45">
        <f t="shared" ca="1" si="1220"/>
        <v>0.94209137223094908</v>
      </c>
      <c r="L970" s="358">
        <f t="shared" ca="1" si="1205"/>
        <v>0.62308014794471589</v>
      </c>
      <c r="M970" s="76">
        <f t="shared" ca="1" si="1282"/>
        <v>0.25347808785320641</v>
      </c>
      <c r="N970" s="45">
        <f t="shared" ca="1" si="1282"/>
        <v>0.25</v>
      </c>
      <c r="O970" s="45">
        <f t="shared" ca="1" si="1282"/>
        <v>0</v>
      </c>
      <c r="P970" s="46" t="str">
        <f t="shared" ca="1" si="1282"/>
        <v/>
      </c>
      <c r="Q970" s="243" t="str">
        <f t="shared" ca="1" si="1282"/>
        <v/>
      </c>
      <c r="R970" s="45">
        <f t="shared" ca="1" si="1221"/>
        <v>0.87459605915687966</v>
      </c>
      <c r="S970" s="45">
        <f t="shared" ca="1" si="1245"/>
        <v>5.0695617570641283E-2</v>
      </c>
      <c r="T970" s="77">
        <f t="shared" ca="1" si="1206"/>
        <v>0.22112372029543051</v>
      </c>
      <c r="U970" s="45">
        <f t="shared" ca="1" si="1222"/>
        <v>19.706907532442351</v>
      </c>
      <c r="V970" s="45">
        <f t="shared" ca="1" si="1207"/>
        <v>0.20278247028256513</v>
      </c>
      <c r="W970" s="77">
        <f t="shared" ca="1" si="1208"/>
        <v>0.17156324290749075</v>
      </c>
      <c r="X970" s="45">
        <f t="shared" ca="1" si="1223"/>
        <v>1.0104686194295824</v>
      </c>
      <c r="Y970" s="45">
        <f t="shared" ca="1" si="1209"/>
        <v>3.5854237848893002E-2</v>
      </c>
      <c r="Z970" s="77">
        <f t="shared" ca="1" si="1210"/>
        <v>1.9252101676640914E-2</v>
      </c>
      <c r="AA970" s="45">
        <f t="shared" ca="1" si="1224"/>
        <v>39.174775502188481</v>
      </c>
      <c r="AB970" s="45">
        <f t="shared" ca="1" si="1211"/>
        <v>0</v>
      </c>
      <c r="AC970" s="45" cm="1">
        <f t="array" aca="1" ref="AC970" ca="1">pHUM*(T970+W970+Z970+AD970)</f>
        <v>4.2181456292815299E-2</v>
      </c>
      <c r="AD970" s="77">
        <f t="shared" ca="1" si="1212"/>
        <v>2.2829256734971742E-2</v>
      </c>
      <c r="AE970" s="45">
        <f t="shared" ca="1" si="1225"/>
        <v>6.3847072090583081</v>
      </c>
      <c r="AF970" s="45">
        <f t="shared" ca="1" si="1213"/>
        <v>0</v>
      </c>
      <c r="AG970" s="76">
        <f t="shared" ca="1" si="1214"/>
        <v>67.151454922275605</v>
      </c>
      <c r="AH970" s="45">
        <f t="shared" ca="1" si="1215"/>
        <v>0.35673262747282569</v>
      </c>
      <c r="AI970" s="77">
        <f t="shared" ca="1" si="1216"/>
        <v>2.209053231737719E-2</v>
      </c>
      <c r="AJ970" s="384">
        <f t="shared" ca="1" si="1218"/>
        <v>4.5769320825234105E-2</v>
      </c>
      <c r="AU970" s="1"/>
    </row>
    <row r="971" spans="3:47" x14ac:dyDescent="0.25">
      <c r="C971" s="10">
        <f t="shared" si="1243"/>
        <v>73</v>
      </c>
      <c r="D971" s="91">
        <f t="shared" si="1226"/>
        <v>5</v>
      </c>
      <c r="E971" s="278"/>
      <c r="F971" s="76">
        <f t="shared" ref="F971:Q971" ca="1" si="1283">F899</f>
        <v>14.05</v>
      </c>
      <c r="G971" s="46">
        <f t="shared" ca="1" si="1283"/>
        <v>27.012600000000003</v>
      </c>
      <c r="H971" s="46">
        <f t="shared" ca="1" si="1202"/>
        <v>28.517550000000004</v>
      </c>
      <c r="I971" s="45">
        <f t="shared" ca="1" si="1203"/>
        <v>0.75173784437395219</v>
      </c>
      <c r="J971" s="45">
        <f t="shared" ca="1" si="1204"/>
        <v>0.27952512346894071</v>
      </c>
      <c r="K971" s="45">
        <f t="shared" ca="1" si="1220"/>
        <v>0.90345467800480783</v>
      </c>
      <c r="L971" s="358">
        <f t="shared" ca="1" si="1205"/>
        <v>0.82085140481213359</v>
      </c>
      <c r="M971" s="76">
        <f t="shared" ca="1" si="1283"/>
        <v>0.25347808785320641</v>
      </c>
      <c r="N971" s="45">
        <f t="shared" ca="1" si="1283"/>
        <v>0.25</v>
      </c>
      <c r="O971" s="45">
        <f t="shared" ca="1" si="1283"/>
        <v>0</v>
      </c>
      <c r="P971" s="46" t="str">
        <f t="shared" ca="1" si="1283"/>
        <v/>
      </c>
      <c r="Q971" s="243" t="str">
        <f t="shared" ca="1" si="1283"/>
        <v/>
      </c>
      <c r="R971" s="45">
        <f t="shared" ca="1" si="1221"/>
        <v>0.70416795643209051</v>
      </c>
      <c r="S971" s="45">
        <f t="shared" ca="1" si="1245"/>
        <v>5.0695617570641283E-2</v>
      </c>
      <c r="T971" s="77">
        <f t="shared" ca="1" si="1206"/>
        <v>0.32779946324687731</v>
      </c>
      <c r="U971" s="45">
        <f t="shared" ca="1" si="1222"/>
        <v>19.738126759817423</v>
      </c>
      <c r="V971" s="45">
        <f t="shared" ca="1" si="1207"/>
        <v>0.20278247028256513</v>
      </c>
      <c r="W971" s="77">
        <f t="shared" ca="1" si="1208"/>
        <v>0.36748346520623343</v>
      </c>
      <c r="X971" s="45">
        <f t="shared" ca="1" si="1223"/>
        <v>1.0270707556018346</v>
      </c>
      <c r="Y971" s="45">
        <f t="shared" ca="1" si="1209"/>
        <v>6.4815900308932722E-2</v>
      </c>
      <c r="Z971" s="77">
        <f t="shared" ca="1" si="1210"/>
        <v>4.1598945477998014E-2</v>
      </c>
      <c r="AA971" s="45">
        <f t="shared" ca="1" si="1224"/>
        <v>39.194127701746325</v>
      </c>
      <c r="AB971" s="45">
        <f t="shared" ca="1" si="1211"/>
        <v>0</v>
      </c>
      <c r="AC971" s="45" cm="1">
        <f t="array" aca="1" ref="AC971" ca="1">pHUM*(T971+W971+Z971+AD971)</f>
        <v>7.6254000363450258E-2</v>
      </c>
      <c r="AD971" s="77">
        <f t="shared" ca="1" si="1212"/>
        <v>4.9075432148392301E-2</v>
      </c>
      <c r="AE971" s="45">
        <f t="shared" ca="1" si="1225"/>
        <v>6.3847072090583081</v>
      </c>
      <c r="AF971" s="45">
        <f t="shared" ca="1" si="1213"/>
        <v>0</v>
      </c>
      <c r="AG971" s="76">
        <f t="shared" ca="1" si="1214"/>
        <v>67.048200382655978</v>
      </c>
      <c r="AH971" s="45">
        <f t="shared" ca="1" si="1215"/>
        <v>0.6448874054071182</v>
      </c>
      <c r="AI971" s="77">
        <f t="shared" ca="1" si="1216"/>
        <v>1.9815414085095288E-2</v>
      </c>
      <c r="AJ971" s="384">
        <f t="shared" ca="1" si="1218"/>
        <v>5.186840769554224E-2</v>
      </c>
      <c r="AU971" s="1"/>
    </row>
    <row r="972" spans="3:47" x14ac:dyDescent="0.25">
      <c r="C972" s="10">
        <f t="shared" si="1243"/>
        <v>73</v>
      </c>
      <c r="D972" s="91">
        <f t="shared" si="1226"/>
        <v>6</v>
      </c>
      <c r="E972" s="278"/>
      <c r="F972" s="76">
        <f t="shared" ref="F972:Q972" ca="1" si="1284">F900</f>
        <v>17.96</v>
      </c>
      <c r="G972" s="46">
        <f t="shared" ca="1" si="1284"/>
        <v>27.012600000000003</v>
      </c>
      <c r="H972" s="46">
        <f t="shared" ca="1" si="1202"/>
        <v>28.517550000000004</v>
      </c>
      <c r="I972" s="45">
        <f t="shared" ca="1" si="1203"/>
        <v>1.0549705763362276</v>
      </c>
      <c r="J972" s="45">
        <f t="shared" ca="1" si="1204"/>
        <v>0.27952512346894071</v>
      </c>
      <c r="K972" s="45">
        <f t="shared" ca="1" si="1220"/>
        <v>0.90345467800480783</v>
      </c>
      <c r="L972" s="358">
        <f t="shared" ca="1" si="1205"/>
        <v>0.89023829243059249</v>
      </c>
      <c r="M972" s="76">
        <f t="shared" ca="1" si="1284"/>
        <v>0.25347808785320641</v>
      </c>
      <c r="N972" s="45">
        <f t="shared" ca="1" si="1284"/>
        <v>0.25</v>
      </c>
      <c r="O972" s="45">
        <f t="shared" ca="1" si="1284"/>
        <v>0</v>
      </c>
      <c r="P972" s="46" t="str">
        <f t="shared" ca="1" si="1284"/>
        <v/>
      </c>
      <c r="Q972" s="243" t="str">
        <f t="shared" ca="1" si="1284"/>
        <v/>
      </c>
      <c r="R972" s="45">
        <f t="shared" ca="1" si="1221"/>
        <v>0.42706411075585454</v>
      </c>
      <c r="S972" s="45">
        <f t="shared" ca="1" si="1245"/>
        <v>5.0695617570641283E-2</v>
      </c>
      <c r="T972" s="77">
        <f t="shared" ca="1" si="1206"/>
        <v>0.24977319108169391</v>
      </c>
      <c r="U972" s="45">
        <f t="shared" ca="1" si="1222"/>
        <v>19.573425764893752</v>
      </c>
      <c r="V972" s="45">
        <f t="shared" ca="1" si="1207"/>
        <v>0.20278247028256513</v>
      </c>
      <c r="W972" s="77">
        <f t="shared" ca="1" si="1208"/>
        <v>0.50948650760005254</v>
      </c>
      <c r="X972" s="45">
        <f t="shared" ca="1" si="1223"/>
        <v>1.0502877104327695</v>
      </c>
      <c r="Y972" s="45">
        <f t="shared" ca="1" si="1209"/>
        <v>7.3179003335180237E-2</v>
      </c>
      <c r="Z972" s="77">
        <f t="shared" ca="1" si="1210"/>
        <v>5.9206941112017061E-2</v>
      </c>
      <c r="AA972" s="45">
        <f t="shared" ca="1" si="1224"/>
        <v>39.221306269961381</v>
      </c>
      <c r="AB972" s="45">
        <f t="shared" ca="1" si="1211"/>
        <v>0</v>
      </c>
      <c r="AC972" s="45" cm="1">
        <f t="array" aca="1" ref="AC972" ca="1">pHUM*(T972+W972+Z972+AD972)</f>
        <v>8.6092945100212037E-2</v>
      </c>
      <c r="AD972" s="77">
        <f t="shared" ca="1" si="1212"/>
        <v>6.8901614735819364E-2</v>
      </c>
      <c r="AE972" s="45">
        <f t="shared" ca="1" si="1225"/>
        <v>6.3847072090583081</v>
      </c>
      <c r="AF972" s="45">
        <f t="shared" ca="1" si="1213"/>
        <v>0</v>
      </c>
      <c r="AG972" s="76">
        <f t="shared" ca="1" si="1214"/>
        <v>66.65679106510207</v>
      </c>
      <c r="AH972" s="45">
        <f t="shared" ca="1" si="1215"/>
        <v>0.72809630609419074</v>
      </c>
      <c r="AI972" s="77">
        <f t="shared" ca="1" si="1216"/>
        <v>1.6066427589520382E-2</v>
      </c>
      <c r="AJ972" s="384">
        <f t="shared" ca="1" si="1218"/>
        <v>4.5610346750670772E-2</v>
      </c>
      <c r="AU972" s="1"/>
    </row>
    <row r="973" spans="3:47" x14ac:dyDescent="0.25">
      <c r="C973" s="10">
        <f t="shared" si="1243"/>
        <v>73</v>
      </c>
      <c r="D973" s="91">
        <f t="shared" si="1226"/>
        <v>7</v>
      </c>
      <c r="E973" s="278"/>
      <c r="F973" s="76">
        <f t="shared" ref="F973:Q973" ca="1" si="1285">F901</f>
        <v>21.89</v>
      </c>
      <c r="G973" s="46">
        <f t="shared" ca="1" si="1285"/>
        <v>27.012600000000003</v>
      </c>
      <c r="H973" s="46">
        <f t="shared" ca="1" si="1202"/>
        <v>28.517550000000004</v>
      </c>
      <c r="I973" s="45">
        <f t="shared" ca="1" si="1203"/>
        <v>1.3816368002949853</v>
      </c>
      <c r="J973" s="45">
        <f t="shared" ca="1" si="1204"/>
        <v>0.27952512346894071</v>
      </c>
      <c r="K973" s="45">
        <f t="shared" ca="1" si="1220"/>
        <v>0.90345467800480783</v>
      </c>
      <c r="L973" s="358">
        <f t="shared" ca="1" si="1205"/>
        <v>0.9336160920992449</v>
      </c>
      <c r="M973" s="76">
        <f t="shared" ca="1" si="1285"/>
        <v>0.25347808785320641</v>
      </c>
      <c r="N973" s="45">
        <f t="shared" ca="1" si="1285"/>
        <v>0.25</v>
      </c>
      <c r="O973" s="45">
        <f t="shared" ca="1" si="1285"/>
        <v>0</v>
      </c>
      <c r="P973" s="46" t="str">
        <f t="shared" ca="1" si="1285"/>
        <v/>
      </c>
      <c r="Q973" s="243" t="str">
        <f t="shared" ca="1" si="1285"/>
        <v/>
      </c>
      <c r="R973" s="45">
        <f t="shared" ca="1" si="1221"/>
        <v>0.22798653724480192</v>
      </c>
      <c r="S973" s="45">
        <f t="shared" ca="1" si="1245"/>
        <v>5.0695617570641283E-2</v>
      </c>
      <c r="T973" s="77">
        <f t="shared" ca="1" si="1206"/>
        <v>0.15589601521205412</v>
      </c>
      <c r="U973" s="45">
        <f t="shared" ca="1" si="1222"/>
        <v>19.266721727576265</v>
      </c>
      <c r="V973" s="45">
        <f t="shared" ca="1" si="1207"/>
        <v>0.20278247028256513</v>
      </c>
      <c r="W973" s="77">
        <f t="shared" ca="1" si="1208"/>
        <v>0.65412816562938669</v>
      </c>
      <c r="X973" s="45">
        <f t="shared" ca="1" si="1223"/>
        <v>1.0642597726559326</v>
      </c>
      <c r="Y973" s="45">
        <f t="shared" ca="1" si="1209"/>
        <v>8.0665752726766793E-2</v>
      </c>
      <c r="Z973" s="77">
        <f t="shared" ca="1" si="1210"/>
        <v>7.7876727277035554E-2</v>
      </c>
      <c r="AA973" s="45">
        <f t="shared" ca="1" si="1224"/>
        <v>39.238497600325772</v>
      </c>
      <c r="AB973" s="45">
        <f t="shared" ca="1" si="1211"/>
        <v>0</v>
      </c>
      <c r="AC973" s="45" cm="1">
        <f t="array" aca="1" ref="AC973" ca="1">pHUM*(T973+W973+Z973+AD973)</f>
        <v>9.4900885560902107E-2</v>
      </c>
      <c r="AD973" s="77">
        <f t="shared" ca="1" si="1212"/>
        <v>9.0251634757908594E-2</v>
      </c>
      <c r="AE973" s="45">
        <f t="shared" ca="1" si="1225"/>
        <v>6.3847072090583081</v>
      </c>
      <c r="AF973" s="45">
        <f t="shared" ca="1" si="1213"/>
        <v>0</v>
      </c>
      <c r="AG973" s="76">
        <f t="shared" ca="1" si="1214"/>
        <v>66.182172846861079</v>
      </c>
      <c r="AH973" s="45">
        <f t="shared" ca="1" si="1215"/>
        <v>0.80258590458871604</v>
      </c>
      <c r="AI973" s="77">
        <f t="shared" ca="1" si="1216"/>
        <v>1.3304721182370735E-2</v>
      </c>
      <c r="AJ973" s="384">
        <f t="shared" ca="1" si="1218"/>
        <v>3.9610866853808657E-2</v>
      </c>
      <c r="AU973" s="1"/>
    </row>
    <row r="974" spans="3:47" x14ac:dyDescent="0.25">
      <c r="C974" s="10">
        <f t="shared" si="1243"/>
        <v>73</v>
      </c>
      <c r="D974" s="91">
        <f t="shared" si="1226"/>
        <v>8</v>
      </c>
      <c r="E974" s="278"/>
      <c r="F974" s="76">
        <f t="shared" ref="F974:Q974" ca="1" si="1286">F902</f>
        <v>20.350000000000001</v>
      </c>
      <c r="G974" s="46">
        <f t="shared" ca="1" si="1286"/>
        <v>27.012600000000003</v>
      </c>
      <c r="H974" s="46">
        <f t="shared" ca="1" si="1202"/>
        <v>28.517550000000004</v>
      </c>
      <c r="I974" s="45">
        <f t="shared" ca="1" si="1203"/>
        <v>1.2518642054104028</v>
      </c>
      <c r="J974" s="45">
        <f t="shared" ca="1" si="1204"/>
        <v>0.27952512346894071</v>
      </c>
      <c r="K974" s="45">
        <f t="shared" ca="1" si="1220"/>
        <v>0.90345467800480783</v>
      </c>
      <c r="L974" s="358">
        <f t="shared" ca="1" si="1205"/>
        <v>0.91927514332007565</v>
      </c>
      <c r="M974" s="76">
        <f t="shared" ca="1" si="1286"/>
        <v>0.25347808785320641</v>
      </c>
      <c r="N974" s="45">
        <f t="shared" ca="1" si="1286"/>
        <v>0.25</v>
      </c>
      <c r="O974" s="45">
        <f t="shared" ca="1" si="1286"/>
        <v>0</v>
      </c>
      <c r="P974" s="46" t="str">
        <f t="shared" ca="1" si="1286"/>
        <v/>
      </c>
      <c r="Q974" s="243" t="str">
        <f t="shared" ca="1" si="1286"/>
        <v/>
      </c>
      <c r="R974" s="45">
        <f t="shared" ca="1" si="1221"/>
        <v>0.12278613960338911</v>
      </c>
      <c r="S974" s="45">
        <f t="shared" ca="1" si="1245"/>
        <v>5.0695617570641283E-2</v>
      </c>
      <c r="T974" s="77">
        <f t="shared" ca="1" si="1206"/>
        <v>7.9526332198068456E-2</v>
      </c>
      <c r="U974" s="45">
        <f t="shared" ca="1" si="1222"/>
        <v>18.815376032229441</v>
      </c>
      <c r="V974" s="45">
        <f t="shared" ca="1" si="1207"/>
        <v>0.20278247028256513</v>
      </c>
      <c r="W974" s="77">
        <f t="shared" ca="1" si="1208"/>
        <v>0.57973815679731866</v>
      </c>
      <c r="X974" s="45">
        <f t="shared" ca="1" si="1223"/>
        <v>1.0670487981056638</v>
      </c>
      <c r="Y974" s="45">
        <f t="shared" ca="1" si="1209"/>
        <v>6.696806342750837E-2</v>
      </c>
      <c r="Z974" s="77">
        <f t="shared" ca="1" si="1210"/>
        <v>7.0996810224113388E-2</v>
      </c>
      <c r="AA974" s="45">
        <f t="shared" ca="1" si="1224"/>
        <v>39.24314685112877</v>
      </c>
      <c r="AB974" s="45">
        <f t="shared" ca="1" si="1211"/>
        <v>0</v>
      </c>
      <c r="AC974" s="45" cm="1">
        <f t="array" aca="1" ref="AC974" ca="1">pHUM*(T974+W974+Z974+AD974)</f>
        <v>7.8785956973539253E-2</v>
      </c>
      <c r="AD974" s="77">
        <f t="shared" ca="1" si="1212"/>
        <v>8.1793126839158695E-2</v>
      </c>
      <c r="AE974" s="45">
        <f t="shared" ca="1" si="1225"/>
        <v>6.3847072090583081</v>
      </c>
      <c r="AF974" s="45">
        <f t="shared" ca="1" si="1213"/>
        <v>0</v>
      </c>
      <c r="AG974" s="76">
        <f t="shared" ca="1" si="1214"/>
        <v>65.633065030125564</v>
      </c>
      <c r="AH974" s="45">
        <f t="shared" ca="1" si="1215"/>
        <v>0.66630040565761173</v>
      </c>
      <c r="AI974" s="77">
        <f t="shared" ca="1" si="1216"/>
        <v>1.1760648532413639E-2</v>
      </c>
      <c r="AJ974" s="384">
        <f t="shared" ca="1" si="1218"/>
        <v>3.4476179445656063E-2</v>
      </c>
      <c r="AU974" s="1"/>
    </row>
    <row r="975" spans="3:47" x14ac:dyDescent="0.25">
      <c r="C975" s="10">
        <f t="shared" si="1243"/>
        <v>73</v>
      </c>
      <c r="D975" s="91">
        <f t="shared" si="1226"/>
        <v>9</v>
      </c>
      <c r="E975" s="278"/>
      <c r="F975" s="76">
        <f t="shared" ref="F975:Q975" ca="1" si="1287">F903</f>
        <v>17.38</v>
      </c>
      <c r="G975" s="46">
        <f t="shared" ca="1" si="1287"/>
        <v>27.012600000000003</v>
      </c>
      <c r="H975" s="46">
        <f t="shared" ca="1" si="1202"/>
        <v>28.517550000000004</v>
      </c>
      <c r="I975" s="45">
        <f t="shared" ca="1" si="1203"/>
        <v>1.0082864185928893</v>
      </c>
      <c r="J975" s="45">
        <f t="shared" ca="1" si="1204"/>
        <v>0.27952512346894071</v>
      </c>
      <c r="K975" s="45">
        <f t="shared" ca="1" si="1220"/>
        <v>0.90345467800480783</v>
      </c>
      <c r="L975" s="358">
        <f t="shared" ca="1" si="1205"/>
        <v>0.88177917719725518</v>
      </c>
      <c r="M975" s="76">
        <f t="shared" ca="1" si="1287"/>
        <v>0.25347808785320641</v>
      </c>
      <c r="N975" s="45">
        <f t="shared" ca="1" si="1287"/>
        <v>0.25</v>
      </c>
      <c r="O975" s="45">
        <f t="shared" ca="1" si="1287"/>
        <v>0</v>
      </c>
      <c r="P975" s="46" t="str">
        <f t="shared" ca="1" si="1287"/>
        <v/>
      </c>
      <c r="Q975" s="243" t="str">
        <f t="shared" ca="1" si="1287"/>
        <v/>
      </c>
      <c r="R975" s="45">
        <f t="shared" ca="1" si="1221"/>
        <v>9.3955424975961932E-2</v>
      </c>
      <c r="S975" s="45">
        <f t="shared" ca="1" si="1245"/>
        <v>5.0695617570641283E-2</v>
      </c>
      <c r="T975" s="77">
        <f t="shared" ca="1" si="1206"/>
        <v>5.340355944267039E-2</v>
      </c>
      <c r="U975" s="45">
        <f t="shared" ca="1" si="1222"/>
        <v>18.438420345714686</v>
      </c>
      <c r="V975" s="45">
        <f t="shared" ca="1" si="1207"/>
        <v>0.20278247028256513</v>
      </c>
      <c r="W975" s="77">
        <f t="shared" ca="1" si="1208"/>
        <v>0.4589712372536221</v>
      </c>
      <c r="X975" s="45">
        <f t="shared" ca="1" si="1223"/>
        <v>1.0630200513090586</v>
      </c>
      <c r="Y975" s="45">
        <f t="shared" ca="1" si="1209"/>
        <v>5.2416925189581673E-2</v>
      </c>
      <c r="Z975" s="77">
        <f t="shared" ca="1" si="1210"/>
        <v>5.7345804306694372E-2</v>
      </c>
      <c r="AA975" s="45">
        <f t="shared" ca="1" si="1224"/>
        <v>39.240139681263152</v>
      </c>
      <c r="AB975" s="45">
        <f t="shared" ca="1" si="1211"/>
        <v>0</v>
      </c>
      <c r="AC975" s="45" cm="1">
        <f t="array" aca="1" ref="AC975" ca="1">pHUM*(T975+W975+Z975+AD975)</f>
        <v>6.1666970811272558E-2</v>
      </c>
      <c r="AD975" s="77">
        <f t="shared" ca="1" si="1212"/>
        <v>6.588679037188315E-2</v>
      </c>
      <c r="AE975" s="45">
        <f t="shared" ca="1" si="1225"/>
        <v>6.3847072090583081</v>
      </c>
      <c r="AF975" s="45">
        <f t="shared" ca="1" si="1213"/>
        <v>0</v>
      </c>
      <c r="AG975" s="76">
        <f t="shared" ca="1" si="1214"/>
        <v>65.220242712321166</v>
      </c>
      <c r="AH975" s="45">
        <f t="shared" ca="1" si="1215"/>
        <v>0.52152349537401577</v>
      </c>
      <c r="AI975" s="77">
        <f t="shared" ca="1" si="1216"/>
        <v>1.127079113115515E-2</v>
      </c>
      <c r="AJ975" s="384">
        <f t="shared" ca="1" si="1218"/>
        <v>3.1692589474922039E-2</v>
      </c>
      <c r="AU975" s="1"/>
    </row>
    <row r="976" spans="3:47" x14ac:dyDescent="0.25">
      <c r="C976" s="10">
        <f t="shared" si="1243"/>
        <v>73</v>
      </c>
      <c r="D976" s="91">
        <f t="shared" si="1226"/>
        <v>10</v>
      </c>
      <c r="E976" s="278"/>
      <c r="F976" s="76">
        <f t="shared" ref="F976:Q976" ca="1" si="1288">F904</f>
        <v>9.61</v>
      </c>
      <c r="G976" s="46">
        <f t="shared" ca="1" si="1288"/>
        <v>27.012600000000003</v>
      </c>
      <c r="H976" s="46">
        <f t="shared" ca="1" si="1202"/>
        <v>28.517550000000004</v>
      </c>
      <c r="I976" s="45">
        <f t="shared" ca="1" si="1203"/>
        <v>0.45243046736638293</v>
      </c>
      <c r="J976" s="45">
        <f t="shared" ca="1" si="1204"/>
        <v>0.27952512346894071</v>
      </c>
      <c r="K976" s="45">
        <f t="shared" ca="1" si="1220"/>
        <v>0.90345467800480783</v>
      </c>
      <c r="L976" s="358">
        <f t="shared" ca="1" si="1205"/>
        <v>0.70354868513849667</v>
      </c>
      <c r="M976" s="76">
        <f t="shared" ca="1" si="1288"/>
        <v>0.25347808785320641</v>
      </c>
      <c r="N976" s="45">
        <f t="shared" ca="1" si="1288"/>
        <v>0.25</v>
      </c>
      <c r="O976" s="45">
        <f t="shared" ca="1" si="1288"/>
        <v>0</v>
      </c>
      <c r="P976" s="46" t="str">
        <f t="shared" ca="1" si="1288"/>
        <v/>
      </c>
      <c r="Q976" s="243" t="str">
        <f t="shared" ca="1" si="1288"/>
        <v/>
      </c>
      <c r="R976" s="45">
        <f t="shared" ca="1" si="1221"/>
        <v>9.1247483103932825E-2</v>
      </c>
      <c r="S976" s="45">
        <f t="shared" ca="1" si="1245"/>
        <v>5.0695617570641283E-2</v>
      </c>
      <c r="T976" s="77">
        <f t="shared" ca="1" si="1206"/>
        <v>2.8660956799418685E-2</v>
      </c>
      <c r="U976" s="45">
        <f t="shared" ca="1" si="1222"/>
        <v>18.182231578743629</v>
      </c>
      <c r="V976" s="45">
        <f t="shared" ca="1" si="1207"/>
        <v>0.20278247028256513</v>
      </c>
      <c r="W976" s="77">
        <f t="shared" ca="1" si="1208"/>
        <v>0.20449620420577883</v>
      </c>
      <c r="X976" s="45">
        <f t="shared" ca="1" si="1223"/>
        <v>1.0580911721919459</v>
      </c>
      <c r="Y976" s="45">
        <f t="shared" ca="1" si="1209"/>
        <v>2.3811340099683762E-2</v>
      </c>
      <c r="Z976" s="77">
        <f t="shared" ca="1" si="1210"/>
        <v>2.6004314329989248E-2</v>
      </c>
      <c r="AA976" s="45">
        <f t="shared" ca="1" si="1224"/>
        <v>39.235919861702541</v>
      </c>
      <c r="AB976" s="45">
        <f t="shared" ca="1" si="1211"/>
        <v>0</v>
      </c>
      <c r="AC976" s="45" cm="1">
        <f t="array" aca="1" ref="AC976" ca="1">pHUM*(T976+W976+Z976+AD976)</f>
        <v>2.8013341293745601E-2</v>
      </c>
      <c r="AD976" s="77">
        <f t="shared" ca="1" si="1212"/>
        <v>2.9574724111094023E-2</v>
      </c>
      <c r="AE976" s="45">
        <f t="shared" ca="1" si="1225"/>
        <v>6.3847072090583081</v>
      </c>
      <c r="AF976" s="45">
        <f t="shared" ca="1" si="1213"/>
        <v>0</v>
      </c>
      <c r="AG976" s="76">
        <f t="shared" ca="1" si="1214"/>
        <v>64.95219730480035</v>
      </c>
      <c r="AH976" s="45">
        <f t="shared" ca="1" si="1215"/>
        <v>0.23691151805285143</v>
      </c>
      <c r="AI976" s="77">
        <f t="shared" ca="1" si="1216"/>
        <v>1.1169738909632557E-2</v>
      </c>
      <c r="AJ976" s="384">
        <f t="shared" ca="1" si="1218"/>
        <v>2.5060133458834066E-2</v>
      </c>
      <c r="AU976" s="1"/>
    </row>
    <row r="977" spans="3:47" x14ac:dyDescent="0.25">
      <c r="C977" s="10">
        <f t="shared" si="1243"/>
        <v>73</v>
      </c>
      <c r="D977" s="91">
        <f t="shared" si="1226"/>
        <v>11</v>
      </c>
      <c r="E977" s="278"/>
      <c r="F977" s="76">
        <f t="shared" ref="F977:Q977" ca="1" si="1289">F905</f>
        <v>5.71</v>
      </c>
      <c r="G977" s="46">
        <f t="shared" ca="1" si="1289"/>
        <v>27.012600000000003</v>
      </c>
      <c r="H977" s="46">
        <f t="shared" ca="1" si="1202"/>
        <v>28.517550000000004</v>
      </c>
      <c r="I977" s="45">
        <f t="shared" ca="1" si="1203"/>
        <v>0.24617612464957264</v>
      </c>
      <c r="J977" s="45">
        <f t="shared" ca="1" si="1204"/>
        <v>0.27952512346894071</v>
      </c>
      <c r="K977" s="45">
        <f t="shared" ca="1" si="1220"/>
        <v>0.90345467800480783</v>
      </c>
      <c r="L977" s="358">
        <f t="shared" ca="1" si="1205"/>
        <v>0.57043958344737544</v>
      </c>
      <c r="M977" s="76">
        <f t="shared" ca="1" si="1289"/>
        <v>0.25347808785320641</v>
      </c>
      <c r="N977" s="45">
        <f t="shared" ca="1" si="1289"/>
        <v>0.25</v>
      </c>
      <c r="O977" s="45">
        <f t="shared" ca="1" si="1289"/>
        <v>0</v>
      </c>
      <c r="P977" s="46" t="str">
        <f t="shared" ca="1" si="1289"/>
        <v/>
      </c>
      <c r="Q977" s="243" t="str">
        <f t="shared" ca="1" si="1289"/>
        <v/>
      </c>
      <c r="R977" s="45">
        <f t="shared" ca="1" si="1221"/>
        <v>0.11328214387515542</v>
      </c>
      <c r="S977" s="45">
        <f t="shared" ca="1" si="1245"/>
        <v>5.0695617570641283E-2</v>
      </c>
      <c r="T977" s="77">
        <f t="shared" ca="1" si="1206"/>
        <v>2.1010693094592452E-2</v>
      </c>
      <c r="U977" s="45">
        <f t="shared" ca="1" si="1222"/>
        <v>18.180517844820415</v>
      </c>
      <c r="V977" s="45">
        <f t="shared" ca="1" si="1207"/>
        <v>0.20278247028256513</v>
      </c>
      <c r="W977" s="77">
        <f t="shared" ca="1" si="1208"/>
        <v>0.11154663212440015</v>
      </c>
      <c r="X977" s="45">
        <f t="shared" ca="1" si="1223"/>
        <v>1.0558981979616404</v>
      </c>
      <c r="Y977" s="45">
        <f t="shared" ca="1" si="1209"/>
        <v>1.3429974481977313E-2</v>
      </c>
      <c r="Z977" s="77">
        <f t="shared" ca="1" si="1210"/>
        <v>1.4200181015343981E-2</v>
      </c>
      <c r="AA977" s="45">
        <f t="shared" ca="1" si="1224"/>
        <v>39.234358478885191</v>
      </c>
      <c r="AB977" s="45">
        <f t="shared" ca="1" si="1211"/>
        <v>0</v>
      </c>
      <c r="AC977" s="45" cm="1">
        <f t="array" aca="1" ref="AC977" ca="1">pHUM*(T977+W977+Z977+AD977)</f>
        <v>1.5799969978796839E-2</v>
      </c>
      <c r="AD977" s="77">
        <f t="shared" ca="1" si="1212"/>
        <v>1.6094301952560151E-2</v>
      </c>
      <c r="AE977" s="45">
        <f t="shared" ca="1" si="1225"/>
        <v>6.3847072090583081</v>
      </c>
      <c r="AF977" s="45">
        <f t="shared" ca="1" si="1213"/>
        <v>0</v>
      </c>
      <c r="AG977" s="76">
        <f t="shared" ca="1" si="1214"/>
        <v>64.968763874600711</v>
      </c>
      <c r="AH977" s="45">
        <f t="shared" ca="1" si="1215"/>
        <v>0.13362186372612259</v>
      </c>
      <c r="AI977" s="77">
        <f t="shared" ca="1" si="1216"/>
        <v>1.1477179446183943E-2</v>
      </c>
      <c r="AJ977" s="384">
        <f t="shared" ca="1" si="1218"/>
        <v>2.0878185001242944E-2</v>
      </c>
      <c r="AU977" s="1"/>
    </row>
    <row r="978" spans="3:47" x14ac:dyDescent="0.25">
      <c r="C978" s="10">
        <f t="shared" si="1243"/>
        <v>73</v>
      </c>
      <c r="D978" s="91">
        <f t="shared" si="1226"/>
        <v>12</v>
      </c>
      <c r="E978" s="278"/>
      <c r="F978" s="76">
        <f t="shared" ref="F978:Q978" ca="1" si="1290">F906</f>
        <v>-0.46</v>
      </c>
      <c r="G978" s="46">
        <f t="shared" ca="1" si="1290"/>
        <v>27.012600000000003</v>
      </c>
      <c r="H978" s="46">
        <f t="shared" ref="H978:H1041" ca="1" si="1291">FC-G978</f>
        <v>28.517550000000004</v>
      </c>
      <c r="I978" s="45">
        <f t="shared" ref="I978:I1041" ca="1" si="1292">PRODUCT(47.91/(1+EXP(106.06/(F978+18.27))), IF(IF(H978&lt;=0,1-((1-RM_PWP)*(G978-FC)/(WSAT-FC)),IF(H978&lt;=Wat1bar,1,1-((1-RM_PWP)*(H978-Wat1bar)/(FC-Wat1bar))))&lt;=RM_PWP,RM_PWP,IF(H978&lt;=0,1-((1-RM_PWP)*(G978-FC)/(WSAT-FC)),IF(H978&lt;=Wat1bar,1,1-((1-RM_PWP)*(H978-Wat1bar)/(FC-Wat1bar))))),0.56+(ATAN(3.14*0.45*(SoilpH-5)))/3.14,EXP(-0.09*SoilSal))</f>
        <v>5.3686278337302371E-2</v>
      </c>
      <c r="J978" s="45">
        <f t="shared" ref="J978:J1041" ca="1" si="1293">POWER(((G978/150)-$J$9),$M$9)*POWER(($L$9-(G978/150)),$N$9)</f>
        <v>0.27952512346894071</v>
      </c>
      <c r="K978" s="45">
        <f t="shared" ca="1" si="1220"/>
        <v>0.90345467800480783</v>
      </c>
      <c r="L978" s="358">
        <f t="shared" ref="L978:L1041" ca="1" si="1294">1/(1+EXP(-(F978-3.8)/6.7))+1/(1+EXP((F978-62.2)/7.1))-1</f>
        <v>0.34604490353891793</v>
      </c>
      <c r="M978" s="76">
        <f t="shared" ca="1" si="1290"/>
        <v>0.25347808785320641</v>
      </c>
      <c r="N978" s="45">
        <f t="shared" ca="1" si="1290"/>
        <v>0.25</v>
      </c>
      <c r="O978" s="45">
        <f t="shared" ca="1" si="1290"/>
        <v>0</v>
      </c>
      <c r="P978" s="46" t="str">
        <f t="shared" ca="1" si="1290"/>
        <v/>
      </c>
      <c r="Q978" s="243" t="str">
        <f t="shared" ca="1" si="1290"/>
        <v/>
      </c>
      <c r="R978" s="45">
        <f t="shared" ca="1" si="1221"/>
        <v>0.14296706835120426</v>
      </c>
      <c r="S978" s="45">
        <f t="shared" ca="1" si="1245"/>
        <v>5.0695617570641283E-2</v>
      </c>
      <c r="T978" s="77">
        <f t="shared" ref="T978:T1041" ca="1" si="1295">R978*(1-EXP(-kDPM*I978))</f>
        <v>6.255174458432983E-3</v>
      </c>
      <c r="U978" s="45">
        <f t="shared" ca="1" si="1222"/>
        <v>18.271753682978577</v>
      </c>
      <c r="V978" s="45">
        <f t="shared" ref="V978:V1041" ca="1" si="1296">M978*1/(1+N978)</f>
        <v>0.20278247028256513</v>
      </c>
      <c r="W978" s="77">
        <f t="shared" ref="W978:W1041" ca="1" si="1297">U978*(1-EXP(-kRPM*I978))</f>
        <v>2.4507111474382007E-2</v>
      </c>
      <c r="X978" s="45">
        <f t="shared" ca="1" si="1223"/>
        <v>1.0551279914282736</v>
      </c>
      <c r="Y978" s="45">
        <f t="shared" ref="Y978:Y1041" ca="1" si="1298">pBIO*(T978+W978+Z978+AD978)</f>
        <v>3.0829312020784531E-3</v>
      </c>
      <c r="Z978" s="77">
        <f t="shared" ref="Z978:Z1041" ca="1" si="1299">X978*(1-EXP(-kBIO*I978))</f>
        <v>3.110929075722127E-3</v>
      </c>
      <c r="AA978" s="45">
        <f t="shared" ca="1" si="1224"/>
        <v>39.234064146911422</v>
      </c>
      <c r="AB978" s="45">
        <f t="shared" ref="AB978:AB1041" ca="1" si="1300">IF(O978&gt;0,O978*(1-Q978)/(1+P978),0)</f>
        <v>0</v>
      </c>
      <c r="AC978" s="45" cm="1">
        <f t="array" aca="1" ref="AC978" ca="1">pHUM*(T978+W978+Z978+AD978)</f>
        <v>3.62697788479818E-3</v>
      </c>
      <c r="AD978" s="77">
        <f t="shared" ref="AD978:AD1041" ca="1" si="1301">AA978*(1-EXP(-kHUM*I978))</f>
        <v>3.5103944278048688E-3</v>
      </c>
      <c r="AE978" s="45">
        <f t="shared" ca="1" si="1225"/>
        <v>6.3847072090583081</v>
      </c>
      <c r="AF978" s="45">
        <f t="shared" ref="AF978:AF1041" ca="1" si="1302">IF(O978&gt;0,O978*Q978,0)</f>
        <v>0</v>
      </c>
      <c r="AG978" s="76">
        <f t="shared" ref="AG978:AG1041" ca="1" si="1303">R978+U978+X978+AA978+AE978</f>
        <v>65.088620098727787</v>
      </c>
      <c r="AH978" s="45">
        <f t="shared" ref="AH978:AH1041" ca="1" si="1304">p_CO2*(T978+W978+Z978+AD978)</f>
        <v>3.0673700349465358E-2</v>
      </c>
      <c r="AI978" s="77">
        <f t="shared" ref="AI978:AI1041" ca="1" si="1305">((kRPM*U978)+(kDPM*R978)+(kBIO*X978)+(kHUM*AA978))/(U978+R978+AA978+X978)</f>
        <v>1.1913264000901248E-2</v>
      </c>
      <c r="AJ978" s="384">
        <f t="shared" ca="1" si="1218"/>
        <v>1.3146625958359026E-2</v>
      </c>
      <c r="AU978" s="1"/>
    </row>
    <row r="979" spans="3:47" x14ac:dyDescent="0.25">
      <c r="C979" s="10">
        <f t="shared" si="1243"/>
        <v>74</v>
      </c>
      <c r="D979" s="91">
        <f t="shared" si="1226"/>
        <v>1</v>
      </c>
      <c r="E979" s="278"/>
      <c r="F979" s="76">
        <f t="shared" ref="F979:Q979" ca="1" si="1306">F907</f>
        <v>-3.44</v>
      </c>
      <c r="G979" s="46">
        <f t="shared" ca="1" si="1306"/>
        <v>27.012600000000003</v>
      </c>
      <c r="H979" s="46">
        <f t="shared" ca="1" si="1291"/>
        <v>28.517550000000004</v>
      </c>
      <c r="I979" s="45">
        <f t="shared" ca="1" si="1292"/>
        <v>1.6253779081695344E-2</v>
      </c>
      <c r="J979" s="45">
        <f t="shared" ca="1" si="1293"/>
        <v>0.27952512346894071</v>
      </c>
      <c r="K979" s="45">
        <f t="shared" ca="1" si="1220"/>
        <v>0.90345467800480783</v>
      </c>
      <c r="L979" s="358">
        <f t="shared" ca="1" si="1294"/>
        <v>0.25329647647379749</v>
      </c>
      <c r="M979" s="76">
        <f t="shared" ca="1" si="1306"/>
        <v>0.25347808785320641</v>
      </c>
      <c r="N979" s="45">
        <f t="shared" ca="1" si="1306"/>
        <v>0.25</v>
      </c>
      <c r="O979" s="45">
        <f t="shared" ca="1" si="1306"/>
        <v>0</v>
      </c>
      <c r="P979" s="46" t="str">
        <f t="shared" ca="1" si="1306"/>
        <v/>
      </c>
      <c r="Q979" s="243" t="str">
        <f t="shared" ca="1" si="1306"/>
        <v/>
      </c>
      <c r="R979" s="45">
        <f t="shared" ca="1" si="1221"/>
        <v>0.18740751146341256</v>
      </c>
      <c r="S979" s="45">
        <f t="shared" ca="1" si="1245"/>
        <v>5.0695617570641283E-2</v>
      </c>
      <c r="T979" s="77">
        <f t="shared" ca="1" si="1295"/>
        <v>2.5212865139021302E-3</v>
      </c>
      <c r="U979" s="45">
        <f t="shared" ca="1" si="1222"/>
        <v>18.45002904178676</v>
      </c>
      <c r="V979" s="45">
        <f t="shared" ca="1" si="1296"/>
        <v>0.20278247028256513</v>
      </c>
      <c r="W979" s="77">
        <f t="shared" ca="1" si="1297"/>
        <v>7.4955444127286176E-3</v>
      </c>
      <c r="X979" s="45">
        <f t="shared" ca="1" si="1223"/>
        <v>1.0550999935546299</v>
      </c>
      <c r="Y979" s="45">
        <f t="shared" ca="1" si="1298"/>
        <v>9.9146083587338331E-4</v>
      </c>
      <c r="Z979" s="77">
        <f t="shared" ca="1" si="1299"/>
        <v>9.4279344964906021E-4</v>
      </c>
      <c r="AA979" s="45">
        <f t="shared" ca="1" si="1224"/>
        <v>39.234180730368415</v>
      </c>
      <c r="AB979" s="45">
        <f t="shared" ca="1" si="1300"/>
        <v>0</v>
      </c>
      <c r="AC979" s="45" cm="1">
        <f t="array" aca="1" ref="AC979" ca="1">pHUM*(T979+W979+Z979+AD979)</f>
        <v>1.1664245127922157E-3</v>
      </c>
      <c r="AD979" s="77">
        <f t="shared" ca="1" si="1301"/>
        <v>1.0628251142348144E-3</v>
      </c>
      <c r="AE979" s="45">
        <f t="shared" ca="1" si="1225"/>
        <v>6.3847072090583081</v>
      </c>
      <c r="AF979" s="45">
        <f t="shared" ca="1" si="1302"/>
        <v>0</v>
      </c>
      <c r="AG979" s="76">
        <f t="shared" ca="1" si="1303"/>
        <v>65.31142448623153</v>
      </c>
      <c r="AH979" s="45">
        <f t="shared" ca="1" si="1304"/>
        <v>9.8645641418490249E-3</v>
      </c>
      <c r="AI979" s="77">
        <f t="shared" ca="1" si="1305"/>
        <v>1.2572301451008369E-2</v>
      </c>
      <c r="AJ979" s="384">
        <f t="shared" ref="AJ979:AJ1042" ca="1" si="1307">(530)*(1-EXP((-$AJ$9*L979*K979*AI979)))</f>
        <v>1.0155381506299355E-2</v>
      </c>
      <c r="AU979" s="1"/>
    </row>
    <row r="980" spans="3:47" x14ac:dyDescent="0.25">
      <c r="C980" s="10">
        <f t="shared" si="1243"/>
        <v>74</v>
      </c>
      <c r="D980" s="91">
        <f t="shared" si="1226"/>
        <v>2</v>
      </c>
      <c r="E980" s="278"/>
      <c r="F980" s="76">
        <f t="shared" ref="F980:Q980" ca="1" si="1308">F908</f>
        <v>-1.65</v>
      </c>
      <c r="G980" s="46">
        <f t="shared" ca="1" si="1308"/>
        <v>27.012600000000003</v>
      </c>
      <c r="H980" s="46">
        <f t="shared" ca="1" si="1291"/>
        <v>28.517550000000004</v>
      </c>
      <c r="I980" s="45">
        <f t="shared" ca="1" si="1292"/>
        <v>3.508132091145684E-2</v>
      </c>
      <c r="J980" s="45">
        <f t="shared" ca="1" si="1293"/>
        <v>0.27952512346894071</v>
      </c>
      <c r="K980" s="45">
        <f t="shared" ref="K980:K1043" ca="1" si="1309">J980/$I$15</f>
        <v>0.90345467800480783</v>
      </c>
      <c r="L980" s="358">
        <f t="shared" ca="1" si="1294"/>
        <v>0.30703519550320224</v>
      </c>
      <c r="M980" s="76">
        <f t="shared" ca="1" si="1308"/>
        <v>0.25347808785320641</v>
      </c>
      <c r="N980" s="45">
        <f t="shared" ca="1" si="1308"/>
        <v>0.25</v>
      </c>
      <c r="O980" s="45">
        <f t="shared" ca="1" si="1308"/>
        <v>0</v>
      </c>
      <c r="P980" s="46" t="str">
        <f t="shared" ca="1" si="1308"/>
        <v/>
      </c>
      <c r="Q980" s="243" t="str">
        <f t="shared" ca="1" si="1308"/>
        <v/>
      </c>
      <c r="R980" s="45">
        <f t="shared" ref="R980:R1043" ca="1" si="1310">R979+S980-T979</f>
        <v>0.23558184252015171</v>
      </c>
      <c r="S980" s="45">
        <f t="shared" ca="1" si="1245"/>
        <v>5.0695617570641283E-2</v>
      </c>
      <c r="T980" s="77">
        <f t="shared" ca="1" si="1295"/>
        <v>6.7874054706907241E-3</v>
      </c>
      <c r="U980" s="45">
        <f t="shared" ref="U980:U1043" ca="1" si="1311">U979+V980-W979</f>
        <v>18.645315967656597</v>
      </c>
      <c r="V980" s="45">
        <f t="shared" ca="1" si="1296"/>
        <v>0.20278247028256513</v>
      </c>
      <c r="W980" s="77">
        <f t="shared" ca="1" si="1297"/>
        <v>1.6345389053215278E-2</v>
      </c>
      <c r="X980" s="45">
        <f t="shared" ref="X980:X1043" ca="1" si="1312">X979+Y979-Z979</f>
        <v>1.0551486609408542</v>
      </c>
      <c r="Y980" s="45">
        <f t="shared" ca="1" si="1298"/>
        <v>2.2646082663346774E-3</v>
      </c>
      <c r="Z980" s="77">
        <f t="shared" ca="1" si="1299"/>
        <v>2.033917657860079E-3</v>
      </c>
      <c r="AA980" s="45">
        <f t="shared" ref="AA980:AA1043" ca="1" si="1313">AA979+AC979+AB980-AD979</f>
        <v>39.234284329766972</v>
      </c>
      <c r="AB980" s="45">
        <f t="shared" ca="1" si="1300"/>
        <v>0</v>
      </c>
      <c r="AC980" s="45" cm="1">
        <f t="array" aca="1" ref="AC980" ca="1">pHUM*(T980+W980+Z980+AD980)</f>
        <v>2.6642450192172675E-3</v>
      </c>
      <c r="AD980" s="77">
        <f t="shared" ca="1" si="1301"/>
        <v>2.2939171368160194E-3</v>
      </c>
      <c r="AE980" s="45">
        <f t="shared" ref="AE980:AE1043" ca="1" si="1314">AE979+AF980</f>
        <v>6.3847072090583081</v>
      </c>
      <c r="AF980" s="45">
        <f t="shared" ca="1" si="1302"/>
        <v>0</v>
      </c>
      <c r="AG980" s="76">
        <f t="shared" ca="1" si="1303"/>
        <v>65.555038009942876</v>
      </c>
      <c r="AH980" s="45">
        <f t="shared" ca="1" si="1304"/>
        <v>2.2531776033030155E-2</v>
      </c>
      <c r="AI980" s="77">
        <f t="shared" ca="1" si="1305"/>
        <v>1.3281567652051808E-2</v>
      </c>
      <c r="AJ980" s="384">
        <f t="shared" ca="1" si="1307"/>
        <v>1.300434977236864E-2</v>
      </c>
      <c r="AU980" s="1"/>
    </row>
    <row r="981" spans="3:47" x14ac:dyDescent="0.25">
      <c r="C981" s="10">
        <f t="shared" si="1243"/>
        <v>74</v>
      </c>
      <c r="D981" s="91">
        <f t="shared" ref="D981:D1044" si="1315">IF(D980+1&lt;13,D980+1,1)</f>
        <v>3</v>
      </c>
      <c r="E981" s="278"/>
      <c r="F981" s="76">
        <f t="shared" ref="F981:Q981" ca="1" si="1316">F909</f>
        <v>4.68</v>
      </c>
      <c r="G981" s="46">
        <f t="shared" ca="1" si="1316"/>
        <v>27.012600000000003</v>
      </c>
      <c r="H981" s="46">
        <f t="shared" ca="1" si="1291"/>
        <v>28.517550000000004</v>
      </c>
      <c r="I981" s="45">
        <f t="shared" ca="1" si="1292"/>
        <v>0.20228669449817699</v>
      </c>
      <c r="J981" s="45">
        <f t="shared" ca="1" si="1293"/>
        <v>0.27952512346894071</v>
      </c>
      <c r="K981" s="45">
        <f t="shared" ca="1" si="1309"/>
        <v>0.90345467800480783</v>
      </c>
      <c r="L981" s="358">
        <f t="shared" ca="1" si="1294"/>
        <v>0.53248567772813127</v>
      </c>
      <c r="M981" s="76">
        <f t="shared" ca="1" si="1316"/>
        <v>0.25347808785320641</v>
      </c>
      <c r="N981" s="45">
        <f t="shared" ca="1" si="1316"/>
        <v>0.25</v>
      </c>
      <c r="O981" s="45">
        <f t="shared" ca="1" si="1316"/>
        <v>0</v>
      </c>
      <c r="P981" s="46" t="str">
        <f t="shared" ca="1" si="1316"/>
        <v/>
      </c>
      <c r="Q981" s="243" t="str">
        <f t="shared" ca="1" si="1316"/>
        <v/>
      </c>
      <c r="R981" s="45">
        <f t="shared" ca="1" si="1310"/>
        <v>0.27949005462010229</v>
      </c>
      <c r="S981" s="45">
        <f t="shared" ca="1" si="1245"/>
        <v>5.0695617570641283E-2</v>
      </c>
      <c r="T981" s="77">
        <f t="shared" ca="1" si="1295"/>
        <v>4.3357229787122406E-2</v>
      </c>
      <c r="U981" s="45">
        <f t="shared" ca="1" si="1311"/>
        <v>18.831753048885947</v>
      </c>
      <c r="V981" s="45">
        <f t="shared" ca="1" si="1296"/>
        <v>0.20278247028256513</v>
      </c>
      <c r="W981" s="77">
        <f t="shared" ca="1" si="1297"/>
        <v>9.499492183010895E-2</v>
      </c>
      <c r="X981" s="45">
        <f t="shared" ca="1" si="1312"/>
        <v>1.0553793515493288</v>
      </c>
      <c r="Y981" s="45">
        <f t="shared" ca="1" si="1298"/>
        <v>1.3463183322764508E-2</v>
      </c>
      <c r="Z981" s="77">
        <f t="shared" ca="1" si="1299"/>
        <v>1.167682873189926E-2</v>
      </c>
      <c r="AA981" s="45">
        <f t="shared" ca="1" si="1313"/>
        <v>39.234654657649372</v>
      </c>
      <c r="AB981" s="45">
        <f t="shared" ca="1" si="1300"/>
        <v>0</v>
      </c>
      <c r="AC981" s="45" cm="1">
        <f t="array" aca="1" ref="AC981" ca="1">pHUM*(T981+W981+Z981+AD981)</f>
        <v>1.5839039203252362E-2</v>
      </c>
      <c r="AD981" s="77">
        <f t="shared" ca="1" si="1301"/>
        <v>1.3225518086898241E-2</v>
      </c>
      <c r="AE981" s="45">
        <f t="shared" ca="1" si="1314"/>
        <v>6.3847072090583081</v>
      </c>
      <c r="AF981" s="45">
        <f t="shared" ca="1" si="1302"/>
        <v>0</v>
      </c>
      <c r="AG981" s="76">
        <f t="shared" ca="1" si="1303"/>
        <v>65.785984321763053</v>
      </c>
      <c r="AH981" s="45">
        <f t="shared" ca="1" si="1304"/>
        <v>0.13395227591001199</v>
      </c>
      <c r="AI981" s="77">
        <f t="shared" ca="1" si="1305"/>
        <v>1.3924602310050684E-2</v>
      </c>
      <c r="AJ981" s="384">
        <f t="shared" ca="1" si="1307"/>
        <v>2.3644901734661827E-2</v>
      </c>
      <c r="AU981" s="1"/>
    </row>
    <row r="982" spans="3:47" x14ac:dyDescent="0.25">
      <c r="C982" s="10">
        <f t="shared" si="1243"/>
        <v>74</v>
      </c>
      <c r="D982" s="91">
        <f t="shared" si="1315"/>
        <v>4</v>
      </c>
      <c r="E982" s="278"/>
      <c r="F982" s="76">
        <f t="shared" ref="F982:Q982" ca="1" si="1317">F910</f>
        <v>7.69</v>
      </c>
      <c r="G982" s="46">
        <f t="shared" ca="1" si="1317"/>
        <v>27.012600000000003</v>
      </c>
      <c r="H982" s="46">
        <f t="shared" ca="1" si="1291"/>
        <v>28.517550000000004</v>
      </c>
      <c r="I982" s="45">
        <f t="shared" ca="1" si="1292"/>
        <v>0.3433111911106958</v>
      </c>
      <c r="J982" s="45">
        <f t="shared" ca="1" si="1293"/>
        <v>0.27952512346894071</v>
      </c>
      <c r="K982" s="45">
        <f t="shared" ca="1" si="1309"/>
        <v>0.90345467800480783</v>
      </c>
      <c r="L982" s="358">
        <f t="shared" ca="1" si="1294"/>
        <v>0.64074183470648283</v>
      </c>
      <c r="M982" s="76">
        <f t="shared" ca="1" si="1317"/>
        <v>0.25347808785320641</v>
      </c>
      <c r="N982" s="45">
        <f t="shared" ca="1" si="1317"/>
        <v>0.25</v>
      </c>
      <c r="O982" s="45">
        <f t="shared" ca="1" si="1317"/>
        <v>0</v>
      </c>
      <c r="P982" s="46" t="str">
        <f t="shared" ca="1" si="1317"/>
        <v/>
      </c>
      <c r="Q982" s="243" t="str">
        <f t="shared" ca="1" si="1317"/>
        <v/>
      </c>
      <c r="R982" s="45">
        <f t="shared" ca="1" si="1310"/>
        <v>0.28682844240362115</v>
      </c>
      <c r="S982" s="45">
        <f t="shared" ca="1" si="1245"/>
        <v>5.0695617570641283E-2</v>
      </c>
      <c r="T982" s="77">
        <f t="shared" ca="1" si="1295"/>
        <v>7.1364922050609986E-2</v>
      </c>
      <c r="U982" s="45">
        <f t="shared" ca="1" si="1311"/>
        <v>18.9395405973384</v>
      </c>
      <c r="V982" s="45">
        <f t="shared" ca="1" si="1296"/>
        <v>0.20278247028256513</v>
      </c>
      <c r="W982" s="77">
        <f t="shared" ca="1" si="1297"/>
        <v>0.16185831530681058</v>
      </c>
      <c r="X982" s="45">
        <f t="shared" ca="1" si="1312"/>
        <v>1.057165706140194</v>
      </c>
      <c r="Y982" s="45">
        <f t="shared" ca="1" si="1298"/>
        <v>2.2715005564121139E-2</v>
      </c>
      <c r="Z982" s="77">
        <f t="shared" ca="1" si="1299"/>
        <v>1.9774247650610383E-2</v>
      </c>
      <c r="AA982" s="45">
        <f t="shared" ca="1" si="1313"/>
        <v>39.237268178765724</v>
      </c>
      <c r="AB982" s="45">
        <f t="shared" ca="1" si="1300"/>
        <v>0</v>
      </c>
      <c r="AC982" s="45" cm="1">
        <f t="array" aca="1" ref="AC982" ca="1">pHUM*(T982+W982+Z982+AD982)</f>
        <v>2.6723535957789576E-2</v>
      </c>
      <c r="AD982" s="77">
        <f t="shared" ca="1" si="1301"/>
        <v>2.244456695243657E-2</v>
      </c>
      <c r="AE982" s="45">
        <f t="shared" ca="1" si="1314"/>
        <v>6.3847072090583081</v>
      </c>
      <c r="AF982" s="45">
        <f t="shared" ca="1" si="1302"/>
        <v>0</v>
      </c>
      <c r="AG982" s="76">
        <f t="shared" ca="1" si="1303"/>
        <v>65.905510133706244</v>
      </c>
      <c r="AH982" s="45">
        <f t="shared" ca="1" si="1304"/>
        <v>0.22600351043855682</v>
      </c>
      <c r="AI982" s="77">
        <f t="shared" ca="1" si="1305"/>
        <v>1.4046379360796283E-2</v>
      </c>
      <c r="AJ982" s="384">
        <f t="shared" ca="1" si="1307"/>
        <v>2.8700679865040213E-2</v>
      </c>
      <c r="AU982" s="1"/>
    </row>
    <row r="983" spans="3:47" x14ac:dyDescent="0.25">
      <c r="C983" s="10">
        <f t="shared" si="1243"/>
        <v>74</v>
      </c>
      <c r="D983" s="91">
        <f t="shared" si="1315"/>
        <v>5</v>
      </c>
      <c r="E983" s="278"/>
      <c r="F983" s="76">
        <f t="shared" ref="F983:Q983" ca="1" si="1318">F911</f>
        <v>15.52</v>
      </c>
      <c r="G983" s="46">
        <f t="shared" ca="1" si="1318"/>
        <v>27.012600000000003</v>
      </c>
      <c r="H983" s="46">
        <f t="shared" ca="1" si="1291"/>
        <v>28.517550000000004</v>
      </c>
      <c r="I983" s="45">
        <f t="shared" ca="1" si="1292"/>
        <v>0.86230369296737164</v>
      </c>
      <c r="J983" s="45">
        <f t="shared" ca="1" si="1293"/>
        <v>0.27952512346894071</v>
      </c>
      <c r="K983" s="45">
        <f t="shared" ca="1" si="1309"/>
        <v>0.90345467800480783</v>
      </c>
      <c r="L983" s="358">
        <f t="shared" ca="1" si="1294"/>
        <v>0.85046529796407655</v>
      </c>
      <c r="M983" s="76">
        <f t="shared" ca="1" si="1318"/>
        <v>0.25347808785320641</v>
      </c>
      <c r="N983" s="45">
        <f t="shared" ca="1" si="1318"/>
        <v>0.25</v>
      </c>
      <c r="O983" s="45">
        <f t="shared" ca="1" si="1318"/>
        <v>0</v>
      </c>
      <c r="P983" s="46" t="str">
        <f t="shared" ca="1" si="1318"/>
        <v/>
      </c>
      <c r="Q983" s="243" t="str">
        <f t="shared" ca="1" si="1318"/>
        <v/>
      </c>
      <c r="R983" s="45">
        <f t="shared" ca="1" si="1310"/>
        <v>0.26615913792365242</v>
      </c>
      <c r="S983" s="45">
        <f t="shared" ca="1" si="1245"/>
        <v>5.0695617570641283E-2</v>
      </c>
      <c r="T983" s="77">
        <f t="shared" ca="1" si="1295"/>
        <v>0.13642231208113587</v>
      </c>
      <c r="U983" s="45">
        <f t="shared" ca="1" si="1311"/>
        <v>18.980464752314152</v>
      </c>
      <c r="V983" s="45">
        <f t="shared" ca="1" si="1296"/>
        <v>0.20278247028256513</v>
      </c>
      <c r="W983" s="77">
        <f t="shared" ca="1" si="1297"/>
        <v>0.40479425000484454</v>
      </c>
      <c r="X983" s="45">
        <f t="shared" ca="1" si="1312"/>
        <v>1.0601064640537048</v>
      </c>
      <c r="Y983" s="45">
        <f t="shared" ca="1" si="1298"/>
        <v>5.3329781038332212E-2</v>
      </c>
      <c r="Z983" s="77">
        <f t="shared" ca="1" si="1299"/>
        <v>4.9103736659743227E-2</v>
      </c>
      <c r="AA983" s="45">
        <f t="shared" ca="1" si="1313"/>
        <v>39.24154714777108</v>
      </c>
      <c r="AB983" s="45">
        <f t="shared" ca="1" si="1300"/>
        <v>0</v>
      </c>
      <c r="AC983" s="45" cm="1">
        <f t="array" aca="1" ref="AC983" ca="1">pHUM*(T983+W983+Z983+AD983)</f>
        <v>6.2740918868626136E-2</v>
      </c>
      <c r="AD983" s="77">
        <f t="shared" ca="1" si="1301"/>
        <v>5.6356378410925695E-2</v>
      </c>
      <c r="AE983" s="45">
        <f t="shared" ca="1" si="1314"/>
        <v>6.3847072090583081</v>
      </c>
      <c r="AF983" s="45">
        <f t="shared" ca="1" si="1302"/>
        <v>0</v>
      </c>
      <c r="AG983" s="76">
        <f t="shared" ca="1" si="1303"/>
        <v>65.932984711120895</v>
      </c>
      <c r="AH983" s="45">
        <f t="shared" ca="1" si="1304"/>
        <v>0.53060597724969094</v>
      </c>
      <c r="AI983" s="77">
        <f t="shared" ca="1" si="1305"/>
        <v>1.3770664222572457E-2</v>
      </c>
      <c r="AJ983" s="384">
        <f t="shared" ca="1" si="1307"/>
        <v>3.7346736217186427E-2</v>
      </c>
      <c r="AU983" s="1"/>
    </row>
    <row r="984" spans="3:47" x14ac:dyDescent="0.25">
      <c r="C984" s="10">
        <f t="shared" si="1243"/>
        <v>74</v>
      </c>
      <c r="D984" s="91">
        <f t="shared" si="1315"/>
        <v>6</v>
      </c>
      <c r="E984" s="278"/>
      <c r="F984" s="76">
        <f t="shared" ref="F984:Q984" ca="1" si="1319">F912</f>
        <v>17.8</v>
      </c>
      <c r="G984" s="46">
        <f t="shared" ca="1" si="1319"/>
        <v>27.012600000000003</v>
      </c>
      <c r="H984" s="46">
        <f t="shared" ca="1" si="1291"/>
        <v>28.517550000000004</v>
      </c>
      <c r="I984" s="45">
        <f t="shared" ca="1" si="1292"/>
        <v>1.0420430221807615</v>
      </c>
      <c r="J984" s="45">
        <f t="shared" ca="1" si="1293"/>
        <v>0.27952512346894071</v>
      </c>
      <c r="K984" s="45">
        <f t="shared" ca="1" si="1309"/>
        <v>0.90345467800480783</v>
      </c>
      <c r="L984" s="358">
        <f t="shared" ca="1" si="1294"/>
        <v>0.88796358149435028</v>
      </c>
      <c r="M984" s="76">
        <f t="shared" ca="1" si="1319"/>
        <v>0.25347808785320641</v>
      </c>
      <c r="N984" s="45">
        <f t="shared" ca="1" si="1319"/>
        <v>0.25</v>
      </c>
      <c r="O984" s="45">
        <f t="shared" ca="1" si="1319"/>
        <v>0</v>
      </c>
      <c r="P984" s="46" t="str">
        <f t="shared" ca="1" si="1319"/>
        <v/>
      </c>
      <c r="Q984" s="243" t="str">
        <f t="shared" ca="1" si="1319"/>
        <v/>
      </c>
      <c r="R984" s="45">
        <f t="shared" ca="1" si="1310"/>
        <v>0.18043244341315784</v>
      </c>
      <c r="S984" s="45">
        <f t="shared" ca="1" si="1245"/>
        <v>5.0695617570641283E-2</v>
      </c>
      <c r="T984" s="77">
        <f t="shared" ca="1" si="1295"/>
        <v>0.10471661384205616</v>
      </c>
      <c r="U984" s="45">
        <f t="shared" ca="1" si="1311"/>
        <v>18.778452972591872</v>
      </c>
      <c r="V984" s="45">
        <f t="shared" ca="1" si="1296"/>
        <v>0.20278247028256513</v>
      </c>
      <c r="W984" s="77">
        <f t="shared" ca="1" si="1297"/>
        <v>0.48288179313546575</v>
      </c>
      <c r="X984" s="45">
        <f t="shared" ca="1" si="1312"/>
        <v>1.0643325084322937</v>
      </c>
      <c r="Y984" s="45">
        <f t="shared" ca="1" si="1298"/>
        <v>5.8963156714011443E-2</v>
      </c>
      <c r="Z984" s="77">
        <f t="shared" ca="1" si="1299"/>
        <v>5.928432527270263E-2</v>
      </c>
      <c r="AA984" s="45">
        <f t="shared" ca="1" si="1313"/>
        <v>39.247931688228782</v>
      </c>
      <c r="AB984" s="45">
        <f t="shared" ca="1" si="1300"/>
        <v>0</v>
      </c>
      <c r="AC984" s="45" cm="1">
        <f t="array" aca="1" ref="AC984" ca="1">pHUM*(T984+W984+Z984+AD984)</f>
        <v>6.9368419663542874E-2</v>
      </c>
      <c r="AD984" s="77">
        <f t="shared" ca="1" si="1301"/>
        <v>6.8104232182962438E-2</v>
      </c>
      <c r="AE984" s="45">
        <f t="shared" ca="1" si="1314"/>
        <v>6.3847072090583081</v>
      </c>
      <c r="AF984" s="45">
        <f t="shared" ca="1" si="1302"/>
        <v>0</v>
      </c>
      <c r="AG984" s="76">
        <f t="shared" ca="1" si="1303"/>
        <v>65.655856821724413</v>
      </c>
      <c r="AH984" s="45">
        <f t="shared" ca="1" si="1304"/>
        <v>0.58665538805563289</v>
      </c>
      <c r="AI984" s="77">
        <f t="shared" ca="1" si="1305"/>
        <v>1.2548654887418898E-2</v>
      </c>
      <c r="AJ984" s="384">
        <f t="shared" ca="1" si="1307"/>
        <v>3.5533193482210068E-2</v>
      </c>
      <c r="AU984" s="1"/>
    </row>
    <row r="985" spans="3:47" x14ac:dyDescent="0.25">
      <c r="C985" s="10">
        <f t="shared" si="1243"/>
        <v>74</v>
      </c>
      <c r="D985" s="91">
        <f t="shared" si="1315"/>
        <v>7</v>
      </c>
      <c r="E985" s="278"/>
      <c r="F985" s="76">
        <f t="shared" ref="F985:Q985" ca="1" si="1320">F913</f>
        <v>22.99</v>
      </c>
      <c r="G985" s="46">
        <f t="shared" ca="1" si="1320"/>
        <v>27.012600000000003</v>
      </c>
      <c r="H985" s="46">
        <f t="shared" ca="1" si="1291"/>
        <v>28.517550000000004</v>
      </c>
      <c r="I985" s="45">
        <f t="shared" ca="1" si="1292"/>
        <v>1.4752596357037575</v>
      </c>
      <c r="J985" s="45">
        <f t="shared" ca="1" si="1293"/>
        <v>0.27952512346894071</v>
      </c>
      <c r="K985" s="45">
        <f t="shared" ca="1" si="1309"/>
        <v>0.90345467800480783</v>
      </c>
      <c r="L985" s="358">
        <f t="shared" ca="1" si="1294"/>
        <v>0.94206720469222516</v>
      </c>
      <c r="M985" s="76">
        <f t="shared" ca="1" si="1320"/>
        <v>0.25347808785320641</v>
      </c>
      <c r="N985" s="45">
        <f t="shared" ca="1" si="1320"/>
        <v>0.25</v>
      </c>
      <c r="O985" s="45">
        <f t="shared" ca="1" si="1320"/>
        <v>0</v>
      </c>
      <c r="P985" s="46" t="str">
        <f t="shared" ca="1" si="1320"/>
        <v/>
      </c>
      <c r="Q985" s="243" t="str">
        <f t="shared" ca="1" si="1320"/>
        <v/>
      </c>
      <c r="R985" s="45">
        <f t="shared" ca="1" si="1310"/>
        <v>0.12641144714174296</v>
      </c>
      <c r="S985" s="45">
        <f t="shared" ca="1" si="1245"/>
        <v>5.0695617570641283E-2</v>
      </c>
      <c r="T985" s="77">
        <f t="shared" ca="1" si="1295"/>
        <v>8.9439515862024505E-2</v>
      </c>
      <c r="U985" s="45">
        <f t="shared" ca="1" si="1311"/>
        <v>18.49835364973897</v>
      </c>
      <c r="V985" s="45">
        <f t="shared" ca="1" si="1296"/>
        <v>0.20278247028256513</v>
      </c>
      <c r="W985" s="77">
        <f t="shared" ca="1" si="1297"/>
        <v>0.6698189756985492</v>
      </c>
      <c r="X985" s="45">
        <f t="shared" ca="1" si="1312"/>
        <v>1.0640113398736024</v>
      </c>
      <c r="Y985" s="45">
        <f t="shared" ca="1" si="1298"/>
        <v>7.7401315178773272E-2</v>
      </c>
      <c r="Z985" s="77">
        <f t="shared" ca="1" si="1299"/>
        <v>8.2923450018792283E-2</v>
      </c>
      <c r="AA985" s="45">
        <f t="shared" ca="1" si="1313"/>
        <v>39.249195875709361</v>
      </c>
      <c r="AB985" s="45">
        <f t="shared" ca="1" si="1300"/>
        <v>0</v>
      </c>
      <c r="AC985" s="45" cm="1">
        <f t="array" aca="1" ref="AC985" ca="1">pHUM*(T985+W985+Z985+AD985)</f>
        <v>9.1060370798556792E-2</v>
      </c>
      <c r="AD985" s="77">
        <f t="shared" ca="1" si="1301"/>
        <v>9.6386046753198562E-2</v>
      </c>
      <c r="AE985" s="45">
        <f t="shared" ca="1" si="1314"/>
        <v>6.3847072090583081</v>
      </c>
      <c r="AF985" s="45">
        <f t="shared" ca="1" si="1302"/>
        <v>0</v>
      </c>
      <c r="AG985" s="76">
        <f t="shared" ca="1" si="1303"/>
        <v>65.322679521521977</v>
      </c>
      <c r="AH985" s="45">
        <f t="shared" ca="1" si="1304"/>
        <v>0.77010630235523458</v>
      </c>
      <c r="AI985" s="77">
        <f t="shared" ca="1" si="1305"/>
        <v>1.1736706182337981E-2</v>
      </c>
      <c r="AJ985" s="384">
        <f t="shared" ca="1" si="1307"/>
        <v>3.5259012207128348E-2</v>
      </c>
      <c r="AU985" s="1"/>
    </row>
    <row r="986" spans="3:47" x14ac:dyDescent="0.25">
      <c r="C986" s="10">
        <f t="shared" si="1243"/>
        <v>74</v>
      </c>
      <c r="D986" s="91">
        <f t="shared" si="1315"/>
        <v>8</v>
      </c>
      <c r="E986" s="278"/>
      <c r="F986" s="76">
        <f t="shared" ref="F986:Q986" ca="1" si="1321">F914</f>
        <v>21.76</v>
      </c>
      <c r="G986" s="46">
        <f t="shared" ca="1" si="1321"/>
        <v>27.012600000000003</v>
      </c>
      <c r="H986" s="46">
        <f t="shared" ca="1" si="1291"/>
        <v>28.517550000000004</v>
      </c>
      <c r="I986" s="45">
        <f t="shared" ca="1" si="1292"/>
        <v>1.3706166748122235</v>
      </c>
      <c r="J986" s="45">
        <f t="shared" ca="1" si="1293"/>
        <v>0.27952512346894071</v>
      </c>
      <c r="K986" s="45">
        <f t="shared" ca="1" si="1309"/>
        <v>0.90345467800480783</v>
      </c>
      <c r="L986" s="358">
        <f t="shared" ca="1" si="1294"/>
        <v>0.93252308258228611</v>
      </c>
      <c r="M986" s="76">
        <f t="shared" ca="1" si="1321"/>
        <v>0.25347808785320641</v>
      </c>
      <c r="N986" s="45">
        <f t="shared" ca="1" si="1321"/>
        <v>0.25</v>
      </c>
      <c r="O986" s="45">
        <f t="shared" ca="1" si="1321"/>
        <v>0</v>
      </c>
      <c r="P986" s="46" t="str">
        <f t="shared" ca="1" si="1321"/>
        <v/>
      </c>
      <c r="Q986" s="243" t="str">
        <f t="shared" ca="1" si="1321"/>
        <v/>
      </c>
      <c r="R986" s="45">
        <f t="shared" ca="1" si="1310"/>
        <v>8.7667548850359739E-2</v>
      </c>
      <c r="S986" s="45">
        <f t="shared" ca="1" si="1245"/>
        <v>5.0695617570641283E-2</v>
      </c>
      <c r="T986" s="77">
        <f t="shared" ca="1" si="1295"/>
        <v>5.9690870583984493E-2</v>
      </c>
      <c r="U986" s="45">
        <f t="shared" ca="1" si="1311"/>
        <v>18.031317144322983</v>
      </c>
      <c r="V986" s="45">
        <f t="shared" ca="1" si="1296"/>
        <v>0.20278247028256513</v>
      </c>
      <c r="W986" s="77">
        <f t="shared" ca="1" si="1297"/>
        <v>0.607385020849742</v>
      </c>
      <c r="X986" s="45">
        <f t="shared" ca="1" si="1312"/>
        <v>1.0584892050335835</v>
      </c>
      <c r="Y986" s="45">
        <f t="shared" ca="1" si="1298"/>
        <v>6.8735010991257298E-2</v>
      </c>
      <c r="Z986" s="77">
        <f t="shared" ca="1" si="1299"/>
        <v>7.6859676442482858E-2</v>
      </c>
      <c r="AA986" s="45">
        <f t="shared" ca="1" si="1313"/>
        <v>39.243870199754724</v>
      </c>
      <c r="AB986" s="45">
        <f t="shared" ca="1" si="1300"/>
        <v>0</v>
      </c>
      <c r="AC986" s="45" cm="1">
        <f t="array" aca="1" ref="AC986" ca="1">pHUM*(T986+W986+Z986+AD986)</f>
        <v>8.0864718813243877E-2</v>
      </c>
      <c r="AD986" s="77">
        <f t="shared" ca="1" si="1301"/>
        <v>8.9544856133086367E-2</v>
      </c>
      <c r="AE986" s="45">
        <f t="shared" ca="1" si="1314"/>
        <v>6.3847072090583081</v>
      </c>
      <c r="AF986" s="45">
        <f t="shared" ca="1" si="1302"/>
        <v>0</v>
      </c>
      <c r="AG986" s="76">
        <f t="shared" ca="1" si="1303"/>
        <v>64.806051307019956</v>
      </c>
      <c r="AH986" s="45">
        <f t="shared" ca="1" si="1304"/>
        <v>0.68388069420479458</v>
      </c>
      <c r="AI986" s="77">
        <f t="shared" ca="1" si="1305"/>
        <v>1.1082637449094048E-2</v>
      </c>
      <c r="AJ986" s="384">
        <f t="shared" ca="1" si="1307"/>
        <v>3.2956849094931684E-2</v>
      </c>
      <c r="AU986" s="1"/>
    </row>
    <row r="987" spans="3:47" x14ac:dyDescent="0.25">
      <c r="C987" s="10">
        <f t="shared" si="1243"/>
        <v>74</v>
      </c>
      <c r="D987" s="91">
        <f t="shared" si="1315"/>
        <v>9</v>
      </c>
      <c r="E987" s="278"/>
      <c r="F987" s="76">
        <f t="shared" ref="F987:Q987" ca="1" si="1322">F915</f>
        <v>16.16</v>
      </c>
      <c r="G987" s="46">
        <f t="shared" ca="1" si="1322"/>
        <v>27.012600000000003</v>
      </c>
      <c r="H987" s="46">
        <f t="shared" ca="1" si="1291"/>
        <v>28.517550000000004</v>
      </c>
      <c r="I987" s="45">
        <f t="shared" ca="1" si="1292"/>
        <v>0.91183635166446475</v>
      </c>
      <c r="J987" s="45">
        <f t="shared" ca="1" si="1293"/>
        <v>0.27952512346894071</v>
      </c>
      <c r="K987" s="45">
        <f t="shared" ca="1" si="1309"/>
        <v>0.90345467800480783</v>
      </c>
      <c r="L987" s="358">
        <f t="shared" ca="1" si="1294"/>
        <v>0.86198800670670384</v>
      </c>
      <c r="M987" s="76">
        <f t="shared" ca="1" si="1322"/>
        <v>0.25347808785320641</v>
      </c>
      <c r="N987" s="45">
        <f t="shared" ca="1" si="1322"/>
        <v>0.25</v>
      </c>
      <c r="O987" s="45">
        <f t="shared" ca="1" si="1322"/>
        <v>0</v>
      </c>
      <c r="P987" s="46" t="str">
        <f t="shared" ca="1" si="1322"/>
        <v/>
      </c>
      <c r="Q987" s="243" t="str">
        <f t="shared" ca="1" si="1322"/>
        <v/>
      </c>
      <c r="R987" s="45">
        <f t="shared" ca="1" si="1310"/>
        <v>7.8672295837016529E-2</v>
      </c>
      <c r="S987" s="45">
        <f t="shared" ca="1" si="1245"/>
        <v>5.0695617570641283E-2</v>
      </c>
      <c r="T987" s="77">
        <f t="shared" ca="1" si="1295"/>
        <v>4.1874886484751211E-2</v>
      </c>
      <c r="U987" s="45">
        <f t="shared" ca="1" si="1311"/>
        <v>17.626714593755807</v>
      </c>
      <c r="V987" s="45">
        <f t="shared" ca="1" si="1296"/>
        <v>0.20278247028256513</v>
      </c>
      <c r="W987" s="77">
        <f t="shared" ca="1" si="1297"/>
        <v>0.39727169008375735</v>
      </c>
      <c r="X987" s="45">
        <f t="shared" ca="1" si="1312"/>
        <v>1.0503645395823578</v>
      </c>
      <c r="Y987" s="45">
        <f t="shared" ca="1" si="1298"/>
        <v>4.5365828008424924E-2</v>
      </c>
      <c r="Z987" s="77">
        <f t="shared" ca="1" si="1299"/>
        <v>5.1377740817723228E-2</v>
      </c>
      <c r="AA987" s="45">
        <f t="shared" ca="1" si="1313"/>
        <v>39.235190062434881</v>
      </c>
      <c r="AB987" s="45">
        <f t="shared" ca="1" si="1300"/>
        <v>0</v>
      </c>
      <c r="AC987" s="45" cm="1">
        <f t="array" aca="1" ref="AC987" ca="1">pHUM*(T987+W987+Z987+AD987)</f>
        <v>5.3371562362852856E-2</v>
      </c>
      <c r="AD987" s="77">
        <f t="shared" ca="1" si="1301"/>
        <v>5.9581502321925481E-2</v>
      </c>
      <c r="AE987" s="45">
        <f t="shared" ca="1" si="1314"/>
        <v>6.3847072090583081</v>
      </c>
      <c r="AF987" s="45">
        <f t="shared" ca="1" si="1302"/>
        <v>0</v>
      </c>
      <c r="AG987" s="76">
        <f t="shared" ca="1" si="1303"/>
        <v>64.375648700668364</v>
      </c>
      <c r="AH987" s="45">
        <f t="shared" ca="1" si="1304"/>
        <v>0.45136842933687948</v>
      </c>
      <c r="AI987" s="77">
        <f t="shared" ca="1" si="1305"/>
        <v>1.0853249288601763E-2</v>
      </c>
      <c r="AJ987" s="384">
        <f t="shared" ca="1" si="1307"/>
        <v>2.9833571525689218E-2</v>
      </c>
      <c r="AU987" s="1"/>
    </row>
    <row r="988" spans="3:47" x14ac:dyDescent="0.25">
      <c r="C988" s="10">
        <f t="shared" si="1243"/>
        <v>74</v>
      </c>
      <c r="D988" s="91">
        <f t="shared" si="1315"/>
        <v>10</v>
      </c>
      <c r="E988" s="278"/>
      <c r="F988" s="76">
        <f t="shared" ref="F988:Q988" ca="1" si="1323">F916</f>
        <v>11.21</v>
      </c>
      <c r="G988" s="46">
        <f t="shared" ca="1" si="1323"/>
        <v>27.012600000000003</v>
      </c>
      <c r="H988" s="46">
        <f t="shared" ca="1" si="1291"/>
        <v>28.517550000000004</v>
      </c>
      <c r="I988" s="45">
        <f t="shared" ca="1" si="1292"/>
        <v>0.55341948356365211</v>
      </c>
      <c r="J988" s="45">
        <f t="shared" ca="1" si="1293"/>
        <v>0.27952512346894071</v>
      </c>
      <c r="K988" s="45">
        <f t="shared" ca="1" si="1309"/>
        <v>0.90345467800480783</v>
      </c>
      <c r="L988" s="358">
        <f t="shared" ca="1" si="1294"/>
        <v>0.75061725573145499</v>
      </c>
      <c r="M988" s="76">
        <f t="shared" ca="1" si="1323"/>
        <v>0.25347808785320641</v>
      </c>
      <c r="N988" s="45">
        <f t="shared" ca="1" si="1323"/>
        <v>0.25</v>
      </c>
      <c r="O988" s="45">
        <f t="shared" ca="1" si="1323"/>
        <v>0</v>
      </c>
      <c r="P988" s="46" t="str">
        <f t="shared" ca="1" si="1323"/>
        <v/>
      </c>
      <c r="Q988" s="243" t="str">
        <f t="shared" ca="1" si="1323"/>
        <v/>
      </c>
      <c r="R988" s="45">
        <f t="shared" ca="1" si="1310"/>
        <v>8.7493026922906586E-2</v>
      </c>
      <c r="S988" s="45">
        <f t="shared" ca="1" si="1245"/>
        <v>5.0695617570641283E-2</v>
      </c>
      <c r="T988" s="77">
        <f t="shared" ca="1" si="1295"/>
        <v>3.2325406484756646E-2</v>
      </c>
      <c r="U988" s="45">
        <f t="shared" ca="1" si="1311"/>
        <v>17.432225373954612</v>
      </c>
      <c r="V988" s="45">
        <f t="shared" ca="1" si="1296"/>
        <v>0.20278247028256513</v>
      </c>
      <c r="W988" s="77">
        <f t="shared" ca="1" si="1297"/>
        <v>0.23952255271688599</v>
      </c>
      <c r="X988" s="45">
        <f t="shared" ca="1" si="1312"/>
        <v>1.0443526267730596</v>
      </c>
      <c r="Y988" s="45">
        <f t="shared" ca="1" si="1298"/>
        <v>2.798318030977491E-2</v>
      </c>
      <c r="Z988" s="77">
        <f t="shared" ca="1" si="1299"/>
        <v>3.1309167455654395E-2</v>
      </c>
      <c r="AA988" s="45">
        <f t="shared" ca="1" si="1313"/>
        <v>39.228980122475811</v>
      </c>
      <c r="AB988" s="45">
        <f t="shared" ca="1" si="1300"/>
        <v>0</v>
      </c>
      <c r="AC988" s="45" cm="1">
        <f t="array" aca="1" ref="AC988" ca="1">pHUM*(T988+W988+Z988+AD988)</f>
        <v>3.2921388599735188E-2</v>
      </c>
      <c r="AD988" s="77">
        <f t="shared" ca="1" si="1301"/>
        <v>3.6166787798559828E-2</v>
      </c>
      <c r="AE988" s="45">
        <f t="shared" ca="1" si="1314"/>
        <v>6.3847072090583081</v>
      </c>
      <c r="AF988" s="45">
        <f t="shared" ca="1" si="1302"/>
        <v>0</v>
      </c>
      <c r="AG988" s="76">
        <f t="shared" ca="1" si="1303"/>
        <v>64.177758359184693</v>
      </c>
      <c r="AH988" s="45">
        <f t="shared" ca="1" si="1304"/>
        <v>0.27841934554634673</v>
      </c>
      <c r="AI988" s="77">
        <f t="shared" ca="1" si="1305"/>
        <v>1.0927568376471693E-2</v>
      </c>
      <c r="AJ988" s="384">
        <f t="shared" ca="1" si="1307"/>
        <v>2.6156993798376327E-2</v>
      </c>
      <c r="AU988" s="1"/>
    </row>
    <row r="989" spans="3:47" x14ac:dyDescent="0.25">
      <c r="C989" s="10">
        <f t="shared" si="1243"/>
        <v>74</v>
      </c>
      <c r="D989" s="91">
        <f t="shared" si="1315"/>
        <v>11</v>
      </c>
      <c r="E989" s="278"/>
      <c r="F989" s="76">
        <f t="shared" ref="F989:Q989" ca="1" si="1324">F917</f>
        <v>1.8</v>
      </c>
      <c r="G989" s="46">
        <f t="shared" ca="1" si="1324"/>
        <v>27.012600000000003</v>
      </c>
      <c r="H989" s="46">
        <f t="shared" ca="1" si="1291"/>
        <v>28.517550000000004</v>
      </c>
      <c r="I989" s="45">
        <f t="shared" ca="1" si="1292"/>
        <v>0.10471759589279002</v>
      </c>
      <c r="J989" s="45">
        <f t="shared" ca="1" si="1293"/>
        <v>0.27952512346894071</v>
      </c>
      <c r="K989" s="45">
        <f t="shared" ca="1" si="1309"/>
        <v>0.90345467800480783</v>
      </c>
      <c r="L989" s="358">
        <f t="shared" ca="1" si="1294"/>
        <v>0.42572038710161686</v>
      </c>
      <c r="M989" s="76">
        <f t="shared" ca="1" si="1324"/>
        <v>0.25347808785320641</v>
      </c>
      <c r="N989" s="45">
        <f t="shared" ca="1" si="1324"/>
        <v>0.25</v>
      </c>
      <c r="O989" s="45">
        <f t="shared" ca="1" si="1324"/>
        <v>0</v>
      </c>
      <c r="P989" s="46" t="str">
        <f t="shared" ca="1" si="1324"/>
        <v/>
      </c>
      <c r="Q989" s="243" t="str">
        <f t="shared" ca="1" si="1324"/>
        <v/>
      </c>
      <c r="R989" s="45">
        <f t="shared" ca="1" si="1310"/>
        <v>0.10586323800879122</v>
      </c>
      <c r="S989" s="45">
        <f t="shared" ca="1" si="1245"/>
        <v>5.0695617570641283E-2</v>
      </c>
      <c r="T989" s="77">
        <f t="shared" ca="1" si="1295"/>
        <v>8.8465126159825002E-3</v>
      </c>
      <c r="U989" s="45">
        <f t="shared" ca="1" si="1311"/>
        <v>17.395485291520291</v>
      </c>
      <c r="V989" s="45">
        <f t="shared" ca="1" si="1296"/>
        <v>0.20278247028256513</v>
      </c>
      <c r="W989" s="77">
        <f t="shared" ca="1" si="1297"/>
        <v>4.5480776033221683E-2</v>
      </c>
      <c r="X989" s="45">
        <f t="shared" ca="1" si="1312"/>
        <v>1.0410266396271801</v>
      </c>
      <c r="Y989" s="45">
        <f t="shared" ca="1" si="1298"/>
        <v>5.5377935298785942E-3</v>
      </c>
      <c r="Z989" s="77">
        <f t="shared" ca="1" si="1299"/>
        <v>5.978526291792967E-3</v>
      </c>
      <c r="AA989" s="45">
        <f t="shared" ca="1" si="1313"/>
        <v>39.225734723276986</v>
      </c>
      <c r="AB989" s="45">
        <f t="shared" ca="1" si="1300"/>
        <v>0</v>
      </c>
      <c r="AC989" s="45" cm="1">
        <f t="array" aca="1" ref="AC989" ca="1">pHUM*(T989+W989+Z989+AD989)</f>
        <v>6.5150512116218754E-3</v>
      </c>
      <c r="AD989" s="77">
        <f t="shared" ca="1" si="1301"/>
        <v>6.845443679536543E-3</v>
      </c>
      <c r="AE989" s="45">
        <f t="shared" ca="1" si="1314"/>
        <v>6.3847072090583081</v>
      </c>
      <c r="AF989" s="45">
        <f t="shared" ca="1" si="1302"/>
        <v>0</v>
      </c>
      <c r="AG989" s="76">
        <f t="shared" ca="1" si="1303"/>
        <v>64.15281710149155</v>
      </c>
      <c r="AH989" s="45">
        <f t="shared" ca="1" si="1304"/>
        <v>5.5098413879033234E-2</v>
      </c>
      <c r="AI989" s="77">
        <f t="shared" ca="1" si="1305"/>
        <v>1.1178125582021253E-2</v>
      </c>
      <c r="AJ989" s="384">
        <f t="shared" ca="1" si="1307"/>
        <v>1.5175523615978959E-2</v>
      </c>
      <c r="AU989" s="1"/>
    </row>
    <row r="990" spans="3:47" x14ac:dyDescent="0.25">
      <c r="C990" s="10">
        <f t="shared" si="1243"/>
        <v>74</v>
      </c>
      <c r="D990" s="91">
        <f t="shared" si="1315"/>
        <v>12</v>
      </c>
      <c r="E990" s="278"/>
      <c r="F990" s="76">
        <f t="shared" ref="F990:Q990" ca="1" si="1325">F918</f>
        <v>-0.63</v>
      </c>
      <c r="G990" s="46">
        <f t="shared" ca="1" si="1325"/>
        <v>27.012600000000003</v>
      </c>
      <c r="H990" s="46">
        <f t="shared" ca="1" si="1291"/>
        <v>28.517550000000004</v>
      </c>
      <c r="I990" s="45">
        <f t="shared" ca="1" si="1292"/>
        <v>5.069926650983797E-2</v>
      </c>
      <c r="J990" s="45">
        <f t="shared" ca="1" si="1293"/>
        <v>0.27952512346894071</v>
      </c>
      <c r="K990" s="45">
        <f t="shared" ca="1" si="1309"/>
        <v>0.90345467800480783</v>
      </c>
      <c r="L990" s="358">
        <f t="shared" ca="1" si="1294"/>
        <v>0.3403279781726225</v>
      </c>
      <c r="M990" s="76">
        <f t="shared" ca="1" si="1325"/>
        <v>0.25347808785320641</v>
      </c>
      <c r="N990" s="45">
        <f t="shared" ca="1" si="1325"/>
        <v>0.25</v>
      </c>
      <c r="O990" s="45">
        <f t="shared" ca="1" si="1325"/>
        <v>0</v>
      </c>
      <c r="P990" s="46" t="str">
        <f t="shared" ca="1" si="1325"/>
        <v/>
      </c>
      <c r="Q990" s="243" t="str">
        <f t="shared" ca="1" si="1325"/>
        <v/>
      </c>
      <c r="R990" s="45">
        <f t="shared" ca="1" si="1310"/>
        <v>0.14771234296345001</v>
      </c>
      <c r="S990" s="45">
        <f t="shared" ca="1" si="1245"/>
        <v>5.0695617570641283E-2</v>
      </c>
      <c r="T990" s="77">
        <f t="shared" ca="1" si="1295"/>
        <v>6.1107593251454049E-3</v>
      </c>
      <c r="U990" s="45">
        <f t="shared" ca="1" si="1311"/>
        <v>17.552786985769632</v>
      </c>
      <c r="V990" s="45">
        <f t="shared" ca="1" si="1296"/>
        <v>0.20278247028256513</v>
      </c>
      <c r="W990" s="77">
        <f t="shared" ca="1" si="1297"/>
        <v>2.2233742227705092E-2</v>
      </c>
      <c r="X990" s="45">
        <f t="shared" ca="1" si="1312"/>
        <v>1.0405859068652656</v>
      </c>
      <c r="Y990" s="45">
        <f t="shared" ca="1" si="1298"/>
        <v>2.8497825754514551E-3</v>
      </c>
      <c r="Z990" s="77">
        <f t="shared" ca="1" si="1299"/>
        <v>2.8975900380374341E-3</v>
      </c>
      <c r="AA990" s="45">
        <f t="shared" ca="1" si="1313"/>
        <v>39.22540433080907</v>
      </c>
      <c r="AB990" s="45">
        <f t="shared" ca="1" si="1300"/>
        <v>0</v>
      </c>
      <c r="AC990" s="45" cm="1">
        <f t="array" aca="1" ref="AC990" ca="1">pHUM*(T990+W990+Z990+AD990)</f>
        <v>3.3526853828840649E-3</v>
      </c>
      <c r="AD990" s="77">
        <f t="shared" ca="1" si="1301"/>
        <v>3.3143586819388031E-3</v>
      </c>
      <c r="AE990" s="45">
        <f t="shared" ca="1" si="1314"/>
        <v>6.3847072090583081</v>
      </c>
      <c r="AF990" s="45">
        <f t="shared" ca="1" si="1302"/>
        <v>0</v>
      </c>
      <c r="AG990" s="76">
        <f t="shared" ca="1" si="1303"/>
        <v>64.351196775465723</v>
      </c>
      <c r="AH990" s="45">
        <f t="shared" ca="1" si="1304"/>
        <v>2.8353982314491211E-2</v>
      </c>
      <c r="AI990" s="77">
        <f t="shared" ca="1" si="1305"/>
        <v>1.1808912315770321E-2</v>
      </c>
      <c r="AJ990" s="384">
        <f t="shared" ca="1" si="1307"/>
        <v>1.281618507406046E-2</v>
      </c>
      <c r="AU990" s="1"/>
    </row>
    <row r="991" spans="3:47" x14ac:dyDescent="0.25">
      <c r="C991" s="10">
        <f t="shared" si="1243"/>
        <v>75</v>
      </c>
      <c r="D991" s="91">
        <f t="shared" si="1315"/>
        <v>1</v>
      </c>
      <c r="E991" s="278"/>
      <c r="F991" s="76">
        <f t="shared" ref="F991:Q991" ca="1" si="1326">F919</f>
        <v>-5.04</v>
      </c>
      <c r="G991" s="46">
        <f t="shared" ca="1" si="1326"/>
        <v>27.012600000000003</v>
      </c>
      <c r="H991" s="46">
        <f t="shared" ca="1" si="1291"/>
        <v>28.517550000000004</v>
      </c>
      <c r="I991" s="45">
        <f t="shared" ca="1" si="1292"/>
        <v>6.847402527399577E-3</v>
      </c>
      <c r="J991" s="45">
        <f t="shared" ca="1" si="1293"/>
        <v>0.27952512346894071</v>
      </c>
      <c r="K991" s="45">
        <f t="shared" ca="1" si="1309"/>
        <v>0.90345467800480783</v>
      </c>
      <c r="L991" s="358">
        <f t="shared" ca="1" si="1294"/>
        <v>0.21084054547214914</v>
      </c>
      <c r="M991" s="76">
        <f t="shared" ca="1" si="1326"/>
        <v>0.25347808785320641</v>
      </c>
      <c r="N991" s="45">
        <f t="shared" ca="1" si="1326"/>
        <v>0.25</v>
      </c>
      <c r="O991" s="45">
        <f t="shared" ca="1" si="1326"/>
        <v>0</v>
      </c>
      <c r="P991" s="46" t="str">
        <f t="shared" ca="1" si="1326"/>
        <v/>
      </c>
      <c r="Q991" s="243" t="str">
        <f t="shared" ca="1" si="1326"/>
        <v/>
      </c>
      <c r="R991" s="45">
        <f t="shared" ca="1" si="1310"/>
        <v>0.19229720120894589</v>
      </c>
      <c r="S991" s="45">
        <f t="shared" ca="1" si="1245"/>
        <v>5.0695617570641283E-2</v>
      </c>
      <c r="T991" s="77">
        <f t="shared" ca="1" si="1295"/>
        <v>1.0941555975497383E-3</v>
      </c>
      <c r="U991" s="45">
        <f t="shared" ca="1" si="1311"/>
        <v>17.733335713824491</v>
      </c>
      <c r="V991" s="45">
        <f t="shared" ca="1" si="1296"/>
        <v>0.20278247028256513</v>
      </c>
      <c r="W991" s="77">
        <f t="shared" ca="1" si="1297"/>
        <v>3.0354223777533176E-3</v>
      </c>
      <c r="X991" s="45">
        <f t="shared" ca="1" si="1312"/>
        <v>1.0405380994026796</v>
      </c>
      <c r="Y991" s="45">
        <f t="shared" ca="1" si="1298"/>
        <v>4.0978324352222462E-4</v>
      </c>
      <c r="Z991" s="77">
        <f t="shared" ca="1" si="1299"/>
        <v>3.9180029461890022E-4</v>
      </c>
      <c r="AA991" s="45">
        <f t="shared" ca="1" si="1313"/>
        <v>39.225442657510015</v>
      </c>
      <c r="AB991" s="45">
        <f t="shared" ca="1" si="1300"/>
        <v>0</v>
      </c>
      <c r="AC991" s="45" cm="1">
        <f t="array" aca="1" ref="AC991" ca="1">pHUM*(T991+W991+Z991+AD991)</f>
        <v>4.8209793355555839E-4</v>
      </c>
      <c r="AD991" s="77">
        <f t="shared" ca="1" si="1301"/>
        <v>4.4765143760585718E-4</v>
      </c>
      <c r="AE991" s="45">
        <f t="shared" ca="1" si="1314"/>
        <v>6.3847072090583081</v>
      </c>
      <c r="AF991" s="45">
        <f t="shared" ca="1" si="1302"/>
        <v>0</v>
      </c>
      <c r="AG991" s="76">
        <f t="shared" ca="1" si="1303"/>
        <v>64.576320881004435</v>
      </c>
      <c r="AH991" s="45">
        <f t="shared" ca="1" si="1304"/>
        <v>4.0771485304500303E-3</v>
      </c>
      <c r="AI991" s="77">
        <f t="shared" ca="1" si="1305"/>
        <v>1.2479227639969856E-2</v>
      </c>
      <c r="AJ991" s="384">
        <f t="shared" ca="1" si="1307"/>
        <v>8.3906357875096482E-3</v>
      </c>
      <c r="AU991" s="1"/>
    </row>
    <row r="992" spans="3:47" x14ac:dyDescent="0.25">
      <c r="C992" s="10">
        <f t="shared" si="1243"/>
        <v>75</v>
      </c>
      <c r="D992" s="91">
        <f t="shared" si="1315"/>
        <v>2</v>
      </c>
      <c r="E992" s="278"/>
      <c r="F992" s="76">
        <f t="shared" ref="F992:Q992" ca="1" si="1327">F920</f>
        <v>-4.4400000000000004</v>
      </c>
      <c r="G992" s="46">
        <f t="shared" ca="1" si="1327"/>
        <v>27.012600000000003</v>
      </c>
      <c r="H992" s="46">
        <f t="shared" ca="1" si="1291"/>
        <v>28.517550000000004</v>
      </c>
      <c r="I992" s="45">
        <f t="shared" ca="1" si="1292"/>
        <v>9.6941753008840392E-3</v>
      </c>
      <c r="J992" s="45">
        <f t="shared" ca="1" si="1293"/>
        <v>0.27952512346894071</v>
      </c>
      <c r="K992" s="45">
        <f t="shared" ca="1" si="1309"/>
        <v>0.90345467800480783</v>
      </c>
      <c r="L992" s="358">
        <f t="shared" ca="1" si="1294"/>
        <v>0.22612365929309886</v>
      </c>
      <c r="M992" s="76">
        <f t="shared" ca="1" si="1327"/>
        <v>0.25347808785320641</v>
      </c>
      <c r="N992" s="45">
        <f t="shared" ca="1" si="1327"/>
        <v>0.25</v>
      </c>
      <c r="O992" s="45">
        <f t="shared" ca="1" si="1327"/>
        <v>0</v>
      </c>
      <c r="P992" s="46" t="str">
        <f t="shared" ca="1" si="1327"/>
        <v/>
      </c>
      <c r="Q992" s="243" t="str">
        <f t="shared" ca="1" si="1327"/>
        <v/>
      </c>
      <c r="R992" s="45">
        <f t="shared" ca="1" si="1310"/>
        <v>0.24189866318203743</v>
      </c>
      <c r="S992" s="45">
        <f t="shared" ca="1" si="1245"/>
        <v>5.0695617570641283E-2</v>
      </c>
      <c r="T992" s="77">
        <f t="shared" ca="1" si="1295"/>
        <v>1.9463012095627269E-3</v>
      </c>
      <c r="U992" s="45">
        <f t="shared" ca="1" si="1311"/>
        <v>17.933082761729302</v>
      </c>
      <c r="V992" s="45">
        <f t="shared" ca="1" si="1296"/>
        <v>0.20278247028256513</v>
      </c>
      <c r="W992" s="77">
        <f t="shared" ca="1" si="1297"/>
        <v>4.3456345863736815E-3</v>
      </c>
      <c r="X992" s="45">
        <f t="shared" ca="1" si="1312"/>
        <v>1.0405560823515829</v>
      </c>
      <c r="Y992" s="45">
        <f t="shared" ca="1" si="1298"/>
        <v>6.1688548579265032E-4</v>
      </c>
      <c r="Z992" s="77">
        <f t="shared" ca="1" si="1299"/>
        <v>5.5465544036525829E-4</v>
      </c>
      <c r="AA992" s="45">
        <f t="shared" ca="1" si="1313"/>
        <v>39.225477104005968</v>
      </c>
      <c r="AB992" s="45">
        <f t="shared" ca="1" si="1300"/>
        <v>0</v>
      </c>
      <c r="AC992" s="45" cm="1">
        <f t="array" aca="1" ref="AC992" ca="1">pHUM*(T992+W992+Z992+AD992)</f>
        <v>7.2574763034429456E-4</v>
      </c>
      <c r="AD992" s="77">
        <f t="shared" ca="1" si="1301"/>
        <v>6.3375929901776564E-4</v>
      </c>
      <c r="AE992" s="45">
        <f t="shared" ca="1" si="1314"/>
        <v>6.3847072090583081</v>
      </c>
      <c r="AF992" s="45">
        <f t="shared" ca="1" si="1302"/>
        <v>0</v>
      </c>
      <c r="AG992" s="76">
        <f t="shared" ca="1" si="1303"/>
        <v>64.825721820327203</v>
      </c>
      <c r="AH992" s="45">
        <f t="shared" ca="1" si="1304"/>
        <v>6.1377174191824882E-3</v>
      </c>
      <c r="AI992" s="77">
        <f t="shared" ca="1" si="1305"/>
        <v>1.3218724438697834E-2</v>
      </c>
      <c r="AJ992" s="384">
        <f t="shared" ca="1" si="1307"/>
        <v>9.5320896542372413E-3</v>
      </c>
      <c r="AU992" s="1"/>
    </row>
    <row r="993" spans="3:47" x14ac:dyDescent="0.25">
      <c r="C993" s="10">
        <f t="shared" si="1243"/>
        <v>75</v>
      </c>
      <c r="D993" s="91">
        <f t="shared" si="1315"/>
        <v>3</v>
      </c>
      <c r="E993" s="278"/>
      <c r="F993" s="76">
        <f t="shared" ref="F993:Q993" ca="1" si="1328">F921</f>
        <v>-0.82</v>
      </c>
      <c r="G993" s="46">
        <f t="shared" ca="1" si="1328"/>
        <v>27.012600000000003</v>
      </c>
      <c r="H993" s="46">
        <f t="shared" ca="1" si="1291"/>
        <v>28.517550000000004</v>
      </c>
      <c r="I993" s="45">
        <f t="shared" ca="1" si="1292"/>
        <v>4.749388171975074E-2</v>
      </c>
      <c r="J993" s="45">
        <f t="shared" ca="1" si="1293"/>
        <v>0.27952512346894071</v>
      </c>
      <c r="K993" s="45">
        <f t="shared" ca="1" si="1309"/>
        <v>0.90345467800480783</v>
      </c>
      <c r="L993" s="358">
        <f t="shared" ca="1" si="1294"/>
        <v>0.33399301288143546</v>
      </c>
      <c r="M993" s="76">
        <f t="shared" ca="1" si="1328"/>
        <v>0.25347808785320641</v>
      </c>
      <c r="N993" s="45">
        <f t="shared" ca="1" si="1328"/>
        <v>0.25</v>
      </c>
      <c r="O993" s="45">
        <f t="shared" ca="1" si="1328"/>
        <v>0</v>
      </c>
      <c r="P993" s="46" t="str">
        <f t="shared" ca="1" si="1328"/>
        <v/>
      </c>
      <c r="Q993" s="243" t="str">
        <f t="shared" ca="1" si="1328"/>
        <v/>
      </c>
      <c r="R993" s="45">
        <f t="shared" ca="1" si="1310"/>
        <v>0.29064797954311594</v>
      </c>
      <c r="S993" s="45">
        <f t="shared" ca="1" si="1245"/>
        <v>5.0695617570641283E-2</v>
      </c>
      <c r="T993" s="77">
        <f t="shared" ca="1" si="1295"/>
        <v>1.1278666868164679E-2</v>
      </c>
      <c r="U993" s="45">
        <f t="shared" ca="1" si="1311"/>
        <v>18.131519597425491</v>
      </c>
      <c r="V993" s="45">
        <f t="shared" ca="1" si="1296"/>
        <v>0.20278247028256513</v>
      </c>
      <c r="W993" s="77">
        <f t="shared" ca="1" si="1297"/>
        <v>2.1515630391210343E-2</v>
      </c>
      <c r="X993" s="45">
        <f t="shared" ca="1" si="1312"/>
        <v>1.0406183123970103</v>
      </c>
      <c r="Y993" s="45">
        <f t="shared" ca="1" si="1298"/>
        <v>3.1843860061162759E-3</v>
      </c>
      <c r="Z993" s="77">
        <f t="shared" ca="1" si="1299"/>
        <v>2.7147179802051989E-3</v>
      </c>
      <c r="AA993" s="45">
        <f t="shared" ca="1" si="1313"/>
        <v>39.225569092337288</v>
      </c>
      <c r="AB993" s="45">
        <f t="shared" ca="1" si="1300"/>
        <v>0</v>
      </c>
      <c r="AC993" s="45" cm="1">
        <f t="array" aca="1" ref="AC993" ca="1">pHUM*(T993+W993+Z993+AD993)</f>
        <v>3.7463364777838544E-3</v>
      </c>
      <c r="AD993" s="77">
        <f t="shared" ca="1" si="1301"/>
        <v>3.104834679271919E-3</v>
      </c>
      <c r="AE993" s="45">
        <f t="shared" ca="1" si="1314"/>
        <v>6.3847072090583081</v>
      </c>
      <c r="AF993" s="45">
        <f t="shared" ca="1" si="1302"/>
        <v>0</v>
      </c>
      <c r="AG993" s="76">
        <f t="shared" ca="1" si="1303"/>
        <v>65.07306219076122</v>
      </c>
      <c r="AH993" s="45">
        <f t="shared" ca="1" si="1304"/>
        <v>3.168312743495201E-2</v>
      </c>
      <c r="AI993" s="77">
        <f t="shared" ca="1" si="1305"/>
        <v>1.3939811321667186E-2</v>
      </c>
      <c r="AJ993" s="384">
        <f t="shared" ca="1" si="1307"/>
        <v>1.4847203584709145E-2</v>
      </c>
      <c r="AU993" s="1"/>
    </row>
    <row r="994" spans="3:47" x14ac:dyDescent="0.25">
      <c r="C994" s="10">
        <f t="shared" si="1243"/>
        <v>75</v>
      </c>
      <c r="D994" s="91">
        <f t="shared" si="1315"/>
        <v>4</v>
      </c>
      <c r="E994" s="278"/>
      <c r="F994" s="76">
        <f t="shared" ref="F994:Q994" ca="1" si="1329">F922</f>
        <v>6.18</v>
      </c>
      <c r="G994" s="46">
        <f t="shared" ca="1" si="1329"/>
        <v>27.012600000000003</v>
      </c>
      <c r="H994" s="46">
        <f t="shared" ca="1" si="1291"/>
        <v>28.517550000000004</v>
      </c>
      <c r="I994" s="45">
        <f t="shared" ca="1" si="1292"/>
        <v>0.26773980091806004</v>
      </c>
      <c r="J994" s="45">
        <f t="shared" ca="1" si="1293"/>
        <v>0.27952512346894071</v>
      </c>
      <c r="K994" s="45">
        <f t="shared" ca="1" si="1309"/>
        <v>0.90345467800480783</v>
      </c>
      <c r="L994" s="358">
        <f t="shared" ca="1" si="1294"/>
        <v>0.58750950384279488</v>
      </c>
      <c r="M994" s="76">
        <f t="shared" ca="1" si="1329"/>
        <v>0.25347808785320641</v>
      </c>
      <c r="N994" s="45">
        <f t="shared" ca="1" si="1329"/>
        <v>0.25</v>
      </c>
      <c r="O994" s="45">
        <f t="shared" ca="1" si="1329"/>
        <v>0</v>
      </c>
      <c r="P994" s="46" t="str">
        <f t="shared" ca="1" si="1329"/>
        <v/>
      </c>
      <c r="Q994" s="243" t="str">
        <f t="shared" ca="1" si="1329"/>
        <v/>
      </c>
      <c r="R994" s="45">
        <f t="shared" ca="1" si="1310"/>
        <v>0.33006493024559252</v>
      </c>
      <c r="S994" s="45">
        <f t="shared" ca="1" si="1245"/>
        <v>5.0695617570641283E-2</v>
      </c>
      <c r="T994" s="77">
        <f t="shared" ca="1" si="1295"/>
        <v>6.6005843202412762E-2</v>
      </c>
      <c r="U994" s="45">
        <f t="shared" ca="1" si="1311"/>
        <v>18.312786437316845</v>
      </c>
      <c r="V994" s="45">
        <f t="shared" ca="1" si="1296"/>
        <v>0.20278247028256513</v>
      </c>
      <c r="W994" s="77">
        <f t="shared" ca="1" si="1297"/>
        <v>0.12216722589539324</v>
      </c>
      <c r="X994" s="45">
        <f t="shared" ca="1" si="1312"/>
        <v>1.0410879804229214</v>
      </c>
      <c r="Y994" s="45">
        <f t="shared" ca="1" si="1298"/>
        <v>1.8216369010037113E-2</v>
      </c>
      <c r="Z994" s="77">
        <f t="shared" ca="1" si="1299"/>
        <v>1.5218412068713459E-2</v>
      </c>
      <c r="AA994" s="45">
        <f t="shared" ca="1" si="1313"/>
        <v>39.2262105941358</v>
      </c>
      <c r="AB994" s="45">
        <f t="shared" ca="1" si="1300"/>
        <v>0</v>
      </c>
      <c r="AC994" s="45" cm="1">
        <f t="array" aca="1" ref="AC994" ca="1">pHUM*(T994+W994+Z994+AD994)</f>
        <v>2.1431022364749544E-2</v>
      </c>
      <c r="AD994" s="77">
        <f t="shared" ca="1" si="1301"/>
        <v>1.7500124835067056E-2</v>
      </c>
      <c r="AE994" s="45">
        <f t="shared" ca="1" si="1314"/>
        <v>6.3847072090583081</v>
      </c>
      <c r="AF994" s="45">
        <f t="shared" ca="1" si="1302"/>
        <v>0</v>
      </c>
      <c r="AG994" s="76">
        <f t="shared" ca="1" si="1303"/>
        <v>65.294857151179471</v>
      </c>
      <c r="AH994" s="45">
        <f t="shared" ca="1" si="1304"/>
        <v>0.18124421462679988</v>
      </c>
      <c r="AI994" s="77">
        <f t="shared" ca="1" si="1305"/>
        <v>1.4522295850402727E-2</v>
      </c>
      <c r="AJ994" s="384">
        <f t="shared" ca="1" si="1307"/>
        <v>2.7207929805525E-2</v>
      </c>
      <c r="AU994" s="1"/>
    </row>
    <row r="995" spans="3:47" x14ac:dyDescent="0.25">
      <c r="C995" s="10">
        <f t="shared" si="1243"/>
        <v>75</v>
      </c>
      <c r="D995" s="91">
        <f t="shared" si="1315"/>
        <v>5</v>
      </c>
      <c r="E995" s="278"/>
      <c r="F995" s="76">
        <f t="shared" ref="F995:Q995" ca="1" si="1330">F923</f>
        <v>13.58</v>
      </c>
      <c r="G995" s="46">
        <f t="shared" ca="1" si="1330"/>
        <v>27.012600000000003</v>
      </c>
      <c r="H995" s="46">
        <f t="shared" ca="1" si="1291"/>
        <v>28.517550000000004</v>
      </c>
      <c r="I995" s="45">
        <f t="shared" ca="1" si="1292"/>
        <v>0.71743035359667851</v>
      </c>
      <c r="J995" s="45">
        <f t="shared" ca="1" si="1293"/>
        <v>0.27952512346894071</v>
      </c>
      <c r="K995" s="45">
        <f t="shared" ca="1" si="1309"/>
        <v>0.90345467800480783</v>
      </c>
      <c r="L995" s="358">
        <f t="shared" ca="1" si="1294"/>
        <v>0.81042644426030708</v>
      </c>
      <c r="M995" s="76">
        <f t="shared" ca="1" si="1330"/>
        <v>0.25347808785320641</v>
      </c>
      <c r="N995" s="45">
        <f t="shared" ca="1" si="1330"/>
        <v>0.25</v>
      </c>
      <c r="O995" s="45">
        <f t="shared" ca="1" si="1330"/>
        <v>0</v>
      </c>
      <c r="P995" s="46" t="str">
        <f t="shared" ca="1" si="1330"/>
        <v/>
      </c>
      <c r="Q995" s="243" t="str">
        <f t="shared" ca="1" si="1330"/>
        <v/>
      </c>
      <c r="R995" s="45">
        <f t="shared" ca="1" si="1310"/>
        <v>0.31475470461382105</v>
      </c>
      <c r="S995" s="45">
        <f t="shared" ca="1" si="1245"/>
        <v>5.0695617570641283E-2</v>
      </c>
      <c r="T995" s="77">
        <f t="shared" ca="1" si="1295"/>
        <v>0.14164336103755834</v>
      </c>
      <c r="U995" s="45">
        <f t="shared" ca="1" si="1311"/>
        <v>18.393401681704017</v>
      </c>
      <c r="V995" s="45">
        <f t="shared" ca="1" si="1296"/>
        <v>0.20278247028256513</v>
      </c>
      <c r="W995" s="77">
        <f t="shared" ca="1" si="1297"/>
        <v>0.32695872544525534</v>
      </c>
      <c r="X995" s="45">
        <f t="shared" ca="1" si="1312"/>
        <v>1.044085937364245</v>
      </c>
      <c r="Y995" s="45">
        <f t="shared" ca="1" si="1298"/>
        <v>4.5841863555252514E-2</v>
      </c>
      <c r="Z995" s="77">
        <f t="shared" ca="1" si="1299"/>
        <v>4.0396014190388629E-2</v>
      </c>
      <c r="AA995" s="45">
        <f t="shared" ca="1" si="1313"/>
        <v>39.230141491665485</v>
      </c>
      <c r="AB995" s="45">
        <f t="shared" ca="1" si="1300"/>
        <v>0</v>
      </c>
      <c r="AC995" s="45" cm="1">
        <f t="array" aca="1" ref="AC995" ca="1">pHUM*(T995+W995+Z995+AD995)</f>
        <v>5.3931604182650014E-2</v>
      </c>
      <c r="AD995" s="77">
        <f t="shared" ca="1" si="1301"/>
        <v>4.6880123864624937E-2</v>
      </c>
      <c r="AE995" s="45">
        <f t="shared" ca="1" si="1314"/>
        <v>6.3847072090583081</v>
      </c>
      <c r="AF995" s="45">
        <f t="shared" ca="1" si="1302"/>
        <v>0</v>
      </c>
      <c r="AG995" s="76">
        <f t="shared" ca="1" si="1303"/>
        <v>65.36709102440588</v>
      </c>
      <c r="AH995" s="45">
        <f t="shared" ca="1" si="1304"/>
        <v>0.45610475679992474</v>
      </c>
      <c r="AI995" s="77">
        <f t="shared" ca="1" si="1305"/>
        <v>1.4325275959916964E-2</v>
      </c>
      <c r="AJ995" s="384">
        <f t="shared" ca="1" si="1307"/>
        <v>3.7021831645666081E-2</v>
      </c>
      <c r="AU995" s="1"/>
    </row>
    <row r="996" spans="3:47" x14ac:dyDescent="0.25">
      <c r="C996" s="10">
        <f t="shared" si="1243"/>
        <v>75</v>
      </c>
      <c r="D996" s="91">
        <f t="shared" si="1315"/>
        <v>6</v>
      </c>
      <c r="E996" s="278"/>
      <c r="F996" s="76">
        <f t="shared" ref="F996:Q996" ca="1" si="1331">F924</f>
        <v>18.37</v>
      </c>
      <c r="G996" s="46">
        <f t="shared" ca="1" si="1331"/>
        <v>27.012600000000003</v>
      </c>
      <c r="H996" s="46">
        <f t="shared" ca="1" si="1291"/>
        <v>28.517550000000004</v>
      </c>
      <c r="I996" s="45">
        <f t="shared" ca="1" si="1292"/>
        <v>1.0882596087882719</v>
      </c>
      <c r="J996" s="45">
        <f t="shared" ca="1" si="1293"/>
        <v>0.27952512346894071</v>
      </c>
      <c r="K996" s="45">
        <f t="shared" ca="1" si="1309"/>
        <v>0.90345467800480783</v>
      </c>
      <c r="L996" s="358">
        <f t="shared" ca="1" si="1294"/>
        <v>0.89586760620832129</v>
      </c>
      <c r="M996" s="76">
        <f t="shared" ca="1" si="1331"/>
        <v>0.25347808785320641</v>
      </c>
      <c r="N996" s="45">
        <f t="shared" ca="1" si="1331"/>
        <v>0.25</v>
      </c>
      <c r="O996" s="45">
        <f t="shared" ca="1" si="1331"/>
        <v>0</v>
      </c>
      <c r="P996" s="46" t="str">
        <f t="shared" ca="1" si="1331"/>
        <v/>
      </c>
      <c r="Q996" s="243" t="str">
        <f t="shared" ca="1" si="1331"/>
        <v/>
      </c>
      <c r="R996" s="45">
        <f t="shared" ca="1" si="1310"/>
        <v>0.22380696114690399</v>
      </c>
      <c r="S996" s="45">
        <f t="shared" ca="1" si="1245"/>
        <v>5.0695617570641283E-2</v>
      </c>
      <c r="T996" s="77">
        <f t="shared" ca="1" si="1295"/>
        <v>0.1334379969187959</v>
      </c>
      <c r="U996" s="45">
        <f t="shared" ca="1" si="1311"/>
        <v>18.269225426541325</v>
      </c>
      <c r="V996" s="45">
        <f t="shared" ca="1" si="1296"/>
        <v>0.20278247028256513</v>
      </c>
      <c r="W996" s="77">
        <f t="shared" ca="1" si="1297"/>
        <v>0.49034102847657784</v>
      </c>
      <c r="X996" s="45">
        <f t="shared" ca="1" si="1312"/>
        <v>1.049531786729109</v>
      </c>
      <c r="Y996" s="45">
        <f t="shared" ca="1" si="1298"/>
        <v>6.2333649232254901E-2</v>
      </c>
      <c r="Z996" s="77">
        <f t="shared" ca="1" si="1299"/>
        <v>6.0975929754923421E-2</v>
      </c>
      <c r="AA996" s="45">
        <f t="shared" ca="1" si="1313"/>
        <v>39.237192971983511</v>
      </c>
      <c r="AB996" s="45">
        <f t="shared" ca="1" si="1300"/>
        <v>0</v>
      </c>
      <c r="AC996" s="45" cm="1">
        <f t="array" aca="1" ref="AC996" ca="1">pHUM*(T996+W996+Z996+AD996)</f>
        <v>7.3333704979123407E-2</v>
      </c>
      <c r="AD996" s="77">
        <f t="shared" ca="1" si="1301"/>
        <v>7.1102585903340856E-2</v>
      </c>
      <c r="AE996" s="45">
        <f t="shared" ca="1" si="1314"/>
        <v>6.3847072090583081</v>
      </c>
      <c r="AF996" s="45">
        <f t="shared" ca="1" si="1302"/>
        <v>0</v>
      </c>
      <c r="AG996" s="76">
        <f t="shared" ca="1" si="1303"/>
        <v>65.16446435545916</v>
      </c>
      <c r="AH996" s="45">
        <f t="shared" ca="1" si="1304"/>
        <v>0.62019018684225979</v>
      </c>
      <c r="AI996" s="77">
        <f t="shared" ca="1" si="1305"/>
        <v>1.3037753875039356E-2</v>
      </c>
      <c r="AJ996" s="384">
        <f t="shared" ca="1" si="1307"/>
        <v>3.7246701655648806E-2</v>
      </c>
      <c r="AU996" s="1"/>
    </row>
    <row r="997" spans="3:47" x14ac:dyDescent="0.25">
      <c r="C997" s="10">
        <f t="shared" ref="C997:C1060" si="1332">IF(D997=1,C996+1,C996)</f>
        <v>75</v>
      </c>
      <c r="D997" s="91">
        <f t="shared" si="1315"/>
        <v>7</v>
      </c>
      <c r="E997" s="278"/>
      <c r="F997" s="76">
        <f t="shared" ref="F997:Q997" ca="1" si="1333">F925</f>
        <v>22.71</v>
      </c>
      <c r="G997" s="46">
        <f t="shared" ca="1" si="1333"/>
        <v>27.012600000000003</v>
      </c>
      <c r="H997" s="46">
        <f t="shared" ca="1" si="1291"/>
        <v>28.517550000000004</v>
      </c>
      <c r="I997" s="45">
        <f t="shared" ca="1" si="1292"/>
        <v>1.4513708414333564</v>
      </c>
      <c r="J997" s="45">
        <f t="shared" ca="1" si="1293"/>
        <v>0.27952512346894071</v>
      </c>
      <c r="K997" s="45">
        <f t="shared" ca="1" si="1309"/>
        <v>0.90345467800480783</v>
      </c>
      <c r="L997" s="358">
        <f t="shared" ca="1" si="1294"/>
        <v>0.94004721434733285</v>
      </c>
      <c r="M997" s="76">
        <f t="shared" ca="1" si="1333"/>
        <v>0.25347808785320641</v>
      </c>
      <c r="N997" s="45">
        <f t="shared" ca="1" si="1333"/>
        <v>0.25</v>
      </c>
      <c r="O997" s="45">
        <f t="shared" ca="1" si="1333"/>
        <v>0</v>
      </c>
      <c r="P997" s="46" t="str">
        <f t="shared" ca="1" si="1333"/>
        <v/>
      </c>
      <c r="Q997" s="243" t="str">
        <f t="shared" ca="1" si="1333"/>
        <v/>
      </c>
      <c r="R997" s="45">
        <f t="shared" ca="1" si="1310"/>
        <v>0.14106458179874934</v>
      </c>
      <c r="S997" s="45">
        <f t="shared" ref="S997:S1060" ca="1" si="1334">M997*N997/(1+N997) +   IF(O997&gt;0,O997*P997*(1-Q997)/(1+P997),0)</f>
        <v>5.0695617570641283E-2</v>
      </c>
      <c r="T997" s="77">
        <f t="shared" ca="1" si="1295"/>
        <v>9.8977446831495092E-2</v>
      </c>
      <c r="U997" s="45">
        <f t="shared" ca="1" si="1311"/>
        <v>17.981666868347311</v>
      </c>
      <c r="V997" s="45">
        <f t="shared" ca="1" si="1296"/>
        <v>0.20278247028256513</v>
      </c>
      <c r="W997" s="77">
        <f t="shared" ca="1" si="1297"/>
        <v>0.6407566823759413</v>
      </c>
      <c r="X997" s="45">
        <f t="shared" ca="1" si="1312"/>
        <v>1.0508895062064403</v>
      </c>
      <c r="Y997" s="45">
        <f t="shared" ca="1" si="1298"/>
        <v>7.5471289706350905E-2</v>
      </c>
      <c r="Z997" s="77">
        <f t="shared" ca="1" si="1299"/>
        <v>8.0626828096065528E-2</v>
      </c>
      <c r="AA997" s="45">
        <f t="shared" ca="1" si="1313"/>
        <v>39.239424091059291</v>
      </c>
      <c r="AB997" s="45">
        <f t="shared" ca="1" si="1300"/>
        <v>0</v>
      </c>
      <c r="AC997" s="45" cm="1">
        <f t="array" aca="1" ref="AC997" ca="1">pHUM*(T997+W997+Z997+AD997)</f>
        <v>8.8789752595706956E-2</v>
      </c>
      <c r="AD997" s="77">
        <f t="shared" ca="1" si="1301"/>
        <v>9.4803551115340848E-2</v>
      </c>
      <c r="AE997" s="45">
        <f t="shared" ca="1" si="1314"/>
        <v>6.3847072090583081</v>
      </c>
      <c r="AF997" s="45">
        <f t="shared" ca="1" si="1302"/>
        <v>0</v>
      </c>
      <c r="AG997" s="76">
        <f t="shared" ca="1" si="1303"/>
        <v>64.797752256470105</v>
      </c>
      <c r="AH997" s="45">
        <f t="shared" ca="1" si="1304"/>
        <v>0.75090346611678516</v>
      </c>
      <c r="AI997" s="77">
        <f t="shared" ca="1" si="1305"/>
        <v>1.1817453657948156E-2</v>
      </c>
      <c r="AJ997" s="384">
        <f t="shared" ca="1" si="1307"/>
        <v>3.54254625723327E-2</v>
      </c>
      <c r="AU997" s="1"/>
    </row>
    <row r="998" spans="3:47" x14ac:dyDescent="0.25">
      <c r="C998" s="10">
        <f t="shared" si="1332"/>
        <v>75</v>
      </c>
      <c r="D998" s="91">
        <f t="shared" si="1315"/>
        <v>8</v>
      </c>
      <c r="E998" s="278"/>
      <c r="F998" s="76">
        <f t="shared" ref="F998:Q998" ca="1" si="1335">F926</f>
        <v>19.329999999999998</v>
      </c>
      <c r="G998" s="46">
        <f t="shared" ca="1" si="1335"/>
        <v>27.012600000000003</v>
      </c>
      <c r="H998" s="46">
        <f t="shared" ca="1" si="1291"/>
        <v>28.517550000000004</v>
      </c>
      <c r="I998" s="45">
        <f t="shared" ca="1" si="1292"/>
        <v>1.1670427279291871</v>
      </c>
      <c r="J998" s="45">
        <f t="shared" ca="1" si="1293"/>
        <v>0.27952512346894071</v>
      </c>
      <c r="K998" s="45">
        <f t="shared" ca="1" si="1309"/>
        <v>0.90345467800480783</v>
      </c>
      <c r="L998" s="358">
        <f t="shared" ca="1" si="1294"/>
        <v>0.9079689727892073</v>
      </c>
      <c r="M998" s="76">
        <f t="shared" ca="1" si="1335"/>
        <v>0.25347808785320641</v>
      </c>
      <c r="N998" s="45">
        <f t="shared" ca="1" si="1335"/>
        <v>0.25</v>
      </c>
      <c r="O998" s="45">
        <f t="shared" ca="1" si="1335"/>
        <v>0</v>
      </c>
      <c r="P998" s="46" t="str">
        <f t="shared" ca="1" si="1335"/>
        <v/>
      </c>
      <c r="Q998" s="243" t="str">
        <f t="shared" ca="1" si="1335"/>
        <v/>
      </c>
      <c r="R998" s="45">
        <f t="shared" ca="1" si="1310"/>
        <v>9.278275253789553E-2</v>
      </c>
      <c r="S998" s="45">
        <f t="shared" ca="1" si="1334"/>
        <v>5.0695617570641283E-2</v>
      </c>
      <c r="T998" s="77">
        <f t="shared" ca="1" si="1295"/>
        <v>5.7699455138857644E-2</v>
      </c>
      <c r="U998" s="45">
        <f t="shared" ca="1" si="1311"/>
        <v>17.543692656253935</v>
      </c>
      <c r="V998" s="45">
        <f t="shared" ca="1" si="1296"/>
        <v>0.20278247028256513</v>
      </c>
      <c r="W998" s="77">
        <f t="shared" ca="1" si="1297"/>
        <v>0.50446109335117595</v>
      </c>
      <c r="X998" s="45">
        <f t="shared" ca="1" si="1312"/>
        <v>1.0457339678167257</v>
      </c>
      <c r="Y998" s="45">
        <f t="shared" ca="1" si="1298"/>
        <v>5.8008614549037558E-2</v>
      </c>
      <c r="Z998" s="77">
        <f t="shared" ca="1" si="1299"/>
        <v>6.5014032953463266E-2</v>
      </c>
      <c r="AA998" s="45">
        <f t="shared" ca="1" si="1313"/>
        <v>39.233410292539659</v>
      </c>
      <c r="AB998" s="45">
        <f t="shared" ca="1" si="1300"/>
        <v>0</v>
      </c>
      <c r="AC998" s="45" cm="1">
        <f t="array" aca="1" ref="AC998" ca="1">pHUM*(T998+W998+Z998+AD998)</f>
        <v>6.8245428881220649E-2</v>
      </c>
      <c r="AD998" s="77">
        <f t="shared" ca="1" si="1301"/>
        <v>7.6237609131017472E-2</v>
      </c>
      <c r="AE998" s="45">
        <f t="shared" ca="1" si="1314"/>
        <v>6.3847072090583081</v>
      </c>
      <c r="AF998" s="45">
        <f t="shared" ca="1" si="1302"/>
        <v>0</v>
      </c>
      <c r="AG998" s="76">
        <f t="shared" ca="1" si="1303"/>
        <v>64.300326878206519</v>
      </c>
      <c r="AH998" s="45">
        <f t="shared" ca="1" si="1304"/>
        <v>0.57715814714425628</v>
      </c>
      <c r="AI998" s="77">
        <f t="shared" ca="1" si="1305"/>
        <v>1.1030110113438806E-2</v>
      </c>
      <c r="AJ998" s="384">
        <f t="shared" ca="1" si="1307"/>
        <v>3.1937008985132298E-2</v>
      </c>
      <c r="AU998" s="1"/>
    </row>
    <row r="999" spans="3:47" x14ac:dyDescent="0.25">
      <c r="C999" s="10">
        <f t="shared" si="1332"/>
        <v>75</v>
      </c>
      <c r="D999" s="91">
        <f t="shared" si="1315"/>
        <v>9</v>
      </c>
      <c r="E999" s="278"/>
      <c r="F999" s="76">
        <f t="shared" ref="F999:Q999" ca="1" si="1336">F927</f>
        <v>15.36</v>
      </c>
      <c r="G999" s="46">
        <f t="shared" ca="1" si="1336"/>
        <v>27.012600000000003</v>
      </c>
      <c r="H999" s="46">
        <f t="shared" ca="1" si="1291"/>
        <v>28.517550000000004</v>
      </c>
      <c r="I999" s="45">
        <f t="shared" ca="1" si="1292"/>
        <v>0.85004563012661705</v>
      </c>
      <c r="J999" s="45">
        <f t="shared" ca="1" si="1293"/>
        <v>0.27952512346894071</v>
      </c>
      <c r="K999" s="45">
        <f t="shared" ca="1" si="1309"/>
        <v>0.90345467800480783</v>
      </c>
      <c r="L999" s="358">
        <f t="shared" ca="1" si="1294"/>
        <v>0.84745728919304408</v>
      </c>
      <c r="M999" s="76">
        <f t="shared" ca="1" si="1336"/>
        <v>0.25347808785320641</v>
      </c>
      <c r="N999" s="45">
        <f t="shared" ca="1" si="1336"/>
        <v>0.25</v>
      </c>
      <c r="O999" s="45">
        <f t="shared" ca="1" si="1336"/>
        <v>0</v>
      </c>
      <c r="P999" s="46" t="str">
        <f t="shared" ca="1" si="1336"/>
        <v/>
      </c>
      <c r="Q999" s="243" t="str">
        <f t="shared" ca="1" si="1336"/>
        <v/>
      </c>
      <c r="R999" s="45">
        <f t="shared" ca="1" si="1310"/>
        <v>8.5778914969679168E-2</v>
      </c>
      <c r="S999" s="45">
        <f t="shared" ca="1" si="1334"/>
        <v>5.0695617570641283E-2</v>
      </c>
      <c r="T999" s="77">
        <f t="shared" ca="1" si="1295"/>
        <v>4.3537468977546526E-2</v>
      </c>
      <c r="U999" s="45">
        <f t="shared" ca="1" si="1311"/>
        <v>17.242014033185324</v>
      </c>
      <c r="V999" s="45">
        <f t="shared" ca="1" si="1296"/>
        <v>0.20278247028256513</v>
      </c>
      <c r="W999" s="77">
        <f t="shared" ca="1" si="1297"/>
        <v>0.36254655904471805</v>
      </c>
      <c r="X999" s="45">
        <f t="shared" ca="1" si="1312"/>
        <v>1.0387285494123</v>
      </c>
      <c r="Y999" s="45">
        <f t="shared" ca="1" si="1298"/>
        <v>4.1981084401024833E-2</v>
      </c>
      <c r="Z999" s="77">
        <f t="shared" ca="1" si="1299"/>
        <v>4.744542825726672E-2</v>
      </c>
      <c r="AA999" s="45">
        <f t="shared" ca="1" si="1313"/>
        <v>39.225418112289859</v>
      </c>
      <c r="AB999" s="45">
        <f t="shared" ca="1" si="1300"/>
        <v>0</v>
      </c>
      <c r="AC999" s="45" cm="1">
        <f t="array" aca="1" ref="AC999" ca="1">pHUM*(T999+W999+Z999+AD999)</f>
        <v>4.9389511060029215E-2</v>
      </c>
      <c r="AD999" s="77">
        <f t="shared" ca="1" si="1301"/>
        <v>5.5532978167257281E-2</v>
      </c>
      <c r="AE999" s="45">
        <f t="shared" ca="1" si="1314"/>
        <v>6.3847072090583081</v>
      </c>
      <c r="AF999" s="45">
        <f t="shared" ca="1" si="1302"/>
        <v>0</v>
      </c>
      <c r="AG999" s="76">
        <f t="shared" ca="1" si="1303"/>
        <v>63.976646818915469</v>
      </c>
      <c r="AH999" s="45">
        <f t="shared" ca="1" si="1304"/>
        <v>0.41769183898573453</v>
      </c>
      <c r="AI999" s="77">
        <f t="shared" ca="1" si="1305"/>
        <v>1.0852882387304535E-2</v>
      </c>
      <c r="AJ999" s="384">
        <f t="shared" ca="1" si="1307"/>
        <v>2.9329682984441385E-2</v>
      </c>
      <c r="AU999" s="1"/>
    </row>
    <row r="1000" spans="3:47" x14ac:dyDescent="0.25">
      <c r="C1000" s="10">
        <f t="shared" si="1332"/>
        <v>75</v>
      </c>
      <c r="D1000" s="91">
        <f t="shared" si="1315"/>
        <v>10</v>
      </c>
      <c r="E1000" s="278"/>
      <c r="F1000" s="76">
        <f t="shared" ref="F1000:Q1000" ca="1" si="1337">F928</f>
        <v>10.24</v>
      </c>
      <c r="G1000" s="46">
        <f t="shared" ca="1" si="1337"/>
        <v>27.012600000000003</v>
      </c>
      <c r="H1000" s="46">
        <f t="shared" ca="1" si="1291"/>
        <v>28.517550000000004</v>
      </c>
      <c r="I1000" s="45">
        <f t="shared" ca="1" si="1292"/>
        <v>0.49116850915432075</v>
      </c>
      <c r="J1000" s="45">
        <f t="shared" ca="1" si="1293"/>
        <v>0.27952512346894071</v>
      </c>
      <c r="K1000" s="45">
        <f t="shared" ca="1" si="1309"/>
        <v>0.90345467800480783</v>
      </c>
      <c r="L1000" s="358">
        <f t="shared" ca="1" si="1294"/>
        <v>0.72269796343841763</v>
      </c>
      <c r="M1000" s="76">
        <f t="shared" ca="1" si="1337"/>
        <v>0.25347808785320641</v>
      </c>
      <c r="N1000" s="45">
        <f t="shared" ca="1" si="1337"/>
        <v>0.25</v>
      </c>
      <c r="O1000" s="45">
        <f t="shared" ca="1" si="1337"/>
        <v>0</v>
      </c>
      <c r="P1000" s="46" t="str">
        <f t="shared" ca="1" si="1337"/>
        <v/>
      </c>
      <c r="Q1000" s="243" t="str">
        <f t="shared" ca="1" si="1337"/>
        <v/>
      </c>
      <c r="R1000" s="45">
        <f t="shared" ca="1" si="1310"/>
        <v>9.2937063562773911E-2</v>
      </c>
      <c r="S1000" s="45">
        <f t="shared" ca="1" si="1334"/>
        <v>5.0695617570641283E-2</v>
      </c>
      <c r="T1000" s="77">
        <f t="shared" ca="1" si="1295"/>
        <v>3.1216606232968552E-2</v>
      </c>
      <c r="U1000" s="45">
        <f t="shared" ca="1" si="1311"/>
        <v>17.082249944423172</v>
      </c>
      <c r="V1000" s="45">
        <f t="shared" ca="1" si="1296"/>
        <v>0.20278247028256513</v>
      </c>
      <c r="W1000" s="77">
        <f t="shared" ca="1" si="1297"/>
        <v>0.2084740131241474</v>
      </c>
      <c r="X1000" s="45">
        <f t="shared" ca="1" si="1312"/>
        <v>1.0332642055560581</v>
      </c>
      <c r="Y1000" s="45">
        <f t="shared" ca="1" si="1298"/>
        <v>2.4684337493164031E-2</v>
      </c>
      <c r="Z1000" s="77">
        <f t="shared" ca="1" si="1299"/>
        <v>2.7539225403251422E-2</v>
      </c>
      <c r="AA1000" s="45">
        <f t="shared" ca="1" si="1313"/>
        <v>39.21927464518263</v>
      </c>
      <c r="AB1000" s="45">
        <f t="shared" ca="1" si="1300"/>
        <v>0</v>
      </c>
      <c r="AC1000" s="45" cm="1">
        <f t="array" aca="1" ref="AC1000" ca="1">pHUM*(T1000+W1000+Z1000+AD1000)</f>
        <v>2.9040397050781215E-2</v>
      </c>
      <c r="AD1000" s="77">
        <f t="shared" ca="1" si="1301"/>
        <v>3.2092317024225887E-2</v>
      </c>
      <c r="AE1000" s="45">
        <f t="shared" ca="1" si="1314"/>
        <v>6.3847072090583081</v>
      </c>
      <c r="AF1000" s="45">
        <f t="shared" ca="1" si="1302"/>
        <v>0</v>
      </c>
      <c r="AG1000" s="76">
        <f t="shared" ca="1" si="1303"/>
        <v>63.812433067782941</v>
      </c>
      <c r="AH1000" s="45">
        <f t="shared" ca="1" si="1304"/>
        <v>0.24559742724064804</v>
      </c>
      <c r="AI1000" s="77">
        <f t="shared" ca="1" si="1305"/>
        <v>1.0912826187281476E-2</v>
      </c>
      <c r="AJ1000" s="384">
        <f t="shared" ca="1" si="1307"/>
        <v>2.5150129996949211E-2</v>
      </c>
      <c r="AU1000" s="1"/>
    </row>
    <row r="1001" spans="3:47" x14ac:dyDescent="0.25">
      <c r="C1001" s="10">
        <f t="shared" si="1332"/>
        <v>75</v>
      </c>
      <c r="D1001" s="91">
        <f t="shared" si="1315"/>
        <v>11</v>
      </c>
      <c r="E1001" s="278"/>
      <c r="F1001" s="76">
        <f t="shared" ref="F1001:Q1001" ca="1" si="1338">F929</f>
        <v>1.6</v>
      </c>
      <c r="G1001" s="46">
        <f t="shared" ca="1" si="1338"/>
        <v>27.012600000000003</v>
      </c>
      <c r="H1001" s="46">
        <f t="shared" ca="1" si="1291"/>
        <v>28.517550000000004</v>
      </c>
      <c r="I1001" s="45">
        <f t="shared" ca="1" si="1292"/>
        <v>9.9319080037688343E-2</v>
      </c>
      <c r="J1001" s="45">
        <f t="shared" ca="1" si="1293"/>
        <v>0.27952512346894071</v>
      </c>
      <c r="K1001" s="45">
        <f t="shared" ca="1" si="1309"/>
        <v>0.90345467800480783</v>
      </c>
      <c r="L1001" s="358">
        <f t="shared" ca="1" si="1294"/>
        <v>0.41844375967031366</v>
      </c>
      <c r="M1001" s="76">
        <f t="shared" ca="1" si="1338"/>
        <v>0.25347808785320641</v>
      </c>
      <c r="N1001" s="45">
        <f t="shared" ca="1" si="1338"/>
        <v>0.25</v>
      </c>
      <c r="O1001" s="45">
        <f t="shared" ca="1" si="1338"/>
        <v>0</v>
      </c>
      <c r="P1001" s="46" t="str">
        <f t="shared" ca="1" si="1338"/>
        <v/>
      </c>
      <c r="Q1001" s="243" t="str">
        <f t="shared" ca="1" si="1338"/>
        <v/>
      </c>
      <c r="R1001" s="45">
        <f t="shared" ca="1" si="1310"/>
        <v>0.11241607490044665</v>
      </c>
      <c r="S1001" s="45">
        <f t="shared" ca="1" si="1334"/>
        <v>5.0695617570641283E-2</v>
      </c>
      <c r="T1001" s="77">
        <f t="shared" ca="1" si="1295"/>
        <v>8.9295880519691829E-3</v>
      </c>
      <c r="U1001" s="45">
        <f t="shared" ca="1" si="1311"/>
        <v>17.07655840158159</v>
      </c>
      <c r="V1001" s="45">
        <f t="shared" ca="1" si="1296"/>
        <v>0.20278247028256513</v>
      </c>
      <c r="W1001" s="77">
        <f t="shared" ca="1" si="1297"/>
        <v>4.2348105323643803E-2</v>
      </c>
      <c r="X1001" s="45">
        <f t="shared" ca="1" si="1312"/>
        <v>1.0304093176459708</v>
      </c>
      <c r="Y1001" s="45">
        <f t="shared" ca="1" si="1298"/>
        <v>5.2269527198579788E-3</v>
      </c>
      <c r="Z1001" s="77">
        <f t="shared" ca="1" si="1299"/>
        <v>5.6133163349223148E-3</v>
      </c>
      <c r="AA1001" s="45">
        <f t="shared" ca="1" si="1313"/>
        <v>39.216222725209185</v>
      </c>
      <c r="AB1001" s="45">
        <f t="shared" ca="1" si="1300"/>
        <v>0</v>
      </c>
      <c r="AC1001" s="45" cm="1">
        <f t="array" aca="1" ref="AC1001" ca="1">pHUM*(T1001+W1001+Z1001+AD1001)</f>
        <v>6.1493561410093864E-3</v>
      </c>
      <c r="AD1001" s="77">
        <f t="shared" ca="1" si="1301"/>
        <v>6.490994691528436E-3</v>
      </c>
      <c r="AE1001" s="45">
        <f t="shared" ca="1" si="1314"/>
        <v>6.3847072090583081</v>
      </c>
      <c r="AF1001" s="45">
        <f t="shared" ca="1" si="1302"/>
        <v>0</v>
      </c>
      <c r="AG1001" s="76">
        <f t="shared" ca="1" si="1303"/>
        <v>63.820313728395504</v>
      </c>
      <c r="AH1001" s="45">
        <f t="shared" ca="1" si="1304"/>
        <v>5.2005695541196377E-2</v>
      </c>
      <c r="AI1001" s="77">
        <f t="shared" ca="1" si="1305"/>
        <v>1.1188650126284153E-2</v>
      </c>
      <c r="AJ1001" s="384">
        <f t="shared" ca="1" si="1307"/>
        <v>1.4930183367499739E-2</v>
      </c>
      <c r="AU1001" s="1"/>
    </row>
    <row r="1002" spans="3:47" x14ac:dyDescent="0.25">
      <c r="C1002" s="10">
        <f t="shared" si="1332"/>
        <v>75</v>
      </c>
      <c r="D1002" s="91">
        <f t="shared" si="1315"/>
        <v>12</v>
      </c>
      <c r="E1002" s="278"/>
      <c r="F1002" s="76">
        <f t="shared" ref="F1002:Q1002" ca="1" si="1339">F930</f>
        <v>-3.59</v>
      </c>
      <c r="G1002" s="46">
        <f t="shared" ca="1" si="1339"/>
        <v>27.012600000000003</v>
      </c>
      <c r="H1002" s="46">
        <f t="shared" ca="1" si="1291"/>
        <v>28.517550000000004</v>
      </c>
      <c r="I1002" s="45">
        <f t="shared" ca="1" si="1292"/>
        <v>1.5109209527995384E-2</v>
      </c>
      <c r="J1002" s="45">
        <f t="shared" ca="1" si="1293"/>
        <v>0.27952512346894071</v>
      </c>
      <c r="K1002" s="45">
        <f t="shared" ca="1" si="1309"/>
        <v>0.90345467800480783</v>
      </c>
      <c r="L1002" s="358">
        <f t="shared" ca="1" si="1294"/>
        <v>0.24908644075501707</v>
      </c>
      <c r="M1002" s="76">
        <f t="shared" ca="1" si="1339"/>
        <v>0.25347808785320641</v>
      </c>
      <c r="N1002" s="45">
        <f t="shared" ca="1" si="1339"/>
        <v>0.25</v>
      </c>
      <c r="O1002" s="45">
        <f t="shared" ca="1" si="1339"/>
        <v>0</v>
      </c>
      <c r="P1002" s="46" t="str">
        <f t="shared" ca="1" si="1339"/>
        <v/>
      </c>
      <c r="Q1002" s="243" t="str">
        <f t="shared" ca="1" si="1339"/>
        <v/>
      </c>
      <c r="R1002" s="45">
        <f t="shared" ca="1" si="1310"/>
        <v>0.15418210441911873</v>
      </c>
      <c r="S1002" s="45">
        <f t="shared" ca="1" si="1334"/>
        <v>5.0695617570641283E-2</v>
      </c>
      <c r="T1002" s="77">
        <f t="shared" ca="1" si="1295"/>
        <v>1.9291377207575763E-3</v>
      </c>
      <c r="U1002" s="45">
        <f t="shared" ca="1" si="1311"/>
        <v>17.23699276654051</v>
      </c>
      <c r="V1002" s="45">
        <f t="shared" ca="1" si="1296"/>
        <v>0.20278247028256513</v>
      </c>
      <c r="W1002" s="77">
        <f t="shared" ca="1" si="1297"/>
        <v>6.5097038501617573E-3</v>
      </c>
      <c r="X1002" s="45">
        <f t="shared" ca="1" si="1312"/>
        <v>1.0300229540309065</v>
      </c>
      <c r="Y1002" s="45">
        <f t="shared" ca="1" si="1298"/>
        <v>8.4792744982669862E-4</v>
      </c>
      <c r="Z1002" s="77">
        <f t="shared" ca="1" si="1299"/>
        <v>8.5560024078154833E-4</v>
      </c>
      <c r="AA1002" s="45">
        <f t="shared" ca="1" si="1313"/>
        <v>39.215881086658669</v>
      </c>
      <c r="AB1002" s="45">
        <f t="shared" ca="1" si="1300"/>
        <v>0</v>
      </c>
      <c r="AC1002" s="45" cm="1">
        <f t="array" aca="1" ref="AC1002" ca="1">pHUM*(T1002+W1002+Z1002+AD1002)</f>
        <v>9.9756170567846889E-4</v>
      </c>
      <c r="AD1002" s="77">
        <f t="shared" ca="1" si="1301"/>
        <v>9.8752250631704472E-4</v>
      </c>
      <c r="AE1002" s="45">
        <f t="shared" ca="1" si="1314"/>
        <v>6.3847072090583081</v>
      </c>
      <c r="AF1002" s="45">
        <f t="shared" ca="1" si="1302"/>
        <v>0</v>
      </c>
      <c r="AG1002" s="76">
        <f t="shared" ca="1" si="1303"/>
        <v>64.021786120707517</v>
      </c>
      <c r="AH1002" s="45">
        <f t="shared" ca="1" si="1304"/>
        <v>8.4364751625127608E-3</v>
      </c>
      <c r="AI1002" s="77">
        <f t="shared" ca="1" si="1305"/>
        <v>1.1822614596877471E-2</v>
      </c>
      <c r="AJ1002" s="384">
        <f t="shared" ca="1" si="1307"/>
        <v>9.3910951620712613E-3</v>
      </c>
      <c r="AU1002" s="1"/>
    </row>
    <row r="1003" spans="3:47" x14ac:dyDescent="0.25">
      <c r="C1003" s="10">
        <f t="shared" si="1332"/>
        <v>76</v>
      </c>
      <c r="D1003" s="91">
        <f t="shared" si="1315"/>
        <v>1</v>
      </c>
      <c r="E1003" s="278"/>
      <c r="F1003" s="76">
        <f t="shared" ref="F1003:Q1003" ca="1" si="1340">F931</f>
        <v>-7.32</v>
      </c>
      <c r="G1003" s="46">
        <f t="shared" ca="1" si="1340"/>
        <v>27.012600000000003</v>
      </c>
      <c r="H1003" s="46">
        <f t="shared" ca="1" si="1291"/>
        <v>28.517550000000004</v>
      </c>
      <c r="I1003" s="45">
        <f t="shared" ca="1" si="1292"/>
        <v>1.2903599790233234E-3</v>
      </c>
      <c r="J1003" s="45">
        <f t="shared" ca="1" si="1293"/>
        <v>0.27952512346894071</v>
      </c>
      <c r="K1003" s="45">
        <f t="shared" ca="1" si="1309"/>
        <v>0.90345467800480783</v>
      </c>
      <c r="L1003" s="358">
        <f t="shared" ca="1" si="1294"/>
        <v>0.15974615302556239</v>
      </c>
      <c r="M1003" s="76">
        <f t="shared" ca="1" si="1340"/>
        <v>0.25347808785320641</v>
      </c>
      <c r="N1003" s="45">
        <f t="shared" ca="1" si="1340"/>
        <v>0.25</v>
      </c>
      <c r="O1003" s="45">
        <f t="shared" ca="1" si="1340"/>
        <v>0</v>
      </c>
      <c r="P1003" s="46" t="str">
        <f t="shared" ca="1" si="1340"/>
        <v/>
      </c>
      <c r="Q1003" s="243" t="str">
        <f t="shared" ca="1" si="1340"/>
        <v/>
      </c>
      <c r="R1003" s="45">
        <f t="shared" ca="1" si="1310"/>
        <v>0.20294858426900242</v>
      </c>
      <c r="S1003" s="45">
        <f t="shared" ca="1" si="1334"/>
        <v>5.0695617570641283E-2</v>
      </c>
      <c r="T1003" s="77">
        <f t="shared" ca="1" si="1295"/>
        <v>2.1811331947600471E-4</v>
      </c>
      <c r="U1003" s="45">
        <f t="shared" ca="1" si="1311"/>
        <v>17.433265532972911</v>
      </c>
      <c r="V1003" s="45">
        <f t="shared" ca="1" si="1296"/>
        <v>0.20278247028256513</v>
      </c>
      <c r="W1003" s="77">
        <f t="shared" ca="1" si="1297"/>
        <v>5.6237063288028873E-4</v>
      </c>
      <c r="X1003" s="45">
        <f t="shared" ca="1" si="1312"/>
        <v>1.0300152812399517</v>
      </c>
      <c r="Y1003" s="45">
        <f t="shared" ca="1" si="1298"/>
        <v>7.7347789746309828E-5</v>
      </c>
      <c r="Z1003" s="77">
        <f t="shared" ca="1" si="1299"/>
        <v>7.30973834342049E-5</v>
      </c>
      <c r="AA1003" s="45">
        <f t="shared" ca="1" si="1313"/>
        <v>39.215891125858036</v>
      </c>
      <c r="AB1003" s="45">
        <f t="shared" ca="1" si="1300"/>
        <v>0</v>
      </c>
      <c r="AC1003" s="45" cm="1">
        <f t="array" aca="1" ref="AC1003" ca="1">pHUM*(T1003+W1003+Z1003+AD1003)</f>
        <v>9.0997399701540972E-5</v>
      </c>
      <c r="AD1003" s="77">
        <f t="shared" ca="1" si="1301"/>
        <v>8.4337603396637549E-5</v>
      </c>
      <c r="AE1003" s="45">
        <f t="shared" ca="1" si="1314"/>
        <v>6.3847072090583081</v>
      </c>
      <c r="AF1003" s="45">
        <f t="shared" ca="1" si="1302"/>
        <v>0</v>
      </c>
      <c r="AG1003" s="76">
        <f t="shared" ca="1" si="1303"/>
        <v>64.266827733398202</v>
      </c>
      <c r="AH1003" s="45">
        <f t="shared" ca="1" si="1304"/>
        <v>7.6957374973928515E-4</v>
      </c>
      <c r="AI1003" s="77">
        <f t="shared" ca="1" si="1305"/>
        <v>1.2559424412484858E-2</v>
      </c>
      <c r="AJ1003" s="384">
        <f t="shared" ca="1" si="1307"/>
        <v>6.398143748052032E-3</v>
      </c>
      <c r="AU1003" s="1"/>
    </row>
    <row r="1004" spans="3:47" x14ac:dyDescent="0.25">
      <c r="C1004" s="10">
        <f t="shared" si="1332"/>
        <v>76</v>
      </c>
      <c r="D1004" s="91">
        <f t="shared" si="1315"/>
        <v>2</v>
      </c>
      <c r="E1004" s="278"/>
      <c r="F1004" s="76">
        <f t="shared" ref="F1004:Q1004" ca="1" si="1341">F932</f>
        <v>-7.56</v>
      </c>
      <c r="G1004" s="46">
        <f t="shared" ca="1" si="1341"/>
        <v>27.012600000000003</v>
      </c>
      <c r="H1004" s="46">
        <f t="shared" ca="1" si="1291"/>
        <v>28.517550000000004</v>
      </c>
      <c r="I1004" s="45">
        <f t="shared" ca="1" si="1292"/>
        <v>1.0386103497602255E-3</v>
      </c>
      <c r="J1004" s="45">
        <f t="shared" ca="1" si="1293"/>
        <v>0.27952512346894071</v>
      </c>
      <c r="K1004" s="45">
        <f t="shared" ca="1" si="1309"/>
        <v>0.90345467800480783</v>
      </c>
      <c r="L1004" s="358">
        <f t="shared" ca="1" si="1294"/>
        <v>0.15499691161362872</v>
      </c>
      <c r="M1004" s="76">
        <f t="shared" ca="1" si="1341"/>
        <v>0.25347808785320641</v>
      </c>
      <c r="N1004" s="45">
        <f t="shared" ca="1" si="1341"/>
        <v>0.25</v>
      </c>
      <c r="O1004" s="45">
        <f t="shared" ca="1" si="1341"/>
        <v>0</v>
      </c>
      <c r="P1004" s="46" t="str">
        <f t="shared" ca="1" si="1341"/>
        <v/>
      </c>
      <c r="Q1004" s="243" t="str">
        <f t="shared" ca="1" si="1341"/>
        <v/>
      </c>
      <c r="R1004" s="45">
        <f t="shared" ca="1" si="1310"/>
        <v>0.25342608852016768</v>
      </c>
      <c r="S1004" s="45">
        <f t="shared" ca="1" si="1334"/>
        <v>5.0695617570641283E-2</v>
      </c>
      <c r="T1004" s="77">
        <f t="shared" ca="1" si="1295"/>
        <v>2.1924757134496564E-4</v>
      </c>
      <c r="U1004" s="45">
        <f t="shared" ca="1" si="1311"/>
        <v>17.635485632622593</v>
      </c>
      <c r="V1004" s="45">
        <f t="shared" ca="1" si="1296"/>
        <v>0.20278247028256513</v>
      </c>
      <c r="W1004" s="77">
        <f t="shared" ca="1" si="1297"/>
        <v>4.5790400270430816E-4</v>
      </c>
      <c r="X1004" s="45">
        <f t="shared" ca="1" si="1312"/>
        <v>1.0300195316462637</v>
      </c>
      <c r="Y1004" s="45">
        <f t="shared" ca="1" si="1298"/>
        <v>6.629324841533287E-5</v>
      </c>
      <c r="Z1004" s="77">
        <f t="shared" ca="1" si="1299"/>
        <v>5.8836711533771393E-5</v>
      </c>
      <c r="AA1004" s="45">
        <f t="shared" ca="1" si="1313"/>
        <v>39.215897785654342</v>
      </c>
      <c r="AB1004" s="45">
        <f t="shared" ca="1" si="1300"/>
        <v>0</v>
      </c>
      <c r="AC1004" s="45" cm="1">
        <f t="array" aca="1" ref="AC1004" ca="1">pHUM*(T1004+W1004+Z1004+AD1004)</f>
        <v>7.7992056959215144E-5</v>
      </c>
      <c r="AD1004" s="77">
        <f t="shared" ca="1" si="1301"/>
        <v>6.7883336772455978E-5</v>
      </c>
      <c r="AE1004" s="45">
        <f t="shared" ca="1" si="1314"/>
        <v>6.3847072090583081</v>
      </c>
      <c r="AF1004" s="45">
        <f t="shared" ca="1" si="1302"/>
        <v>0</v>
      </c>
      <c r="AG1004" s="76">
        <f t="shared" ca="1" si="1303"/>
        <v>64.519536247501676</v>
      </c>
      <c r="AH1004" s="45">
        <f t="shared" ca="1" si="1304"/>
        <v>6.5958631698095319E-4</v>
      </c>
      <c r="AI1004" s="77">
        <f t="shared" ca="1" si="1305"/>
        <v>1.3315364723737622E-2</v>
      </c>
      <c r="AJ1004" s="384">
        <f t="shared" ca="1" si="1307"/>
        <v>6.5815757585052648E-3</v>
      </c>
      <c r="AU1004" s="1"/>
    </row>
    <row r="1005" spans="3:47" x14ac:dyDescent="0.25">
      <c r="C1005" s="10">
        <f t="shared" si="1332"/>
        <v>76</v>
      </c>
      <c r="D1005" s="91">
        <f t="shared" si="1315"/>
        <v>3</v>
      </c>
      <c r="E1005" s="278"/>
      <c r="F1005" s="76">
        <f t="shared" ref="F1005:Q1005" ca="1" si="1342">F933</f>
        <v>-3.72</v>
      </c>
      <c r="G1005" s="46">
        <f t="shared" ca="1" si="1342"/>
        <v>27.012600000000003</v>
      </c>
      <c r="H1005" s="46">
        <f t="shared" ca="1" si="1291"/>
        <v>28.517550000000004</v>
      </c>
      <c r="I1005" s="45">
        <f t="shared" ca="1" si="1292"/>
        <v>1.416534540335657E-2</v>
      </c>
      <c r="J1005" s="45">
        <f t="shared" ca="1" si="1293"/>
        <v>0.27952512346894071</v>
      </c>
      <c r="K1005" s="45">
        <f t="shared" ca="1" si="1309"/>
        <v>0.90345467800480783</v>
      </c>
      <c r="L1005" s="358">
        <f t="shared" ca="1" si="1294"/>
        <v>0.24547574864616473</v>
      </c>
      <c r="M1005" s="76">
        <f t="shared" ca="1" si="1342"/>
        <v>0.25347808785320641</v>
      </c>
      <c r="N1005" s="45">
        <f t="shared" ca="1" si="1342"/>
        <v>0.25</v>
      </c>
      <c r="O1005" s="45">
        <f t="shared" ca="1" si="1342"/>
        <v>0</v>
      </c>
      <c r="P1005" s="46" t="str">
        <f t="shared" ca="1" si="1342"/>
        <v/>
      </c>
      <c r="Q1005" s="243" t="str">
        <f t="shared" ca="1" si="1342"/>
        <v/>
      </c>
      <c r="R1005" s="45">
        <f t="shared" ca="1" si="1310"/>
        <v>0.30390245851946401</v>
      </c>
      <c r="S1005" s="45">
        <f t="shared" ca="1" si="1334"/>
        <v>5.0695617570641283E-2</v>
      </c>
      <c r="T1005" s="77">
        <f t="shared" ca="1" si="1295"/>
        <v>3.5663121478739478E-3</v>
      </c>
      <c r="U1005" s="45">
        <f t="shared" ca="1" si="1311"/>
        <v>17.837810198902453</v>
      </c>
      <c r="V1005" s="45">
        <f t="shared" ca="1" si="1296"/>
        <v>0.20278247028256513</v>
      </c>
      <c r="W1005" s="77">
        <f t="shared" ca="1" si="1297"/>
        <v>6.3158501741779182E-3</v>
      </c>
      <c r="X1005" s="45">
        <f t="shared" ca="1" si="1312"/>
        <v>1.0300269881831452</v>
      </c>
      <c r="Y1005" s="45">
        <f t="shared" ca="1" si="1298"/>
        <v>9.5746131942293531E-4</v>
      </c>
      <c r="Z1005" s="77">
        <f t="shared" ca="1" si="1299"/>
        <v>8.0217531786831286E-4</v>
      </c>
      <c r="AA1005" s="45">
        <f t="shared" ca="1" si="1313"/>
        <v>39.215907894374524</v>
      </c>
      <c r="AB1005" s="45">
        <f t="shared" ca="1" si="1300"/>
        <v>0</v>
      </c>
      <c r="AC1005" s="45" cm="1">
        <f t="array" aca="1" ref="AC1005" ca="1">pHUM*(T1005+W1005+Z1005+AD1005)</f>
        <v>1.1264250816740416E-3</v>
      </c>
      <c r="AD1005" s="77">
        <f t="shared" ca="1" si="1301"/>
        <v>9.2583387204236609E-4</v>
      </c>
      <c r="AE1005" s="45">
        <f t="shared" ca="1" si="1314"/>
        <v>6.3847072090583081</v>
      </c>
      <c r="AF1005" s="45">
        <f t="shared" ca="1" si="1302"/>
        <v>0</v>
      </c>
      <c r="AG1005" s="76">
        <f t="shared" ca="1" si="1303"/>
        <v>64.772354749037888</v>
      </c>
      <c r="AH1005" s="45">
        <f t="shared" ca="1" si="1304"/>
        <v>9.5262851108655691E-3</v>
      </c>
      <c r="AI1005" s="77">
        <f t="shared" ca="1" si="1305"/>
        <v>1.4064766593262296E-2</v>
      </c>
      <c r="AJ1005" s="384">
        <f t="shared" ca="1" si="1307"/>
        <v>1.1010146084435846E-2</v>
      </c>
      <c r="AU1005" s="1"/>
    </row>
    <row r="1006" spans="3:47" x14ac:dyDescent="0.25">
      <c r="C1006" s="10">
        <f t="shared" si="1332"/>
        <v>76</v>
      </c>
      <c r="D1006" s="91">
        <f t="shared" si="1315"/>
        <v>4</v>
      </c>
      <c r="E1006" s="278"/>
      <c r="F1006" s="76">
        <f t="shared" ref="F1006:Q1006" ca="1" si="1343">F934</f>
        <v>5.88</v>
      </c>
      <c r="G1006" s="46">
        <f t="shared" ca="1" si="1343"/>
        <v>27.012600000000003</v>
      </c>
      <c r="H1006" s="46">
        <f t="shared" ca="1" si="1291"/>
        <v>28.517550000000004</v>
      </c>
      <c r="I1006" s="45">
        <f t="shared" ca="1" si="1292"/>
        <v>0.2538659245156123</v>
      </c>
      <c r="J1006" s="45">
        <f t="shared" ca="1" si="1293"/>
        <v>0.27952512346894071</v>
      </c>
      <c r="K1006" s="45">
        <f t="shared" ca="1" si="1309"/>
        <v>0.90345467800480783</v>
      </c>
      <c r="L1006" s="358">
        <f t="shared" ca="1" si="1294"/>
        <v>0.57663575359475594</v>
      </c>
      <c r="M1006" s="76">
        <f t="shared" ca="1" si="1343"/>
        <v>0.25347808785320641</v>
      </c>
      <c r="N1006" s="45">
        <f t="shared" ca="1" si="1343"/>
        <v>0.25</v>
      </c>
      <c r="O1006" s="45">
        <f t="shared" ca="1" si="1343"/>
        <v>0</v>
      </c>
      <c r="P1006" s="46" t="str">
        <f t="shared" ca="1" si="1343"/>
        <v/>
      </c>
      <c r="Q1006" s="243" t="str">
        <f t="shared" ca="1" si="1343"/>
        <v/>
      </c>
      <c r="R1006" s="45">
        <f t="shared" ca="1" si="1310"/>
        <v>0.35103176394223135</v>
      </c>
      <c r="S1006" s="45">
        <f t="shared" ca="1" si="1334"/>
        <v>5.0695617570641283E-2</v>
      </c>
      <c r="T1006" s="77">
        <f t="shared" ca="1" si="1295"/>
        <v>6.6933045521027232E-2</v>
      </c>
      <c r="U1006" s="45">
        <f t="shared" ca="1" si="1311"/>
        <v>18.034276819010838</v>
      </c>
      <c r="V1006" s="45">
        <f t="shared" ca="1" si="1296"/>
        <v>0.20278247028256513</v>
      </c>
      <c r="W1006" s="77">
        <f t="shared" ca="1" si="1297"/>
        <v>0.11409476629681969</v>
      </c>
      <c r="X1006" s="45">
        <f t="shared" ca="1" si="1312"/>
        <v>1.0301822741846998</v>
      </c>
      <c r="Y1006" s="45">
        <f t="shared" ca="1" si="1298"/>
        <v>1.7474946543241807E-2</v>
      </c>
      <c r="Z1006" s="77">
        <f t="shared" ca="1" si="1299"/>
        <v>1.4284095844975963E-2</v>
      </c>
      <c r="AA1006" s="45">
        <f t="shared" ca="1" si="1313"/>
        <v>39.216108485584151</v>
      </c>
      <c r="AB1006" s="45">
        <f t="shared" ca="1" si="1300"/>
        <v>0</v>
      </c>
      <c r="AC1006" s="45" cm="1">
        <f t="array" aca="1" ref="AC1006" ca="1">pHUM*(T1006+W1006+Z1006+AD1006)</f>
        <v>2.0558760639108008E-2</v>
      </c>
      <c r="AD1006" s="77">
        <f t="shared" ca="1" si="1301"/>
        <v>1.6589212950274056E-2</v>
      </c>
      <c r="AE1006" s="45">
        <f t="shared" ca="1" si="1314"/>
        <v>6.3847072090583081</v>
      </c>
      <c r="AF1006" s="45">
        <f t="shared" ca="1" si="1302"/>
        <v>0</v>
      </c>
      <c r="AG1006" s="76">
        <f t="shared" ca="1" si="1303"/>
        <v>65.016306551780232</v>
      </c>
      <c r="AH1006" s="45">
        <f t="shared" ca="1" si="1304"/>
        <v>0.17386741343074716</v>
      </c>
      <c r="AI1006" s="77">
        <f t="shared" ca="1" si="1305"/>
        <v>1.4760020296530091E-2</v>
      </c>
      <c r="AJ1006" s="384">
        <f t="shared" ca="1" si="1307"/>
        <v>2.714150156928774E-2</v>
      </c>
      <c r="AU1006" s="1"/>
    </row>
    <row r="1007" spans="3:47" x14ac:dyDescent="0.25">
      <c r="C1007" s="10">
        <f t="shared" si="1332"/>
        <v>76</v>
      </c>
      <c r="D1007" s="91">
        <f t="shared" si="1315"/>
        <v>5</v>
      </c>
      <c r="E1007" s="278"/>
      <c r="F1007" s="76">
        <f t="shared" ref="F1007:Q1007" ca="1" si="1344">F935</f>
        <v>13.3</v>
      </c>
      <c r="G1007" s="46">
        <f t="shared" ca="1" si="1344"/>
        <v>27.012600000000003</v>
      </c>
      <c r="H1007" s="46">
        <f t="shared" ca="1" si="1291"/>
        <v>28.517550000000004</v>
      </c>
      <c r="I1007" s="45">
        <f t="shared" ca="1" si="1292"/>
        <v>0.69725265541392489</v>
      </c>
      <c r="J1007" s="45">
        <f t="shared" ca="1" si="1293"/>
        <v>0.27952512346894071</v>
      </c>
      <c r="K1007" s="45">
        <f t="shared" ca="1" si="1309"/>
        <v>0.90345467800480783</v>
      </c>
      <c r="L1007" s="358">
        <f t="shared" ca="1" si="1294"/>
        <v>0.80399103068855049</v>
      </c>
      <c r="M1007" s="76">
        <f t="shared" ca="1" si="1344"/>
        <v>0.25347808785320641</v>
      </c>
      <c r="N1007" s="45">
        <f t="shared" ca="1" si="1344"/>
        <v>0.25</v>
      </c>
      <c r="O1007" s="45">
        <f t="shared" ca="1" si="1344"/>
        <v>0</v>
      </c>
      <c r="P1007" s="46" t="str">
        <f t="shared" ca="1" si="1344"/>
        <v/>
      </c>
      <c r="Q1007" s="243" t="str">
        <f t="shared" ca="1" si="1344"/>
        <v/>
      </c>
      <c r="R1007" s="45">
        <f t="shared" ca="1" si="1310"/>
        <v>0.33479433599184538</v>
      </c>
      <c r="S1007" s="45">
        <f t="shared" ca="1" si="1334"/>
        <v>5.0695617570641283E-2</v>
      </c>
      <c r="T1007" s="77">
        <f t="shared" ca="1" si="1295"/>
        <v>0.14753910809057297</v>
      </c>
      <c r="U1007" s="45">
        <f t="shared" ca="1" si="1311"/>
        <v>18.122964522996583</v>
      </c>
      <c r="V1007" s="45">
        <f t="shared" ca="1" si="1296"/>
        <v>0.20278247028256513</v>
      </c>
      <c r="W1007" s="77">
        <f t="shared" ca="1" si="1297"/>
        <v>0.31316971851915354</v>
      </c>
      <c r="X1007" s="45">
        <f t="shared" ca="1" si="1312"/>
        <v>1.0333731248829656</v>
      </c>
      <c r="Y1007" s="45">
        <f t="shared" ca="1" si="1298"/>
        <v>4.4956145185003391E-2</v>
      </c>
      <c r="Z1007" s="77">
        <f t="shared" ca="1" si="1299"/>
        <v>3.8878480576066979E-2</v>
      </c>
      <c r="AA1007" s="45">
        <f t="shared" ca="1" si="1313"/>
        <v>39.220078033272983</v>
      </c>
      <c r="AB1007" s="45">
        <f t="shared" ca="1" si="1300"/>
        <v>0</v>
      </c>
      <c r="AC1007" s="45" cm="1">
        <f t="array" aca="1" ref="AC1007" ca="1">pHUM*(T1007+W1007+Z1007+AD1007)</f>
        <v>5.2889582570592224E-2</v>
      </c>
      <c r="AD1007" s="77">
        <f t="shared" ca="1" si="1301"/>
        <v>4.5550700508510358E-2</v>
      </c>
      <c r="AE1007" s="45">
        <f t="shared" ca="1" si="1314"/>
        <v>6.3847072090583081</v>
      </c>
      <c r="AF1007" s="45">
        <f t="shared" ca="1" si="1302"/>
        <v>0</v>
      </c>
      <c r="AG1007" s="76">
        <f t="shared" ca="1" si="1303"/>
        <v>65.095917226202687</v>
      </c>
      <c r="AH1007" s="45">
        <f t="shared" ca="1" si="1304"/>
        <v>0.44729227993870829</v>
      </c>
      <c r="AI1007" s="77">
        <f t="shared" ca="1" si="1305"/>
        <v>1.4550402068179931E-2</v>
      </c>
      <c r="AJ1007" s="384">
        <f t="shared" ca="1" si="1307"/>
        <v>3.7305029094000242E-2</v>
      </c>
      <c r="AU1007" s="1"/>
    </row>
    <row r="1008" spans="3:47" x14ac:dyDescent="0.25">
      <c r="C1008" s="10">
        <f t="shared" si="1332"/>
        <v>76</v>
      </c>
      <c r="D1008" s="91">
        <f t="shared" si="1315"/>
        <v>6</v>
      </c>
      <c r="E1008" s="278"/>
      <c r="F1008" s="76">
        <f t="shared" ref="F1008:Q1008" ca="1" si="1345">F936</f>
        <v>18.579999999999998</v>
      </c>
      <c r="G1008" s="46">
        <f t="shared" ca="1" si="1345"/>
        <v>27.012600000000003</v>
      </c>
      <c r="H1008" s="46">
        <f t="shared" ca="1" si="1291"/>
        <v>28.517550000000004</v>
      </c>
      <c r="I1008" s="45">
        <f t="shared" ca="1" si="1292"/>
        <v>1.1053966357180092</v>
      </c>
      <c r="J1008" s="45">
        <f t="shared" ca="1" si="1293"/>
        <v>0.27952512346894071</v>
      </c>
      <c r="K1008" s="45">
        <f t="shared" ca="1" si="1309"/>
        <v>0.90345467800480783</v>
      </c>
      <c r="L1008" s="358">
        <f t="shared" ca="1" si="1294"/>
        <v>0.89864190578209513</v>
      </c>
      <c r="M1008" s="76">
        <f t="shared" ca="1" si="1345"/>
        <v>0.25347808785320641</v>
      </c>
      <c r="N1008" s="45">
        <f t="shared" ca="1" si="1345"/>
        <v>0.25</v>
      </c>
      <c r="O1008" s="45">
        <f t="shared" ca="1" si="1345"/>
        <v>0</v>
      </c>
      <c r="P1008" s="46" t="str">
        <f t="shared" ca="1" si="1345"/>
        <v/>
      </c>
      <c r="Q1008" s="243" t="str">
        <f t="shared" ca="1" si="1345"/>
        <v/>
      </c>
      <c r="R1008" s="45">
        <f t="shared" ca="1" si="1310"/>
        <v>0.2379508454719137</v>
      </c>
      <c r="S1008" s="45">
        <f t="shared" ca="1" si="1334"/>
        <v>5.0695617570641283E-2</v>
      </c>
      <c r="T1008" s="77">
        <f t="shared" ca="1" si="1295"/>
        <v>0.14323320525148991</v>
      </c>
      <c r="U1008" s="45">
        <f t="shared" ca="1" si="1311"/>
        <v>18.012577274759995</v>
      </c>
      <c r="V1008" s="45">
        <f t="shared" ca="1" si="1296"/>
        <v>0.20278247028256513</v>
      </c>
      <c r="W1008" s="77">
        <f t="shared" ca="1" si="1297"/>
        <v>0.49096098059057852</v>
      </c>
      <c r="X1008" s="45">
        <f t="shared" ca="1" si="1312"/>
        <v>1.0394507894919021</v>
      </c>
      <c r="Y1008" s="45">
        <f t="shared" ca="1" si="1298"/>
        <v>6.3311092989133053E-2</v>
      </c>
      <c r="Z1008" s="77">
        <f t="shared" ca="1" si="1299"/>
        <v>6.1312607282552757E-2</v>
      </c>
      <c r="AA1008" s="45">
        <f t="shared" ca="1" si="1313"/>
        <v>39.227416915335063</v>
      </c>
      <c r="AB1008" s="45">
        <f t="shared" ca="1" si="1300"/>
        <v>0</v>
      </c>
      <c r="AC1008" s="45" cm="1">
        <f t="array" aca="1" ref="AC1008" ca="1">pHUM*(T1008+W1008+Z1008+AD1008)</f>
        <v>7.4483638810744768E-2</v>
      </c>
      <c r="AD1008" s="77">
        <f t="shared" ca="1" si="1301"/>
        <v>7.2203226384743968E-2</v>
      </c>
      <c r="AE1008" s="45">
        <f t="shared" ca="1" si="1314"/>
        <v>6.3847072090583081</v>
      </c>
      <c r="AF1008" s="45">
        <f t="shared" ca="1" si="1302"/>
        <v>0</v>
      </c>
      <c r="AG1008" s="76">
        <f t="shared" ca="1" si="1303"/>
        <v>64.902103034117175</v>
      </c>
      <c r="AH1008" s="45">
        <f t="shared" ca="1" si="1304"/>
        <v>0.62991528770948735</v>
      </c>
      <c r="AI1008" s="77">
        <f t="shared" ca="1" si="1305"/>
        <v>1.3178228693144316E-2</v>
      </c>
      <c r="AJ1008" s="384">
        <f t="shared" ca="1" si="1307"/>
        <v>3.7764583870338875E-2</v>
      </c>
      <c r="AU1008" s="1"/>
    </row>
    <row r="1009" spans="3:47" x14ac:dyDescent="0.25">
      <c r="C1009" s="10">
        <f t="shared" si="1332"/>
        <v>76</v>
      </c>
      <c r="D1009" s="91">
        <f t="shared" si="1315"/>
        <v>7</v>
      </c>
      <c r="E1009" s="278"/>
      <c r="F1009" s="76">
        <f t="shared" ref="F1009:Q1009" ca="1" si="1346">F937</f>
        <v>20.88</v>
      </c>
      <c r="G1009" s="46">
        <f t="shared" ca="1" si="1346"/>
        <v>27.012600000000003</v>
      </c>
      <c r="H1009" s="46">
        <f t="shared" ca="1" si="1291"/>
        <v>28.517550000000004</v>
      </c>
      <c r="I1009" s="45">
        <f t="shared" ca="1" si="1292"/>
        <v>1.2963209464812457</v>
      </c>
      <c r="J1009" s="45">
        <f t="shared" ca="1" si="1293"/>
        <v>0.27952512346894071</v>
      </c>
      <c r="K1009" s="45">
        <f t="shared" ca="1" si="1309"/>
        <v>0.90345467800480783</v>
      </c>
      <c r="L1009" s="358">
        <f t="shared" ca="1" si="1294"/>
        <v>0.92456370800230281</v>
      </c>
      <c r="M1009" s="76">
        <f t="shared" ca="1" si="1346"/>
        <v>0.25347808785320641</v>
      </c>
      <c r="N1009" s="45">
        <f t="shared" ca="1" si="1346"/>
        <v>0.25</v>
      </c>
      <c r="O1009" s="45">
        <f t="shared" ca="1" si="1346"/>
        <v>0</v>
      </c>
      <c r="P1009" s="46" t="str">
        <f t="shared" ca="1" si="1346"/>
        <v/>
      </c>
      <c r="Q1009" s="243" t="str">
        <f t="shared" ca="1" si="1346"/>
        <v/>
      </c>
      <c r="R1009" s="45">
        <f t="shared" ca="1" si="1310"/>
        <v>0.14541325779106506</v>
      </c>
      <c r="S1009" s="45">
        <f t="shared" ca="1" si="1334"/>
        <v>5.0695617570641283E-2</v>
      </c>
      <c r="T1009" s="77">
        <f t="shared" ca="1" si="1295"/>
        <v>9.6044771709889135E-2</v>
      </c>
      <c r="U1009" s="45">
        <f t="shared" ca="1" si="1311"/>
        <v>17.72439876445198</v>
      </c>
      <c r="V1009" s="45">
        <f t="shared" ca="1" si="1296"/>
        <v>0.20278247028256513</v>
      </c>
      <c r="W1009" s="77">
        <f t="shared" ca="1" si="1297"/>
        <v>0.56520468344426633</v>
      </c>
      <c r="X1009" s="45">
        <f t="shared" ca="1" si="1312"/>
        <v>1.0414492751984823</v>
      </c>
      <c r="Y1009" s="45">
        <f t="shared" ca="1" si="1298"/>
        <v>6.7423970617570952E-2</v>
      </c>
      <c r="Z1009" s="77">
        <f t="shared" ca="1" si="1299"/>
        <v>7.1667663222335296E-2</v>
      </c>
      <c r="AA1009" s="45">
        <f t="shared" ca="1" si="1313"/>
        <v>39.229697327761066</v>
      </c>
      <c r="AB1009" s="45">
        <f t="shared" ca="1" si="1300"/>
        <v>0</v>
      </c>
      <c r="AC1009" s="45" cm="1">
        <f t="array" aca="1" ref="AC1009" ca="1">pHUM*(T1009+W1009+Z1009+AD1009)</f>
        <v>7.932231837361288E-2</v>
      </c>
      <c r="AD1009" s="77">
        <f t="shared" ca="1" si="1301"/>
        <v>8.4665636151201221E-2</v>
      </c>
      <c r="AE1009" s="45">
        <f t="shared" ca="1" si="1314"/>
        <v>6.3847072090583081</v>
      </c>
      <c r="AF1009" s="45">
        <f t="shared" ca="1" si="1302"/>
        <v>0</v>
      </c>
      <c r="AG1009" s="76">
        <f t="shared" ca="1" si="1303"/>
        <v>64.525665834260906</v>
      </c>
      <c r="AH1009" s="45">
        <f t="shared" ca="1" si="1304"/>
        <v>0.67083646553650822</v>
      </c>
      <c r="AI1009" s="77">
        <f t="shared" ca="1" si="1305"/>
        <v>1.1815254498657857E-2</v>
      </c>
      <c r="AJ1009" s="384">
        <f t="shared" ca="1" si="1307"/>
        <v>3.483550570651972E-2</v>
      </c>
      <c r="AU1009" s="1"/>
    </row>
    <row r="1010" spans="3:47" x14ac:dyDescent="0.25">
      <c r="C1010" s="10">
        <f t="shared" si="1332"/>
        <v>76</v>
      </c>
      <c r="D1010" s="91">
        <f t="shared" si="1315"/>
        <v>8</v>
      </c>
      <c r="E1010" s="278"/>
      <c r="F1010" s="76">
        <f t="shared" ref="F1010:Q1010" ca="1" si="1347">F938</f>
        <v>19.38</v>
      </c>
      <c r="G1010" s="46">
        <f t="shared" ca="1" si="1347"/>
        <v>27.012600000000003</v>
      </c>
      <c r="H1010" s="46">
        <f t="shared" ca="1" si="1291"/>
        <v>28.517550000000004</v>
      </c>
      <c r="I1010" s="45">
        <f t="shared" ca="1" si="1292"/>
        <v>1.1711755949831784</v>
      </c>
      <c r="J1010" s="45">
        <f t="shared" ca="1" si="1293"/>
        <v>0.27952512346894071</v>
      </c>
      <c r="K1010" s="45">
        <f t="shared" ca="1" si="1309"/>
        <v>0.90345467800480783</v>
      </c>
      <c r="L1010" s="358">
        <f t="shared" ca="1" si="1294"/>
        <v>0.9085593811553081</v>
      </c>
      <c r="M1010" s="76">
        <f t="shared" ca="1" si="1347"/>
        <v>0.25347808785320641</v>
      </c>
      <c r="N1010" s="45">
        <f t="shared" ca="1" si="1347"/>
        <v>0.25</v>
      </c>
      <c r="O1010" s="45">
        <f t="shared" ca="1" si="1347"/>
        <v>0</v>
      </c>
      <c r="P1010" s="46" t="str">
        <f t="shared" ca="1" si="1347"/>
        <v/>
      </c>
      <c r="Q1010" s="243" t="str">
        <f t="shared" ca="1" si="1347"/>
        <v/>
      </c>
      <c r="R1010" s="45">
        <f t="shared" ca="1" si="1310"/>
        <v>0.10006410365181721</v>
      </c>
      <c r="S1010" s="45">
        <f t="shared" ca="1" si="1334"/>
        <v>5.0695617570641283E-2</v>
      </c>
      <c r="T1010" s="77">
        <f t="shared" ca="1" si="1295"/>
        <v>6.2357646589744672E-2</v>
      </c>
      <c r="U1010" s="45">
        <f t="shared" ca="1" si="1311"/>
        <v>17.361976551290276</v>
      </c>
      <c r="V1010" s="45">
        <f t="shared" ca="1" si="1296"/>
        <v>0.20278247028256513</v>
      </c>
      <c r="W1010" s="77">
        <f t="shared" ca="1" si="1297"/>
        <v>0.50097812405476527</v>
      </c>
      <c r="X1010" s="45">
        <f t="shared" ca="1" si="1312"/>
        <v>1.0372055825937181</v>
      </c>
      <c r="Y1010" s="45">
        <f t="shared" ca="1" si="1298"/>
        <v>5.8100825215871683E-2</v>
      </c>
      <c r="Z1010" s="77">
        <f t="shared" ca="1" si="1299"/>
        <v>6.4704899117639811E-2</v>
      </c>
      <c r="AA1010" s="45">
        <f t="shared" ca="1" si="1313"/>
        <v>39.224354009983479</v>
      </c>
      <c r="AB1010" s="45">
        <f t="shared" ca="1" si="1300"/>
        <v>0</v>
      </c>
      <c r="AC1010" s="45" cm="1">
        <f t="array" aca="1" ref="AC1010" ca="1">pHUM*(T1010+W1010+Z1010+AD1010)</f>
        <v>6.8353912018672566E-2</v>
      </c>
      <c r="AD1010" s="77">
        <f t="shared" ca="1" si="1301"/>
        <v>7.6489666930081468E-2</v>
      </c>
      <c r="AE1010" s="45">
        <f t="shared" ca="1" si="1314"/>
        <v>6.3847072090583081</v>
      </c>
      <c r="AF1010" s="45">
        <f t="shared" ca="1" si="1302"/>
        <v>0</v>
      </c>
      <c r="AG1010" s="76">
        <f t="shared" ca="1" si="1303"/>
        <v>64.108307456577592</v>
      </c>
      <c r="AH1010" s="45">
        <f t="shared" ca="1" si="1304"/>
        <v>0.57807559945768694</v>
      </c>
      <c r="AI1010" s="77">
        <f t="shared" ca="1" si="1305"/>
        <v>1.1084831758143206E-2</v>
      </c>
      <c r="AJ1010" s="384">
        <f t="shared" ca="1" si="1307"/>
        <v>3.2116316848600501E-2</v>
      </c>
      <c r="AU1010" s="1"/>
    </row>
    <row r="1011" spans="3:47" x14ac:dyDescent="0.25">
      <c r="C1011" s="10">
        <f t="shared" si="1332"/>
        <v>76</v>
      </c>
      <c r="D1011" s="91">
        <f t="shared" si="1315"/>
        <v>9</v>
      </c>
      <c r="E1011" s="278"/>
      <c r="F1011" s="76">
        <f t="shared" ref="F1011:Q1011" ca="1" si="1348">F939</f>
        <v>16.57</v>
      </c>
      <c r="G1011" s="46">
        <f t="shared" ca="1" si="1348"/>
        <v>27.012600000000003</v>
      </c>
      <c r="H1011" s="46">
        <f t="shared" ca="1" si="1291"/>
        <v>28.517550000000004</v>
      </c>
      <c r="I1011" s="45">
        <f t="shared" ca="1" si="1292"/>
        <v>0.9439672665218134</v>
      </c>
      <c r="J1011" s="45">
        <f t="shared" ca="1" si="1293"/>
        <v>0.27952512346894071</v>
      </c>
      <c r="K1011" s="45">
        <f t="shared" ca="1" si="1309"/>
        <v>0.90345467800480783</v>
      </c>
      <c r="L1011" s="358">
        <f t="shared" ca="1" si="1294"/>
        <v>0.86895066774150642</v>
      </c>
      <c r="M1011" s="76">
        <f t="shared" ca="1" si="1348"/>
        <v>0.25347808785320641</v>
      </c>
      <c r="N1011" s="45">
        <f t="shared" ca="1" si="1348"/>
        <v>0.25</v>
      </c>
      <c r="O1011" s="45">
        <f t="shared" ca="1" si="1348"/>
        <v>0</v>
      </c>
      <c r="P1011" s="46" t="str">
        <f t="shared" ca="1" si="1348"/>
        <v/>
      </c>
      <c r="Q1011" s="243" t="str">
        <f t="shared" ca="1" si="1348"/>
        <v/>
      </c>
      <c r="R1011" s="45">
        <f t="shared" ca="1" si="1310"/>
        <v>8.8402074632713837E-2</v>
      </c>
      <c r="S1011" s="45">
        <f t="shared" ca="1" si="1334"/>
        <v>5.0695617570641283E-2</v>
      </c>
      <c r="T1011" s="77">
        <f t="shared" ca="1" si="1295"/>
        <v>4.8146195874830794E-2</v>
      </c>
      <c r="U1011" s="45">
        <f t="shared" ca="1" si="1311"/>
        <v>17.063780897518075</v>
      </c>
      <c r="V1011" s="45">
        <f t="shared" ca="1" si="1296"/>
        <v>0.20278247028256513</v>
      </c>
      <c r="W1011" s="77">
        <f t="shared" ca="1" si="1297"/>
        <v>0.39797683150779489</v>
      </c>
      <c r="X1011" s="45">
        <f t="shared" ca="1" si="1312"/>
        <v>1.03060150869195</v>
      </c>
      <c r="Y1011" s="45">
        <f t="shared" ca="1" si="1298"/>
        <v>4.6174706277067913E-2</v>
      </c>
      <c r="Z1011" s="77">
        <f t="shared" ca="1" si="1299"/>
        <v>5.2141711206958541E-2</v>
      </c>
      <c r="AA1011" s="45">
        <f t="shared" ca="1" si="1313"/>
        <v>39.216218255072071</v>
      </c>
      <c r="AB1011" s="45">
        <f t="shared" ca="1" si="1300"/>
        <v>0</v>
      </c>
      <c r="AC1011" s="45" cm="1">
        <f t="array" aca="1" ref="AC1011" ca="1">pHUM*(T1011+W1011+Z1011+AD1011)</f>
        <v>5.4323183855374019E-2</v>
      </c>
      <c r="AD1011" s="77">
        <f t="shared" ca="1" si="1301"/>
        <v>6.1649535246938711E-2</v>
      </c>
      <c r="AE1011" s="45">
        <f t="shared" ca="1" si="1314"/>
        <v>6.3847072090583081</v>
      </c>
      <c r="AF1011" s="45">
        <f t="shared" ca="1" si="1302"/>
        <v>0</v>
      </c>
      <c r="AG1011" s="76">
        <f t="shared" ca="1" si="1303"/>
        <v>63.783709944973118</v>
      </c>
      <c r="AH1011" s="45">
        <f t="shared" ca="1" si="1304"/>
        <v>0.45941638370408105</v>
      </c>
      <c r="AI1011" s="77">
        <f t="shared" ca="1" si="1305"/>
        <v>1.0841762662060054E-2</v>
      </c>
      <c r="AJ1011" s="384">
        <f t="shared" ca="1" si="1307"/>
        <v>3.004271499162825E-2</v>
      </c>
      <c r="AU1011" s="1"/>
    </row>
    <row r="1012" spans="3:47" x14ac:dyDescent="0.25">
      <c r="C1012" s="10">
        <f t="shared" si="1332"/>
        <v>76</v>
      </c>
      <c r="D1012" s="91">
        <f t="shared" si="1315"/>
        <v>10</v>
      </c>
      <c r="E1012" s="278"/>
      <c r="F1012" s="76">
        <f t="shared" ref="F1012:Q1012" ca="1" si="1349">F940</f>
        <v>10.87</v>
      </c>
      <c r="G1012" s="46">
        <f t="shared" ca="1" si="1349"/>
        <v>27.012600000000003</v>
      </c>
      <c r="H1012" s="46">
        <f t="shared" ca="1" si="1291"/>
        <v>28.517550000000004</v>
      </c>
      <c r="I1012" s="45">
        <f t="shared" ca="1" si="1292"/>
        <v>0.53125146958099567</v>
      </c>
      <c r="J1012" s="45">
        <f t="shared" ca="1" si="1293"/>
        <v>0.27952512346894071</v>
      </c>
      <c r="K1012" s="45">
        <f t="shared" ca="1" si="1309"/>
        <v>0.90345467800480783</v>
      </c>
      <c r="L1012" s="358">
        <f t="shared" ca="1" si="1294"/>
        <v>0.74105246316705919</v>
      </c>
      <c r="M1012" s="76">
        <f t="shared" ca="1" si="1349"/>
        <v>0.25347808785320641</v>
      </c>
      <c r="N1012" s="45">
        <f t="shared" ca="1" si="1349"/>
        <v>0.25</v>
      </c>
      <c r="O1012" s="45">
        <f t="shared" ca="1" si="1349"/>
        <v>0</v>
      </c>
      <c r="P1012" s="46" t="str">
        <f t="shared" ca="1" si="1349"/>
        <v/>
      </c>
      <c r="Q1012" s="243" t="str">
        <f t="shared" ca="1" si="1349"/>
        <v/>
      </c>
      <c r="R1012" s="45">
        <f t="shared" ca="1" si="1310"/>
        <v>9.0951496328524312E-2</v>
      </c>
      <c r="S1012" s="45">
        <f t="shared" ca="1" si="1334"/>
        <v>5.0695617570641283E-2</v>
      </c>
      <c r="T1012" s="77">
        <f t="shared" ca="1" si="1295"/>
        <v>3.2533920585815154E-2</v>
      </c>
      <c r="U1012" s="45">
        <f t="shared" ca="1" si="1311"/>
        <v>16.868586536292845</v>
      </c>
      <c r="V1012" s="45">
        <f t="shared" ca="1" si="1296"/>
        <v>0.20278247028256513</v>
      </c>
      <c r="W1012" s="77">
        <f t="shared" ca="1" si="1297"/>
        <v>0.22255535253636474</v>
      </c>
      <c r="X1012" s="45">
        <f t="shared" ca="1" si="1312"/>
        <v>1.0246345037620594</v>
      </c>
      <c r="Y1012" s="45">
        <f t="shared" ca="1" si="1298"/>
        <v>2.633150244270941E-2</v>
      </c>
      <c r="Z1012" s="77">
        <f t="shared" ca="1" si="1299"/>
        <v>2.9505465485973999E-2</v>
      </c>
      <c r="AA1012" s="45">
        <f t="shared" ca="1" si="1313"/>
        <v>39.208891903680509</v>
      </c>
      <c r="AB1012" s="45">
        <f t="shared" ca="1" si="1300"/>
        <v>0</v>
      </c>
      <c r="AC1012" s="45" cm="1">
        <f t="array" aca="1" ref="AC1012" ca="1">pHUM*(T1012+W1012+Z1012+AD1012)</f>
        <v>3.0978238167893427E-2</v>
      </c>
      <c r="AD1012" s="77">
        <f t="shared" ca="1" si="1301"/>
        <v>3.4700937703627789E-2</v>
      </c>
      <c r="AE1012" s="45">
        <f t="shared" ca="1" si="1314"/>
        <v>6.3847072090583081</v>
      </c>
      <c r="AF1012" s="45">
        <f t="shared" ca="1" si="1302"/>
        <v>0</v>
      </c>
      <c r="AG1012" s="76">
        <f t="shared" ca="1" si="1303"/>
        <v>63.577771649122241</v>
      </c>
      <c r="AH1012" s="45">
        <f t="shared" ca="1" si="1304"/>
        <v>0.2619859357011789</v>
      </c>
      <c r="AI1012" s="77">
        <f t="shared" ca="1" si="1305"/>
        <v>1.0826673373010937E-2</v>
      </c>
      <c r="AJ1012" s="384">
        <f t="shared" ca="1" si="1307"/>
        <v>2.5585268382488646E-2</v>
      </c>
      <c r="AU1012" s="1"/>
    </row>
    <row r="1013" spans="3:47" x14ac:dyDescent="0.25">
      <c r="C1013" s="10">
        <f t="shared" si="1332"/>
        <v>76</v>
      </c>
      <c r="D1013" s="91">
        <f t="shared" si="1315"/>
        <v>11</v>
      </c>
      <c r="E1013" s="278"/>
      <c r="F1013" s="76">
        <f t="shared" ref="F1013:Q1013" ca="1" si="1350">F941</f>
        <v>1.4</v>
      </c>
      <c r="G1013" s="46">
        <f t="shared" ca="1" si="1350"/>
        <v>28.536243189942063</v>
      </c>
      <c r="H1013" s="46">
        <f t="shared" ca="1" si="1291"/>
        <v>26.993906810057943</v>
      </c>
      <c r="I1013" s="45">
        <f t="shared" ca="1" si="1292"/>
        <v>9.940372096718314E-2</v>
      </c>
      <c r="J1013" s="45">
        <f t="shared" ca="1" si="1293"/>
        <v>0.28648639837560558</v>
      </c>
      <c r="K1013" s="45">
        <f t="shared" ca="1" si="1309"/>
        <v>0.92595425264501963</v>
      </c>
      <c r="L1013" s="358">
        <f t="shared" ca="1" si="1294"/>
        <v>0.41120226021724715</v>
      </c>
      <c r="M1013" s="76">
        <f t="shared" ca="1" si="1350"/>
        <v>0.25347808785320641</v>
      </c>
      <c r="N1013" s="45">
        <f t="shared" ca="1" si="1350"/>
        <v>0.25</v>
      </c>
      <c r="O1013" s="45">
        <f t="shared" ca="1" si="1350"/>
        <v>0</v>
      </c>
      <c r="P1013" s="46" t="str">
        <f t="shared" ca="1" si="1350"/>
        <v/>
      </c>
      <c r="Q1013" s="243" t="str">
        <f t="shared" ca="1" si="1350"/>
        <v/>
      </c>
      <c r="R1013" s="45">
        <f t="shared" ca="1" si="1310"/>
        <v>0.10911319331335044</v>
      </c>
      <c r="S1013" s="45">
        <f t="shared" ca="1" si="1334"/>
        <v>5.0695617570641283E-2</v>
      </c>
      <c r="T1013" s="77">
        <f t="shared" ca="1" si="1295"/>
        <v>8.6743136422450483E-3</v>
      </c>
      <c r="U1013" s="45">
        <f t="shared" ca="1" si="1311"/>
        <v>16.848813654039045</v>
      </c>
      <c r="V1013" s="45">
        <f t="shared" ca="1" si="1296"/>
        <v>0.20278247028256513</v>
      </c>
      <c r="W1013" s="77">
        <f t="shared" ca="1" si="1297"/>
        <v>4.1818885844913369E-2</v>
      </c>
      <c r="X1013" s="45">
        <f t="shared" ca="1" si="1312"/>
        <v>1.0214605407187947</v>
      </c>
      <c r="Y1013" s="45">
        <f t="shared" ca="1" si="1298"/>
        <v>5.1589323751080338E-3</v>
      </c>
      <c r="Z1013" s="77">
        <f t="shared" ca="1" si="1299"/>
        <v>5.5692957092325279E-3</v>
      </c>
      <c r="AA1013" s="45">
        <f t="shared" ca="1" si="1313"/>
        <v>39.205169204144774</v>
      </c>
      <c r="AB1013" s="45">
        <f t="shared" ca="1" si="1300"/>
        <v>0</v>
      </c>
      <c r="AC1013" s="45" cm="1">
        <f t="array" aca="1" ref="AC1013" ca="1">pHUM*(T1013+W1013+Z1013+AD1013)</f>
        <v>6.0693322060094519E-3</v>
      </c>
      <c r="AD1013" s="77">
        <f t="shared" ca="1" si="1301"/>
        <v>6.4946948211860658E-3</v>
      </c>
      <c r="AE1013" s="45">
        <f t="shared" ca="1" si="1314"/>
        <v>6.3847072090583081</v>
      </c>
      <c r="AF1013" s="45">
        <f t="shared" ca="1" si="1302"/>
        <v>0</v>
      </c>
      <c r="AG1013" s="76">
        <f t="shared" ca="1" si="1303"/>
        <v>63.569263801274275</v>
      </c>
      <c r="AH1013" s="45">
        <f t="shared" ca="1" si="1304"/>
        <v>5.1328925436459526E-2</v>
      </c>
      <c r="AI1013" s="77">
        <f t="shared" ca="1" si="1305"/>
        <v>1.1081143557293912E-2</v>
      </c>
      <c r="AJ1013" s="384">
        <f t="shared" ca="1" si="1307"/>
        <v>1.4892705516094118E-2</v>
      </c>
      <c r="AU1013" s="1"/>
    </row>
    <row r="1014" spans="3:47" x14ac:dyDescent="0.25">
      <c r="C1014" s="10">
        <f t="shared" si="1332"/>
        <v>76</v>
      </c>
      <c r="D1014" s="91">
        <f t="shared" si="1315"/>
        <v>12</v>
      </c>
      <c r="E1014" s="278"/>
      <c r="F1014" s="76">
        <f t="shared" ref="F1014:Q1014" ca="1" si="1351">F942</f>
        <v>-1.78</v>
      </c>
      <c r="G1014" s="46">
        <f t="shared" ca="1" si="1351"/>
        <v>32.216243189942062</v>
      </c>
      <c r="H1014" s="46">
        <f t="shared" ca="1" si="1291"/>
        <v>23.313906810057944</v>
      </c>
      <c r="I1014" s="45">
        <f t="shared" ca="1" si="1292"/>
        <v>3.9789790397057247E-2</v>
      </c>
      <c r="J1014" s="45">
        <f t="shared" ca="1" si="1293"/>
        <v>0.29882189650486002</v>
      </c>
      <c r="K1014" s="45">
        <f t="shared" ca="1" si="1309"/>
        <v>0.96582388351071458</v>
      </c>
      <c r="L1014" s="358">
        <f t="shared" ca="1" si="1294"/>
        <v>0.30292377267304249</v>
      </c>
      <c r="M1014" s="76">
        <f t="shared" ca="1" si="1351"/>
        <v>0.25347808785320641</v>
      </c>
      <c r="N1014" s="45">
        <f t="shared" ca="1" si="1351"/>
        <v>0.25</v>
      </c>
      <c r="O1014" s="45">
        <f t="shared" ca="1" si="1351"/>
        <v>0</v>
      </c>
      <c r="P1014" s="46" t="str">
        <f t="shared" ca="1" si="1351"/>
        <v/>
      </c>
      <c r="Q1014" s="243" t="str">
        <f t="shared" ca="1" si="1351"/>
        <v/>
      </c>
      <c r="R1014" s="45">
        <f t="shared" ca="1" si="1310"/>
        <v>0.15113449724174668</v>
      </c>
      <c r="S1014" s="45">
        <f t="shared" ca="1" si="1334"/>
        <v>5.0695617570641283E-2</v>
      </c>
      <c r="T1014" s="77">
        <f t="shared" ca="1" si="1295"/>
        <v>4.9291689443774654E-3</v>
      </c>
      <c r="U1014" s="45">
        <f t="shared" ca="1" si="1311"/>
        <v>17.009777238476694</v>
      </c>
      <c r="V1014" s="45">
        <f t="shared" ca="1" si="1296"/>
        <v>0.20278247028256513</v>
      </c>
      <c r="W1014" s="77">
        <f t="shared" ca="1" si="1297"/>
        <v>1.6911973832258967E-2</v>
      </c>
      <c r="X1014" s="45">
        <f t="shared" ca="1" si="1312"/>
        <v>1.0210501773846701</v>
      </c>
      <c r="Y1014" s="45">
        <f t="shared" ca="1" si="1298"/>
        <v>2.1996572038966832E-3</v>
      </c>
      <c r="Z1014" s="77">
        <f t="shared" ca="1" si="1299"/>
        <v>2.2320622336063417E-3</v>
      </c>
      <c r="AA1014" s="45">
        <f t="shared" ca="1" si="1313"/>
        <v>39.204743841529599</v>
      </c>
      <c r="AB1014" s="45">
        <f t="shared" ca="1" si="1300"/>
        <v>0</v>
      </c>
      <c r="AC1014" s="45" cm="1">
        <f t="array" aca="1" ref="AC1014" ca="1">pHUM*(T1014+W1014+Z1014+AD1014)</f>
        <v>2.5878320045843329E-3</v>
      </c>
      <c r="AD1014" s="77">
        <f t="shared" ca="1" si="1301"/>
        <v>2.5998280269106432E-3</v>
      </c>
      <c r="AE1014" s="45">
        <f t="shared" ca="1" si="1314"/>
        <v>6.3847072090583081</v>
      </c>
      <c r="AF1014" s="45">
        <f t="shared" ca="1" si="1302"/>
        <v>0</v>
      </c>
      <c r="AG1014" s="76">
        <f t="shared" ca="1" si="1303"/>
        <v>63.771412963691013</v>
      </c>
      <c r="AH1014" s="45">
        <f t="shared" ca="1" si="1304"/>
        <v>2.1885543828672405E-2</v>
      </c>
      <c r="AI1014" s="77">
        <f t="shared" ca="1" si="1305"/>
        <v>1.1722032759613046E-2</v>
      </c>
      <c r="AJ1014" s="384">
        <f t="shared" ca="1" si="1307"/>
        <v>1.2105406215849879E-2</v>
      </c>
      <c r="AU1014" s="1"/>
    </row>
    <row r="1015" spans="3:47" x14ac:dyDescent="0.25">
      <c r="C1015" s="10">
        <f t="shared" si="1332"/>
        <v>77</v>
      </c>
      <c r="D1015" s="91">
        <f t="shared" si="1315"/>
        <v>1</v>
      </c>
      <c r="E1015" s="278"/>
      <c r="F1015" s="76">
        <f t="shared" ref="F1015:Q1015" ca="1" si="1352">F943</f>
        <v>-8.2799999999999994</v>
      </c>
      <c r="G1015" s="46">
        <f t="shared" ca="1" si="1352"/>
        <v>27.676243189942063</v>
      </c>
      <c r="H1015" s="46">
        <f t="shared" ca="1" si="1291"/>
        <v>27.853906810057943</v>
      </c>
      <c r="I1015" s="45">
        <f t="shared" ca="1" si="1292"/>
        <v>5.2124139735228647E-4</v>
      </c>
      <c r="J1015" s="45">
        <f t="shared" ca="1" si="1293"/>
        <v>0.28271042830183513</v>
      </c>
      <c r="K1015" s="45">
        <f t="shared" ca="1" si="1309"/>
        <v>0.91374991914963299</v>
      </c>
      <c r="L1015" s="358">
        <f t="shared" ca="1" si="1294"/>
        <v>0.14143923467074027</v>
      </c>
      <c r="M1015" s="76">
        <f t="shared" ca="1" si="1352"/>
        <v>0.25347808785320641</v>
      </c>
      <c r="N1015" s="45">
        <f t="shared" ca="1" si="1352"/>
        <v>0.25</v>
      </c>
      <c r="O1015" s="45">
        <f t="shared" ca="1" si="1352"/>
        <v>0</v>
      </c>
      <c r="P1015" s="46" t="str">
        <f t="shared" ca="1" si="1352"/>
        <v/>
      </c>
      <c r="Q1015" s="243" t="str">
        <f t="shared" ca="1" si="1352"/>
        <v/>
      </c>
      <c r="R1015" s="45">
        <f t="shared" ca="1" si="1310"/>
        <v>0.19690094586801049</v>
      </c>
      <c r="S1015" s="45">
        <f t="shared" ca="1" si="1334"/>
        <v>5.0695617570641283E-2</v>
      </c>
      <c r="T1015" s="77">
        <f t="shared" ca="1" si="1295"/>
        <v>8.5508864309104358E-5</v>
      </c>
      <c r="U1015" s="45">
        <f t="shared" ca="1" si="1311"/>
        <v>17.195647734927</v>
      </c>
      <c r="V1015" s="45">
        <f t="shared" ca="1" si="1296"/>
        <v>0.20278247028256513</v>
      </c>
      <c r="W1015" s="77">
        <f t="shared" ca="1" si="1297"/>
        <v>2.2407562637154869E-4</v>
      </c>
      <c r="X1015" s="45">
        <f t="shared" ca="1" si="1312"/>
        <v>1.0210177723549605</v>
      </c>
      <c r="Y1015" s="45">
        <f t="shared" ca="1" si="1298"/>
        <v>3.0753221839141419E-5</v>
      </c>
      <c r="Z1015" s="77">
        <f t="shared" ca="1" si="1299"/>
        <v>2.9270400603137362E-5</v>
      </c>
      <c r="AA1015" s="45">
        <f t="shared" ca="1" si="1313"/>
        <v>39.204731845507276</v>
      </c>
      <c r="AB1015" s="45">
        <f t="shared" ca="1" si="1300"/>
        <v>0</v>
      </c>
      <c r="AC1015" s="45" cm="1">
        <f t="array" aca="1" ref="AC1015" ca="1">pHUM*(T1015+W1015+Z1015+AD1015)</f>
        <v>3.6180260987225201E-5</v>
      </c>
      <c r="AD1015" s="77">
        <f t="shared" ca="1" si="1301"/>
        <v>3.4058533890460194E-5</v>
      </c>
      <c r="AE1015" s="45">
        <f t="shared" ca="1" si="1314"/>
        <v>6.3847072090583081</v>
      </c>
      <c r="AF1015" s="45">
        <f t="shared" ca="1" si="1302"/>
        <v>0</v>
      </c>
      <c r="AG1015" s="76">
        <f t="shared" ca="1" si="1303"/>
        <v>64.003005507715557</v>
      </c>
      <c r="AH1015" s="45">
        <f t="shared" ca="1" si="1304"/>
        <v>3.0597994234788403E-4</v>
      </c>
      <c r="AI1015" s="77">
        <f t="shared" ca="1" si="1305"/>
        <v>1.2417453018888603E-2</v>
      </c>
      <c r="AJ1015" s="384">
        <f t="shared" ca="1" si="1307"/>
        <v>5.6647083200211945E-3</v>
      </c>
      <c r="AU1015" s="1"/>
    </row>
    <row r="1016" spans="3:47" x14ac:dyDescent="0.25">
      <c r="C1016" s="10">
        <f t="shared" si="1332"/>
        <v>77</v>
      </c>
      <c r="D1016" s="91">
        <f t="shared" si="1315"/>
        <v>2</v>
      </c>
      <c r="E1016" s="278"/>
      <c r="F1016" s="76">
        <f t="shared" ref="F1016:Q1016" ca="1" si="1353">F944</f>
        <v>-13.02</v>
      </c>
      <c r="G1016" s="46">
        <f t="shared" ca="1" si="1353"/>
        <v>27.012600000000003</v>
      </c>
      <c r="H1016" s="46">
        <f t="shared" ca="1" si="1291"/>
        <v>28.517550000000004</v>
      </c>
      <c r="I1016" s="45">
        <f t="shared" ca="1" si="1292"/>
        <v>3.4968020066039631E-8</v>
      </c>
      <c r="J1016" s="45">
        <f t="shared" ca="1" si="1293"/>
        <v>0.27952512346894071</v>
      </c>
      <c r="K1016" s="45">
        <f t="shared" ca="1" si="1309"/>
        <v>0.90345467800480783</v>
      </c>
      <c r="L1016" s="358">
        <f t="shared" ca="1" si="1294"/>
        <v>7.5103934893711255E-2</v>
      </c>
      <c r="M1016" s="76">
        <f t="shared" ca="1" si="1353"/>
        <v>0.25347808785320641</v>
      </c>
      <c r="N1016" s="45">
        <f t="shared" ca="1" si="1353"/>
        <v>0.25</v>
      </c>
      <c r="O1016" s="45">
        <f t="shared" ca="1" si="1353"/>
        <v>0</v>
      </c>
      <c r="P1016" s="46" t="str">
        <f t="shared" ca="1" si="1353"/>
        <v/>
      </c>
      <c r="Q1016" s="243" t="str">
        <f t="shared" ca="1" si="1353"/>
        <v/>
      </c>
      <c r="R1016" s="45">
        <f t="shared" ca="1" si="1310"/>
        <v>0.24751105457434266</v>
      </c>
      <c r="S1016" s="45">
        <f t="shared" ca="1" si="1334"/>
        <v>5.0695617570641283E-2</v>
      </c>
      <c r="T1016" s="77">
        <f t="shared" ca="1" si="1295"/>
        <v>7.2124761619648606E-9</v>
      </c>
      <c r="U1016" s="45">
        <f t="shared" ca="1" si="1311"/>
        <v>17.398206129583194</v>
      </c>
      <c r="V1016" s="45">
        <f t="shared" ca="1" si="1296"/>
        <v>0.20278247028256513</v>
      </c>
      <c r="W1016" s="77">
        <f t="shared" ca="1" si="1297"/>
        <v>1.5209520319696553E-8</v>
      </c>
      <c r="X1016" s="45">
        <f t="shared" ca="1" si="1312"/>
        <v>1.0210192551761965</v>
      </c>
      <c r="Y1016" s="45">
        <f t="shared" ca="1" si="1298"/>
        <v>2.1994496678109276E-9</v>
      </c>
      <c r="Z1016" s="77">
        <f t="shared" ca="1" si="1299"/>
        <v>1.963666217821884E-9</v>
      </c>
      <c r="AA1016" s="45">
        <f t="shared" ca="1" si="1313"/>
        <v>39.204733967234368</v>
      </c>
      <c r="AB1016" s="45">
        <f t="shared" ca="1" si="1300"/>
        <v>0</v>
      </c>
      <c r="AC1016" s="45" cm="1">
        <f t="array" aca="1" ref="AC1016" ca="1">pHUM*(T1016+W1016+Z1016+AD1016)</f>
        <v>2.5875878444834443E-9</v>
      </c>
      <c r="AD1016" s="77">
        <f t="shared" ca="1" si="1301"/>
        <v>2.284853756058248E-9</v>
      </c>
      <c r="AE1016" s="45">
        <f t="shared" ca="1" si="1314"/>
        <v>6.3847072090583081</v>
      </c>
      <c r="AF1016" s="45">
        <f t="shared" ca="1" si="1302"/>
        <v>0</v>
      </c>
      <c r="AG1016" s="76">
        <f t="shared" ca="1" si="1303"/>
        <v>64.256177615626413</v>
      </c>
      <c r="AH1016" s="45">
        <f t="shared" ca="1" si="1304"/>
        <v>2.1883478943247173E-8</v>
      </c>
      <c r="AI1016" s="77">
        <f t="shared" ca="1" si="1305"/>
        <v>1.3179406749819102E-2</v>
      </c>
      <c r="AJ1016" s="384">
        <f t="shared" ca="1" si="1307"/>
        <v>3.1565576791392491E-3</v>
      </c>
      <c r="AU1016" s="1"/>
    </row>
    <row r="1017" spans="3:47" x14ac:dyDescent="0.25">
      <c r="C1017" s="10">
        <f t="shared" si="1332"/>
        <v>77</v>
      </c>
      <c r="D1017" s="91">
        <f t="shared" si="1315"/>
        <v>3</v>
      </c>
      <c r="E1017" s="278"/>
      <c r="F1017" s="76">
        <f t="shared" ref="F1017:Q1017" ca="1" si="1354">F945</f>
        <v>-3.52</v>
      </c>
      <c r="G1017" s="46">
        <f t="shared" ca="1" si="1354"/>
        <v>29.742600000000003</v>
      </c>
      <c r="H1017" s="46">
        <f t="shared" ca="1" si="1291"/>
        <v>25.787550000000003</v>
      </c>
      <c r="I1017" s="45">
        <f t="shared" ca="1" si="1292"/>
        <v>1.7216068766348798E-2</v>
      </c>
      <c r="J1017" s="45">
        <f t="shared" ca="1" si="1293"/>
        <v>0.2911707845539237</v>
      </c>
      <c r="K1017" s="45">
        <f t="shared" ca="1" si="1309"/>
        <v>0.94109468279262609</v>
      </c>
      <c r="L1017" s="358">
        <f t="shared" ca="1" si="1294"/>
        <v>0.2510452916114092</v>
      </c>
      <c r="M1017" s="76">
        <f t="shared" ca="1" si="1354"/>
        <v>0.25347808785320641</v>
      </c>
      <c r="N1017" s="45">
        <f t="shared" ca="1" si="1354"/>
        <v>0.25</v>
      </c>
      <c r="O1017" s="45">
        <f t="shared" ca="1" si="1354"/>
        <v>0</v>
      </c>
      <c r="P1017" s="46" t="str">
        <f t="shared" ca="1" si="1354"/>
        <v/>
      </c>
      <c r="Q1017" s="243" t="str">
        <f t="shared" ca="1" si="1354"/>
        <v/>
      </c>
      <c r="R1017" s="45">
        <f t="shared" ca="1" si="1310"/>
        <v>0.2982066649325078</v>
      </c>
      <c r="S1017" s="45">
        <f t="shared" ca="1" si="1334"/>
        <v>5.0695617570641283E-2</v>
      </c>
      <c r="T1017" s="77">
        <f t="shared" ca="1" si="1295"/>
        <v>4.2477452355207971E-3</v>
      </c>
      <c r="U1017" s="45">
        <f t="shared" ca="1" si="1311"/>
        <v>17.600988584656239</v>
      </c>
      <c r="V1017" s="45">
        <f t="shared" ca="1" si="1296"/>
        <v>0.20278247028256513</v>
      </c>
      <c r="W1017" s="77">
        <f t="shared" ca="1" si="1297"/>
        <v>7.5738657263958002E-3</v>
      </c>
      <c r="X1017" s="45">
        <f t="shared" ca="1" si="1312"/>
        <v>1.0210192554119801</v>
      </c>
      <c r="Y1017" s="45">
        <f t="shared" ca="1" si="1298"/>
        <v>1.1473567662226691E-3</v>
      </c>
      <c r="Z1017" s="77">
        <f t="shared" ca="1" si="1299"/>
        <v>9.6632900138186807E-4</v>
      </c>
      <c r="AA1017" s="45">
        <f t="shared" ca="1" si="1313"/>
        <v>39.204733967537102</v>
      </c>
      <c r="AB1017" s="45">
        <f t="shared" ca="1" si="1300"/>
        <v>0</v>
      </c>
      <c r="AC1017" s="45" cm="1">
        <f t="array" aca="1" ref="AC1017" ca="1">pHUM*(T1017+W1017+Z1017+AD1017)</f>
        <v>1.3498314896737283E-3</v>
      </c>
      <c r="AD1017" s="77">
        <f t="shared" ca="1" si="1301"/>
        <v>1.1249028545027896E-3</v>
      </c>
      <c r="AE1017" s="45">
        <f t="shared" ca="1" si="1314"/>
        <v>6.3847072090583081</v>
      </c>
      <c r="AF1017" s="45">
        <f t="shared" ca="1" si="1302"/>
        <v>0</v>
      </c>
      <c r="AG1017" s="76">
        <f t="shared" ca="1" si="1303"/>
        <v>64.509655681596129</v>
      </c>
      <c r="AH1017" s="45">
        <f t="shared" ca="1" si="1304"/>
        <v>1.141565456190486E-2</v>
      </c>
      <c r="AI1017" s="77">
        <f t="shared" ca="1" si="1305"/>
        <v>1.3935970221744427E-2</v>
      </c>
      <c r="AJ1017" s="384">
        <f t="shared" ca="1" si="1307"/>
        <v>1.1621654149230887E-2</v>
      </c>
      <c r="AU1017" s="1"/>
    </row>
    <row r="1018" spans="3:47" x14ac:dyDescent="0.25">
      <c r="C1018" s="10">
        <f t="shared" si="1332"/>
        <v>77</v>
      </c>
      <c r="D1018" s="91">
        <f t="shared" si="1315"/>
        <v>4</v>
      </c>
      <c r="E1018" s="278"/>
      <c r="F1018" s="76">
        <f t="shared" ref="F1018:Q1018" ca="1" si="1355">F946</f>
        <v>6.08</v>
      </c>
      <c r="G1018" s="46">
        <f t="shared" ca="1" si="1355"/>
        <v>27.012600000000003</v>
      </c>
      <c r="H1018" s="46">
        <f t="shared" ca="1" si="1291"/>
        <v>28.517550000000004</v>
      </c>
      <c r="I1018" s="45">
        <f t="shared" ca="1" si="1292"/>
        <v>0.26307228538649535</v>
      </c>
      <c r="J1018" s="45">
        <f t="shared" ca="1" si="1293"/>
        <v>0.27952512346894071</v>
      </c>
      <c r="K1018" s="45">
        <f t="shared" ca="1" si="1309"/>
        <v>0.90345467800480783</v>
      </c>
      <c r="L1018" s="358">
        <f t="shared" ca="1" si="1294"/>
        <v>0.58389398806465831</v>
      </c>
      <c r="M1018" s="76">
        <f t="shared" ca="1" si="1355"/>
        <v>0.25347808785320641</v>
      </c>
      <c r="N1018" s="45">
        <f t="shared" ca="1" si="1355"/>
        <v>0.25</v>
      </c>
      <c r="O1018" s="45">
        <f t="shared" ca="1" si="1355"/>
        <v>0</v>
      </c>
      <c r="P1018" s="46" t="str">
        <f t="shared" ca="1" si="1355"/>
        <v/>
      </c>
      <c r="Q1018" s="243" t="str">
        <f t="shared" ca="1" si="1355"/>
        <v/>
      </c>
      <c r="R1018" s="45">
        <f t="shared" ca="1" si="1310"/>
        <v>0.34465453726762829</v>
      </c>
      <c r="S1018" s="45">
        <f t="shared" ca="1" si="1334"/>
        <v>5.0695617570641283E-2</v>
      </c>
      <c r="T1018" s="77">
        <f t="shared" ca="1" si="1295"/>
        <v>6.7848877793297319E-2</v>
      </c>
      <c r="U1018" s="45">
        <f t="shared" ca="1" si="1311"/>
        <v>17.796197189212407</v>
      </c>
      <c r="V1018" s="45">
        <f t="shared" ca="1" si="1296"/>
        <v>0.20278247028256513</v>
      </c>
      <c r="W1018" s="77">
        <f t="shared" ca="1" si="1297"/>
        <v>0.11665811717749343</v>
      </c>
      <c r="X1018" s="45">
        <f t="shared" ca="1" si="1312"/>
        <v>1.0212002831768208</v>
      </c>
      <c r="Y1018" s="45">
        <f t="shared" ca="1" si="1298"/>
        <v>1.7842834779336399E-2</v>
      </c>
      <c r="Z1018" s="77">
        <f t="shared" ca="1" si="1299"/>
        <v>1.4669340989644251E-2</v>
      </c>
      <c r="AA1018" s="45">
        <f t="shared" ca="1" si="1313"/>
        <v>39.204958896172279</v>
      </c>
      <c r="AB1018" s="45">
        <f t="shared" ca="1" si="1300"/>
        <v>0</v>
      </c>
      <c r="AC1018" s="45" cm="1">
        <f t="array" aca="1" ref="AC1018" ca="1">pHUM*(T1018+W1018+Z1018+AD1018)</f>
        <v>2.0991570328631057E-2</v>
      </c>
      <c r="AD1018" s="77">
        <f t="shared" ca="1" si="1301"/>
        <v>1.7185795694722474E-2</v>
      </c>
      <c r="AE1018" s="45">
        <f t="shared" ca="1" si="1314"/>
        <v>6.3847072090583081</v>
      </c>
      <c r="AF1018" s="45">
        <f t="shared" ca="1" si="1302"/>
        <v>0</v>
      </c>
      <c r="AG1018" s="76">
        <f t="shared" ca="1" si="1303"/>
        <v>64.751718114887439</v>
      </c>
      <c r="AH1018" s="45">
        <f t="shared" ca="1" si="1304"/>
        <v>0.17752772654719007</v>
      </c>
      <c r="AI1018" s="77">
        <f t="shared" ca="1" si="1305"/>
        <v>1.4625122044236138E-2</v>
      </c>
      <c r="AJ1018" s="384">
        <f t="shared" ca="1" si="1307"/>
        <v>2.7231954626605326E-2</v>
      </c>
      <c r="AU1018" s="1"/>
    </row>
    <row r="1019" spans="3:47" x14ac:dyDescent="0.25">
      <c r="C1019" s="10">
        <f t="shared" si="1332"/>
        <v>77</v>
      </c>
      <c r="D1019" s="91">
        <f t="shared" si="1315"/>
        <v>5</v>
      </c>
      <c r="E1019" s="278"/>
      <c r="F1019" s="76">
        <f t="shared" ref="F1019:Q1019" ca="1" si="1356">F947</f>
        <v>16.079999999999998</v>
      </c>
      <c r="G1019" s="46">
        <f t="shared" ca="1" si="1356"/>
        <v>27.012600000000003</v>
      </c>
      <c r="H1019" s="46">
        <f t="shared" ca="1" si="1291"/>
        <v>28.517550000000004</v>
      </c>
      <c r="I1019" s="45">
        <f t="shared" ca="1" si="1292"/>
        <v>0.90560233354751607</v>
      </c>
      <c r="J1019" s="45">
        <f t="shared" ca="1" si="1293"/>
        <v>0.27952512346894071</v>
      </c>
      <c r="K1019" s="45">
        <f t="shared" ca="1" si="1309"/>
        <v>0.90345467800480783</v>
      </c>
      <c r="L1019" s="358">
        <f t="shared" ca="1" si="1294"/>
        <v>0.86059167822175908</v>
      </c>
      <c r="M1019" s="76">
        <f t="shared" ca="1" si="1356"/>
        <v>0.25347808785320641</v>
      </c>
      <c r="N1019" s="45">
        <f t="shared" ca="1" si="1356"/>
        <v>0.25</v>
      </c>
      <c r="O1019" s="45">
        <f t="shared" ca="1" si="1356"/>
        <v>0</v>
      </c>
      <c r="P1019" s="46" t="str">
        <f t="shared" ca="1" si="1356"/>
        <v/>
      </c>
      <c r="Q1019" s="243" t="str">
        <f t="shared" ca="1" si="1356"/>
        <v/>
      </c>
      <c r="R1019" s="45">
        <f t="shared" ca="1" si="1310"/>
        <v>0.32750127704497223</v>
      </c>
      <c r="S1019" s="45">
        <f t="shared" ca="1" si="1334"/>
        <v>5.0695617570641283E-2</v>
      </c>
      <c r="T1019" s="77">
        <f t="shared" ca="1" si="1295"/>
        <v>0.17352118168479536</v>
      </c>
      <c r="U1019" s="45">
        <f t="shared" ca="1" si="1311"/>
        <v>17.882321542317477</v>
      </c>
      <c r="V1019" s="45">
        <f t="shared" ca="1" si="1296"/>
        <v>0.20278247028256513</v>
      </c>
      <c r="W1019" s="77">
        <f t="shared" ca="1" si="1297"/>
        <v>0.40030820364719488</v>
      </c>
      <c r="X1019" s="45">
        <f t="shared" ca="1" si="1312"/>
        <v>1.0243737769665129</v>
      </c>
      <c r="Y1019" s="45">
        <f t="shared" ca="1" si="1298"/>
        <v>5.6303527522764289E-2</v>
      </c>
      <c r="Z1019" s="77">
        <f t="shared" ca="1" si="1299"/>
        <v>4.9772318172978794E-2</v>
      </c>
      <c r="AA1019" s="45">
        <f t="shared" ca="1" si="1313"/>
        <v>39.20876467080619</v>
      </c>
      <c r="AB1019" s="45">
        <f t="shared" ca="1" si="1300"/>
        <v>0</v>
      </c>
      <c r="AC1019" s="45" cm="1">
        <f t="array" aca="1" ref="AC1019" ca="1">pHUM*(T1019+W1019+Z1019+AD1019)</f>
        <v>6.6239444144428575E-2</v>
      </c>
      <c r="AD1019" s="77">
        <f t="shared" ca="1" si="1301"/>
        <v>5.9134609708999773E-2</v>
      </c>
      <c r="AE1019" s="45">
        <f t="shared" ca="1" si="1314"/>
        <v>6.3847072090583081</v>
      </c>
      <c r="AF1019" s="45">
        <f t="shared" ca="1" si="1302"/>
        <v>0</v>
      </c>
      <c r="AG1019" s="76">
        <f t="shared" ca="1" si="1303"/>
        <v>64.827668476193466</v>
      </c>
      <c r="AH1019" s="45">
        <f t="shared" ca="1" si="1304"/>
        <v>0.56019334154677591</v>
      </c>
      <c r="AI1019" s="77">
        <f t="shared" ca="1" si="1305"/>
        <v>1.4401465121398933E-2</v>
      </c>
      <c r="AJ1019" s="384">
        <f t="shared" ca="1" si="1307"/>
        <v>3.9522471555613059E-2</v>
      </c>
      <c r="AU1019" s="1"/>
    </row>
    <row r="1020" spans="3:47" x14ac:dyDescent="0.25">
      <c r="C1020" s="10">
        <f t="shared" si="1332"/>
        <v>77</v>
      </c>
      <c r="D1020" s="91">
        <f t="shared" si="1315"/>
        <v>6</v>
      </c>
      <c r="E1020" s="278"/>
      <c r="F1020" s="76">
        <f t="shared" ref="F1020:Q1020" ca="1" si="1357">F948</f>
        <v>17.399999999999999</v>
      </c>
      <c r="G1020" s="46">
        <f t="shared" ca="1" si="1357"/>
        <v>27.012600000000003</v>
      </c>
      <c r="H1020" s="46">
        <f t="shared" ca="1" si="1291"/>
        <v>28.517550000000004</v>
      </c>
      <c r="I1020" s="45">
        <f t="shared" ca="1" si="1292"/>
        <v>1.0098878501236044</v>
      </c>
      <c r="J1020" s="45">
        <f t="shared" ca="1" si="1293"/>
        <v>0.27952512346894071</v>
      </c>
      <c r="K1020" s="45">
        <f t="shared" ca="1" si="1309"/>
        <v>0.90345467800480783</v>
      </c>
      <c r="L1020" s="358">
        <f t="shared" ca="1" si="1294"/>
        <v>0.88208077264421947</v>
      </c>
      <c r="M1020" s="76">
        <f t="shared" ca="1" si="1357"/>
        <v>0.25347808785320641</v>
      </c>
      <c r="N1020" s="45">
        <f t="shared" ca="1" si="1357"/>
        <v>0.25</v>
      </c>
      <c r="O1020" s="45">
        <f t="shared" ca="1" si="1357"/>
        <v>0</v>
      </c>
      <c r="P1020" s="46" t="str">
        <f t="shared" ca="1" si="1357"/>
        <v/>
      </c>
      <c r="Q1020" s="243" t="str">
        <f t="shared" ca="1" si="1357"/>
        <v/>
      </c>
      <c r="R1020" s="45">
        <f t="shared" ca="1" si="1310"/>
        <v>0.20467571293081815</v>
      </c>
      <c r="S1020" s="45">
        <f t="shared" ca="1" si="1334"/>
        <v>5.0695617570641283E-2</v>
      </c>
      <c r="T1020" s="77">
        <f t="shared" ca="1" si="1295"/>
        <v>0.11645395421434461</v>
      </c>
      <c r="U1020" s="45">
        <f t="shared" ca="1" si="1311"/>
        <v>17.684795808952845</v>
      </c>
      <c r="V1020" s="45">
        <f t="shared" ca="1" si="1296"/>
        <v>0.20278247028256513</v>
      </c>
      <c r="W1020" s="77">
        <f t="shared" ca="1" si="1297"/>
        <v>0.44090231703989025</v>
      </c>
      <c r="X1020" s="45">
        <f t="shared" ca="1" si="1312"/>
        <v>1.0309049863162985</v>
      </c>
      <c r="Y1020" s="45">
        <f t="shared" ca="1" si="1298"/>
        <v>5.599590002818889E-2</v>
      </c>
      <c r="Z1020" s="77">
        <f t="shared" ca="1" si="1299"/>
        <v>5.5699219918063696E-2</v>
      </c>
      <c r="AA1020" s="45">
        <f t="shared" ca="1" si="1313"/>
        <v>39.215869505241621</v>
      </c>
      <c r="AB1020" s="45">
        <f t="shared" ca="1" si="1300"/>
        <v>0</v>
      </c>
      <c r="AC1020" s="45" cm="1">
        <f t="array" aca="1" ref="AC1020" ca="1">pHUM*(T1020+W1020+Z1020+AD1020)</f>
        <v>6.5877529444928098E-2</v>
      </c>
      <c r="AD1020" s="77">
        <f t="shared" ca="1" si="1301"/>
        <v>6.5950532471363246E-2</v>
      </c>
      <c r="AE1020" s="45">
        <f t="shared" ca="1" si="1314"/>
        <v>6.3847072090583081</v>
      </c>
      <c r="AF1020" s="45">
        <f t="shared" ca="1" si="1302"/>
        <v>0</v>
      </c>
      <c r="AG1020" s="76">
        <f t="shared" ca="1" si="1303"/>
        <v>64.520953222499884</v>
      </c>
      <c r="AH1020" s="45">
        <f t="shared" ca="1" si="1304"/>
        <v>0.55713259417054484</v>
      </c>
      <c r="AI1020" s="77">
        <f t="shared" ca="1" si="1305"/>
        <v>1.2638286722522301E-2</v>
      </c>
      <c r="AJ1020" s="384">
        <f t="shared" ca="1" si="1307"/>
        <v>3.5549906560504718E-2</v>
      </c>
      <c r="AU1020" s="1"/>
    </row>
    <row r="1021" spans="3:47" x14ac:dyDescent="0.25">
      <c r="C1021" s="10">
        <f t="shared" si="1332"/>
        <v>77</v>
      </c>
      <c r="D1021" s="91">
        <f t="shared" si="1315"/>
        <v>7</v>
      </c>
      <c r="E1021" s="278"/>
      <c r="F1021" s="76">
        <f t="shared" ref="F1021:Q1021" ca="1" si="1358">F949</f>
        <v>21.29</v>
      </c>
      <c r="G1021" s="46">
        <f t="shared" ca="1" si="1358"/>
        <v>27.012600000000003</v>
      </c>
      <c r="H1021" s="46">
        <f t="shared" ca="1" si="1291"/>
        <v>28.517550000000004</v>
      </c>
      <c r="I1021" s="45">
        <f t="shared" ca="1" si="1292"/>
        <v>1.3308669995183955</v>
      </c>
      <c r="J1021" s="45">
        <f t="shared" ca="1" si="1293"/>
        <v>0.27952512346894071</v>
      </c>
      <c r="K1021" s="45">
        <f t="shared" ca="1" si="1309"/>
        <v>0.90345467800480783</v>
      </c>
      <c r="L1021" s="358">
        <f t="shared" ca="1" si="1294"/>
        <v>0.92839591561968593</v>
      </c>
      <c r="M1021" s="76">
        <f t="shared" ca="1" si="1358"/>
        <v>0.25347808785320641</v>
      </c>
      <c r="N1021" s="45">
        <f t="shared" ca="1" si="1358"/>
        <v>0.25</v>
      </c>
      <c r="O1021" s="45">
        <f t="shared" ca="1" si="1358"/>
        <v>0</v>
      </c>
      <c r="P1021" s="46" t="str">
        <f t="shared" ca="1" si="1358"/>
        <v/>
      </c>
      <c r="Q1021" s="243" t="str">
        <f t="shared" ca="1" si="1358"/>
        <v/>
      </c>
      <c r="R1021" s="45">
        <f t="shared" ca="1" si="1310"/>
        <v>0.13891737628711481</v>
      </c>
      <c r="S1021" s="45">
        <f t="shared" ca="1" si="1334"/>
        <v>5.0695617570641283E-2</v>
      </c>
      <c r="T1021" s="77">
        <f t="shared" ca="1" si="1295"/>
        <v>9.3092664317525969E-2</v>
      </c>
      <c r="U1021" s="45">
        <f t="shared" ca="1" si="1311"/>
        <v>17.446675962195521</v>
      </c>
      <c r="V1021" s="45">
        <f t="shared" ca="1" si="1296"/>
        <v>0.20278247028256513</v>
      </c>
      <c r="W1021" s="77">
        <f t="shared" ca="1" si="1297"/>
        <v>0.57092957314636761</v>
      </c>
      <c r="X1021" s="45">
        <f t="shared" ca="1" si="1312"/>
        <v>1.0312016664264236</v>
      </c>
      <c r="Y1021" s="45">
        <f t="shared" ca="1" si="1298"/>
        <v>6.7928120847226159E-2</v>
      </c>
      <c r="Z1021" s="77">
        <f t="shared" ca="1" si="1299"/>
        <v>7.2785224649724742E-2</v>
      </c>
      <c r="AA1021" s="45">
        <f t="shared" ca="1" si="1313"/>
        <v>39.215796502215184</v>
      </c>
      <c r="AB1021" s="45">
        <f t="shared" ca="1" si="1300"/>
        <v>0</v>
      </c>
      <c r="AC1021" s="45" cm="1">
        <f t="array" aca="1" ref="AC1021" ca="1">pHUM*(T1021+W1021+Z1021+AD1021)</f>
        <v>7.9915436290854305E-2</v>
      </c>
      <c r="AD1021" s="77">
        <f t="shared" ca="1" si="1301"/>
        <v>8.688861575712023E-2</v>
      </c>
      <c r="AE1021" s="45">
        <f t="shared" ca="1" si="1314"/>
        <v>6.3847072090583081</v>
      </c>
      <c r="AF1021" s="45">
        <f t="shared" ca="1" si="1302"/>
        <v>0</v>
      </c>
      <c r="AG1021" s="76">
        <f t="shared" ca="1" si="1303"/>
        <v>64.217298716182555</v>
      </c>
      <c r="AH1021" s="45">
        <f t="shared" ca="1" si="1304"/>
        <v>0.67585252073265811</v>
      </c>
      <c r="AI1021" s="77">
        <f t="shared" ca="1" si="1305"/>
        <v>1.1654451481766984E-2</v>
      </c>
      <c r="AJ1021" s="384">
        <f t="shared" ca="1" si="1307"/>
        <v>3.4503836889520079E-2</v>
      </c>
      <c r="AU1021" s="1"/>
    </row>
    <row r="1022" spans="3:47" x14ac:dyDescent="0.25">
      <c r="C1022" s="10">
        <f t="shared" si="1332"/>
        <v>77</v>
      </c>
      <c r="D1022" s="91">
        <f t="shared" si="1315"/>
        <v>8</v>
      </c>
      <c r="E1022" s="278"/>
      <c r="F1022" s="76">
        <f t="shared" ref="F1022:Q1022" ca="1" si="1359">F950</f>
        <v>21.81</v>
      </c>
      <c r="G1022" s="46">
        <f t="shared" ca="1" si="1359"/>
        <v>27.012600000000003</v>
      </c>
      <c r="H1022" s="46">
        <f t="shared" ca="1" si="1291"/>
        <v>28.517550000000004</v>
      </c>
      <c r="I1022" s="45">
        <f t="shared" ca="1" si="1292"/>
        <v>1.3748539373542934</v>
      </c>
      <c r="J1022" s="45">
        <f t="shared" ca="1" si="1293"/>
        <v>0.27952512346894071</v>
      </c>
      <c r="K1022" s="45">
        <f t="shared" ca="1" si="1309"/>
        <v>0.90345467800480783</v>
      </c>
      <c r="L1022" s="358">
        <f t="shared" ca="1" si="1294"/>
        <v>0.93294591915671865</v>
      </c>
      <c r="M1022" s="76">
        <f t="shared" ca="1" si="1359"/>
        <v>0.25347808785320641</v>
      </c>
      <c r="N1022" s="45">
        <f t="shared" ca="1" si="1359"/>
        <v>0.25</v>
      </c>
      <c r="O1022" s="45">
        <f t="shared" ca="1" si="1359"/>
        <v>0</v>
      </c>
      <c r="P1022" s="46" t="str">
        <f t="shared" ca="1" si="1359"/>
        <v/>
      </c>
      <c r="Q1022" s="243" t="str">
        <f t="shared" ca="1" si="1359"/>
        <v/>
      </c>
      <c r="R1022" s="45">
        <f t="shared" ca="1" si="1310"/>
        <v>9.6520329540230126E-2</v>
      </c>
      <c r="S1022" s="45">
        <f t="shared" ca="1" si="1334"/>
        <v>5.0695617570641283E-2</v>
      </c>
      <c r="T1022" s="77">
        <f t="shared" ca="1" si="1295"/>
        <v>6.5827101645662786E-2</v>
      </c>
      <c r="U1022" s="45">
        <f t="shared" ca="1" si="1311"/>
        <v>17.078528859331715</v>
      </c>
      <c r="V1022" s="45">
        <f t="shared" ca="1" si="1296"/>
        <v>0.20278247028256513</v>
      </c>
      <c r="W1022" s="77">
        <f t="shared" ca="1" si="1297"/>
        <v>0.57703846330305908</v>
      </c>
      <c r="X1022" s="45">
        <f t="shared" ca="1" si="1312"/>
        <v>1.0263445626239251</v>
      </c>
      <c r="Y1022" s="45">
        <f t="shared" ca="1" si="1298"/>
        <v>6.6580437961401992E-2</v>
      </c>
      <c r="Z1022" s="77">
        <f t="shared" ca="1" si="1299"/>
        <v>7.4747364714212755E-2</v>
      </c>
      <c r="AA1022" s="45">
        <f t="shared" ca="1" si="1313"/>
        <v>39.20882332274892</v>
      </c>
      <c r="AB1022" s="45">
        <f t="shared" ca="1" si="1300"/>
        <v>0</v>
      </c>
      <c r="AC1022" s="45" cm="1">
        <f t="array" aca="1" ref="AC1022" ca="1">pHUM*(T1022+W1022+Z1022+AD1022)</f>
        <v>7.8329927013414111E-2</v>
      </c>
      <c r="AD1022" s="77">
        <f t="shared" ca="1" si="1301"/>
        <v>8.9741151794219653E-2</v>
      </c>
      <c r="AE1022" s="45">
        <f t="shared" ca="1" si="1314"/>
        <v>6.3847072090583081</v>
      </c>
      <c r="AF1022" s="45">
        <f t="shared" ca="1" si="1302"/>
        <v>0</v>
      </c>
      <c r="AG1022" s="76">
        <f t="shared" ca="1" si="1303"/>
        <v>63.794924283303097</v>
      </c>
      <c r="AH1022" s="45">
        <f t="shared" ca="1" si="1304"/>
        <v>0.66244371648233824</v>
      </c>
      <c r="AI1022" s="77">
        <f t="shared" ca="1" si="1305"/>
        <v>1.0959614007997122E-2</v>
      </c>
      <c r="AJ1022" s="384">
        <f t="shared" ca="1" si="1307"/>
        <v>3.2605798368211536E-2</v>
      </c>
      <c r="AU1022" s="1"/>
    </row>
    <row r="1023" spans="3:47" x14ac:dyDescent="0.25">
      <c r="C1023" s="10">
        <f t="shared" si="1332"/>
        <v>77</v>
      </c>
      <c r="D1023" s="91">
        <f t="shared" si="1315"/>
        <v>9</v>
      </c>
      <c r="E1023" s="278"/>
      <c r="F1023" s="76">
        <f t="shared" ref="F1023:Q1023" ca="1" si="1360">F951</f>
        <v>19.09</v>
      </c>
      <c r="G1023" s="46">
        <f t="shared" ca="1" si="1360"/>
        <v>27.012600000000003</v>
      </c>
      <c r="H1023" s="46">
        <f t="shared" ca="1" si="1291"/>
        <v>28.517550000000004</v>
      </c>
      <c r="I1023" s="45">
        <f t="shared" ca="1" si="1292"/>
        <v>1.1472439462064867</v>
      </c>
      <c r="J1023" s="45">
        <f t="shared" ca="1" si="1293"/>
        <v>0.27952512346894071</v>
      </c>
      <c r="K1023" s="45">
        <f t="shared" ca="1" si="1309"/>
        <v>0.90345467800480783</v>
      </c>
      <c r="L1023" s="358">
        <f t="shared" ca="1" si="1294"/>
        <v>0.90508116523032656</v>
      </c>
      <c r="M1023" s="76">
        <f t="shared" ca="1" si="1360"/>
        <v>0.25347808785320641</v>
      </c>
      <c r="N1023" s="45">
        <f t="shared" ca="1" si="1360"/>
        <v>0.25</v>
      </c>
      <c r="O1023" s="45">
        <f t="shared" ca="1" si="1360"/>
        <v>0</v>
      </c>
      <c r="P1023" s="46" t="str">
        <f t="shared" ca="1" si="1360"/>
        <v/>
      </c>
      <c r="Q1023" s="243" t="str">
        <f t="shared" ca="1" si="1360"/>
        <v/>
      </c>
      <c r="R1023" s="45">
        <f t="shared" ca="1" si="1310"/>
        <v>8.1388845465208623E-2</v>
      </c>
      <c r="S1023" s="45">
        <f t="shared" ca="1" si="1334"/>
        <v>5.0695617570641283E-2</v>
      </c>
      <c r="T1023" s="77">
        <f t="shared" ca="1" si="1295"/>
        <v>5.0101878867953413E-2</v>
      </c>
      <c r="U1023" s="45">
        <f t="shared" ca="1" si="1311"/>
        <v>16.704272866311221</v>
      </c>
      <c r="V1023" s="45">
        <f t="shared" ca="1" si="1296"/>
        <v>0.20278247028256513</v>
      </c>
      <c r="W1023" s="77">
        <f t="shared" ca="1" si="1297"/>
        <v>0.47229160167189288</v>
      </c>
      <c r="X1023" s="45">
        <f t="shared" ca="1" si="1312"/>
        <v>1.0181776358711143</v>
      </c>
      <c r="Y1023" s="45">
        <f t="shared" ca="1" si="1298"/>
        <v>5.4389817017944979E-2</v>
      </c>
      <c r="Z1023" s="77">
        <f t="shared" ca="1" si="1299"/>
        <v>6.2260472782291791E-2</v>
      </c>
      <c r="AA1023" s="45">
        <f t="shared" ca="1" si="1313"/>
        <v>39.197412097968112</v>
      </c>
      <c r="AB1023" s="45">
        <f t="shared" ca="1" si="1300"/>
        <v>0</v>
      </c>
      <c r="AC1023" s="45" cm="1">
        <f t="array" aca="1" ref="AC1023" ca="1">pHUM*(T1023+W1023+Z1023+AD1023)</f>
        <v>6.3988020021111744E-2</v>
      </c>
      <c r="AD1023" s="77">
        <f t="shared" ca="1" si="1301"/>
        <v>7.4876715199481511E-2</v>
      </c>
      <c r="AE1023" s="45">
        <f t="shared" ca="1" si="1314"/>
        <v>6.3847072090583081</v>
      </c>
      <c r="AF1023" s="45">
        <f t="shared" ca="1" si="1302"/>
        <v>0</v>
      </c>
      <c r="AG1023" s="76">
        <f t="shared" ca="1" si="1303"/>
        <v>63.385958654673964</v>
      </c>
      <c r="AH1023" s="45">
        <f t="shared" ca="1" si="1304"/>
        <v>0.54115283148256277</v>
      </c>
      <c r="AI1023" s="77">
        <f t="shared" ca="1" si="1305"/>
        <v>1.0644672429000081E-2</v>
      </c>
      <c r="AJ1023" s="384">
        <f t="shared" ca="1" si="1307"/>
        <v>3.0723006341253356E-2</v>
      </c>
      <c r="AU1023" s="1"/>
    </row>
    <row r="1024" spans="3:47" x14ac:dyDescent="0.25">
      <c r="C1024" s="10">
        <f t="shared" si="1332"/>
        <v>77</v>
      </c>
      <c r="D1024" s="91">
        <f t="shared" si="1315"/>
        <v>10</v>
      </c>
      <c r="E1024" s="278"/>
      <c r="F1024" s="76">
        <f t="shared" ref="F1024:Q1024" ca="1" si="1361">F952</f>
        <v>9.02</v>
      </c>
      <c r="G1024" s="46">
        <f t="shared" ca="1" si="1361"/>
        <v>27.012600000000003</v>
      </c>
      <c r="H1024" s="46">
        <f t="shared" ca="1" si="1291"/>
        <v>28.517550000000004</v>
      </c>
      <c r="I1024" s="45">
        <f t="shared" ca="1" si="1292"/>
        <v>0.41742778729268759</v>
      </c>
      <c r="J1024" s="45">
        <f t="shared" ca="1" si="1293"/>
        <v>0.27952512346894071</v>
      </c>
      <c r="K1024" s="45">
        <f t="shared" ca="1" si="1309"/>
        <v>0.90345467800480783</v>
      </c>
      <c r="L1024" s="358">
        <f t="shared" ca="1" si="1294"/>
        <v>0.68492882381082199</v>
      </c>
      <c r="M1024" s="76">
        <f t="shared" ca="1" si="1361"/>
        <v>0.25347808785320641</v>
      </c>
      <c r="N1024" s="45">
        <f t="shared" ca="1" si="1361"/>
        <v>0.25</v>
      </c>
      <c r="O1024" s="45">
        <f t="shared" ca="1" si="1361"/>
        <v>0</v>
      </c>
      <c r="P1024" s="46" t="str">
        <f t="shared" ca="1" si="1361"/>
        <v/>
      </c>
      <c r="Q1024" s="243" t="str">
        <f t="shared" ca="1" si="1361"/>
        <v/>
      </c>
      <c r="R1024" s="45">
        <f t="shared" ca="1" si="1310"/>
        <v>8.1982584167896499E-2</v>
      </c>
      <c r="S1024" s="45">
        <f t="shared" ca="1" si="1334"/>
        <v>5.0695617570641283E-2</v>
      </c>
      <c r="T1024" s="77">
        <f t="shared" ca="1" si="1295"/>
        <v>2.4086465507844296E-2</v>
      </c>
      <c r="U1024" s="45">
        <f t="shared" ca="1" si="1311"/>
        <v>16.434763734921894</v>
      </c>
      <c r="V1024" s="45">
        <f t="shared" ca="1" si="1296"/>
        <v>0.20278247028256513</v>
      </c>
      <c r="W1024" s="77">
        <f t="shared" ca="1" si="1297"/>
        <v>0.1706163779060878</v>
      </c>
      <c r="X1024" s="45">
        <f t="shared" ca="1" si="1312"/>
        <v>1.0103069801067674</v>
      </c>
      <c r="Y1024" s="45">
        <f t="shared" ca="1" si="1298"/>
        <v>2.0195196513483747E-2</v>
      </c>
      <c r="Z1024" s="77">
        <f t="shared" ca="1" si="1299"/>
        <v>2.2930924040731833E-2</v>
      </c>
      <c r="AA1024" s="45">
        <f t="shared" ca="1" si="1313"/>
        <v>39.186523402789746</v>
      </c>
      <c r="AB1024" s="45">
        <f t="shared" ca="1" si="1300"/>
        <v>0</v>
      </c>
      <c r="AC1024" s="45" cm="1">
        <f t="array" aca="1" ref="AC1024" ca="1">pHUM*(T1024+W1024+Z1024+AD1024)</f>
        <v>2.3759054721745585E-2</v>
      </c>
      <c r="AD1024" s="77">
        <f t="shared" ca="1" si="1301"/>
        <v>2.7253091662161666E-2</v>
      </c>
      <c r="AE1024" s="45">
        <f t="shared" ca="1" si="1314"/>
        <v>6.3847072090583081</v>
      </c>
      <c r="AF1024" s="45">
        <f t="shared" ca="1" si="1302"/>
        <v>0</v>
      </c>
      <c r="AG1024" s="76">
        <f t="shared" ca="1" si="1303"/>
        <v>63.098283911044611</v>
      </c>
      <c r="AH1024" s="45">
        <f t="shared" ca="1" si="1304"/>
        <v>0.20093260788159628</v>
      </c>
      <c r="AI1024" s="77">
        <f t="shared" ca="1" si="1305"/>
        <v>1.0580635266754386E-2</v>
      </c>
      <c r="AJ1024" s="384">
        <f t="shared" ca="1" si="1307"/>
        <v>2.3110225744474855E-2</v>
      </c>
      <c r="AU1024" s="1"/>
    </row>
    <row r="1025" spans="3:47" x14ac:dyDescent="0.25">
      <c r="C1025" s="10">
        <f t="shared" si="1332"/>
        <v>77</v>
      </c>
      <c r="D1025" s="91">
        <f t="shared" si="1315"/>
        <v>11</v>
      </c>
      <c r="E1025" s="278"/>
      <c r="F1025" s="76">
        <f t="shared" ref="F1025:Q1025" ca="1" si="1362">F953</f>
        <v>5.62</v>
      </c>
      <c r="G1025" s="46">
        <f t="shared" ca="1" si="1362"/>
        <v>27.012600000000003</v>
      </c>
      <c r="H1025" s="46">
        <f t="shared" ca="1" si="1291"/>
        <v>28.517550000000004</v>
      </c>
      <c r="I1025" s="45">
        <f t="shared" ca="1" si="1292"/>
        <v>0.24215575259059691</v>
      </c>
      <c r="J1025" s="45">
        <f t="shared" ca="1" si="1293"/>
        <v>0.27952512346894071</v>
      </c>
      <c r="K1025" s="45">
        <f t="shared" ca="1" si="1309"/>
        <v>0.90345467800480783</v>
      </c>
      <c r="L1025" s="358">
        <f t="shared" ca="1" si="1294"/>
        <v>0.5671500175141555</v>
      </c>
      <c r="M1025" s="76">
        <f t="shared" ca="1" si="1362"/>
        <v>0.25347808785320641</v>
      </c>
      <c r="N1025" s="45">
        <f t="shared" ca="1" si="1362"/>
        <v>0.25</v>
      </c>
      <c r="O1025" s="45">
        <f t="shared" ca="1" si="1362"/>
        <v>0</v>
      </c>
      <c r="P1025" s="46" t="str">
        <f t="shared" ca="1" si="1362"/>
        <v/>
      </c>
      <c r="Q1025" s="243" t="str">
        <f t="shared" ca="1" si="1362"/>
        <v/>
      </c>
      <c r="R1025" s="45">
        <f t="shared" ca="1" si="1310"/>
        <v>0.10859173623069349</v>
      </c>
      <c r="S1025" s="45">
        <f t="shared" ca="1" si="1334"/>
        <v>5.0695617570641283E-2</v>
      </c>
      <c r="T1025" s="77">
        <f t="shared" ca="1" si="1295"/>
        <v>1.9843917491017132E-2</v>
      </c>
      <c r="U1025" s="45">
        <f t="shared" ca="1" si="1311"/>
        <v>16.466929827298369</v>
      </c>
      <c r="V1025" s="45">
        <f t="shared" ca="1" si="1296"/>
        <v>0.20278247028256513</v>
      </c>
      <c r="W1025" s="77">
        <f t="shared" ca="1" si="1297"/>
        <v>9.9387899191598267E-2</v>
      </c>
      <c r="X1025" s="45">
        <f t="shared" ca="1" si="1312"/>
        <v>1.0075712525795193</v>
      </c>
      <c r="Y1025" s="45">
        <f t="shared" ca="1" si="1298"/>
        <v>1.2235948576231444E-2</v>
      </c>
      <c r="Z1025" s="77">
        <f t="shared" ca="1" si="1299"/>
        <v>1.3330436421216358E-2</v>
      </c>
      <c r="AA1025" s="45">
        <f t="shared" ca="1" si="1313"/>
        <v>39.183029365849329</v>
      </c>
      <c r="AB1025" s="45">
        <f t="shared" ca="1" si="1300"/>
        <v>0</v>
      </c>
      <c r="AC1025" s="45" cm="1">
        <f t="array" aca="1" ref="AC1025" ca="1">pHUM*(T1025+W1025+Z1025+AD1025)</f>
        <v>1.4395233619095818E-2</v>
      </c>
      <c r="AD1025" s="77">
        <f t="shared" ca="1" si="1301"/>
        <v>1.5810802496181227E-2</v>
      </c>
      <c r="AE1025" s="45">
        <f t="shared" ca="1" si="1314"/>
        <v>6.3847072090583081</v>
      </c>
      <c r="AF1025" s="45">
        <f t="shared" ca="1" si="1302"/>
        <v>0</v>
      </c>
      <c r="AG1025" s="76">
        <f t="shared" ca="1" si="1303"/>
        <v>63.150829391016217</v>
      </c>
      <c r="AH1025" s="45">
        <f t="shared" ca="1" si="1304"/>
        <v>0.12174187340468574</v>
      </c>
      <c r="AI1025" s="77">
        <f t="shared" ca="1" si="1305"/>
        <v>1.0972879652522163E-2</v>
      </c>
      <c r="AJ1025" s="384">
        <f t="shared" ca="1" si="1307"/>
        <v>1.984572204488555E-2</v>
      </c>
      <c r="AU1025" s="1"/>
    </row>
    <row r="1026" spans="3:47" x14ac:dyDescent="0.25">
      <c r="C1026" s="10">
        <f t="shared" si="1332"/>
        <v>77</v>
      </c>
      <c r="D1026" s="91">
        <f t="shared" si="1315"/>
        <v>12</v>
      </c>
      <c r="E1026" s="278"/>
      <c r="F1026" s="76">
        <f t="shared" ref="F1026:Q1026" ca="1" si="1363">F954</f>
        <v>3.68</v>
      </c>
      <c r="G1026" s="46">
        <f t="shared" ca="1" si="1363"/>
        <v>27.012600000000003</v>
      </c>
      <c r="H1026" s="46">
        <f t="shared" ca="1" si="1291"/>
        <v>28.517550000000004</v>
      </c>
      <c r="I1026" s="45">
        <f t="shared" ca="1" si="1292"/>
        <v>0.16418562454767627</v>
      </c>
      <c r="J1026" s="45">
        <f t="shared" ca="1" si="1293"/>
        <v>0.27952512346894071</v>
      </c>
      <c r="K1026" s="45">
        <f t="shared" ca="1" si="1309"/>
        <v>0.90345467800480783</v>
      </c>
      <c r="L1026" s="358">
        <f t="shared" ca="1" si="1294"/>
        <v>0.49525928680467546</v>
      </c>
      <c r="M1026" s="76">
        <f t="shared" ca="1" si="1363"/>
        <v>0.25347808785320641</v>
      </c>
      <c r="N1026" s="45">
        <f t="shared" ca="1" si="1363"/>
        <v>0.25</v>
      </c>
      <c r="O1026" s="45">
        <f t="shared" ca="1" si="1363"/>
        <v>0</v>
      </c>
      <c r="P1026" s="46" t="str">
        <f t="shared" ca="1" si="1363"/>
        <v/>
      </c>
      <c r="Q1026" s="243" t="str">
        <f t="shared" ca="1" si="1363"/>
        <v/>
      </c>
      <c r="R1026" s="45">
        <f t="shared" ca="1" si="1310"/>
        <v>0.13944343631031764</v>
      </c>
      <c r="S1026" s="45">
        <f t="shared" ca="1" si="1334"/>
        <v>5.0695617570641283E-2</v>
      </c>
      <c r="T1026" s="77">
        <f t="shared" ca="1" si="1295"/>
        <v>1.7831187991366577E-2</v>
      </c>
      <c r="U1026" s="45">
        <f t="shared" ca="1" si="1311"/>
        <v>16.570324398389335</v>
      </c>
      <c r="V1026" s="45">
        <f t="shared" ca="1" si="1296"/>
        <v>0.20278247028256513</v>
      </c>
      <c r="W1026" s="77">
        <f t="shared" ca="1" si="1297"/>
        <v>6.787582826892051E-2</v>
      </c>
      <c r="X1026" s="45">
        <f t="shared" ca="1" si="1312"/>
        <v>1.0064767647345343</v>
      </c>
      <c r="Y1026" s="45">
        <f t="shared" ca="1" si="1298"/>
        <v>8.698262859978205E-3</v>
      </c>
      <c r="Z1026" s="77">
        <f t="shared" ca="1" si="1299"/>
        <v>9.0477827223883756E-3</v>
      </c>
      <c r="AA1026" s="45">
        <f t="shared" ca="1" si="1313"/>
        <v>39.181613796972243</v>
      </c>
      <c r="AB1026" s="45">
        <f t="shared" ca="1" si="1300"/>
        <v>0</v>
      </c>
      <c r="AC1026" s="45" cm="1">
        <f t="array" aca="1" ref="AC1026" ca="1">pHUM*(T1026+W1026+Z1026+AD1026)</f>
        <v>1.0233250423503771E-2</v>
      </c>
      <c r="AD1026" s="77">
        <f t="shared" ca="1" si="1301"/>
        <v>1.0720296054424058E-2</v>
      </c>
      <c r="AE1026" s="45">
        <f t="shared" ca="1" si="1314"/>
        <v>6.3847072090583081</v>
      </c>
      <c r="AF1026" s="45">
        <f t="shared" ca="1" si="1302"/>
        <v>0</v>
      </c>
      <c r="AG1026" s="76">
        <f t="shared" ca="1" si="1303"/>
        <v>63.28256560546474</v>
      </c>
      <c r="AH1026" s="45">
        <f t="shared" ca="1" si="1304"/>
        <v>8.6543581753617552E-2</v>
      </c>
      <c r="AI1026" s="77">
        <f t="shared" ca="1" si="1305"/>
        <v>1.1443662443977119E-2</v>
      </c>
      <c r="AJ1026" s="384">
        <f t="shared" ca="1" si="1307"/>
        <v>1.8073685938713169E-2</v>
      </c>
      <c r="AU1026" s="1"/>
    </row>
    <row r="1027" spans="3:47" x14ac:dyDescent="0.25">
      <c r="C1027" s="10">
        <f t="shared" si="1332"/>
        <v>78</v>
      </c>
      <c r="D1027" s="91">
        <f t="shared" si="1315"/>
        <v>1</v>
      </c>
      <c r="E1027" s="278"/>
      <c r="F1027" s="76">
        <f t="shared" ref="F1027:Q1027" si="1364">F955</f>
        <v>0.85587096774193583</v>
      </c>
      <c r="G1027" s="46">
        <f t="shared" si="1364"/>
        <v>78.439554282868485</v>
      </c>
      <c r="H1027" s="46">
        <f t="shared" si="1291"/>
        <v>-22.909404282868479</v>
      </c>
      <c r="I1027" s="45">
        <f t="shared" si="1292"/>
        <v>0</v>
      </c>
      <c r="J1027" s="45">
        <f t="shared" si="1293"/>
        <v>0.23072180944359474</v>
      </c>
      <c r="K1027" s="45">
        <f t="shared" ca="1" si="1309"/>
        <v>0.74571722023659515</v>
      </c>
      <c r="L1027" s="358">
        <f t="shared" si="1294"/>
        <v>0.39170179323548027</v>
      </c>
      <c r="M1027" s="76">
        <f t="shared" ca="1" si="1364"/>
        <v>0.25347808785320641</v>
      </c>
      <c r="N1027" s="45">
        <f t="shared" ca="1" si="1364"/>
        <v>0.25</v>
      </c>
      <c r="O1027" s="45">
        <f t="shared" ca="1" si="1364"/>
        <v>0</v>
      </c>
      <c r="P1027" s="46" t="str">
        <f t="shared" ca="1" si="1364"/>
        <v/>
      </c>
      <c r="Q1027" s="243" t="str">
        <f t="shared" ca="1" si="1364"/>
        <v/>
      </c>
      <c r="R1027" s="45">
        <f t="shared" ca="1" si="1310"/>
        <v>0.17230786588959235</v>
      </c>
      <c r="S1027" s="45">
        <f t="shared" ca="1" si="1334"/>
        <v>5.0695617570641283E-2</v>
      </c>
      <c r="T1027" s="77">
        <f t="shared" ca="1" si="1295"/>
        <v>0</v>
      </c>
      <c r="U1027" s="45">
        <f t="shared" ca="1" si="1311"/>
        <v>16.705231040402978</v>
      </c>
      <c r="V1027" s="45">
        <f t="shared" ca="1" si="1296"/>
        <v>0.20278247028256513</v>
      </c>
      <c r="W1027" s="77">
        <f t="shared" ca="1" si="1297"/>
        <v>0</v>
      </c>
      <c r="X1027" s="45">
        <f t="shared" ca="1" si="1312"/>
        <v>1.0061272448721241</v>
      </c>
      <c r="Y1027" s="45">
        <f t="shared" ca="1" si="1298"/>
        <v>0</v>
      </c>
      <c r="Z1027" s="77">
        <f t="shared" ca="1" si="1299"/>
        <v>0</v>
      </c>
      <c r="AA1027" s="45">
        <f t="shared" ca="1" si="1313"/>
        <v>39.181126751341324</v>
      </c>
      <c r="AB1027" s="45">
        <f t="shared" ca="1" si="1300"/>
        <v>0</v>
      </c>
      <c r="AC1027" s="45" cm="1">
        <f t="array" aca="1" ref="AC1027" ca="1">pHUM*(T1027+W1027+Z1027+AD1027)</f>
        <v>0</v>
      </c>
      <c r="AD1027" s="77">
        <f t="shared" ca="1" si="1301"/>
        <v>0</v>
      </c>
      <c r="AE1027" s="45">
        <f t="shared" ca="1" si="1314"/>
        <v>6.3847072090583081</v>
      </c>
      <c r="AF1027" s="45">
        <f t="shared" ca="1" si="1302"/>
        <v>0</v>
      </c>
      <c r="AG1027" s="76">
        <f t="shared" ca="1" si="1303"/>
        <v>63.449500111564326</v>
      </c>
      <c r="AH1027" s="45">
        <f t="shared" ca="1" si="1304"/>
        <v>0</v>
      </c>
      <c r="AI1027" s="77">
        <f t="shared" ca="1" si="1305"/>
        <v>1.194886559569598E-2</v>
      </c>
      <c r="AJ1027" s="384">
        <f t="shared" ca="1" si="1307"/>
        <v>1.2319737635103634E-2</v>
      </c>
      <c r="AU1027" s="1"/>
    </row>
    <row r="1028" spans="3:47" x14ac:dyDescent="0.25">
      <c r="C1028" s="10">
        <f t="shared" si="1332"/>
        <v>78</v>
      </c>
      <c r="D1028" s="91">
        <f t="shared" si="1315"/>
        <v>2</v>
      </c>
      <c r="E1028" s="278"/>
      <c r="F1028" s="76">
        <f t="shared" ref="F1028:Q1028" si="1365">F956</f>
        <v>0.91042857142857181</v>
      </c>
      <c r="G1028" s="46">
        <f t="shared" si="1365"/>
        <v>77.312634079068317</v>
      </c>
      <c r="H1028" s="46">
        <f t="shared" si="1291"/>
        <v>-21.782484079068311</v>
      </c>
      <c r="I1028" s="45">
        <f t="shared" si="1292"/>
        <v>0</v>
      </c>
      <c r="J1028" s="45">
        <f t="shared" si="1293"/>
        <v>0.23463537609132465</v>
      </c>
      <c r="K1028" s="45">
        <f t="shared" ca="1" si="1309"/>
        <v>0.75836628037006848</v>
      </c>
      <c r="L1028" s="358">
        <f t="shared" si="1294"/>
        <v>0.39364266736760256</v>
      </c>
      <c r="M1028" s="76">
        <f t="shared" ca="1" si="1365"/>
        <v>0.25347808785320641</v>
      </c>
      <c r="N1028" s="45">
        <f t="shared" ca="1" si="1365"/>
        <v>0.25</v>
      </c>
      <c r="O1028" s="45">
        <f t="shared" ca="1" si="1365"/>
        <v>0</v>
      </c>
      <c r="P1028" s="46" t="str">
        <f t="shared" ca="1" si="1365"/>
        <v/>
      </c>
      <c r="Q1028" s="243" t="str">
        <f t="shared" ca="1" si="1365"/>
        <v/>
      </c>
      <c r="R1028" s="45">
        <f t="shared" ca="1" si="1310"/>
        <v>0.22300348346023363</v>
      </c>
      <c r="S1028" s="45">
        <f t="shared" ca="1" si="1334"/>
        <v>5.0695617570641283E-2</v>
      </c>
      <c r="T1028" s="77">
        <f t="shared" ca="1" si="1295"/>
        <v>0</v>
      </c>
      <c r="U1028" s="45">
        <f t="shared" ca="1" si="1311"/>
        <v>16.908013510685542</v>
      </c>
      <c r="V1028" s="45">
        <f t="shared" ca="1" si="1296"/>
        <v>0.20278247028256513</v>
      </c>
      <c r="W1028" s="77">
        <f t="shared" ca="1" si="1297"/>
        <v>0</v>
      </c>
      <c r="X1028" s="45">
        <f t="shared" ca="1" si="1312"/>
        <v>1.0061272448721241</v>
      </c>
      <c r="Y1028" s="45">
        <f t="shared" ca="1" si="1298"/>
        <v>0</v>
      </c>
      <c r="Z1028" s="77">
        <f t="shared" ca="1" si="1299"/>
        <v>0</v>
      </c>
      <c r="AA1028" s="45">
        <f t="shared" ca="1" si="1313"/>
        <v>39.181126751341324</v>
      </c>
      <c r="AB1028" s="45">
        <f t="shared" ca="1" si="1300"/>
        <v>0</v>
      </c>
      <c r="AC1028" s="45" cm="1">
        <f t="array" aca="1" ref="AC1028" ca="1">pHUM*(T1028+W1028+Z1028+AD1028)</f>
        <v>0</v>
      </c>
      <c r="AD1028" s="77">
        <f t="shared" ca="1" si="1301"/>
        <v>0</v>
      </c>
      <c r="AE1028" s="45">
        <f t="shared" ca="1" si="1314"/>
        <v>6.3847072090583081</v>
      </c>
      <c r="AF1028" s="45">
        <f t="shared" ca="1" si="1302"/>
        <v>0</v>
      </c>
      <c r="AG1028" s="76">
        <f t="shared" ca="1" si="1303"/>
        <v>63.702978199417529</v>
      </c>
      <c r="AH1028" s="45">
        <f t="shared" ca="1" si="1304"/>
        <v>0</v>
      </c>
      <c r="AI1028" s="77">
        <f t="shared" ca="1" si="1305"/>
        <v>1.2721518597333722E-2</v>
      </c>
      <c r="AJ1028" s="384">
        <f t="shared" ca="1" si="1307"/>
        <v>1.3404935979414168E-2</v>
      </c>
      <c r="AU1028" s="1"/>
    </row>
    <row r="1029" spans="3:47" x14ac:dyDescent="0.25">
      <c r="C1029" s="10">
        <f t="shared" si="1332"/>
        <v>78</v>
      </c>
      <c r="D1029" s="91">
        <f t="shared" si="1315"/>
        <v>3</v>
      </c>
      <c r="E1029" s="278"/>
      <c r="F1029" s="76">
        <f t="shared" ref="F1029:Q1029" si="1366">F957</f>
        <v>1.7499333333333336</v>
      </c>
      <c r="G1029" s="46">
        <f t="shared" si="1366"/>
        <v>89.127050621045186</v>
      </c>
      <c r="H1029" s="46">
        <f t="shared" si="1291"/>
        <v>-33.596900621045179</v>
      </c>
      <c r="I1029" s="45">
        <f t="shared" si="1292"/>
        <v>0</v>
      </c>
      <c r="J1029" s="45">
        <f t="shared" si="1293"/>
        <v>0.19161115755788954</v>
      </c>
      <c r="K1029" s="45">
        <f t="shared" ca="1" si="1309"/>
        <v>0.61930746869995335</v>
      </c>
      <c r="L1029" s="358">
        <f t="shared" si="1294"/>
        <v>0.42389567243620196</v>
      </c>
      <c r="M1029" s="76">
        <f t="shared" ca="1" si="1366"/>
        <v>0.25347808785320641</v>
      </c>
      <c r="N1029" s="45">
        <f t="shared" ca="1" si="1366"/>
        <v>0.25</v>
      </c>
      <c r="O1029" s="45">
        <f t="shared" ca="1" si="1366"/>
        <v>0</v>
      </c>
      <c r="P1029" s="46" t="str">
        <f t="shared" ca="1" si="1366"/>
        <v/>
      </c>
      <c r="Q1029" s="243" t="str">
        <f t="shared" ca="1" si="1366"/>
        <v/>
      </c>
      <c r="R1029" s="45">
        <f t="shared" ca="1" si="1310"/>
        <v>0.27369910103087491</v>
      </c>
      <c r="S1029" s="45">
        <f t="shared" ca="1" si="1334"/>
        <v>5.0695617570641283E-2</v>
      </c>
      <c r="T1029" s="77">
        <f t="shared" ca="1" si="1295"/>
        <v>0</v>
      </c>
      <c r="U1029" s="45">
        <f t="shared" ca="1" si="1311"/>
        <v>17.110795980968106</v>
      </c>
      <c r="V1029" s="45">
        <f t="shared" ca="1" si="1296"/>
        <v>0.20278247028256513</v>
      </c>
      <c r="W1029" s="77">
        <f t="shared" ca="1" si="1297"/>
        <v>0</v>
      </c>
      <c r="X1029" s="45">
        <f t="shared" ca="1" si="1312"/>
        <v>1.0061272448721241</v>
      </c>
      <c r="Y1029" s="45">
        <f t="shared" ca="1" si="1298"/>
        <v>0</v>
      </c>
      <c r="Z1029" s="77">
        <f t="shared" ca="1" si="1299"/>
        <v>0</v>
      </c>
      <c r="AA1029" s="45">
        <f t="shared" ca="1" si="1313"/>
        <v>39.181126751341324</v>
      </c>
      <c r="AB1029" s="45">
        <f t="shared" ca="1" si="1300"/>
        <v>0</v>
      </c>
      <c r="AC1029" s="45" cm="1">
        <f t="array" aca="1" ref="AC1029" ca="1">pHUM*(T1029+W1029+Z1029+AD1029)</f>
        <v>0</v>
      </c>
      <c r="AD1029" s="77">
        <f t="shared" ca="1" si="1301"/>
        <v>0</v>
      </c>
      <c r="AE1029" s="45">
        <f t="shared" ca="1" si="1314"/>
        <v>6.3847072090583081</v>
      </c>
      <c r="AF1029" s="45">
        <f t="shared" ca="1" si="1302"/>
        <v>0</v>
      </c>
      <c r="AG1029" s="76">
        <f t="shared" ca="1" si="1303"/>
        <v>63.95645628727074</v>
      </c>
      <c r="AH1029" s="45">
        <f t="shared" ca="1" si="1304"/>
        <v>0</v>
      </c>
      <c r="AI1029" s="77">
        <f t="shared" ca="1" si="1305"/>
        <v>1.3487367893731832E-2</v>
      </c>
      <c r="AJ1029" s="384">
        <f t="shared" ca="1" si="1307"/>
        <v>1.2497912577051906E-2</v>
      </c>
      <c r="AU1029" s="1"/>
    </row>
    <row r="1030" spans="3:47" x14ac:dyDescent="0.25">
      <c r="C1030" s="10">
        <f t="shared" si="1332"/>
        <v>78</v>
      </c>
      <c r="D1030" s="91">
        <f t="shared" si="1315"/>
        <v>4</v>
      </c>
      <c r="E1030" s="278"/>
      <c r="F1030" s="76">
        <f t="shared" ref="F1030:Q1030" si="1367">F958</f>
        <v>5.3144</v>
      </c>
      <c r="G1030" s="46">
        <f t="shared" si="1367"/>
        <v>88.517400984298064</v>
      </c>
      <c r="H1030" s="46">
        <f t="shared" si="1291"/>
        <v>-32.987250984298058</v>
      </c>
      <c r="I1030" s="45">
        <f t="shared" si="1292"/>
        <v>0</v>
      </c>
      <c r="J1030" s="45">
        <f t="shared" si="1293"/>
        <v>0.19391725365845511</v>
      </c>
      <c r="K1030" s="45">
        <f t="shared" ca="1" si="1309"/>
        <v>0.62676101449980381</v>
      </c>
      <c r="L1030" s="358">
        <f t="shared" si="1294"/>
        <v>0.55593677468735669</v>
      </c>
      <c r="M1030" s="76">
        <f t="shared" ca="1" si="1367"/>
        <v>0.25347808785320641</v>
      </c>
      <c r="N1030" s="45">
        <f t="shared" ca="1" si="1367"/>
        <v>0.25</v>
      </c>
      <c r="O1030" s="45">
        <f t="shared" ca="1" si="1367"/>
        <v>0</v>
      </c>
      <c r="P1030" s="46" t="str">
        <f t="shared" ca="1" si="1367"/>
        <v/>
      </c>
      <c r="Q1030" s="243" t="str">
        <f t="shared" ca="1" si="1367"/>
        <v/>
      </c>
      <c r="R1030" s="45">
        <f t="shared" ca="1" si="1310"/>
        <v>0.3243947186015162</v>
      </c>
      <c r="S1030" s="45">
        <f t="shared" ca="1" si="1334"/>
        <v>5.0695617570641283E-2</v>
      </c>
      <c r="T1030" s="77">
        <f t="shared" ca="1" si="1295"/>
        <v>0</v>
      </c>
      <c r="U1030" s="45">
        <f t="shared" ca="1" si="1311"/>
        <v>17.31357845125067</v>
      </c>
      <c r="V1030" s="45">
        <f t="shared" ca="1" si="1296"/>
        <v>0.20278247028256513</v>
      </c>
      <c r="W1030" s="77">
        <f t="shared" ca="1" si="1297"/>
        <v>0</v>
      </c>
      <c r="X1030" s="45">
        <f t="shared" ca="1" si="1312"/>
        <v>1.0061272448721241</v>
      </c>
      <c r="Y1030" s="45">
        <f t="shared" ca="1" si="1298"/>
        <v>0</v>
      </c>
      <c r="Z1030" s="77">
        <f t="shared" ca="1" si="1299"/>
        <v>0</v>
      </c>
      <c r="AA1030" s="45">
        <f t="shared" ca="1" si="1313"/>
        <v>39.181126751341324</v>
      </c>
      <c r="AB1030" s="45">
        <f t="shared" ca="1" si="1300"/>
        <v>0</v>
      </c>
      <c r="AC1030" s="45" cm="1">
        <f t="array" aca="1" ref="AC1030" ca="1">pHUM*(T1030+W1030+Z1030+AD1030)</f>
        <v>0</v>
      </c>
      <c r="AD1030" s="77">
        <f t="shared" ca="1" si="1301"/>
        <v>0</v>
      </c>
      <c r="AE1030" s="45">
        <f t="shared" ca="1" si="1314"/>
        <v>6.3847072090583081</v>
      </c>
      <c r="AF1030" s="45">
        <f t="shared" ca="1" si="1302"/>
        <v>0</v>
      </c>
      <c r="AG1030" s="76">
        <f t="shared" ca="1" si="1303"/>
        <v>64.20993437512395</v>
      </c>
      <c r="AH1030" s="45">
        <f t="shared" ca="1" si="1304"/>
        <v>0</v>
      </c>
      <c r="AI1030" s="77">
        <f t="shared" ca="1" si="1305"/>
        <v>1.4246502957441244E-2</v>
      </c>
      <c r="AJ1030" s="384">
        <f t="shared" ca="1" si="1307"/>
        <v>1.7521794010094682E-2</v>
      </c>
      <c r="AU1030" s="1"/>
    </row>
    <row r="1031" spans="3:47" x14ac:dyDescent="0.25">
      <c r="C1031" s="10">
        <f t="shared" si="1332"/>
        <v>78</v>
      </c>
      <c r="D1031" s="91">
        <f t="shared" si="1315"/>
        <v>5</v>
      </c>
      <c r="E1031" s="278"/>
      <c r="F1031" s="76">
        <f t="shared" ref="F1031:Q1031" si="1368">F959</f>
        <v>12.662516129032257</v>
      </c>
      <c r="G1031" s="46">
        <f t="shared" si="1368"/>
        <v>89.413014608233681</v>
      </c>
      <c r="H1031" s="46">
        <f t="shared" si="1291"/>
        <v>-33.882864608233675</v>
      </c>
      <c r="I1031" s="45">
        <f t="shared" si="1292"/>
        <v>0</v>
      </c>
      <c r="J1031" s="45">
        <f t="shared" si="1293"/>
        <v>0.19052718077467024</v>
      </c>
      <c r="K1031" s="45">
        <f t="shared" ca="1" si="1309"/>
        <v>0.6158039414194908</v>
      </c>
      <c r="L1031" s="358">
        <f t="shared" si="1294"/>
        <v>0.78870900469063665</v>
      </c>
      <c r="M1031" s="76">
        <f t="shared" ca="1" si="1368"/>
        <v>0.25347808785320641</v>
      </c>
      <c r="N1031" s="45">
        <f t="shared" ca="1" si="1368"/>
        <v>0.25</v>
      </c>
      <c r="O1031" s="45">
        <f t="shared" ca="1" si="1368"/>
        <v>0</v>
      </c>
      <c r="P1031" s="46" t="str">
        <f t="shared" ca="1" si="1368"/>
        <v/>
      </c>
      <c r="Q1031" s="243" t="str">
        <f t="shared" ca="1" si="1368"/>
        <v/>
      </c>
      <c r="R1031" s="45">
        <f t="shared" ca="1" si="1310"/>
        <v>0.37509033617215748</v>
      </c>
      <c r="S1031" s="45">
        <f t="shared" ca="1" si="1334"/>
        <v>5.0695617570641283E-2</v>
      </c>
      <c r="T1031" s="77">
        <f t="shared" ca="1" si="1295"/>
        <v>0</v>
      </c>
      <c r="U1031" s="45">
        <f t="shared" ca="1" si="1311"/>
        <v>17.516360921533234</v>
      </c>
      <c r="V1031" s="45">
        <f t="shared" ca="1" si="1296"/>
        <v>0.20278247028256513</v>
      </c>
      <c r="W1031" s="77">
        <f t="shared" ca="1" si="1297"/>
        <v>0</v>
      </c>
      <c r="X1031" s="45">
        <f t="shared" ca="1" si="1312"/>
        <v>1.0061272448721241</v>
      </c>
      <c r="Y1031" s="45">
        <f t="shared" ca="1" si="1298"/>
        <v>0</v>
      </c>
      <c r="Z1031" s="77">
        <f t="shared" ca="1" si="1299"/>
        <v>0</v>
      </c>
      <c r="AA1031" s="45">
        <f t="shared" ca="1" si="1313"/>
        <v>39.181126751341324</v>
      </c>
      <c r="AB1031" s="45">
        <f t="shared" ca="1" si="1300"/>
        <v>0</v>
      </c>
      <c r="AC1031" s="45" cm="1">
        <f t="array" aca="1" ref="AC1031" ca="1">pHUM*(T1031+W1031+Z1031+AD1031)</f>
        <v>0</v>
      </c>
      <c r="AD1031" s="77">
        <f t="shared" ca="1" si="1301"/>
        <v>0</v>
      </c>
      <c r="AE1031" s="45">
        <f t="shared" ca="1" si="1314"/>
        <v>6.3847072090583081</v>
      </c>
      <c r="AF1031" s="45">
        <f t="shared" ca="1" si="1302"/>
        <v>0</v>
      </c>
      <c r="AG1031" s="76">
        <f t="shared" ca="1" si="1303"/>
        <v>64.463412462977146</v>
      </c>
      <c r="AH1031" s="45">
        <f t="shared" ca="1" si="1304"/>
        <v>0</v>
      </c>
      <c r="AI1031" s="77">
        <f t="shared" ca="1" si="1305"/>
        <v>1.4999011699040684E-2</v>
      </c>
      <c r="AJ1031" s="384">
        <f t="shared" ca="1" si="1307"/>
        <v>2.5713516339412879E-2</v>
      </c>
      <c r="AU1031" s="1"/>
    </row>
    <row r="1032" spans="3:47" x14ac:dyDescent="0.25">
      <c r="C1032" s="10">
        <f t="shared" si="1332"/>
        <v>78</v>
      </c>
      <c r="D1032" s="91">
        <f t="shared" si="1315"/>
        <v>6</v>
      </c>
      <c r="E1032" s="278"/>
      <c r="F1032" s="76">
        <f t="shared" ref="F1032:Q1032" si="1369">F960</f>
        <v>17.952400000000004</v>
      </c>
      <c r="G1032" s="46">
        <f t="shared" si="1369"/>
        <v>83.948488098886401</v>
      </c>
      <c r="H1032" s="46">
        <f t="shared" si="1291"/>
        <v>-28.418338098886395</v>
      </c>
      <c r="I1032" s="45">
        <f t="shared" si="1292"/>
        <v>0</v>
      </c>
      <c r="J1032" s="45">
        <f t="shared" si="1293"/>
        <v>0.21095121603234232</v>
      </c>
      <c r="K1032" s="45">
        <f t="shared" ca="1" si="1309"/>
        <v>0.68181657730811884</v>
      </c>
      <c r="L1032" s="358">
        <f t="shared" si="1294"/>
        <v>0.89013124354981255</v>
      </c>
      <c r="M1032" s="76">
        <f t="shared" ca="1" si="1369"/>
        <v>0.25347808785320641</v>
      </c>
      <c r="N1032" s="45">
        <f t="shared" ca="1" si="1369"/>
        <v>0.25</v>
      </c>
      <c r="O1032" s="45">
        <f t="shared" ca="1" si="1369"/>
        <v>0</v>
      </c>
      <c r="P1032" s="46" t="str">
        <f t="shared" ca="1" si="1369"/>
        <v/>
      </c>
      <c r="Q1032" s="243" t="str">
        <f t="shared" ca="1" si="1369"/>
        <v/>
      </c>
      <c r="R1032" s="45">
        <f t="shared" ca="1" si="1310"/>
        <v>0.42578595374279876</v>
      </c>
      <c r="S1032" s="45">
        <f t="shared" ca="1" si="1334"/>
        <v>5.0695617570641283E-2</v>
      </c>
      <c r="T1032" s="77">
        <f t="shared" ca="1" si="1295"/>
        <v>0</v>
      </c>
      <c r="U1032" s="45">
        <f t="shared" ca="1" si="1311"/>
        <v>17.719143391815798</v>
      </c>
      <c r="V1032" s="45">
        <f t="shared" ca="1" si="1296"/>
        <v>0.20278247028256513</v>
      </c>
      <c r="W1032" s="77">
        <f t="shared" ca="1" si="1297"/>
        <v>0</v>
      </c>
      <c r="X1032" s="45">
        <f t="shared" ca="1" si="1312"/>
        <v>1.0061272448721241</v>
      </c>
      <c r="Y1032" s="45">
        <f t="shared" ca="1" si="1298"/>
        <v>0</v>
      </c>
      <c r="Z1032" s="77">
        <f t="shared" ca="1" si="1299"/>
        <v>0</v>
      </c>
      <c r="AA1032" s="45">
        <f t="shared" ca="1" si="1313"/>
        <v>39.181126751341324</v>
      </c>
      <c r="AB1032" s="45">
        <f t="shared" ca="1" si="1300"/>
        <v>0</v>
      </c>
      <c r="AC1032" s="45" cm="1">
        <f t="array" aca="1" ref="AC1032" ca="1">pHUM*(T1032+W1032+Z1032+AD1032)</f>
        <v>0</v>
      </c>
      <c r="AD1032" s="77">
        <f t="shared" ca="1" si="1301"/>
        <v>0</v>
      </c>
      <c r="AE1032" s="45">
        <f t="shared" ca="1" si="1314"/>
        <v>6.3847072090583081</v>
      </c>
      <c r="AF1032" s="45">
        <f t="shared" ca="1" si="1302"/>
        <v>0</v>
      </c>
      <c r="AG1032" s="76">
        <f t="shared" ca="1" si="1303"/>
        <v>64.716890550830357</v>
      </c>
      <c r="AH1032" s="45">
        <f t="shared" ca="1" si="1304"/>
        <v>0</v>
      </c>
      <c r="AI1032" s="77">
        <f t="shared" ca="1" si="1305"/>
        <v>1.5744980501073803E-2</v>
      </c>
      <c r="AJ1032" s="384">
        <f t="shared" ca="1" si="1307"/>
        <v>3.3728731464431894E-2</v>
      </c>
      <c r="AU1032" s="1"/>
    </row>
    <row r="1033" spans="3:47" x14ac:dyDescent="0.25">
      <c r="C1033" s="10">
        <f t="shared" si="1332"/>
        <v>78</v>
      </c>
      <c r="D1033" s="91">
        <f t="shared" si="1315"/>
        <v>7</v>
      </c>
      <c r="E1033" s="278"/>
      <c r="F1033" s="76">
        <f t="shared" ref="F1033:Q1033" si="1370">F961</f>
        <v>21.363032258064525</v>
      </c>
      <c r="G1033" s="46">
        <f t="shared" si="1370"/>
        <v>73.679575814389409</v>
      </c>
      <c r="H1033" s="46">
        <f t="shared" si="1291"/>
        <v>-18.149425814389403</v>
      </c>
      <c r="I1033" s="45">
        <f t="shared" si="1292"/>
        <v>0</v>
      </c>
      <c r="J1033" s="45">
        <f t="shared" si="1293"/>
        <v>0.2468878570948656</v>
      </c>
      <c r="K1033" s="45">
        <f t="shared" ca="1" si="1309"/>
        <v>0.79796759113040194</v>
      </c>
      <c r="L1033" s="358">
        <f t="shared" si="1294"/>
        <v>0.92905557700722019</v>
      </c>
      <c r="M1033" s="76">
        <f t="shared" ca="1" si="1370"/>
        <v>0.25347808785320641</v>
      </c>
      <c r="N1033" s="45">
        <f t="shared" ca="1" si="1370"/>
        <v>0.25</v>
      </c>
      <c r="O1033" s="45">
        <f t="shared" ca="1" si="1370"/>
        <v>0</v>
      </c>
      <c r="P1033" s="46" t="str">
        <f t="shared" ca="1" si="1370"/>
        <v/>
      </c>
      <c r="Q1033" s="243" t="str">
        <f t="shared" ca="1" si="1370"/>
        <v/>
      </c>
      <c r="R1033" s="45">
        <f t="shared" ca="1" si="1310"/>
        <v>0.47648157131344004</v>
      </c>
      <c r="S1033" s="45">
        <f t="shared" ca="1" si="1334"/>
        <v>5.0695617570641283E-2</v>
      </c>
      <c r="T1033" s="77">
        <f t="shared" ca="1" si="1295"/>
        <v>0</v>
      </c>
      <c r="U1033" s="45">
        <f t="shared" ca="1" si="1311"/>
        <v>17.921925862098362</v>
      </c>
      <c r="V1033" s="45">
        <f t="shared" ca="1" si="1296"/>
        <v>0.20278247028256513</v>
      </c>
      <c r="W1033" s="77">
        <f t="shared" ca="1" si="1297"/>
        <v>0</v>
      </c>
      <c r="X1033" s="45">
        <f t="shared" ca="1" si="1312"/>
        <v>1.0061272448721241</v>
      </c>
      <c r="Y1033" s="45">
        <f t="shared" ca="1" si="1298"/>
        <v>0</v>
      </c>
      <c r="Z1033" s="77">
        <f t="shared" ca="1" si="1299"/>
        <v>0</v>
      </c>
      <c r="AA1033" s="45">
        <f t="shared" ca="1" si="1313"/>
        <v>39.181126751341324</v>
      </c>
      <c r="AB1033" s="45">
        <f t="shared" ca="1" si="1300"/>
        <v>0</v>
      </c>
      <c r="AC1033" s="45" cm="1">
        <f t="array" aca="1" ref="AC1033" ca="1">pHUM*(T1033+W1033+Z1033+AD1033)</f>
        <v>0</v>
      </c>
      <c r="AD1033" s="77">
        <f t="shared" ca="1" si="1301"/>
        <v>0</v>
      </c>
      <c r="AE1033" s="45">
        <f t="shared" ca="1" si="1314"/>
        <v>6.3847072090583081</v>
      </c>
      <c r="AF1033" s="45">
        <f t="shared" ca="1" si="1302"/>
        <v>0</v>
      </c>
      <c r="AG1033" s="76">
        <f t="shared" ca="1" si="1303"/>
        <v>64.970368638683553</v>
      </c>
      <c r="AH1033" s="45">
        <f t="shared" ca="1" si="1304"/>
        <v>0</v>
      </c>
      <c r="AI1033" s="77">
        <f t="shared" ca="1" si="1305"/>
        <v>1.648449425110534E-2</v>
      </c>
      <c r="AJ1033" s="384">
        <f t="shared" ca="1" si="1307"/>
        <v>4.3135516271076701E-2</v>
      </c>
      <c r="AU1033" s="1"/>
    </row>
    <row r="1034" spans="3:47" x14ac:dyDescent="0.25">
      <c r="C1034" s="10">
        <f t="shared" si="1332"/>
        <v>78</v>
      </c>
      <c r="D1034" s="91">
        <f t="shared" si="1315"/>
        <v>8</v>
      </c>
      <c r="E1034" s="278"/>
      <c r="F1034" s="76">
        <f t="shared" ref="F1034:Q1034" si="1371">F962</f>
        <v>21.84690322580645</v>
      </c>
      <c r="G1034" s="46">
        <f t="shared" si="1371"/>
        <v>71.917724933598876</v>
      </c>
      <c r="H1034" s="46">
        <f t="shared" si="1291"/>
        <v>-16.38757493359887</v>
      </c>
      <c r="I1034" s="45">
        <f t="shared" si="1292"/>
        <v>0</v>
      </c>
      <c r="J1034" s="45">
        <f t="shared" si="1293"/>
        <v>0.25260629061506468</v>
      </c>
      <c r="K1034" s="45">
        <f t="shared" ca="1" si="1309"/>
        <v>0.81645017133846476</v>
      </c>
      <c r="L1034" s="358">
        <f t="shared" si="1294"/>
        <v>0.93325603418156189</v>
      </c>
      <c r="M1034" s="76">
        <f t="shared" ca="1" si="1371"/>
        <v>0.25347808785320641</v>
      </c>
      <c r="N1034" s="45">
        <f t="shared" ca="1" si="1371"/>
        <v>0.25</v>
      </c>
      <c r="O1034" s="45">
        <f t="shared" ca="1" si="1371"/>
        <v>0</v>
      </c>
      <c r="P1034" s="46" t="str">
        <f t="shared" ca="1" si="1371"/>
        <v/>
      </c>
      <c r="Q1034" s="243" t="str">
        <f t="shared" ca="1" si="1371"/>
        <v/>
      </c>
      <c r="R1034" s="45">
        <f t="shared" ca="1" si="1310"/>
        <v>0.52717718888408127</v>
      </c>
      <c r="S1034" s="45">
        <f t="shared" ca="1" si="1334"/>
        <v>5.0695617570641283E-2</v>
      </c>
      <c r="T1034" s="77">
        <f t="shared" ca="1" si="1295"/>
        <v>0</v>
      </c>
      <c r="U1034" s="45">
        <f t="shared" ca="1" si="1311"/>
        <v>18.124708332380926</v>
      </c>
      <c r="V1034" s="45">
        <f t="shared" ca="1" si="1296"/>
        <v>0.20278247028256513</v>
      </c>
      <c r="W1034" s="77">
        <f t="shared" ca="1" si="1297"/>
        <v>0</v>
      </c>
      <c r="X1034" s="45">
        <f t="shared" ca="1" si="1312"/>
        <v>1.0061272448721241</v>
      </c>
      <c r="Y1034" s="45">
        <f t="shared" ca="1" si="1298"/>
        <v>0</v>
      </c>
      <c r="Z1034" s="77">
        <f t="shared" ca="1" si="1299"/>
        <v>0</v>
      </c>
      <c r="AA1034" s="45">
        <f t="shared" ca="1" si="1313"/>
        <v>39.181126751341324</v>
      </c>
      <c r="AB1034" s="45">
        <f t="shared" ca="1" si="1300"/>
        <v>0</v>
      </c>
      <c r="AC1034" s="45" cm="1">
        <f t="array" aca="1" ref="AC1034" ca="1">pHUM*(T1034+W1034+Z1034+AD1034)</f>
        <v>0</v>
      </c>
      <c r="AD1034" s="77">
        <f t="shared" ca="1" si="1301"/>
        <v>0</v>
      </c>
      <c r="AE1034" s="45">
        <f t="shared" ca="1" si="1314"/>
        <v>6.3847072090583081</v>
      </c>
      <c r="AF1034" s="45">
        <f t="shared" ca="1" si="1302"/>
        <v>0</v>
      </c>
      <c r="AG1034" s="76">
        <f t="shared" ca="1" si="1303"/>
        <v>65.223846726536763</v>
      </c>
      <c r="AH1034" s="45">
        <f t="shared" ca="1" si="1304"/>
        <v>0</v>
      </c>
      <c r="AI1034" s="77">
        <f t="shared" ca="1" si="1305"/>
        <v>1.7217636373922877E-2</v>
      </c>
      <c r="AJ1034" s="384">
        <f t="shared" ca="1" si="1307"/>
        <v>4.6305774099298924E-2</v>
      </c>
      <c r="AU1034" s="1"/>
    </row>
    <row r="1035" spans="3:47" x14ac:dyDescent="0.25">
      <c r="C1035" s="10">
        <f t="shared" si="1332"/>
        <v>78</v>
      </c>
      <c r="D1035" s="91">
        <f t="shared" si="1315"/>
        <v>9</v>
      </c>
      <c r="E1035" s="278"/>
      <c r="F1035" s="76">
        <f t="shared" ref="F1035:Q1035" si="1372">F963</f>
        <v>19.915099999999999</v>
      </c>
      <c r="G1035" s="46">
        <f t="shared" si="1372"/>
        <v>90.121120170480822</v>
      </c>
      <c r="H1035" s="46">
        <f t="shared" si="1291"/>
        <v>-34.590970170480816</v>
      </c>
      <c r="I1035" s="45">
        <f t="shared" si="1292"/>
        <v>0</v>
      </c>
      <c r="J1035" s="45">
        <f t="shared" si="1293"/>
        <v>0.18783711693191202</v>
      </c>
      <c r="K1035" s="45">
        <f t="shared" ca="1" si="1309"/>
        <v>0.60710937138331467</v>
      </c>
      <c r="L1035" s="358">
        <f t="shared" si="1294"/>
        <v>0.91464137695305081</v>
      </c>
      <c r="M1035" s="76">
        <f t="shared" ca="1" si="1372"/>
        <v>0.25347808785320641</v>
      </c>
      <c r="N1035" s="45">
        <f t="shared" ca="1" si="1372"/>
        <v>0.25</v>
      </c>
      <c r="O1035" s="45">
        <f t="shared" ca="1" si="1372"/>
        <v>0</v>
      </c>
      <c r="P1035" s="46" t="str">
        <f t="shared" ca="1" si="1372"/>
        <v/>
      </c>
      <c r="Q1035" s="243" t="str">
        <f t="shared" ca="1" si="1372"/>
        <v/>
      </c>
      <c r="R1035" s="45">
        <f t="shared" ca="1" si="1310"/>
        <v>0.5778728064547225</v>
      </c>
      <c r="S1035" s="45">
        <f t="shared" ca="1" si="1334"/>
        <v>5.0695617570641283E-2</v>
      </c>
      <c r="T1035" s="77">
        <f t="shared" ca="1" si="1295"/>
        <v>0</v>
      </c>
      <c r="U1035" s="45">
        <f t="shared" ca="1" si="1311"/>
        <v>18.32749080266349</v>
      </c>
      <c r="V1035" s="45">
        <f t="shared" ca="1" si="1296"/>
        <v>0.20278247028256513</v>
      </c>
      <c r="W1035" s="77">
        <f t="shared" ca="1" si="1297"/>
        <v>0</v>
      </c>
      <c r="X1035" s="45">
        <f t="shared" ca="1" si="1312"/>
        <v>1.0061272448721241</v>
      </c>
      <c r="Y1035" s="45">
        <f t="shared" ca="1" si="1298"/>
        <v>0</v>
      </c>
      <c r="Z1035" s="77">
        <f t="shared" ca="1" si="1299"/>
        <v>0</v>
      </c>
      <c r="AA1035" s="45">
        <f t="shared" ca="1" si="1313"/>
        <v>39.181126751341324</v>
      </c>
      <c r="AB1035" s="45">
        <f t="shared" ca="1" si="1300"/>
        <v>0</v>
      </c>
      <c r="AC1035" s="45" cm="1">
        <f t="array" aca="1" ref="AC1035" ca="1">pHUM*(T1035+W1035+Z1035+AD1035)</f>
        <v>0</v>
      </c>
      <c r="AD1035" s="77">
        <f t="shared" ca="1" si="1301"/>
        <v>0</v>
      </c>
      <c r="AE1035" s="45">
        <f t="shared" ca="1" si="1314"/>
        <v>6.3847072090583081</v>
      </c>
      <c r="AF1035" s="45">
        <f t="shared" ca="1" si="1302"/>
        <v>0</v>
      </c>
      <c r="AG1035" s="76">
        <f t="shared" ca="1" si="1303"/>
        <v>65.477324814389974</v>
      </c>
      <c r="AH1035" s="45">
        <f t="shared" ca="1" si="1304"/>
        <v>0</v>
      </c>
      <c r="AI1035" s="77">
        <f t="shared" ca="1" si="1305"/>
        <v>1.7944488862909745E-2</v>
      </c>
      <c r="AJ1035" s="384">
        <f t="shared" ca="1" si="1307"/>
        <v>3.5170987455410696E-2</v>
      </c>
      <c r="AU1035" s="1"/>
    </row>
    <row r="1036" spans="3:47" x14ac:dyDescent="0.25">
      <c r="C1036" s="10">
        <f t="shared" si="1332"/>
        <v>78</v>
      </c>
      <c r="D1036" s="91">
        <f t="shared" si="1315"/>
        <v>10</v>
      </c>
      <c r="E1036" s="278"/>
      <c r="F1036" s="76">
        <f t="shared" ref="F1036:Q1036" si="1373">F964</f>
        <v>16.404967741935486</v>
      </c>
      <c r="G1036" s="46">
        <f t="shared" si="1373"/>
        <v>93.270963763991602</v>
      </c>
      <c r="H1036" s="46">
        <f t="shared" si="1291"/>
        <v>-37.740813763991596</v>
      </c>
      <c r="I1036" s="45">
        <f t="shared" si="1292"/>
        <v>0</v>
      </c>
      <c r="J1036" s="45">
        <f t="shared" si="1293"/>
        <v>0.1757835150476853</v>
      </c>
      <c r="K1036" s="45">
        <f t="shared" ca="1" si="1309"/>
        <v>0.56815085891056294</v>
      </c>
      <c r="L1036" s="358">
        <f t="shared" si="1294"/>
        <v>0.86618676922472848</v>
      </c>
      <c r="M1036" s="76">
        <f t="shared" ca="1" si="1373"/>
        <v>0.25347808785320641</v>
      </c>
      <c r="N1036" s="45">
        <f t="shared" ca="1" si="1373"/>
        <v>0.25</v>
      </c>
      <c r="O1036" s="45">
        <f t="shared" ca="1" si="1373"/>
        <v>0</v>
      </c>
      <c r="P1036" s="46" t="str">
        <f t="shared" ca="1" si="1373"/>
        <v/>
      </c>
      <c r="Q1036" s="243" t="str">
        <f t="shared" ca="1" si="1373"/>
        <v/>
      </c>
      <c r="R1036" s="45">
        <f t="shared" ca="1" si="1310"/>
        <v>0.62856842402536373</v>
      </c>
      <c r="S1036" s="45">
        <f t="shared" ca="1" si="1334"/>
        <v>5.0695617570641283E-2</v>
      </c>
      <c r="T1036" s="77">
        <f t="shared" ca="1" si="1295"/>
        <v>0</v>
      </c>
      <c r="U1036" s="45">
        <f t="shared" ca="1" si="1311"/>
        <v>18.530273272946054</v>
      </c>
      <c r="V1036" s="45">
        <f t="shared" ca="1" si="1296"/>
        <v>0.20278247028256513</v>
      </c>
      <c r="W1036" s="77">
        <f t="shared" ca="1" si="1297"/>
        <v>0</v>
      </c>
      <c r="X1036" s="45">
        <f t="shared" ca="1" si="1312"/>
        <v>1.0061272448721241</v>
      </c>
      <c r="Y1036" s="45">
        <f t="shared" ca="1" si="1298"/>
        <v>0</v>
      </c>
      <c r="Z1036" s="77">
        <f t="shared" ca="1" si="1299"/>
        <v>0</v>
      </c>
      <c r="AA1036" s="45">
        <f t="shared" ca="1" si="1313"/>
        <v>39.181126751341324</v>
      </c>
      <c r="AB1036" s="45">
        <f t="shared" ca="1" si="1300"/>
        <v>0</v>
      </c>
      <c r="AC1036" s="45" cm="1">
        <f t="array" aca="1" ref="AC1036" ca="1">pHUM*(T1036+W1036+Z1036+AD1036)</f>
        <v>0</v>
      </c>
      <c r="AD1036" s="77">
        <f t="shared" ca="1" si="1301"/>
        <v>0</v>
      </c>
      <c r="AE1036" s="45">
        <f t="shared" ca="1" si="1314"/>
        <v>6.3847072090583081</v>
      </c>
      <c r="AF1036" s="45">
        <f t="shared" ca="1" si="1302"/>
        <v>0</v>
      </c>
      <c r="AG1036" s="76">
        <f t="shared" ca="1" si="1303"/>
        <v>65.73080290224317</v>
      </c>
      <c r="AH1036" s="45">
        <f t="shared" ca="1" si="1304"/>
        <v>0</v>
      </c>
      <c r="AI1036" s="77">
        <f t="shared" ca="1" si="1305"/>
        <v>1.8665132310614028E-2</v>
      </c>
      <c r="AJ1036" s="384">
        <f t="shared" ca="1" si="1307"/>
        <v>3.2422246309617986E-2</v>
      </c>
      <c r="AU1036" s="1"/>
    </row>
    <row r="1037" spans="3:47" x14ac:dyDescent="0.25">
      <c r="C1037" s="10">
        <f t="shared" si="1332"/>
        <v>78</v>
      </c>
      <c r="D1037" s="91">
        <f t="shared" si="1315"/>
        <v>11</v>
      </c>
      <c r="E1037" s="278"/>
      <c r="F1037" s="76">
        <f t="shared" ref="F1037:Q1037" si="1374">F965</f>
        <v>8.5982333333333347</v>
      </c>
      <c r="G1037" s="46">
        <f t="shared" si="1374"/>
        <v>93.768190396309464</v>
      </c>
      <c r="H1037" s="46">
        <f t="shared" si="1291"/>
        <v>-38.238040396309458</v>
      </c>
      <c r="I1037" s="45">
        <f t="shared" si="1292"/>
        <v>0</v>
      </c>
      <c r="J1037" s="45">
        <f t="shared" si="1293"/>
        <v>0.17386998013358751</v>
      </c>
      <c r="K1037" s="45">
        <f t="shared" ca="1" si="1309"/>
        <v>0.56196611226520721</v>
      </c>
      <c r="L1037" s="358">
        <f t="shared" si="1294"/>
        <v>0.6712335176859634</v>
      </c>
      <c r="M1037" s="76">
        <f t="shared" ca="1" si="1374"/>
        <v>0.25347808785320641</v>
      </c>
      <c r="N1037" s="45">
        <f t="shared" ca="1" si="1374"/>
        <v>0.25</v>
      </c>
      <c r="O1037" s="45">
        <f t="shared" ca="1" si="1374"/>
        <v>0</v>
      </c>
      <c r="P1037" s="46" t="str">
        <f t="shared" ca="1" si="1374"/>
        <v/>
      </c>
      <c r="Q1037" s="243" t="str">
        <f t="shared" ca="1" si="1374"/>
        <v/>
      </c>
      <c r="R1037" s="45">
        <f t="shared" ca="1" si="1310"/>
        <v>0.67926404159600495</v>
      </c>
      <c r="S1037" s="45">
        <f t="shared" ca="1" si="1334"/>
        <v>5.0695617570641283E-2</v>
      </c>
      <c r="T1037" s="77">
        <f t="shared" ca="1" si="1295"/>
        <v>0</v>
      </c>
      <c r="U1037" s="45">
        <f t="shared" ca="1" si="1311"/>
        <v>18.733055743228618</v>
      </c>
      <c r="V1037" s="45">
        <f t="shared" ca="1" si="1296"/>
        <v>0.20278247028256513</v>
      </c>
      <c r="W1037" s="77">
        <f t="shared" ca="1" si="1297"/>
        <v>0</v>
      </c>
      <c r="X1037" s="45">
        <f t="shared" ca="1" si="1312"/>
        <v>1.0061272448721241</v>
      </c>
      <c r="Y1037" s="45">
        <f t="shared" ca="1" si="1298"/>
        <v>0</v>
      </c>
      <c r="Z1037" s="77">
        <f t="shared" ca="1" si="1299"/>
        <v>0</v>
      </c>
      <c r="AA1037" s="45">
        <f t="shared" ca="1" si="1313"/>
        <v>39.181126751341324</v>
      </c>
      <c r="AB1037" s="45">
        <f t="shared" ca="1" si="1300"/>
        <v>0</v>
      </c>
      <c r="AC1037" s="45" cm="1">
        <f t="array" aca="1" ref="AC1037" ca="1">pHUM*(T1037+W1037+Z1037+AD1037)</f>
        <v>0</v>
      </c>
      <c r="AD1037" s="77">
        <f t="shared" ca="1" si="1301"/>
        <v>0</v>
      </c>
      <c r="AE1037" s="45">
        <f t="shared" ca="1" si="1314"/>
        <v>6.3847072090583081</v>
      </c>
      <c r="AF1037" s="45">
        <f t="shared" ca="1" si="1302"/>
        <v>0</v>
      </c>
      <c r="AG1037" s="76">
        <f t="shared" ca="1" si="1303"/>
        <v>65.98428099009638</v>
      </c>
      <c r="AH1037" s="45">
        <f t="shared" ca="1" si="1304"/>
        <v>0</v>
      </c>
      <c r="AI1037" s="77">
        <f t="shared" ca="1" si="1305"/>
        <v>1.9379645938537412E-2</v>
      </c>
      <c r="AJ1037" s="384">
        <f t="shared" ca="1" si="1307"/>
        <v>2.5802936121597231E-2</v>
      </c>
      <c r="AU1037" s="1"/>
    </row>
    <row r="1038" spans="3:47" x14ac:dyDescent="0.25">
      <c r="C1038" s="10">
        <f t="shared" si="1332"/>
        <v>78</v>
      </c>
      <c r="D1038" s="91">
        <f t="shared" si="1315"/>
        <v>12</v>
      </c>
      <c r="E1038" s="278"/>
      <c r="F1038" s="76">
        <f t="shared" ref="F1038:Q1038" si="1375">F966</f>
        <v>5.8543548387096775</v>
      </c>
      <c r="G1038" s="46">
        <f t="shared" si="1375"/>
        <v>92.353978821555827</v>
      </c>
      <c r="H1038" s="46">
        <f t="shared" si="1291"/>
        <v>-36.823828821555821</v>
      </c>
      <c r="I1038" s="45">
        <f t="shared" si="1292"/>
        <v>0</v>
      </c>
      <c r="J1038" s="45">
        <f t="shared" si="1293"/>
        <v>0.17930557122010893</v>
      </c>
      <c r="K1038" s="45">
        <f t="shared" ca="1" si="1309"/>
        <v>0.57953451589882432</v>
      </c>
      <c r="L1038" s="358">
        <f t="shared" si="1294"/>
        <v>0.57570255434605899</v>
      </c>
      <c r="M1038" s="76">
        <f t="shared" ca="1" si="1375"/>
        <v>0.25347808785320641</v>
      </c>
      <c r="N1038" s="45">
        <f t="shared" ca="1" si="1375"/>
        <v>0.25</v>
      </c>
      <c r="O1038" s="45">
        <f t="shared" ca="1" si="1375"/>
        <v>0</v>
      </c>
      <c r="P1038" s="46" t="str">
        <f t="shared" ca="1" si="1375"/>
        <v/>
      </c>
      <c r="Q1038" s="243" t="str">
        <f t="shared" ca="1" si="1375"/>
        <v/>
      </c>
      <c r="R1038" s="45">
        <f t="shared" ca="1" si="1310"/>
        <v>0.72995965916664618</v>
      </c>
      <c r="S1038" s="45">
        <f t="shared" ca="1" si="1334"/>
        <v>5.0695617570641283E-2</v>
      </c>
      <c r="T1038" s="77">
        <f t="shared" ca="1" si="1295"/>
        <v>0</v>
      </c>
      <c r="U1038" s="45">
        <f t="shared" ca="1" si="1311"/>
        <v>18.935838213511182</v>
      </c>
      <c r="V1038" s="45">
        <f t="shared" ca="1" si="1296"/>
        <v>0.20278247028256513</v>
      </c>
      <c r="W1038" s="77">
        <f t="shared" ca="1" si="1297"/>
        <v>0</v>
      </c>
      <c r="X1038" s="45">
        <f t="shared" ca="1" si="1312"/>
        <v>1.0061272448721241</v>
      </c>
      <c r="Y1038" s="45">
        <f t="shared" ca="1" si="1298"/>
        <v>0</v>
      </c>
      <c r="Z1038" s="77">
        <f t="shared" ca="1" si="1299"/>
        <v>0</v>
      </c>
      <c r="AA1038" s="45">
        <f t="shared" ca="1" si="1313"/>
        <v>39.181126751341324</v>
      </c>
      <c r="AB1038" s="45">
        <f t="shared" ca="1" si="1300"/>
        <v>0</v>
      </c>
      <c r="AC1038" s="45" cm="1">
        <f t="array" aca="1" ref="AC1038" ca="1">pHUM*(T1038+W1038+Z1038+AD1038)</f>
        <v>0</v>
      </c>
      <c r="AD1038" s="77">
        <f t="shared" ca="1" si="1301"/>
        <v>0</v>
      </c>
      <c r="AE1038" s="45">
        <f t="shared" ca="1" si="1314"/>
        <v>6.3847072090583081</v>
      </c>
      <c r="AF1038" s="45">
        <f t="shared" ca="1" si="1302"/>
        <v>0</v>
      </c>
      <c r="AG1038" s="76">
        <f t="shared" ca="1" si="1303"/>
        <v>66.23775907794959</v>
      </c>
      <c r="AH1038" s="45">
        <f t="shared" ca="1" si="1304"/>
        <v>0</v>
      </c>
      <c r="AI1038" s="77">
        <f t="shared" ca="1" si="1305"/>
        <v>2.0088107626167168E-2</v>
      </c>
      <c r="AJ1038" s="384">
        <f t="shared" ca="1" si="1307"/>
        <v>2.3656848889829218E-2</v>
      </c>
      <c r="AU1038" s="1"/>
    </row>
    <row r="1039" spans="3:47" x14ac:dyDescent="0.25">
      <c r="C1039" s="10">
        <f t="shared" si="1332"/>
        <v>79</v>
      </c>
      <c r="D1039" s="91">
        <f t="shared" si="1315"/>
        <v>1</v>
      </c>
      <c r="E1039" s="278"/>
      <c r="F1039" s="76">
        <f t="shared" ref="F1039:Q1039" si="1376">F967</f>
        <v>2.2624333333333326</v>
      </c>
      <c r="G1039" s="46">
        <f t="shared" si="1376"/>
        <v>87.461548542671366</v>
      </c>
      <c r="H1039" s="46">
        <f t="shared" si="1291"/>
        <v>-31.93139854267136</v>
      </c>
      <c r="I1039" s="45">
        <f t="shared" si="1292"/>
        <v>0</v>
      </c>
      <c r="J1039" s="45">
        <f t="shared" si="1293"/>
        <v>0.19789456043296222</v>
      </c>
      <c r="K1039" s="45">
        <f t="shared" ca="1" si="1309"/>
        <v>0.63961608944510806</v>
      </c>
      <c r="L1039" s="358">
        <f t="shared" si="1294"/>
        <v>0.44266298791276926</v>
      </c>
      <c r="M1039" s="76">
        <f t="shared" ca="1" si="1376"/>
        <v>0.25347808785320641</v>
      </c>
      <c r="N1039" s="45">
        <f t="shared" ca="1" si="1376"/>
        <v>0.25</v>
      </c>
      <c r="O1039" s="45">
        <f t="shared" ca="1" si="1376"/>
        <v>0</v>
      </c>
      <c r="P1039" s="46" t="str">
        <f t="shared" ca="1" si="1376"/>
        <v/>
      </c>
      <c r="Q1039" s="243" t="str">
        <f t="shared" ca="1" si="1376"/>
        <v/>
      </c>
      <c r="R1039" s="45">
        <f t="shared" ca="1" si="1310"/>
        <v>0.78065527673728741</v>
      </c>
      <c r="S1039" s="45">
        <f t="shared" ca="1" si="1334"/>
        <v>5.0695617570641283E-2</v>
      </c>
      <c r="T1039" s="77">
        <f t="shared" ca="1" si="1295"/>
        <v>0</v>
      </c>
      <c r="U1039" s="45">
        <f t="shared" ca="1" si="1311"/>
        <v>19.138620683793746</v>
      </c>
      <c r="V1039" s="45">
        <f t="shared" ca="1" si="1296"/>
        <v>0.20278247028256513</v>
      </c>
      <c r="W1039" s="77">
        <f t="shared" ca="1" si="1297"/>
        <v>0</v>
      </c>
      <c r="X1039" s="45">
        <f t="shared" ca="1" si="1312"/>
        <v>1.0061272448721241</v>
      </c>
      <c r="Y1039" s="45">
        <f t="shared" ca="1" si="1298"/>
        <v>0</v>
      </c>
      <c r="Z1039" s="77">
        <f t="shared" ca="1" si="1299"/>
        <v>0</v>
      </c>
      <c r="AA1039" s="45">
        <f t="shared" ca="1" si="1313"/>
        <v>39.181126751341324</v>
      </c>
      <c r="AB1039" s="45">
        <f t="shared" ca="1" si="1300"/>
        <v>0</v>
      </c>
      <c r="AC1039" s="45" cm="1">
        <f t="array" aca="1" ref="AC1039" ca="1">pHUM*(T1039+W1039+Z1039+AD1039)</f>
        <v>0</v>
      </c>
      <c r="AD1039" s="77">
        <f t="shared" ca="1" si="1301"/>
        <v>0</v>
      </c>
      <c r="AE1039" s="45">
        <f t="shared" ca="1" si="1314"/>
        <v>6.3847072090583081</v>
      </c>
      <c r="AF1039" s="45">
        <f t="shared" ca="1" si="1302"/>
        <v>0</v>
      </c>
      <c r="AG1039" s="76">
        <f t="shared" ca="1" si="1303"/>
        <v>66.491237165802787</v>
      </c>
      <c r="AH1039" s="45">
        <f t="shared" ca="1" si="1304"/>
        <v>0</v>
      </c>
      <c r="AI1039" s="77">
        <f t="shared" ca="1" si="1305"/>
        <v>2.0790593939273488E-2</v>
      </c>
      <c r="AJ1039" s="384">
        <f t="shared" ca="1" si="1307"/>
        <v>2.0777872307248257E-2</v>
      </c>
      <c r="AU1039" s="1"/>
    </row>
    <row r="1040" spans="3:47" x14ac:dyDescent="0.25">
      <c r="C1040" s="10">
        <f t="shared" si="1332"/>
        <v>79</v>
      </c>
      <c r="D1040" s="91">
        <f t="shared" si="1315"/>
        <v>2</v>
      </c>
      <c r="E1040" s="278"/>
      <c r="F1040" s="76">
        <f t="shared" ref="F1040:Q1040" si="1377">F968</f>
        <v>1.5363448275862068</v>
      </c>
      <c r="G1040" s="46">
        <f t="shared" si="1377"/>
        <v>89.651029216467379</v>
      </c>
      <c r="H1040" s="46">
        <f t="shared" si="1291"/>
        <v>-34.120879216467372</v>
      </c>
      <c r="I1040" s="45">
        <f t="shared" si="1292"/>
        <v>0</v>
      </c>
      <c r="J1040" s="45">
        <f t="shared" si="1293"/>
        <v>0.18962389606700991</v>
      </c>
      <c r="K1040" s="45">
        <f t="shared" ca="1" si="1309"/>
        <v>0.61288442998317227</v>
      </c>
      <c r="L1040" s="358">
        <f t="shared" si="1294"/>
        <v>0.41613501220093307</v>
      </c>
      <c r="M1040" s="76">
        <f t="shared" ca="1" si="1377"/>
        <v>0.25347808785320641</v>
      </c>
      <c r="N1040" s="45">
        <f t="shared" ca="1" si="1377"/>
        <v>0.25</v>
      </c>
      <c r="O1040" s="45">
        <f t="shared" ca="1" si="1377"/>
        <v>0</v>
      </c>
      <c r="P1040" s="46" t="str">
        <f t="shared" ca="1" si="1377"/>
        <v/>
      </c>
      <c r="Q1040" s="243" t="str">
        <f t="shared" ca="1" si="1377"/>
        <v/>
      </c>
      <c r="R1040" s="45">
        <f t="shared" ca="1" si="1310"/>
        <v>0.83135089430792863</v>
      </c>
      <c r="S1040" s="45">
        <f t="shared" ca="1" si="1334"/>
        <v>5.0695617570641283E-2</v>
      </c>
      <c r="T1040" s="77">
        <f t="shared" ca="1" si="1295"/>
        <v>0</v>
      </c>
      <c r="U1040" s="45">
        <f t="shared" ca="1" si="1311"/>
        <v>19.34140315407631</v>
      </c>
      <c r="V1040" s="45">
        <f t="shared" ca="1" si="1296"/>
        <v>0.20278247028256513</v>
      </c>
      <c r="W1040" s="77">
        <f t="shared" ca="1" si="1297"/>
        <v>0</v>
      </c>
      <c r="X1040" s="45">
        <f t="shared" ca="1" si="1312"/>
        <v>1.0061272448721241</v>
      </c>
      <c r="Y1040" s="45">
        <f t="shared" ca="1" si="1298"/>
        <v>0</v>
      </c>
      <c r="Z1040" s="77">
        <f t="shared" ca="1" si="1299"/>
        <v>0</v>
      </c>
      <c r="AA1040" s="45">
        <f t="shared" ca="1" si="1313"/>
        <v>39.181126751341324</v>
      </c>
      <c r="AB1040" s="45">
        <f t="shared" ca="1" si="1300"/>
        <v>0</v>
      </c>
      <c r="AC1040" s="45" cm="1">
        <f t="array" aca="1" ref="AC1040" ca="1">pHUM*(T1040+W1040+Z1040+AD1040)</f>
        <v>0</v>
      </c>
      <c r="AD1040" s="77">
        <f t="shared" ca="1" si="1301"/>
        <v>0</v>
      </c>
      <c r="AE1040" s="45">
        <f t="shared" ca="1" si="1314"/>
        <v>6.3847072090583081</v>
      </c>
      <c r="AF1040" s="45">
        <f t="shared" ca="1" si="1302"/>
        <v>0</v>
      </c>
      <c r="AG1040" s="76">
        <f t="shared" ca="1" si="1303"/>
        <v>66.744715253655997</v>
      </c>
      <c r="AH1040" s="45">
        <f t="shared" ca="1" si="1304"/>
        <v>0</v>
      </c>
      <c r="AI1040" s="77">
        <f t="shared" ca="1" si="1305"/>
        <v>2.1487180157493884E-2</v>
      </c>
      <c r="AJ1040" s="384">
        <f t="shared" ca="1" si="1307"/>
        <v>1.93434726797026E-2</v>
      </c>
      <c r="AU1040" s="1"/>
    </row>
    <row r="1041" spans="3:47" x14ac:dyDescent="0.25">
      <c r="C1041" s="10">
        <f t="shared" si="1332"/>
        <v>79</v>
      </c>
      <c r="D1041" s="91">
        <f t="shared" si="1315"/>
        <v>3</v>
      </c>
      <c r="E1041" s="278"/>
      <c r="F1041" s="76">
        <f t="shared" ref="F1041:Q1041" ca="1" si="1378">F969</f>
        <v>-0.57999999999999996</v>
      </c>
      <c r="G1041" s="46">
        <f t="shared" ca="1" si="1378"/>
        <v>55.530150000000006</v>
      </c>
      <c r="H1041" s="46">
        <f t="shared" ca="1" si="1291"/>
        <v>0</v>
      </c>
      <c r="I1041" s="45">
        <f t="shared" ca="1" si="1292"/>
        <v>8.1834107856600266E-2</v>
      </c>
      <c r="J1041" s="45">
        <f t="shared" ca="1" si="1293"/>
        <v>0.29595601705647312</v>
      </c>
      <c r="K1041" s="45">
        <f t="shared" ca="1" si="1309"/>
        <v>0.95656105889548582</v>
      </c>
      <c r="L1041" s="358">
        <f t="shared" ca="1" si="1294"/>
        <v>0.34200470507454295</v>
      </c>
      <c r="M1041" s="76">
        <f t="shared" ca="1" si="1378"/>
        <v>0.25347808785320641</v>
      </c>
      <c r="N1041" s="45">
        <f t="shared" ca="1" si="1378"/>
        <v>0.25</v>
      </c>
      <c r="O1041" s="45">
        <f t="shared" ca="1" si="1378"/>
        <v>0</v>
      </c>
      <c r="P1041" s="46" t="str">
        <f t="shared" ca="1" si="1378"/>
        <v/>
      </c>
      <c r="Q1041" s="243" t="str">
        <f t="shared" ca="1" si="1378"/>
        <v/>
      </c>
      <c r="R1041" s="45">
        <f t="shared" ca="1" si="1310"/>
        <v>0.88204651187856986</v>
      </c>
      <c r="S1041" s="45">
        <f t="shared" ca="1" si="1334"/>
        <v>5.0695617570641283E-2</v>
      </c>
      <c r="T1041" s="77">
        <f t="shared" ca="1" si="1295"/>
        <v>5.8146070292331417E-2</v>
      </c>
      <c r="U1041" s="45">
        <f t="shared" ca="1" si="1311"/>
        <v>19.544185624358875</v>
      </c>
      <c r="V1041" s="45">
        <f t="shared" ca="1" si="1296"/>
        <v>0.20278247028256513</v>
      </c>
      <c r="W1041" s="77">
        <f t="shared" ca="1" si="1297"/>
        <v>3.9943651513196697E-2</v>
      </c>
      <c r="X1041" s="45">
        <f t="shared" ca="1" si="1312"/>
        <v>1.0061272448721241</v>
      </c>
      <c r="Y1041" s="45">
        <f t="shared" ca="1" si="1298"/>
        <v>8.9024903376383156E-3</v>
      </c>
      <c r="Z1041" s="77">
        <f t="shared" ca="1" si="1299"/>
        <v>4.5182781687954426E-3</v>
      </c>
      <c r="AA1041" s="45">
        <f t="shared" ca="1" si="1313"/>
        <v>39.181126751341324</v>
      </c>
      <c r="AB1041" s="45">
        <f t="shared" ca="1" si="1300"/>
        <v>0</v>
      </c>
      <c r="AC1041" s="45" cm="1">
        <f t="array" aca="1" ref="AC1041" ca="1">pHUM*(T1041+W1041+Z1041+AD1041)</f>
        <v>1.047351804428037E-2</v>
      </c>
      <c r="AD1041" s="77">
        <f t="shared" ca="1" si="1301"/>
        <v>5.3435565082560477E-3</v>
      </c>
      <c r="AE1041" s="45">
        <f t="shared" ca="1" si="1314"/>
        <v>6.3847072090583081</v>
      </c>
      <c r="AF1041" s="45">
        <f t="shared" ca="1" si="1302"/>
        <v>0</v>
      </c>
      <c r="AG1041" s="76">
        <f t="shared" ca="1" si="1303"/>
        <v>66.998193341509207</v>
      </c>
      <c r="AH1041" s="45">
        <f t="shared" ca="1" si="1304"/>
        <v>8.8575548100660914E-2</v>
      </c>
      <c r="AI1041" s="77">
        <f t="shared" ca="1" si="1305"/>
        <v>2.2177940301225392E-2</v>
      </c>
      <c r="AJ1041" s="384">
        <f t="shared" ca="1" si="1307"/>
        <v>2.560976503223622E-2</v>
      </c>
      <c r="AU1041" s="1"/>
    </row>
    <row r="1042" spans="3:47" x14ac:dyDescent="0.25">
      <c r="C1042" s="10">
        <f t="shared" si="1332"/>
        <v>79</v>
      </c>
      <c r="D1042" s="91">
        <f t="shared" si="1315"/>
        <v>4</v>
      </c>
      <c r="E1042" s="278"/>
      <c r="F1042" s="76">
        <f t="shared" ref="F1042:Q1042" ca="1" si="1379">F970</f>
        <v>7.18</v>
      </c>
      <c r="G1042" s="46">
        <f t="shared" ca="1" si="1379"/>
        <v>29.828585295978598</v>
      </c>
      <c r="H1042" s="46">
        <f t="shared" ref="H1042:H1105" ca="1" si="1380">FC-G1042</f>
        <v>25.701564704021408</v>
      </c>
      <c r="I1042" s="45">
        <f t="shared" ref="I1042:I1105" ca="1" si="1381">PRODUCT(47.91/(1+EXP(106.06/(F1042+18.27))), IF(IF(H1042&lt;=0,1-((1-RM_PWP)*(G1042-FC)/(WSAT-FC)),IF(H1042&lt;=Wat1bar,1,1-((1-RM_PWP)*(H1042-Wat1bar)/(FC-Wat1bar))))&lt;=RM_PWP,RM_PWP,IF(H1042&lt;=0,1-((1-RM_PWP)*(G1042-FC)/(WSAT-FC)),IF(H1042&lt;=Wat1bar,1,1-((1-RM_PWP)*(H1042-Wat1bar)/(FC-Wat1bar))))),0.56+(ATAN(3.14*0.45*(SoilpH-5)))/3.14,EXP(-0.09*SoilSal))</f>
        <v>0.34975431431902781</v>
      </c>
      <c r="J1042" s="45">
        <f t="shared" ref="J1042:J1105" ca="1" si="1382">POWER(((G1042/150)-$J$9),$M$9)*POWER(($L$9-(G1042/150)),$N$9)</f>
        <v>0.29147915612483932</v>
      </c>
      <c r="K1042" s="45">
        <f t="shared" ca="1" si="1309"/>
        <v>0.94209137223094908</v>
      </c>
      <c r="L1042" s="358">
        <f t="shared" ref="L1042:L1105" ca="1" si="1383">1/(1+EXP(-(F1042-3.8)/6.7))+1/(1+EXP((F1042-62.2)/7.1))-1</f>
        <v>0.62308014794471589</v>
      </c>
      <c r="M1042" s="76">
        <f t="shared" ca="1" si="1379"/>
        <v>0.25347808785320641</v>
      </c>
      <c r="N1042" s="45">
        <f t="shared" ca="1" si="1379"/>
        <v>0.25</v>
      </c>
      <c r="O1042" s="45">
        <f t="shared" ca="1" si="1379"/>
        <v>0</v>
      </c>
      <c r="P1042" s="46" t="str">
        <f t="shared" ca="1" si="1379"/>
        <v/>
      </c>
      <c r="Q1042" s="243" t="str">
        <f t="shared" ca="1" si="1379"/>
        <v/>
      </c>
      <c r="R1042" s="45">
        <f t="shared" ca="1" si="1310"/>
        <v>0.87459605915687966</v>
      </c>
      <c r="S1042" s="45">
        <f t="shared" ca="1" si="1334"/>
        <v>5.0695617570641283E-2</v>
      </c>
      <c r="T1042" s="77">
        <f t="shared" ref="T1042:T1105" ca="1" si="1384">R1042*(1-EXP(-kDPM*I1042))</f>
        <v>0.22112372029543051</v>
      </c>
      <c r="U1042" s="45">
        <f t="shared" ca="1" si="1311"/>
        <v>19.70702444312824</v>
      </c>
      <c r="V1042" s="45">
        <f t="shared" ref="V1042:V1105" ca="1" si="1385">M1042*1/(1+N1042)</f>
        <v>0.20278247028256513</v>
      </c>
      <c r="W1042" s="77">
        <f t="shared" ref="W1042:W1105" ca="1" si="1386">U1042*(1-EXP(-kRPM*I1042))</f>
        <v>0.17156426070170169</v>
      </c>
      <c r="X1042" s="45">
        <f t="shared" ca="1" si="1312"/>
        <v>1.010511457040967</v>
      </c>
      <c r="Y1042" s="45">
        <f t="shared" ref="Y1042:Y1105" ca="1" si="1387">pBIO*(T1042+W1042+Z1042+AD1042)</f>
        <v>3.5854940858021697E-2</v>
      </c>
      <c r="Z1042" s="77">
        <f t="shared" ref="Z1042:Z1105" ca="1" si="1388">X1042*(1-EXP(-kBIO*I1042))</f>
        <v>1.925291784651903E-2</v>
      </c>
      <c r="AA1042" s="45">
        <f t="shared" ca="1" si="1313"/>
        <v>39.186256712877345</v>
      </c>
      <c r="AB1042" s="45">
        <f t="shared" ref="AB1042:AB1105" ca="1" si="1389">IF(O1042&gt;0,O1042*(1-Q1042)/(1+P1042),0)</f>
        <v>0</v>
      </c>
      <c r="AC1042" s="45" cm="1">
        <f t="array" aca="1" ref="AC1042" ca="1">pHUM*(T1042+W1042+Z1042+AD1042)</f>
        <v>4.2182283362378468E-2</v>
      </c>
      <c r="AD1042" s="77">
        <f t="shared" ref="AD1042:AD1105" ca="1" si="1390">AA1042*(1-EXP(-kHUM*I1042))</f>
        <v>2.28359474563118E-2</v>
      </c>
      <c r="AE1042" s="45">
        <f t="shared" ca="1" si="1314"/>
        <v>6.3847072090583081</v>
      </c>
      <c r="AF1042" s="45">
        <f t="shared" ref="AF1042:AF1105" ca="1" si="1391">IF(O1042&gt;0,O1042*Q1042,0)</f>
        <v>0</v>
      </c>
      <c r="AG1042" s="76">
        <f t="shared" ref="AG1042:AG1105" ca="1" si="1392">R1042+U1042+X1042+AA1042+AE1042</f>
        <v>67.163095881261739</v>
      </c>
      <c r="AH1042" s="45">
        <f t="shared" ref="AH1042:AH1105" ca="1" si="1393">p_CO2*(T1042+W1042+Z1042+AD1042)</f>
        <v>0.35673962207956295</v>
      </c>
      <c r="AI1042" s="77">
        <f t="shared" ref="AI1042:AI1105" ca="1" si="1394">((kRPM*U1042)+(kDPM*R1042)+(kBIO*X1042)+(kHUM*AA1042))/(U1042+R1042+AA1042+X1042)</f>
        <v>2.2086702982660491E-2</v>
      </c>
      <c r="AJ1042" s="384">
        <f t="shared" ca="1" si="1307"/>
        <v>4.5761387178365753E-2</v>
      </c>
      <c r="AU1042" s="1"/>
    </row>
    <row r="1043" spans="3:47" x14ac:dyDescent="0.25">
      <c r="C1043" s="10">
        <f t="shared" si="1332"/>
        <v>79</v>
      </c>
      <c r="D1043" s="91">
        <f t="shared" si="1315"/>
        <v>5</v>
      </c>
      <c r="E1043" s="278"/>
      <c r="F1043" s="76">
        <f t="shared" ref="F1043:Q1043" ca="1" si="1395">F971</f>
        <v>14.05</v>
      </c>
      <c r="G1043" s="46">
        <f t="shared" ca="1" si="1395"/>
        <v>27.012600000000003</v>
      </c>
      <c r="H1043" s="46">
        <f t="shared" ca="1" si="1380"/>
        <v>28.517550000000004</v>
      </c>
      <c r="I1043" s="45">
        <f t="shared" ca="1" si="1381"/>
        <v>0.75173784437395219</v>
      </c>
      <c r="J1043" s="45">
        <f t="shared" ca="1" si="1382"/>
        <v>0.27952512346894071</v>
      </c>
      <c r="K1043" s="45">
        <f t="shared" ca="1" si="1309"/>
        <v>0.90345467800480783</v>
      </c>
      <c r="L1043" s="358">
        <f t="shared" ca="1" si="1383"/>
        <v>0.82085140481213359</v>
      </c>
      <c r="M1043" s="76">
        <f t="shared" ca="1" si="1395"/>
        <v>0.25347808785320641</v>
      </c>
      <c r="N1043" s="45">
        <f t="shared" ca="1" si="1395"/>
        <v>0.25</v>
      </c>
      <c r="O1043" s="45">
        <f t="shared" ca="1" si="1395"/>
        <v>0</v>
      </c>
      <c r="P1043" s="46" t="str">
        <f t="shared" ca="1" si="1395"/>
        <v/>
      </c>
      <c r="Q1043" s="243" t="str">
        <f t="shared" ca="1" si="1395"/>
        <v/>
      </c>
      <c r="R1043" s="45">
        <f t="shared" ca="1" si="1310"/>
        <v>0.70416795643209051</v>
      </c>
      <c r="S1043" s="45">
        <f t="shared" ca="1" si="1334"/>
        <v>5.0695617570641283E-2</v>
      </c>
      <c r="T1043" s="77">
        <f t="shared" ca="1" si="1384"/>
        <v>0.32779946324687731</v>
      </c>
      <c r="U1043" s="45">
        <f t="shared" ca="1" si="1311"/>
        <v>19.738242652709104</v>
      </c>
      <c r="V1043" s="45">
        <f t="shared" ca="1" si="1385"/>
        <v>0.20278247028256513</v>
      </c>
      <c r="W1043" s="77">
        <f t="shared" ca="1" si="1386"/>
        <v>0.36748562289434367</v>
      </c>
      <c r="X1043" s="45">
        <f t="shared" ca="1" si="1312"/>
        <v>1.0271134800524697</v>
      </c>
      <c r="Y1043" s="45">
        <f t="shared" ca="1" si="1387"/>
        <v>6.481740588049785E-2</v>
      </c>
      <c r="Z1043" s="77">
        <f t="shared" ca="1" si="1388"/>
        <v>4.1600675925567335E-2</v>
      </c>
      <c r="AA1043" s="45">
        <f t="shared" ca="1" si="1313"/>
        <v>39.205603048783409</v>
      </c>
      <c r="AB1043" s="45">
        <f t="shared" ca="1" si="1389"/>
        <v>0</v>
      </c>
      <c r="AC1043" s="45" cm="1">
        <f t="array" aca="1" ref="AC1043" ca="1">pHUM*(T1043+W1043+Z1043+AD1043)</f>
        <v>7.6255771624115107E-2</v>
      </c>
      <c r="AD1043" s="77">
        <f t="shared" ca="1" si="1390"/>
        <v>4.9089800566518182E-2</v>
      </c>
      <c r="AE1043" s="45">
        <f t="shared" ca="1" si="1314"/>
        <v>6.3847072090583081</v>
      </c>
      <c r="AF1043" s="45">
        <f t="shared" ca="1" si="1391"/>
        <v>0</v>
      </c>
      <c r="AG1043" s="76">
        <f t="shared" ca="1" si="1392"/>
        <v>67.059834347035377</v>
      </c>
      <c r="AH1043" s="45">
        <f t="shared" ca="1" si="1393"/>
        <v>0.64490238512869358</v>
      </c>
      <c r="AI1043" s="77">
        <f t="shared" ca="1" si="1394"/>
        <v>1.9812016332410098E-2</v>
      </c>
      <c r="AJ1043" s="384">
        <f t="shared" ref="AJ1043:AJ1106" ca="1" si="1396">(530)*(1-EXP((-$AJ$9*L1043*K1043*AI1043)))</f>
        <v>5.1859514245261584E-2</v>
      </c>
      <c r="AU1043" s="1"/>
    </row>
    <row r="1044" spans="3:47" x14ac:dyDescent="0.25">
      <c r="C1044" s="10">
        <f t="shared" si="1332"/>
        <v>79</v>
      </c>
      <c r="D1044" s="91">
        <f t="shared" si="1315"/>
        <v>6</v>
      </c>
      <c r="E1044" s="278"/>
      <c r="F1044" s="76">
        <f t="shared" ref="F1044:Q1044" ca="1" si="1397">F972</f>
        <v>17.96</v>
      </c>
      <c r="G1044" s="46">
        <f t="shared" ca="1" si="1397"/>
        <v>27.012600000000003</v>
      </c>
      <c r="H1044" s="46">
        <f t="shared" ca="1" si="1380"/>
        <v>28.517550000000004</v>
      </c>
      <c r="I1044" s="45">
        <f t="shared" ca="1" si="1381"/>
        <v>1.0549705763362276</v>
      </c>
      <c r="J1044" s="45">
        <f t="shared" ca="1" si="1382"/>
        <v>0.27952512346894071</v>
      </c>
      <c r="K1044" s="45">
        <f t="shared" ref="K1044:K1107" ca="1" si="1398">J1044/$I$15</f>
        <v>0.90345467800480783</v>
      </c>
      <c r="L1044" s="358">
        <f t="shared" ca="1" si="1383"/>
        <v>0.89023829243059249</v>
      </c>
      <c r="M1044" s="76">
        <f t="shared" ca="1" si="1397"/>
        <v>0.25347808785320641</v>
      </c>
      <c r="N1044" s="45">
        <f t="shared" ca="1" si="1397"/>
        <v>0.25</v>
      </c>
      <c r="O1044" s="45">
        <f t="shared" ca="1" si="1397"/>
        <v>0</v>
      </c>
      <c r="P1044" s="46" t="str">
        <f t="shared" ca="1" si="1397"/>
        <v/>
      </c>
      <c r="Q1044" s="243" t="str">
        <f t="shared" ca="1" si="1397"/>
        <v/>
      </c>
      <c r="R1044" s="45">
        <f t="shared" ref="R1044:R1107" ca="1" si="1399">R1043+S1044-T1043</f>
        <v>0.42706411075585454</v>
      </c>
      <c r="S1044" s="45">
        <f t="shared" ca="1" si="1334"/>
        <v>5.0695617570641283E-2</v>
      </c>
      <c r="T1044" s="77">
        <f t="shared" ca="1" si="1384"/>
        <v>0.24977319108169391</v>
      </c>
      <c r="U1044" s="45">
        <f t="shared" ref="U1044:U1107" ca="1" si="1400">U1043+V1044-W1043</f>
        <v>19.573539500097326</v>
      </c>
      <c r="V1044" s="45">
        <f t="shared" ca="1" si="1385"/>
        <v>0.20278247028256513</v>
      </c>
      <c r="W1044" s="77">
        <f t="shared" ca="1" si="1386"/>
        <v>0.50948946807065976</v>
      </c>
      <c r="X1044" s="45">
        <f t="shared" ref="X1044:X1107" ca="1" si="1401">X1043+Y1043-Z1043</f>
        <v>1.0503302100074001</v>
      </c>
      <c r="Y1044" s="45">
        <f t="shared" ca="1" si="1387"/>
        <v>7.3181105704955132E-2</v>
      </c>
      <c r="Z1044" s="77">
        <f t="shared" ca="1" si="1388"/>
        <v>5.9209336902986957E-2</v>
      </c>
      <c r="AA1044" s="45">
        <f t="shared" ref="AA1044:AA1107" ca="1" si="1402">AA1043+AC1043+AB1044-AD1043</f>
        <v>39.232769019841001</v>
      </c>
      <c r="AB1044" s="45">
        <f t="shared" ca="1" si="1389"/>
        <v>0</v>
      </c>
      <c r="AC1044" s="45" cm="1">
        <f t="array" aca="1" ref="AC1044" ca="1">pHUM*(T1044+W1044+Z1044+AD1044)</f>
        <v>8.6095418476417815E-2</v>
      </c>
      <c r="AD1044" s="77">
        <f t="shared" ca="1" si="1390"/>
        <v>6.8921751800367456E-2</v>
      </c>
      <c r="AE1044" s="45">
        <f t="shared" ref="AE1044:AE1107" ca="1" si="1403">AE1043+AF1044</f>
        <v>6.3847072090583081</v>
      </c>
      <c r="AF1044" s="45">
        <f t="shared" ca="1" si="1391"/>
        <v>0</v>
      </c>
      <c r="AG1044" s="76">
        <f t="shared" ca="1" si="1392"/>
        <v>66.668410049759885</v>
      </c>
      <c r="AH1044" s="45">
        <f t="shared" ca="1" si="1393"/>
        <v>0.72811722367433518</v>
      </c>
      <c r="AI1044" s="77">
        <f t="shared" ca="1" si="1394"/>
        <v>1.6063733824403278E-2</v>
      </c>
      <c r="AJ1044" s="384">
        <f t="shared" ca="1" si="1396"/>
        <v>4.5602699856291951E-2</v>
      </c>
      <c r="AU1044" s="1"/>
    </row>
    <row r="1045" spans="3:47" x14ac:dyDescent="0.25">
      <c r="C1045" s="10">
        <f t="shared" si="1332"/>
        <v>79</v>
      </c>
      <c r="D1045" s="91">
        <f t="shared" ref="D1045:D1108" si="1404">IF(D1044+1&lt;13,D1044+1,1)</f>
        <v>7</v>
      </c>
      <c r="E1045" s="278"/>
      <c r="F1045" s="76">
        <f t="shared" ref="F1045:Q1045" ca="1" si="1405">F973</f>
        <v>21.89</v>
      </c>
      <c r="G1045" s="46">
        <f t="shared" ca="1" si="1405"/>
        <v>27.012600000000003</v>
      </c>
      <c r="H1045" s="46">
        <f t="shared" ca="1" si="1380"/>
        <v>28.517550000000004</v>
      </c>
      <c r="I1045" s="45">
        <f t="shared" ca="1" si="1381"/>
        <v>1.3816368002949853</v>
      </c>
      <c r="J1045" s="45">
        <f t="shared" ca="1" si="1382"/>
        <v>0.27952512346894071</v>
      </c>
      <c r="K1045" s="45">
        <f t="shared" ca="1" si="1398"/>
        <v>0.90345467800480783</v>
      </c>
      <c r="L1045" s="358">
        <f t="shared" ca="1" si="1383"/>
        <v>0.9336160920992449</v>
      </c>
      <c r="M1045" s="76">
        <f t="shared" ca="1" si="1405"/>
        <v>0.25347808785320641</v>
      </c>
      <c r="N1045" s="45">
        <f t="shared" ca="1" si="1405"/>
        <v>0.25</v>
      </c>
      <c r="O1045" s="45">
        <f t="shared" ca="1" si="1405"/>
        <v>0</v>
      </c>
      <c r="P1045" s="46" t="str">
        <f t="shared" ca="1" si="1405"/>
        <v/>
      </c>
      <c r="Q1045" s="243" t="str">
        <f t="shared" ca="1" si="1405"/>
        <v/>
      </c>
      <c r="R1045" s="45">
        <f t="shared" ca="1" si="1399"/>
        <v>0.22798653724480192</v>
      </c>
      <c r="S1045" s="45">
        <f t="shared" ca="1" si="1334"/>
        <v>5.0695617570641283E-2</v>
      </c>
      <c r="T1045" s="77">
        <f t="shared" ca="1" si="1384"/>
        <v>0.15589601521205412</v>
      </c>
      <c r="U1045" s="45">
        <f t="shared" ca="1" si="1400"/>
        <v>19.266832502309232</v>
      </c>
      <c r="V1045" s="45">
        <f t="shared" ca="1" si="1385"/>
        <v>0.20278247028256513</v>
      </c>
      <c r="W1045" s="77">
        <f t="shared" ca="1" si="1386"/>
        <v>0.65413192656359742</v>
      </c>
      <c r="X1045" s="45">
        <f t="shared" ca="1" si="1401"/>
        <v>1.0643019788093684</v>
      </c>
      <c r="Y1045" s="45">
        <f t="shared" ca="1" si="1387"/>
        <v>8.0668488498060659E-2</v>
      </c>
      <c r="Z1045" s="77">
        <f t="shared" ca="1" si="1388"/>
        <v>7.787981569321456E-2</v>
      </c>
      <c r="AA1045" s="45">
        <f t="shared" ca="1" si="1402"/>
        <v>39.249942686517052</v>
      </c>
      <c r="AB1045" s="45">
        <f t="shared" ca="1" si="1389"/>
        <v>0</v>
      </c>
      <c r="AC1045" s="45" cm="1">
        <f t="array" aca="1" ref="AC1045" ca="1">pHUM*(T1045+W1045+Z1045+AD1045)</f>
        <v>9.4904104115365484E-2</v>
      </c>
      <c r="AD1045" s="77">
        <f t="shared" ca="1" si="1390"/>
        <v>9.0277959357520671E-2</v>
      </c>
      <c r="AE1045" s="45">
        <f t="shared" ca="1" si="1403"/>
        <v>6.3847072090583081</v>
      </c>
      <c r="AF1045" s="45">
        <f t="shared" ca="1" si="1391"/>
        <v>0</v>
      </c>
      <c r="AG1045" s="76">
        <f t="shared" ca="1" si="1392"/>
        <v>66.193770913938764</v>
      </c>
      <c r="AH1045" s="45">
        <f t="shared" ca="1" si="1393"/>
        <v>0.80261312421296072</v>
      </c>
      <c r="AI1045" s="77">
        <f t="shared" ca="1" si="1394"/>
        <v>1.33025452045131E-2</v>
      </c>
      <c r="AJ1045" s="384">
        <f t="shared" ca="1" si="1396"/>
        <v>3.9604388766222298E-2</v>
      </c>
      <c r="AU1045" s="1"/>
    </row>
    <row r="1046" spans="3:47" x14ac:dyDescent="0.25">
      <c r="C1046" s="10">
        <f t="shared" si="1332"/>
        <v>79</v>
      </c>
      <c r="D1046" s="91">
        <f t="shared" si="1404"/>
        <v>8</v>
      </c>
      <c r="E1046" s="278"/>
      <c r="F1046" s="76">
        <f t="shared" ref="F1046:Q1046" ca="1" si="1406">F974</f>
        <v>20.350000000000001</v>
      </c>
      <c r="G1046" s="46">
        <f t="shared" ca="1" si="1406"/>
        <v>27.012600000000003</v>
      </c>
      <c r="H1046" s="46">
        <f t="shared" ca="1" si="1380"/>
        <v>28.517550000000004</v>
      </c>
      <c r="I1046" s="45">
        <f t="shared" ca="1" si="1381"/>
        <v>1.2518642054104028</v>
      </c>
      <c r="J1046" s="45">
        <f t="shared" ca="1" si="1382"/>
        <v>0.27952512346894071</v>
      </c>
      <c r="K1046" s="45">
        <f t="shared" ca="1" si="1398"/>
        <v>0.90345467800480783</v>
      </c>
      <c r="L1046" s="358">
        <f t="shared" ca="1" si="1383"/>
        <v>0.91927514332007565</v>
      </c>
      <c r="M1046" s="76">
        <f t="shared" ca="1" si="1406"/>
        <v>0.25347808785320641</v>
      </c>
      <c r="N1046" s="45">
        <f t="shared" ca="1" si="1406"/>
        <v>0.25</v>
      </c>
      <c r="O1046" s="45">
        <f t="shared" ca="1" si="1406"/>
        <v>0</v>
      </c>
      <c r="P1046" s="46" t="str">
        <f t="shared" ca="1" si="1406"/>
        <v/>
      </c>
      <c r="Q1046" s="243" t="str">
        <f t="shared" ca="1" si="1406"/>
        <v/>
      </c>
      <c r="R1046" s="45">
        <f t="shared" ca="1" si="1399"/>
        <v>0.12278613960338911</v>
      </c>
      <c r="S1046" s="45">
        <f t="shared" ca="1" si="1334"/>
        <v>5.0695617570641283E-2</v>
      </c>
      <c r="T1046" s="77">
        <f t="shared" ca="1" si="1384"/>
        <v>7.9526332198068456E-2</v>
      </c>
      <c r="U1046" s="45">
        <f t="shared" ca="1" si="1400"/>
        <v>18.815483046028199</v>
      </c>
      <c r="V1046" s="45">
        <f t="shared" ca="1" si="1385"/>
        <v>0.20278247028256513</v>
      </c>
      <c r="W1046" s="77">
        <f t="shared" ca="1" si="1386"/>
        <v>0.57974145409960676</v>
      </c>
      <c r="X1046" s="45">
        <f t="shared" ca="1" si="1401"/>
        <v>1.0670906516142145</v>
      </c>
      <c r="Y1046" s="45">
        <f t="shared" ca="1" si="1387"/>
        <v>6.6970528255257344E-2</v>
      </c>
      <c r="Z1046" s="77">
        <f t="shared" ca="1" si="1388"/>
        <v>7.0999594975484706E-2</v>
      </c>
      <c r="AA1046" s="45">
        <f t="shared" ca="1" si="1402"/>
        <v>39.254568831274895</v>
      </c>
      <c r="AB1046" s="45">
        <f t="shared" ca="1" si="1389"/>
        <v>0</v>
      </c>
      <c r="AC1046" s="45" cm="1">
        <f t="array" aca="1" ref="AC1046" ca="1">pHUM*(T1046+W1046+Z1046+AD1046)</f>
        <v>7.8788856770890994E-2</v>
      </c>
      <c r="AD1046" s="77">
        <f t="shared" ca="1" si="1390"/>
        <v>8.181693327533443E-2</v>
      </c>
      <c r="AE1046" s="45">
        <f t="shared" ca="1" si="1403"/>
        <v>6.3847072090583081</v>
      </c>
      <c r="AF1046" s="45">
        <f t="shared" ca="1" si="1391"/>
        <v>0</v>
      </c>
      <c r="AG1046" s="76">
        <f t="shared" ca="1" si="1392"/>
        <v>65.644635877579006</v>
      </c>
      <c r="AH1046" s="45">
        <f t="shared" ca="1" si="1393"/>
        <v>0.66632492952234612</v>
      </c>
      <c r="AI1046" s="77">
        <f t="shared" ca="1" si="1394"/>
        <v>1.1758757427393374E-2</v>
      </c>
      <c r="AJ1046" s="384">
        <f t="shared" ca="1" si="1396"/>
        <v>3.4470635877622557E-2</v>
      </c>
      <c r="AU1046" s="1"/>
    </row>
    <row r="1047" spans="3:47" x14ac:dyDescent="0.25">
      <c r="C1047" s="10">
        <f t="shared" si="1332"/>
        <v>79</v>
      </c>
      <c r="D1047" s="91">
        <f t="shared" si="1404"/>
        <v>9</v>
      </c>
      <c r="E1047" s="278"/>
      <c r="F1047" s="76">
        <f t="shared" ref="F1047:Q1047" ca="1" si="1407">F975</f>
        <v>17.38</v>
      </c>
      <c r="G1047" s="46">
        <f t="shared" ca="1" si="1407"/>
        <v>27.012600000000003</v>
      </c>
      <c r="H1047" s="46">
        <f t="shared" ca="1" si="1380"/>
        <v>28.517550000000004</v>
      </c>
      <c r="I1047" s="45">
        <f t="shared" ca="1" si="1381"/>
        <v>1.0082864185928893</v>
      </c>
      <c r="J1047" s="45">
        <f t="shared" ca="1" si="1382"/>
        <v>0.27952512346894071</v>
      </c>
      <c r="K1047" s="45">
        <f t="shared" ca="1" si="1398"/>
        <v>0.90345467800480783</v>
      </c>
      <c r="L1047" s="358">
        <f t="shared" ca="1" si="1383"/>
        <v>0.88177917719725518</v>
      </c>
      <c r="M1047" s="76">
        <f t="shared" ca="1" si="1407"/>
        <v>0.25347808785320641</v>
      </c>
      <c r="N1047" s="45">
        <f t="shared" ca="1" si="1407"/>
        <v>0.25</v>
      </c>
      <c r="O1047" s="45">
        <f t="shared" ca="1" si="1407"/>
        <v>0</v>
      </c>
      <c r="P1047" s="46" t="str">
        <f t="shared" ca="1" si="1407"/>
        <v/>
      </c>
      <c r="Q1047" s="243" t="str">
        <f t="shared" ca="1" si="1407"/>
        <v/>
      </c>
      <c r="R1047" s="45">
        <f t="shared" ca="1" si="1399"/>
        <v>9.3955424975961932E-2</v>
      </c>
      <c r="S1047" s="45">
        <f t="shared" ca="1" si="1334"/>
        <v>5.0695617570641283E-2</v>
      </c>
      <c r="T1047" s="77">
        <f t="shared" ca="1" si="1384"/>
        <v>5.340355944267039E-2</v>
      </c>
      <c r="U1047" s="45">
        <f t="shared" ca="1" si="1400"/>
        <v>18.438524062211155</v>
      </c>
      <c r="V1047" s="45">
        <f t="shared" ca="1" si="1385"/>
        <v>0.20278247028256513</v>
      </c>
      <c r="W1047" s="77">
        <f t="shared" ca="1" si="1386"/>
        <v>0.45897381897634104</v>
      </c>
      <c r="X1047" s="45">
        <f t="shared" ca="1" si="1401"/>
        <v>1.0630615848939871</v>
      </c>
      <c r="Y1047" s="45">
        <f t="shared" ca="1" si="1387"/>
        <v>5.2418901559709734E-2</v>
      </c>
      <c r="Z1047" s="77">
        <f t="shared" ca="1" si="1388"/>
        <v>5.7348044882335934E-2</v>
      </c>
      <c r="AA1047" s="45">
        <f t="shared" ca="1" si="1402"/>
        <v>39.251540754770453</v>
      </c>
      <c r="AB1047" s="45">
        <f t="shared" ca="1" si="1389"/>
        <v>0</v>
      </c>
      <c r="AC1047" s="45" cm="1">
        <f t="array" aca="1" ref="AC1047" ca="1">pHUM*(T1047+W1047+Z1047+AD1047)</f>
        <v>6.1669295952599693E-2</v>
      </c>
      <c r="AD1047" s="77">
        <f t="shared" ca="1" si="1390"/>
        <v>6.5905933528515398E-2</v>
      </c>
      <c r="AE1047" s="45">
        <f t="shared" ca="1" si="1403"/>
        <v>6.3847072090583081</v>
      </c>
      <c r="AF1047" s="45">
        <f t="shared" ca="1" si="1391"/>
        <v>0</v>
      </c>
      <c r="AG1047" s="76">
        <f t="shared" ca="1" si="1392"/>
        <v>65.23178903590987</v>
      </c>
      <c r="AH1047" s="45">
        <f t="shared" ca="1" si="1393"/>
        <v>0.52154315931755335</v>
      </c>
      <c r="AI1047" s="77">
        <f t="shared" ca="1" si="1394"/>
        <v>1.1268985482524141E-2</v>
      </c>
      <c r="AJ1047" s="384">
        <f t="shared" ca="1" si="1396"/>
        <v>3.1687512282978503E-2</v>
      </c>
      <c r="AU1047" s="1"/>
    </row>
    <row r="1048" spans="3:47" x14ac:dyDescent="0.25">
      <c r="C1048" s="10">
        <f t="shared" si="1332"/>
        <v>79</v>
      </c>
      <c r="D1048" s="91">
        <f t="shared" si="1404"/>
        <v>10</v>
      </c>
      <c r="E1048" s="278"/>
      <c r="F1048" s="76">
        <f t="shared" ref="F1048:Q1048" ca="1" si="1408">F976</f>
        <v>9.61</v>
      </c>
      <c r="G1048" s="46">
        <f t="shared" ca="1" si="1408"/>
        <v>27.012600000000003</v>
      </c>
      <c r="H1048" s="46">
        <f t="shared" ca="1" si="1380"/>
        <v>28.517550000000004</v>
      </c>
      <c r="I1048" s="45">
        <f t="shared" ca="1" si="1381"/>
        <v>0.45243046736638293</v>
      </c>
      <c r="J1048" s="45">
        <f t="shared" ca="1" si="1382"/>
        <v>0.27952512346894071</v>
      </c>
      <c r="K1048" s="45">
        <f t="shared" ca="1" si="1398"/>
        <v>0.90345467800480783</v>
      </c>
      <c r="L1048" s="358">
        <f t="shared" ca="1" si="1383"/>
        <v>0.70354868513849667</v>
      </c>
      <c r="M1048" s="76">
        <f t="shared" ca="1" si="1408"/>
        <v>0.25347808785320641</v>
      </c>
      <c r="N1048" s="45">
        <f t="shared" ca="1" si="1408"/>
        <v>0.25</v>
      </c>
      <c r="O1048" s="45">
        <f t="shared" ca="1" si="1408"/>
        <v>0</v>
      </c>
      <c r="P1048" s="46" t="str">
        <f t="shared" ca="1" si="1408"/>
        <v/>
      </c>
      <c r="Q1048" s="243" t="str">
        <f t="shared" ca="1" si="1408"/>
        <v/>
      </c>
      <c r="R1048" s="45">
        <f t="shared" ca="1" si="1399"/>
        <v>9.1247483103932825E-2</v>
      </c>
      <c r="S1048" s="45">
        <f t="shared" ca="1" si="1334"/>
        <v>5.0695617570641283E-2</v>
      </c>
      <c r="T1048" s="77">
        <f t="shared" ca="1" si="1384"/>
        <v>2.8660956799418685E-2</v>
      </c>
      <c r="U1048" s="45">
        <f t="shared" ca="1" si="1400"/>
        <v>18.182332713517379</v>
      </c>
      <c r="V1048" s="45">
        <f t="shared" ca="1" si="1385"/>
        <v>0.20278247028256513</v>
      </c>
      <c r="W1048" s="77">
        <f t="shared" ca="1" si="1386"/>
        <v>0.20449734167217043</v>
      </c>
      <c r="X1048" s="45">
        <f t="shared" ca="1" si="1401"/>
        <v>1.0581324415713607</v>
      </c>
      <c r="Y1048" s="45">
        <f t="shared" ca="1" si="1387"/>
        <v>2.3812225206377526E-2</v>
      </c>
      <c r="Z1048" s="77">
        <f t="shared" ca="1" si="1388"/>
        <v>2.6005328592221755E-2</v>
      </c>
      <c r="AA1048" s="45">
        <f t="shared" ca="1" si="1402"/>
        <v>39.247304117194538</v>
      </c>
      <c r="AB1048" s="45">
        <f t="shared" ca="1" si="1389"/>
        <v>0</v>
      </c>
      <c r="AC1048" s="45" cm="1">
        <f t="array" aca="1" ref="AC1048" ca="1">pHUM*(T1048+W1048+Z1048+AD1048)</f>
        <v>2.8014382595738265E-2</v>
      </c>
      <c r="AD1048" s="77">
        <f t="shared" ca="1" si="1390"/>
        <v>2.9583305182127217E-2</v>
      </c>
      <c r="AE1048" s="45">
        <f t="shared" ca="1" si="1403"/>
        <v>6.3847072090583081</v>
      </c>
      <c r="AF1048" s="45">
        <f t="shared" ca="1" si="1391"/>
        <v>0</v>
      </c>
      <c r="AG1048" s="76">
        <f t="shared" ca="1" si="1392"/>
        <v>64.963723964445521</v>
      </c>
      <c r="AH1048" s="45">
        <f t="shared" ca="1" si="1393"/>
        <v>0.2369203244438223</v>
      </c>
      <c r="AI1048" s="77">
        <f t="shared" ca="1" si="1394"/>
        <v>1.1167946837314065E-2</v>
      </c>
      <c r="AJ1048" s="384">
        <f t="shared" ca="1" si="1396"/>
        <v>2.5056112907345662E-2</v>
      </c>
      <c r="AU1048" s="1"/>
    </row>
    <row r="1049" spans="3:47" x14ac:dyDescent="0.25">
      <c r="C1049" s="10">
        <f t="shared" si="1332"/>
        <v>79</v>
      </c>
      <c r="D1049" s="91">
        <f t="shared" si="1404"/>
        <v>11</v>
      </c>
      <c r="E1049" s="278"/>
      <c r="F1049" s="76">
        <f t="shared" ref="F1049:Q1049" ca="1" si="1409">F977</f>
        <v>5.71</v>
      </c>
      <c r="G1049" s="46">
        <f t="shared" ca="1" si="1409"/>
        <v>27.012600000000003</v>
      </c>
      <c r="H1049" s="46">
        <f t="shared" ca="1" si="1380"/>
        <v>28.517550000000004</v>
      </c>
      <c r="I1049" s="45">
        <f t="shared" ca="1" si="1381"/>
        <v>0.24617612464957264</v>
      </c>
      <c r="J1049" s="45">
        <f t="shared" ca="1" si="1382"/>
        <v>0.27952512346894071</v>
      </c>
      <c r="K1049" s="45">
        <f t="shared" ca="1" si="1398"/>
        <v>0.90345467800480783</v>
      </c>
      <c r="L1049" s="358">
        <f t="shared" ca="1" si="1383"/>
        <v>0.57043958344737544</v>
      </c>
      <c r="M1049" s="76">
        <f t="shared" ca="1" si="1409"/>
        <v>0.25347808785320641</v>
      </c>
      <c r="N1049" s="45">
        <f t="shared" ca="1" si="1409"/>
        <v>0.25</v>
      </c>
      <c r="O1049" s="45">
        <f t="shared" ca="1" si="1409"/>
        <v>0</v>
      </c>
      <c r="P1049" s="46" t="str">
        <f t="shared" ca="1" si="1409"/>
        <v/>
      </c>
      <c r="Q1049" s="243" t="str">
        <f t="shared" ca="1" si="1409"/>
        <v/>
      </c>
      <c r="R1049" s="45">
        <f t="shared" ca="1" si="1399"/>
        <v>0.11328214387515542</v>
      </c>
      <c r="S1049" s="45">
        <f t="shared" ca="1" si="1334"/>
        <v>5.0695617570641283E-2</v>
      </c>
      <c r="T1049" s="77">
        <f t="shared" ca="1" si="1384"/>
        <v>2.1010693094592452E-2</v>
      </c>
      <c r="U1049" s="45">
        <f t="shared" ca="1" si="1400"/>
        <v>18.180617842127774</v>
      </c>
      <c r="V1049" s="45">
        <f t="shared" ca="1" si="1385"/>
        <v>0.20278247028256513</v>
      </c>
      <c r="W1049" s="77">
        <f t="shared" ca="1" si="1386"/>
        <v>0.11154724565823634</v>
      </c>
      <c r="X1049" s="45">
        <f t="shared" ca="1" si="1401"/>
        <v>1.0559393381855164</v>
      </c>
      <c r="Y1049" s="45">
        <f t="shared" ca="1" si="1387"/>
        <v>1.3430455567523423E-2</v>
      </c>
      <c r="Z1049" s="77">
        <f t="shared" ca="1" si="1388"/>
        <v>1.4200734287077164E-2</v>
      </c>
      <c r="AA1049" s="45">
        <f t="shared" ca="1" si="1402"/>
        <v>39.245735194608145</v>
      </c>
      <c r="AB1049" s="45">
        <f t="shared" ca="1" si="1389"/>
        <v>0</v>
      </c>
      <c r="AC1049" s="45" cm="1">
        <f t="array" aca="1" ref="AC1049" ca="1">pHUM*(T1049+W1049+Z1049+AD1049)</f>
        <v>1.5800535961792265E-2</v>
      </c>
      <c r="AD1049" s="77">
        <f t="shared" ca="1" si="1390"/>
        <v>1.6098968788088305E-2</v>
      </c>
      <c r="AE1049" s="45">
        <f t="shared" ca="1" si="1403"/>
        <v>6.3847072090583081</v>
      </c>
      <c r="AF1049" s="45">
        <f t="shared" ca="1" si="1391"/>
        <v>0</v>
      </c>
      <c r="AG1049" s="76">
        <f t="shared" ca="1" si="1392"/>
        <v>64.980281727854901</v>
      </c>
      <c r="AH1049" s="45">
        <f t="shared" ca="1" si="1393"/>
        <v>0.13362665029867857</v>
      </c>
      <c r="AI1049" s="77">
        <f t="shared" ca="1" si="1394"/>
        <v>1.1475328305860547E-2</v>
      </c>
      <c r="AJ1049" s="384">
        <f t="shared" ca="1" si="1396"/>
        <v>2.0874817650448074E-2</v>
      </c>
      <c r="AU1049" s="1"/>
    </row>
    <row r="1050" spans="3:47" x14ac:dyDescent="0.25">
      <c r="C1050" s="10">
        <f t="shared" si="1332"/>
        <v>79</v>
      </c>
      <c r="D1050" s="91">
        <f t="shared" si="1404"/>
        <v>12</v>
      </c>
      <c r="E1050" s="278"/>
      <c r="F1050" s="76">
        <f t="shared" ref="F1050:Q1050" ca="1" si="1410">F978</f>
        <v>-0.46</v>
      </c>
      <c r="G1050" s="46">
        <f t="shared" ca="1" si="1410"/>
        <v>27.012600000000003</v>
      </c>
      <c r="H1050" s="46">
        <f t="shared" ca="1" si="1380"/>
        <v>28.517550000000004</v>
      </c>
      <c r="I1050" s="45">
        <f t="shared" ca="1" si="1381"/>
        <v>5.3686278337302371E-2</v>
      </c>
      <c r="J1050" s="45">
        <f t="shared" ca="1" si="1382"/>
        <v>0.27952512346894071</v>
      </c>
      <c r="K1050" s="45">
        <f t="shared" ca="1" si="1398"/>
        <v>0.90345467800480783</v>
      </c>
      <c r="L1050" s="358">
        <f t="shared" ca="1" si="1383"/>
        <v>0.34604490353891793</v>
      </c>
      <c r="M1050" s="76">
        <f t="shared" ca="1" si="1410"/>
        <v>0.25347808785320641</v>
      </c>
      <c r="N1050" s="45">
        <f t="shared" ca="1" si="1410"/>
        <v>0.25</v>
      </c>
      <c r="O1050" s="45">
        <f t="shared" ca="1" si="1410"/>
        <v>0</v>
      </c>
      <c r="P1050" s="46" t="str">
        <f t="shared" ca="1" si="1410"/>
        <v/>
      </c>
      <c r="Q1050" s="243" t="str">
        <f t="shared" ca="1" si="1410"/>
        <v/>
      </c>
      <c r="R1050" s="45">
        <f t="shared" ca="1" si="1399"/>
        <v>0.14296706835120426</v>
      </c>
      <c r="S1050" s="45">
        <f t="shared" ca="1" si="1334"/>
        <v>5.0695617570641283E-2</v>
      </c>
      <c r="T1050" s="77">
        <f t="shared" ca="1" si="1384"/>
        <v>6.255174458432983E-3</v>
      </c>
      <c r="U1050" s="45">
        <f t="shared" ca="1" si="1400"/>
        <v>18.271853066752101</v>
      </c>
      <c r="V1050" s="45">
        <f t="shared" ca="1" si="1385"/>
        <v>0.20278247028256513</v>
      </c>
      <c r="W1050" s="77">
        <f t="shared" ca="1" si="1386"/>
        <v>2.4507244773530997E-2</v>
      </c>
      <c r="X1050" s="45">
        <f t="shared" ca="1" si="1401"/>
        <v>1.0551690594659626</v>
      </c>
      <c r="Y1050" s="45">
        <f t="shared" ca="1" si="1387"/>
        <v>3.0830360946777712E-3</v>
      </c>
      <c r="Z1050" s="77">
        <f t="shared" ca="1" si="1388"/>
        <v>3.1110501603237748E-3</v>
      </c>
      <c r="AA1050" s="45">
        <f t="shared" ca="1" si="1402"/>
        <v>39.245436761781853</v>
      </c>
      <c r="AB1050" s="45">
        <f t="shared" ca="1" si="1389"/>
        <v>0</v>
      </c>
      <c r="AC1050" s="45" cm="1">
        <f t="array" aca="1" ref="AC1050" ca="1">pHUM*(T1050+W1050+Z1050+AD1050)</f>
        <v>3.6271012878562017E-3</v>
      </c>
      <c r="AD1050" s="77">
        <f t="shared" ca="1" si="1390"/>
        <v>3.5114119712263518E-3</v>
      </c>
      <c r="AE1050" s="45">
        <f t="shared" ca="1" si="1403"/>
        <v>6.3847072090583081</v>
      </c>
      <c r="AF1050" s="45">
        <f t="shared" ca="1" si="1391"/>
        <v>0</v>
      </c>
      <c r="AG1050" s="76">
        <f t="shared" ca="1" si="1392"/>
        <v>65.100133165409432</v>
      </c>
      <c r="AH1050" s="45">
        <f t="shared" ca="1" si="1393"/>
        <v>3.0674743980980131E-2</v>
      </c>
      <c r="AI1050" s="77">
        <f t="shared" ca="1" si="1394"/>
        <v>1.191133162101194E-2</v>
      </c>
      <c r="AJ1050" s="384">
        <f t="shared" ca="1" si="1396"/>
        <v>1.314449354862024E-2</v>
      </c>
      <c r="AU1050" s="1"/>
    </row>
    <row r="1051" spans="3:47" x14ac:dyDescent="0.25">
      <c r="C1051" s="10">
        <f t="shared" si="1332"/>
        <v>80</v>
      </c>
      <c r="D1051" s="91">
        <f t="shared" si="1404"/>
        <v>1</v>
      </c>
      <c r="E1051" s="278"/>
      <c r="F1051" s="76">
        <f t="shared" ref="F1051:Q1051" ca="1" si="1411">F979</f>
        <v>-3.44</v>
      </c>
      <c r="G1051" s="46">
        <f t="shared" ca="1" si="1411"/>
        <v>27.012600000000003</v>
      </c>
      <c r="H1051" s="46">
        <f t="shared" ca="1" si="1380"/>
        <v>28.517550000000004</v>
      </c>
      <c r="I1051" s="45">
        <f t="shared" ca="1" si="1381"/>
        <v>1.6253779081695344E-2</v>
      </c>
      <c r="J1051" s="45">
        <f t="shared" ca="1" si="1382"/>
        <v>0.27952512346894071</v>
      </c>
      <c r="K1051" s="45">
        <f t="shared" ca="1" si="1398"/>
        <v>0.90345467800480783</v>
      </c>
      <c r="L1051" s="358">
        <f t="shared" ca="1" si="1383"/>
        <v>0.25329647647379749</v>
      </c>
      <c r="M1051" s="76">
        <f t="shared" ca="1" si="1411"/>
        <v>0.25347808785320641</v>
      </c>
      <c r="N1051" s="45">
        <f t="shared" ca="1" si="1411"/>
        <v>0.25</v>
      </c>
      <c r="O1051" s="45">
        <f t="shared" ca="1" si="1411"/>
        <v>0</v>
      </c>
      <c r="P1051" s="46" t="str">
        <f t="shared" ca="1" si="1411"/>
        <v/>
      </c>
      <c r="Q1051" s="243" t="str">
        <f t="shared" ca="1" si="1411"/>
        <v/>
      </c>
      <c r="R1051" s="45">
        <f t="shared" ca="1" si="1399"/>
        <v>0.18740751146341256</v>
      </c>
      <c r="S1051" s="45">
        <f t="shared" ca="1" si="1334"/>
        <v>5.0695617570641283E-2</v>
      </c>
      <c r="T1051" s="77">
        <f t="shared" ca="1" si="1384"/>
        <v>2.5212865139021302E-3</v>
      </c>
      <c r="U1051" s="45">
        <f t="shared" ca="1" si="1400"/>
        <v>18.450128292261134</v>
      </c>
      <c r="V1051" s="45">
        <f t="shared" ca="1" si="1385"/>
        <v>0.20278247028256513</v>
      </c>
      <c r="W1051" s="77">
        <f t="shared" ca="1" si="1386"/>
        <v>7.495584734417921E-3</v>
      </c>
      <c r="X1051" s="45">
        <f t="shared" ca="1" si="1401"/>
        <v>1.0551410454003167</v>
      </c>
      <c r="Y1051" s="45">
        <f t="shared" ca="1" si="1387"/>
        <v>9.914925904184013E-4</v>
      </c>
      <c r="Z1051" s="77">
        <f t="shared" ca="1" si="1388"/>
        <v>9.4283013187012547E-4</v>
      </c>
      <c r="AA1051" s="45">
        <f t="shared" ca="1" si="1402"/>
        <v>39.245552451098483</v>
      </c>
      <c r="AB1051" s="45">
        <f t="shared" ca="1" si="1389"/>
        <v>0</v>
      </c>
      <c r="AC1051" s="45" cm="1">
        <f t="array" aca="1" ref="AC1051" ca="1">pHUM*(T1051+W1051+Z1051+AD1051)</f>
        <v>1.1664618710804722E-3</v>
      </c>
      <c r="AD1051" s="77">
        <f t="shared" ca="1" si="1390"/>
        <v>1.0631331657898358E-3</v>
      </c>
      <c r="AE1051" s="45">
        <f t="shared" ca="1" si="1403"/>
        <v>6.3847072090583081</v>
      </c>
      <c r="AF1051" s="45">
        <f t="shared" ca="1" si="1391"/>
        <v>0</v>
      </c>
      <c r="AG1051" s="76">
        <f t="shared" ca="1" si="1392"/>
        <v>65.322936509281647</v>
      </c>
      <c r="AH1051" s="45">
        <f t="shared" ca="1" si="1393"/>
        <v>9.8648800844811403E-3</v>
      </c>
      <c r="AI1051" s="77">
        <f t="shared" ca="1" si="1394"/>
        <v>1.2570247764559376E-2</v>
      </c>
      <c r="AJ1051" s="384">
        <f t="shared" ca="1" si="1396"/>
        <v>1.0153722639760776E-2</v>
      </c>
      <c r="AU1051" s="1"/>
    </row>
    <row r="1052" spans="3:47" x14ac:dyDescent="0.25">
      <c r="C1052" s="10">
        <f t="shared" si="1332"/>
        <v>80</v>
      </c>
      <c r="D1052" s="91">
        <f t="shared" si="1404"/>
        <v>2</v>
      </c>
      <c r="E1052" s="278"/>
      <c r="F1052" s="76">
        <f t="shared" ref="F1052:Q1052" ca="1" si="1412">F980</f>
        <v>-1.65</v>
      </c>
      <c r="G1052" s="46">
        <f t="shared" ca="1" si="1412"/>
        <v>27.012600000000003</v>
      </c>
      <c r="H1052" s="46">
        <f t="shared" ca="1" si="1380"/>
        <v>28.517550000000004</v>
      </c>
      <c r="I1052" s="45">
        <f t="shared" ca="1" si="1381"/>
        <v>3.508132091145684E-2</v>
      </c>
      <c r="J1052" s="45">
        <f t="shared" ca="1" si="1382"/>
        <v>0.27952512346894071</v>
      </c>
      <c r="K1052" s="45">
        <f t="shared" ca="1" si="1398"/>
        <v>0.90345467800480783</v>
      </c>
      <c r="L1052" s="358">
        <f t="shared" ca="1" si="1383"/>
        <v>0.30703519550320224</v>
      </c>
      <c r="M1052" s="76">
        <f t="shared" ca="1" si="1412"/>
        <v>0.25347808785320641</v>
      </c>
      <c r="N1052" s="45">
        <f t="shared" ca="1" si="1412"/>
        <v>0.25</v>
      </c>
      <c r="O1052" s="45">
        <f t="shared" ca="1" si="1412"/>
        <v>0</v>
      </c>
      <c r="P1052" s="46" t="str">
        <f t="shared" ca="1" si="1412"/>
        <v/>
      </c>
      <c r="Q1052" s="243" t="str">
        <f t="shared" ca="1" si="1412"/>
        <v/>
      </c>
      <c r="R1052" s="45">
        <f t="shared" ca="1" si="1399"/>
        <v>0.23558184252015171</v>
      </c>
      <c r="S1052" s="45">
        <f t="shared" ca="1" si="1334"/>
        <v>5.0695617570641283E-2</v>
      </c>
      <c r="T1052" s="77">
        <f t="shared" ca="1" si="1384"/>
        <v>6.7874054706907241E-3</v>
      </c>
      <c r="U1052" s="45">
        <f t="shared" ca="1" si="1400"/>
        <v>18.64541517780928</v>
      </c>
      <c r="V1052" s="45">
        <f t="shared" ca="1" si="1385"/>
        <v>0.20278247028256513</v>
      </c>
      <c r="W1052" s="77">
        <f t="shared" ca="1" si="1386"/>
        <v>1.6345476025650951E-2</v>
      </c>
      <c r="X1052" s="45">
        <f t="shared" ca="1" si="1401"/>
        <v>1.055189707858865</v>
      </c>
      <c r="Y1052" s="45">
        <f t="shared" ca="1" si="1387"/>
        <v>2.2646767927802574E-3</v>
      </c>
      <c r="Z1052" s="77">
        <f t="shared" ca="1" si="1388"/>
        <v>2.0339967804088093E-3</v>
      </c>
      <c r="AA1052" s="45">
        <f t="shared" ca="1" si="1402"/>
        <v>39.245655779803769</v>
      </c>
      <c r="AB1052" s="45">
        <f t="shared" ca="1" si="1389"/>
        <v>0</v>
      </c>
      <c r="AC1052" s="45" cm="1">
        <f t="array" aca="1" ref="AC1052" ca="1">pHUM*(T1052+W1052+Z1052+AD1052)</f>
        <v>2.664325638565009E-3</v>
      </c>
      <c r="AD1052" s="77">
        <f t="shared" ca="1" si="1390"/>
        <v>2.2945819931924124E-3</v>
      </c>
      <c r="AE1052" s="45">
        <f t="shared" ca="1" si="1403"/>
        <v>6.3847072090583081</v>
      </c>
      <c r="AF1052" s="45">
        <f t="shared" ca="1" si="1391"/>
        <v>0</v>
      </c>
      <c r="AG1052" s="76">
        <f t="shared" ca="1" si="1392"/>
        <v>65.566549717050378</v>
      </c>
      <c r="AH1052" s="45">
        <f t="shared" ca="1" si="1393"/>
        <v>2.2532457838597638E-2</v>
      </c>
      <c r="AI1052" s="77">
        <f t="shared" ca="1" si="1394"/>
        <v>1.3279384494849736E-2</v>
      </c>
      <c r="AJ1052" s="384">
        <f t="shared" ca="1" si="1396"/>
        <v>1.3002212209027864E-2</v>
      </c>
      <c r="AU1052" s="1"/>
    </row>
    <row r="1053" spans="3:47" x14ac:dyDescent="0.25">
      <c r="C1053" s="10">
        <f t="shared" si="1332"/>
        <v>80</v>
      </c>
      <c r="D1053" s="91">
        <f t="shared" si="1404"/>
        <v>3</v>
      </c>
      <c r="E1053" s="278"/>
      <c r="F1053" s="76">
        <f t="shared" ref="F1053:Q1053" ca="1" si="1413">F981</f>
        <v>4.68</v>
      </c>
      <c r="G1053" s="46">
        <f t="shared" ca="1" si="1413"/>
        <v>27.012600000000003</v>
      </c>
      <c r="H1053" s="46">
        <f t="shared" ca="1" si="1380"/>
        <v>28.517550000000004</v>
      </c>
      <c r="I1053" s="45">
        <f t="shared" ca="1" si="1381"/>
        <v>0.20228669449817699</v>
      </c>
      <c r="J1053" s="45">
        <f t="shared" ca="1" si="1382"/>
        <v>0.27952512346894071</v>
      </c>
      <c r="K1053" s="45">
        <f t="shared" ca="1" si="1398"/>
        <v>0.90345467800480783</v>
      </c>
      <c r="L1053" s="358">
        <f t="shared" ca="1" si="1383"/>
        <v>0.53248567772813127</v>
      </c>
      <c r="M1053" s="76">
        <f t="shared" ca="1" si="1413"/>
        <v>0.25347808785320641</v>
      </c>
      <c r="N1053" s="45">
        <f t="shared" ca="1" si="1413"/>
        <v>0.25</v>
      </c>
      <c r="O1053" s="45">
        <f t="shared" ca="1" si="1413"/>
        <v>0</v>
      </c>
      <c r="P1053" s="46" t="str">
        <f t="shared" ca="1" si="1413"/>
        <v/>
      </c>
      <c r="Q1053" s="243" t="str">
        <f t="shared" ca="1" si="1413"/>
        <v/>
      </c>
      <c r="R1053" s="45">
        <f t="shared" ca="1" si="1399"/>
        <v>0.27949005462010229</v>
      </c>
      <c r="S1053" s="45">
        <f t="shared" ca="1" si="1334"/>
        <v>5.0695617570641283E-2</v>
      </c>
      <c r="T1053" s="77">
        <f t="shared" ca="1" si="1384"/>
        <v>4.3357229787122406E-2</v>
      </c>
      <c r="U1053" s="45">
        <f t="shared" ca="1" si="1400"/>
        <v>18.831852172066192</v>
      </c>
      <c r="V1053" s="45">
        <f t="shared" ca="1" si="1385"/>
        <v>0.20278247028256513</v>
      </c>
      <c r="W1053" s="77">
        <f t="shared" ca="1" si="1386"/>
        <v>9.4995421847220179E-2</v>
      </c>
      <c r="X1053" s="45">
        <f t="shared" ca="1" si="1401"/>
        <v>1.0554203878712365</v>
      </c>
      <c r="Y1053" s="45">
        <f t="shared" ca="1" si="1387"/>
        <v>1.346357809661735E-2</v>
      </c>
      <c r="Z1053" s="77">
        <f t="shared" ca="1" si="1388"/>
        <v>1.1677282762103659E-2</v>
      </c>
      <c r="AA1053" s="45">
        <f t="shared" ca="1" si="1402"/>
        <v>39.246025523449141</v>
      </c>
      <c r="AB1053" s="45">
        <f t="shared" ca="1" si="1389"/>
        <v>0</v>
      </c>
      <c r="AC1053" s="45" cm="1">
        <f t="array" aca="1" ref="AC1053" ca="1">pHUM*(T1053+W1053+Z1053+AD1053)</f>
        <v>1.5839503643079237E-2</v>
      </c>
      <c r="AD1053" s="77">
        <f t="shared" ca="1" si="1390"/>
        <v>1.3229351065488488E-2</v>
      </c>
      <c r="AE1053" s="45">
        <f t="shared" ca="1" si="1403"/>
        <v>6.3847072090583081</v>
      </c>
      <c r="AF1053" s="45">
        <f t="shared" ca="1" si="1391"/>
        <v>0</v>
      </c>
      <c r="AG1053" s="76">
        <f t="shared" ca="1" si="1392"/>
        <v>65.797495347064981</v>
      </c>
      <c r="AH1053" s="45">
        <f t="shared" ca="1" si="1393"/>
        <v>0.13395620372223815</v>
      </c>
      <c r="AI1053" s="77">
        <f t="shared" ca="1" si="1394"/>
        <v>1.3922303142925545E-2</v>
      </c>
      <c r="AJ1053" s="384">
        <f t="shared" ca="1" si="1396"/>
        <v>2.3640997682857767E-2</v>
      </c>
      <c r="AU1053" s="1"/>
    </row>
    <row r="1054" spans="3:47" x14ac:dyDescent="0.25">
      <c r="C1054" s="10">
        <f t="shared" si="1332"/>
        <v>80</v>
      </c>
      <c r="D1054" s="91">
        <f t="shared" si="1404"/>
        <v>4</v>
      </c>
      <c r="E1054" s="278"/>
      <c r="F1054" s="76">
        <f t="shared" ref="F1054:Q1054" ca="1" si="1414">F982</f>
        <v>7.69</v>
      </c>
      <c r="G1054" s="46">
        <f t="shared" ca="1" si="1414"/>
        <v>27.012600000000003</v>
      </c>
      <c r="H1054" s="46">
        <f t="shared" ca="1" si="1380"/>
        <v>28.517550000000004</v>
      </c>
      <c r="I1054" s="45">
        <f t="shared" ca="1" si="1381"/>
        <v>0.3433111911106958</v>
      </c>
      <c r="J1054" s="45">
        <f t="shared" ca="1" si="1382"/>
        <v>0.27952512346894071</v>
      </c>
      <c r="K1054" s="45">
        <f t="shared" ca="1" si="1398"/>
        <v>0.90345467800480783</v>
      </c>
      <c r="L1054" s="358">
        <f t="shared" ca="1" si="1383"/>
        <v>0.64074183470648283</v>
      </c>
      <c r="M1054" s="76">
        <f t="shared" ca="1" si="1414"/>
        <v>0.25347808785320641</v>
      </c>
      <c r="N1054" s="45">
        <f t="shared" ca="1" si="1414"/>
        <v>0.25</v>
      </c>
      <c r="O1054" s="45">
        <f t="shared" ca="1" si="1414"/>
        <v>0</v>
      </c>
      <c r="P1054" s="46" t="str">
        <f t="shared" ca="1" si="1414"/>
        <v/>
      </c>
      <c r="Q1054" s="243" t="str">
        <f t="shared" ca="1" si="1414"/>
        <v/>
      </c>
      <c r="R1054" s="45">
        <f t="shared" ca="1" si="1399"/>
        <v>0.28682844240362115</v>
      </c>
      <c r="S1054" s="45">
        <f t="shared" ca="1" si="1334"/>
        <v>5.0695617570641283E-2</v>
      </c>
      <c r="T1054" s="77">
        <f t="shared" ca="1" si="1384"/>
        <v>7.1364922050609986E-2</v>
      </c>
      <c r="U1054" s="45">
        <f t="shared" ca="1" si="1400"/>
        <v>18.939639220501537</v>
      </c>
      <c r="V1054" s="45">
        <f t="shared" ca="1" si="1385"/>
        <v>0.20278247028256513</v>
      </c>
      <c r="W1054" s="77">
        <f t="shared" ca="1" si="1386"/>
        <v>0.16185915814557711</v>
      </c>
      <c r="X1054" s="45">
        <f t="shared" ca="1" si="1401"/>
        <v>1.0572066832057501</v>
      </c>
      <c r="Y1054" s="45">
        <f t="shared" ca="1" si="1387"/>
        <v>2.2715674520991873E-2</v>
      </c>
      <c r="Z1054" s="77">
        <f t="shared" ca="1" si="1388"/>
        <v>1.9775014125191989E-2</v>
      </c>
      <c r="AA1054" s="45">
        <f t="shared" ca="1" si="1402"/>
        <v>39.24863567602673</v>
      </c>
      <c r="AB1054" s="45">
        <f t="shared" ca="1" si="1389"/>
        <v>0</v>
      </c>
      <c r="AC1054" s="45" cm="1">
        <f t="array" aca="1" ref="AC1054" ca="1">pHUM*(T1054+W1054+Z1054+AD1054)</f>
        <v>2.6724322965872793E-2</v>
      </c>
      <c r="AD1054" s="77">
        <f t="shared" ca="1" si="1390"/>
        <v>2.2451069406995688E-2</v>
      </c>
      <c r="AE1054" s="45">
        <f t="shared" ca="1" si="1403"/>
        <v>6.3847072090583081</v>
      </c>
      <c r="AF1054" s="45">
        <f t="shared" ca="1" si="1391"/>
        <v>0</v>
      </c>
      <c r="AG1054" s="76">
        <f t="shared" ca="1" si="1392"/>
        <v>65.917017231195942</v>
      </c>
      <c r="AH1054" s="45">
        <f t="shared" ca="1" si="1393"/>
        <v>0.22601016624151013</v>
      </c>
      <c r="AI1054" s="77">
        <f t="shared" ca="1" si="1394"/>
        <v>1.4044061830867101E-2</v>
      </c>
      <c r="AJ1054" s="384">
        <f t="shared" ca="1" si="1396"/>
        <v>2.8695944631688119E-2</v>
      </c>
      <c r="AU1054" s="1"/>
    </row>
    <row r="1055" spans="3:47" x14ac:dyDescent="0.25">
      <c r="C1055" s="10">
        <f t="shared" si="1332"/>
        <v>80</v>
      </c>
      <c r="D1055" s="91">
        <f t="shared" si="1404"/>
        <v>5</v>
      </c>
      <c r="E1055" s="278"/>
      <c r="F1055" s="76">
        <f t="shared" ref="F1055:Q1055" ca="1" si="1415">F983</f>
        <v>15.52</v>
      </c>
      <c r="G1055" s="46">
        <f t="shared" ca="1" si="1415"/>
        <v>27.012600000000003</v>
      </c>
      <c r="H1055" s="46">
        <f t="shared" ca="1" si="1380"/>
        <v>28.517550000000004</v>
      </c>
      <c r="I1055" s="45">
        <f t="shared" ca="1" si="1381"/>
        <v>0.86230369296737164</v>
      </c>
      <c r="J1055" s="45">
        <f t="shared" ca="1" si="1382"/>
        <v>0.27952512346894071</v>
      </c>
      <c r="K1055" s="45">
        <f t="shared" ca="1" si="1398"/>
        <v>0.90345467800480783</v>
      </c>
      <c r="L1055" s="358">
        <f t="shared" ca="1" si="1383"/>
        <v>0.85046529796407655</v>
      </c>
      <c r="M1055" s="76">
        <f t="shared" ca="1" si="1415"/>
        <v>0.25347808785320641</v>
      </c>
      <c r="N1055" s="45">
        <f t="shared" ca="1" si="1415"/>
        <v>0.25</v>
      </c>
      <c r="O1055" s="45">
        <f t="shared" ca="1" si="1415"/>
        <v>0</v>
      </c>
      <c r="P1055" s="46" t="str">
        <f t="shared" ca="1" si="1415"/>
        <v/>
      </c>
      <c r="Q1055" s="243" t="str">
        <f t="shared" ca="1" si="1415"/>
        <v/>
      </c>
      <c r="R1055" s="45">
        <f t="shared" ca="1" si="1399"/>
        <v>0.26615913792365242</v>
      </c>
      <c r="S1055" s="45">
        <f t="shared" ca="1" si="1334"/>
        <v>5.0695617570641283E-2</v>
      </c>
      <c r="T1055" s="77">
        <f t="shared" ca="1" si="1384"/>
        <v>0.13642231208113587</v>
      </c>
      <c r="U1055" s="45">
        <f t="shared" ca="1" si="1400"/>
        <v>18.980562532638523</v>
      </c>
      <c r="V1055" s="45">
        <f t="shared" ca="1" si="1385"/>
        <v>0.20278247028256513</v>
      </c>
      <c r="W1055" s="77">
        <f t="shared" ca="1" si="1386"/>
        <v>0.40479633535489185</v>
      </c>
      <c r="X1055" s="45">
        <f t="shared" ca="1" si="1401"/>
        <v>1.0601473436015498</v>
      </c>
      <c r="Y1055" s="45">
        <f t="shared" ca="1" si="1387"/>
        <v>5.3331454797132992E-2</v>
      </c>
      <c r="Z1055" s="77">
        <f t="shared" ca="1" si="1388"/>
        <v>4.9105630185176961E-2</v>
      </c>
      <c r="AA1055" s="45">
        <f t="shared" ca="1" si="1402"/>
        <v>39.252908929585608</v>
      </c>
      <c r="AB1055" s="45">
        <f t="shared" ca="1" si="1389"/>
        <v>0</v>
      </c>
      <c r="AC1055" s="45" cm="1">
        <f t="array" aca="1" ref="AC1055" ca="1">pHUM*(T1055+W1055+Z1055+AD1055)</f>
        <v>6.2742887996627056E-2</v>
      </c>
      <c r="AD1055" s="77">
        <f t="shared" ca="1" si="1390"/>
        <v>5.637269552688829E-2</v>
      </c>
      <c r="AE1055" s="45">
        <f t="shared" ca="1" si="1403"/>
        <v>6.3847072090583081</v>
      </c>
      <c r="AF1055" s="45">
        <f t="shared" ca="1" si="1391"/>
        <v>0</v>
      </c>
      <c r="AG1055" s="76">
        <f t="shared" ca="1" si="1392"/>
        <v>65.944485152807644</v>
      </c>
      <c r="AH1055" s="45">
        <f t="shared" ca="1" si="1393"/>
        <v>0.53062263035433299</v>
      </c>
      <c r="AI1055" s="77">
        <f t="shared" ca="1" si="1394"/>
        <v>1.3768401965403841E-2</v>
      </c>
      <c r="AJ1055" s="384">
        <f t="shared" ca="1" si="1396"/>
        <v>3.7340601077734403E-2</v>
      </c>
      <c r="AU1055" s="1"/>
    </row>
    <row r="1056" spans="3:47" x14ac:dyDescent="0.25">
      <c r="C1056" s="10">
        <f t="shared" si="1332"/>
        <v>80</v>
      </c>
      <c r="D1056" s="91">
        <f t="shared" si="1404"/>
        <v>6</v>
      </c>
      <c r="E1056" s="278"/>
      <c r="F1056" s="76">
        <f t="shared" ref="F1056:Q1056" ca="1" si="1416">F984</f>
        <v>17.8</v>
      </c>
      <c r="G1056" s="46">
        <f t="shared" ca="1" si="1416"/>
        <v>27.012600000000003</v>
      </c>
      <c r="H1056" s="46">
        <f t="shared" ca="1" si="1380"/>
        <v>28.517550000000004</v>
      </c>
      <c r="I1056" s="45">
        <f t="shared" ca="1" si="1381"/>
        <v>1.0420430221807615</v>
      </c>
      <c r="J1056" s="45">
        <f t="shared" ca="1" si="1382"/>
        <v>0.27952512346894071</v>
      </c>
      <c r="K1056" s="45">
        <f t="shared" ca="1" si="1398"/>
        <v>0.90345467800480783</v>
      </c>
      <c r="L1056" s="358">
        <f t="shared" ca="1" si="1383"/>
        <v>0.88796358149435028</v>
      </c>
      <c r="M1056" s="76">
        <f t="shared" ca="1" si="1416"/>
        <v>0.25347808785320641</v>
      </c>
      <c r="N1056" s="45">
        <f t="shared" ca="1" si="1416"/>
        <v>0.25</v>
      </c>
      <c r="O1056" s="45">
        <f t="shared" ca="1" si="1416"/>
        <v>0</v>
      </c>
      <c r="P1056" s="46" t="str">
        <f t="shared" ca="1" si="1416"/>
        <v/>
      </c>
      <c r="Q1056" s="243" t="str">
        <f t="shared" ca="1" si="1416"/>
        <v/>
      </c>
      <c r="R1056" s="45">
        <f t="shared" ca="1" si="1399"/>
        <v>0.18043244341315784</v>
      </c>
      <c r="S1056" s="45">
        <f t="shared" ca="1" si="1334"/>
        <v>5.0695617570641283E-2</v>
      </c>
      <c r="T1056" s="77">
        <f t="shared" ca="1" si="1384"/>
        <v>0.10471661384205616</v>
      </c>
      <c r="U1056" s="45">
        <f t="shared" ca="1" si="1400"/>
        <v>18.778548667566195</v>
      </c>
      <c r="V1056" s="45">
        <f t="shared" ca="1" si="1385"/>
        <v>0.20278247028256513</v>
      </c>
      <c r="W1056" s="77">
        <f t="shared" ca="1" si="1386"/>
        <v>0.4828842539005172</v>
      </c>
      <c r="X1056" s="45">
        <f t="shared" ca="1" si="1401"/>
        <v>1.064373168213506</v>
      </c>
      <c r="Y1056" s="45">
        <f t="shared" ca="1" si="1387"/>
        <v>5.8965170237252507E-2</v>
      </c>
      <c r="Z1056" s="77">
        <f t="shared" ca="1" si="1388"/>
        <v>5.9286590060892243E-2</v>
      </c>
      <c r="AA1056" s="45">
        <f t="shared" ca="1" si="1402"/>
        <v>39.259279122055347</v>
      </c>
      <c r="AB1056" s="45">
        <f t="shared" ca="1" si="1389"/>
        <v>0</v>
      </c>
      <c r="AC1056" s="45" cm="1">
        <f t="array" aca="1" ref="AC1056" ca="1">pHUM*(T1056+W1056+Z1056+AD1056)</f>
        <v>6.9370788514414722E-2</v>
      </c>
      <c r="AD1056" s="77">
        <f t="shared" ca="1" si="1390"/>
        <v>6.8123922603190029E-2</v>
      </c>
      <c r="AE1056" s="45">
        <f t="shared" ca="1" si="1403"/>
        <v>6.3847072090583081</v>
      </c>
      <c r="AF1056" s="45">
        <f t="shared" ca="1" si="1391"/>
        <v>0</v>
      </c>
      <c r="AG1056" s="76">
        <f t="shared" ca="1" si="1392"/>
        <v>65.66734061030651</v>
      </c>
      <c r="AH1056" s="45">
        <f t="shared" ca="1" si="1393"/>
        <v>0.58667542165498843</v>
      </c>
      <c r="AI1056" s="77">
        <f t="shared" ca="1" si="1394"/>
        <v>1.2546621154422163E-2</v>
      </c>
      <c r="AJ1056" s="384">
        <f t="shared" ca="1" si="1396"/>
        <v>3.5527434888394938E-2</v>
      </c>
      <c r="AU1056" s="1"/>
    </row>
    <row r="1057" spans="3:47" x14ac:dyDescent="0.25">
      <c r="C1057" s="10">
        <f t="shared" si="1332"/>
        <v>80</v>
      </c>
      <c r="D1057" s="91">
        <f t="shared" si="1404"/>
        <v>7</v>
      </c>
      <c r="E1057" s="278"/>
      <c r="F1057" s="76">
        <f t="shared" ref="F1057:Q1057" ca="1" si="1417">F985</f>
        <v>22.99</v>
      </c>
      <c r="G1057" s="46">
        <f t="shared" ca="1" si="1417"/>
        <v>27.012600000000003</v>
      </c>
      <c r="H1057" s="46">
        <f t="shared" ca="1" si="1380"/>
        <v>28.517550000000004</v>
      </c>
      <c r="I1057" s="45">
        <f t="shared" ca="1" si="1381"/>
        <v>1.4752596357037575</v>
      </c>
      <c r="J1057" s="45">
        <f t="shared" ca="1" si="1382"/>
        <v>0.27952512346894071</v>
      </c>
      <c r="K1057" s="45">
        <f t="shared" ca="1" si="1398"/>
        <v>0.90345467800480783</v>
      </c>
      <c r="L1057" s="358">
        <f t="shared" ca="1" si="1383"/>
        <v>0.94206720469222516</v>
      </c>
      <c r="M1057" s="76">
        <f t="shared" ca="1" si="1417"/>
        <v>0.25347808785320641</v>
      </c>
      <c r="N1057" s="45">
        <f t="shared" ca="1" si="1417"/>
        <v>0.25</v>
      </c>
      <c r="O1057" s="45">
        <f t="shared" ca="1" si="1417"/>
        <v>0</v>
      </c>
      <c r="P1057" s="46" t="str">
        <f t="shared" ca="1" si="1417"/>
        <v/>
      </c>
      <c r="Q1057" s="243" t="str">
        <f t="shared" ca="1" si="1417"/>
        <v/>
      </c>
      <c r="R1057" s="45">
        <f t="shared" ca="1" si="1399"/>
        <v>0.12641144714174296</v>
      </c>
      <c r="S1057" s="45">
        <f t="shared" ca="1" si="1334"/>
        <v>5.0695617570641283E-2</v>
      </c>
      <c r="T1057" s="77">
        <f t="shared" ca="1" si="1384"/>
        <v>8.9439515862024505E-2</v>
      </c>
      <c r="U1057" s="45">
        <f t="shared" ca="1" si="1400"/>
        <v>18.49844688394824</v>
      </c>
      <c r="V1057" s="45">
        <f t="shared" ca="1" si="1385"/>
        <v>0.20278247028256513</v>
      </c>
      <c r="W1057" s="77">
        <f t="shared" ca="1" si="1386"/>
        <v>0.6698223516769598</v>
      </c>
      <c r="X1057" s="45">
        <f t="shared" ca="1" si="1401"/>
        <v>1.0640517483898662</v>
      </c>
      <c r="Y1057" s="45">
        <f t="shared" ca="1" si="1387"/>
        <v>7.7404147860130473E-2</v>
      </c>
      <c r="Z1057" s="77">
        <f t="shared" ca="1" si="1388"/>
        <v>8.2926599246110788E-2</v>
      </c>
      <c r="AA1057" s="45">
        <f t="shared" ca="1" si="1402"/>
        <v>39.260525987966567</v>
      </c>
      <c r="AB1057" s="45">
        <f t="shared" ca="1" si="1389"/>
        <v>0</v>
      </c>
      <c r="AC1057" s="45" cm="1">
        <f t="array" aca="1" ref="AC1057" ca="1">pHUM*(T1057+W1057+Z1057+AD1057)</f>
        <v>9.1063703364859389E-2</v>
      </c>
      <c r="AD1057" s="77">
        <f t="shared" ca="1" si="1390"/>
        <v>9.6413870628449416E-2</v>
      </c>
      <c r="AE1057" s="45">
        <f t="shared" ca="1" si="1403"/>
        <v>6.3847072090583081</v>
      </c>
      <c r="AF1057" s="45">
        <f t="shared" ca="1" si="1391"/>
        <v>0</v>
      </c>
      <c r="AG1057" s="76">
        <f t="shared" ca="1" si="1392"/>
        <v>65.334143276504719</v>
      </c>
      <c r="AH1057" s="45">
        <f t="shared" ca="1" si="1393"/>
        <v>0.77013448618855473</v>
      </c>
      <c r="AI1057" s="77">
        <f t="shared" ca="1" si="1394"/>
        <v>1.173482134870197E-2</v>
      </c>
      <c r="AJ1057" s="384">
        <f t="shared" ca="1" si="1396"/>
        <v>3.525335004252339E-2</v>
      </c>
      <c r="AU1057" s="1"/>
    </row>
    <row r="1058" spans="3:47" x14ac:dyDescent="0.25">
      <c r="C1058" s="10">
        <f t="shared" si="1332"/>
        <v>80</v>
      </c>
      <c r="D1058" s="91">
        <f t="shared" si="1404"/>
        <v>8</v>
      </c>
      <c r="E1058" s="278"/>
      <c r="F1058" s="76">
        <f t="shared" ref="F1058:Q1058" ca="1" si="1418">F986</f>
        <v>21.76</v>
      </c>
      <c r="G1058" s="46">
        <f t="shared" ca="1" si="1418"/>
        <v>27.012600000000003</v>
      </c>
      <c r="H1058" s="46">
        <f t="shared" ca="1" si="1380"/>
        <v>28.517550000000004</v>
      </c>
      <c r="I1058" s="45">
        <f t="shared" ca="1" si="1381"/>
        <v>1.3706166748122235</v>
      </c>
      <c r="J1058" s="45">
        <f t="shared" ca="1" si="1382"/>
        <v>0.27952512346894071</v>
      </c>
      <c r="K1058" s="45">
        <f t="shared" ca="1" si="1398"/>
        <v>0.90345467800480783</v>
      </c>
      <c r="L1058" s="358">
        <f t="shared" ca="1" si="1383"/>
        <v>0.93252308258228611</v>
      </c>
      <c r="M1058" s="76">
        <f t="shared" ca="1" si="1418"/>
        <v>0.25347808785320641</v>
      </c>
      <c r="N1058" s="45">
        <f t="shared" ca="1" si="1418"/>
        <v>0.25</v>
      </c>
      <c r="O1058" s="45">
        <f t="shared" ca="1" si="1418"/>
        <v>0</v>
      </c>
      <c r="P1058" s="46" t="str">
        <f t="shared" ca="1" si="1418"/>
        <v/>
      </c>
      <c r="Q1058" s="243" t="str">
        <f t="shared" ca="1" si="1418"/>
        <v/>
      </c>
      <c r="R1058" s="45">
        <f t="shared" ca="1" si="1399"/>
        <v>8.7667548850359739E-2</v>
      </c>
      <c r="S1058" s="45">
        <f t="shared" ca="1" si="1334"/>
        <v>5.0695617570641283E-2</v>
      </c>
      <c r="T1058" s="77">
        <f t="shared" ca="1" si="1384"/>
        <v>5.9690870583984493E-2</v>
      </c>
      <c r="U1058" s="45">
        <f t="shared" ca="1" si="1400"/>
        <v>18.031407002553845</v>
      </c>
      <c r="V1058" s="45">
        <f t="shared" ca="1" si="1385"/>
        <v>0.20278247028256513</v>
      </c>
      <c r="W1058" s="77">
        <f t="shared" ca="1" si="1386"/>
        <v>0.60738804772476107</v>
      </c>
      <c r="X1058" s="45">
        <f t="shared" ca="1" si="1401"/>
        <v>1.0585292970038858</v>
      </c>
      <c r="Y1058" s="45">
        <f t="shared" ca="1" si="1387"/>
        <v>6.8737628071547277E-2</v>
      </c>
      <c r="Z1058" s="77">
        <f t="shared" ca="1" si="1388"/>
        <v>7.6862587625564111E-2</v>
      </c>
      <c r="AA1058" s="45">
        <f t="shared" ca="1" si="1402"/>
        <v>39.255175820702974</v>
      </c>
      <c r="AB1058" s="45">
        <f t="shared" ca="1" si="1389"/>
        <v>0</v>
      </c>
      <c r="AC1058" s="45" cm="1">
        <f t="array" aca="1" ref="AC1058" ca="1">pHUM*(T1058+W1058+Z1058+AD1058)</f>
        <v>8.0867797731232094E-2</v>
      </c>
      <c r="AD1058" s="77">
        <f t="shared" ca="1" si="1390"/>
        <v>8.9570652778426213E-2</v>
      </c>
      <c r="AE1058" s="45">
        <f t="shared" ca="1" si="1403"/>
        <v>6.3847072090583081</v>
      </c>
      <c r="AF1058" s="45">
        <f t="shared" ca="1" si="1391"/>
        <v>0</v>
      </c>
      <c r="AG1058" s="76">
        <f t="shared" ca="1" si="1392"/>
        <v>64.817486878169376</v>
      </c>
      <c r="AH1058" s="45">
        <f t="shared" ca="1" si="1393"/>
        <v>0.68390673290995652</v>
      </c>
      <c r="AI1058" s="77">
        <f t="shared" ca="1" si="1394"/>
        <v>1.1080867174362307E-2</v>
      </c>
      <c r="AJ1058" s="384">
        <f t="shared" ca="1" si="1396"/>
        <v>3.2951584927102262E-2</v>
      </c>
      <c r="AU1058" s="1"/>
    </row>
    <row r="1059" spans="3:47" x14ac:dyDescent="0.25">
      <c r="C1059" s="10">
        <f t="shared" si="1332"/>
        <v>80</v>
      </c>
      <c r="D1059" s="91">
        <f t="shared" si="1404"/>
        <v>9</v>
      </c>
      <c r="E1059" s="278"/>
      <c r="F1059" s="76">
        <f t="shared" ref="F1059:Q1059" ca="1" si="1419">F987</f>
        <v>16.16</v>
      </c>
      <c r="G1059" s="46">
        <f t="shared" ca="1" si="1419"/>
        <v>27.012600000000003</v>
      </c>
      <c r="H1059" s="46">
        <f t="shared" ca="1" si="1380"/>
        <v>28.517550000000004</v>
      </c>
      <c r="I1059" s="45">
        <f t="shared" ca="1" si="1381"/>
        <v>0.91183635166446475</v>
      </c>
      <c r="J1059" s="45">
        <f t="shared" ca="1" si="1382"/>
        <v>0.27952512346894071</v>
      </c>
      <c r="K1059" s="45">
        <f t="shared" ca="1" si="1398"/>
        <v>0.90345467800480783</v>
      </c>
      <c r="L1059" s="358">
        <f t="shared" ca="1" si="1383"/>
        <v>0.86198800670670384</v>
      </c>
      <c r="M1059" s="76">
        <f t="shared" ca="1" si="1419"/>
        <v>0.25347808785320641</v>
      </c>
      <c r="N1059" s="45">
        <f t="shared" ca="1" si="1419"/>
        <v>0.25</v>
      </c>
      <c r="O1059" s="45">
        <f t="shared" ca="1" si="1419"/>
        <v>0</v>
      </c>
      <c r="P1059" s="46" t="str">
        <f t="shared" ca="1" si="1419"/>
        <v/>
      </c>
      <c r="Q1059" s="243" t="str">
        <f t="shared" ca="1" si="1419"/>
        <v/>
      </c>
      <c r="R1059" s="45">
        <f t="shared" ca="1" si="1399"/>
        <v>7.8672295837016529E-2</v>
      </c>
      <c r="S1059" s="45">
        <f t="shared" ca="1" si="1334"/>
        <v>5.0695617570641283E-2</v>
      </c>
      <c r="T1059" s="77">
        <f t="shared" ca="1" si="1384"/>
        <v>4.1874886484751211E-2</v>
      </c>
      <c r="U1059" s="45">
        <f t="shared" ca="1" si="1400"/>
        <v>17.626801425111648</v>
      </c>
      <c r="V1059" s="45">
        <f t="shared" ca="1" si="1385"/>
        <v>0.20278247028256513</v>
      </c>
      <c r="W1059" s="77">
        <f t="shared" ca="1" si="1386"/>
        <v>0.39727364709277929</v>
      </c>
      <c r="X1059" s="45">
        <f t="shared" ca="1" si="1401"/>
        <v>1.0504043374498688</v>
      </c>
      <c r="Y1059" s="45">
        <f t="shared" ca="1" si="1387"/>
        <v>4.5367562926015147E-2</v>
      </c>
      <c r="Z1059" s="77">
        <f t="shared" ca="1" si="1388"/>
        <v>5.1379687498561193E-2</v>
      </c>
      <c r="AA1059" s="45">
        <f t="shared" ca="1" si="1402"/>
        <v>39.246472965655776</v>
      </c>
      <c r="AB1059" s="45">
        <f t="shared" ca="1" si="1389"/>
        <v>0</v>
      </c>
      <c r="AC1059" s="45" cm="1">
        <f t="array" aca="1" ref="AC1059" ca="1">pHUM*(T1059+W1059+Z1059+AD1059)</f>
        <v>5.3373603442370757E-2</v>
      </c>
      <c r="AD1059" s="77">
        <f t="shared" ca="1" si="1390"/>
        <v>5.9598636234705918E-2</v>
      </c>
      <c r="AE1059" s="45">
        <f t="shared" ca="1" si="1403"/>
        <v>6.3847072090583081</v>
      </c>
      <c r="AF1059" s="45">
        <f t="shared" ca="1" si="1391"/>
        <v>0</v>
      </c>
      <c r="AG1059" s="76">
        <f t="shared" ca="1" si="1392"/>
        <v>64.387058233112612</v>
      </c>
      <c r="AH1059" s="45">
        <f t="shared" ca="1" si="1393"/>
        <v>0.45138569094241171</v>
      </c>
      <c r="AI1059" s="77">
        <f t="shared" ca="1" si="1394"/>
        <v>1.0851513738356024E-2</v>
      </c>
      <c r="AJ1059" s="384">
        <f t="shared" ca="1" si="1396"/>
        <v>2.9828800953881629E-2</v>
      </c>
      <c r="AU1059" s="1"/>
    </row>
    <row r="1060" spans="3:47" x14ac:dyDescent="0.25">
      <c r="C1060" s="10">
        <f t="shared" si="1332"/>
        <v>80</v>
      </c>
      <c r="D1060" s="91">
        <f t="shared" si="1404"/>
        <v>10</v>
      </c>
      <c r="E1060" s="278"/>
      <c r="F1060" s="76">
        <f t="shared" ref="F1060:Q1060" ca="1" si="1420">F988</f>
        <v>11.21</v>
      </c>
      <c r="G1060" s="46">
        <f t="shared" ca="1" si="1420"/>
        <v>27.012600000000003</v>
      </c>
      <c r="H1060" s="46">
        <f t="shared" ca="1" si="1380"/>
        <v>28.517550000000004</v>
      </c>
      <c r="I1060" s="45">
        <f t="shared" ca="1" si="1381"/>
        <v>0.55341948356365211</v>
      </c>
      <c r="J1060" s="45">
        <f t="shared" ca="1" si="1382"/>
        <v>0.27952512346894071</v>
      </c>
      <c r="K1060" s="45">
        <f t="shared" ca="1" si="1398"/>
        <v>0.90345467800480783</v>
      </c>
      <c r="L1060" s="358">
        <f t="shared" ca="1" si="1383"/>
        <v>0.75061725573145499</v>
      </c>
      <c r="M1060" s="76">
        <f t="shared" ca="1" si="1420"/>
        <v>0.25347808785320641</v>
      </c>
      <c r="N1060" s="45">
        <f t="shared" ca="1" si="1420"/>
        <v>0.25</v>
      </c>
      <c r="O1060" s="45">
        <f t="shared" ca="1" si="1420"/>
        <v>0</v>
      </c>
      <c r="P1060" s="46" t="str">
        <f t="shared" ca="1" si="1420"/>
        <v/>
      </c>
      <c r="Q1060" s="243" t="str">
        <f t="shared" ca="1" si="1420"/>
        <v/>
      </c>
      <c r="R1060" s="45">
        <f t="shared" ca="1" si="1399"/>
        <v>8.7493026922906586E-2</v>
      </c>
      <c r="S1060" s="45">
        <f t="shared" ca="1" si="1334"/>
        <v>5.0695617570641283E-2</v>
      </c>
      <c r="T1060" s="77">
        <f t="shared" ca="1" si="1384"/>
        <v>3.2325406484756646E-2</v>
      </c>
      <c r="U1060" s="45">
        <f t="shared" ca="1" si="1400"/>
        <v>17.432310248301434</v>
      </c>
      <c r="V1060" s="45">
        <f t="shared" ca="1" si="1385"/>
        <v>0.20278247028256513</v>
      </c>
      <c r="W1060" s="77">
        <f t="shared" ca="1" si="1386"/>
        <v>0.23952371890879637</v>
      </c>
      <c r="X1060" s="45">
        <f t="shared" ca="1" si="1401"/>
        <v>1.0443922128773226</v>
      </c>
      <c r="Y1060" s="45">
        <f t="shared" ca="1" si="1387"/>
        <v>2.798423104536063E-2</v>
      </c>
      <c r="Z1060" s="77">
        <f t="shared" ca="1" si="1388"/>
        <v>3.1310354227186844E-2</v>
      </c>
      <c r="AA1060" s="45">
        <f t="shared" ca="1" si="1402"/>
        <v>39.240247932863447</v>
      </c>
      <c r="AB1060" s="45">
        <f t="shared" ca="1" si="1389"/>
        <v>0</v>
      </c>
      <c r="AC1060" s="45" cm="1">
        <f t="array" aca="1" ref="AC1060" ca="1">pHUM*(T1060+W1060+Z1060+AD1060)</f>
        <v>3.2922624759247801E-2</v>
      </c>
      <c r="AD1060" s="77">
        <f t="shared" ca="1" si="1390"/>
        <v>3.6177176049948766E-2</v>
      </c>
      <c r="AE1060" s="45">
        <f t="shared" ca="1" si="1403"/>
        <v>6.3847072090583081</v>
      </c>
      <c r="AF1060" s="45">
        <f t="shared" ca="1" si="1391"/>
        <v>0</v>
      </c>
      <c r="AG1060" s="76">
        <f t="shared" ca="1" si="1392"/>
        <v>64.18915063002342</v>
      </c>
      <c r="AH1060" s="45">
        <f t="shared" ca="1" si="1393"/>
        <v>0.27842979986608019</v>
      </c>
      <c r="AI1060" s="77">
        <f t="shared" ca="1" si="1394"/>
        <v>1.0925813995075256E-2</v>
      </c>
      <c r="AJ1060" s="384">
        <f t="shared" ca="1" si="1396"/>
        <v>2.6152794491675069E-2</v>
      </c>
      <c r="AU1060" s="1"/>
    </row>
    <row r="1061" spans="3:47" x14ac:dyDescent="0.25">
      <c r="C1061" s="10">
        <f t="shared" ref="C1061:C1124" si="1421">IF(D1061=1,C1060+1,C1060)</f>
        <v>80</v>
      </c>
      <c r="D1061" s="91">
        <f t="shared" si="1404"/>
        <v>11</v>
      </c>
      <c r="E1061" s="278"/>
      <c r="F1061" s="76">
        <f t="shared" ref="F1061:Q1061" ca="1" si="1422">F989</f>
        <v>1.8</v>
      </c>
      <c r="G1061" s="46">
        <f t="shared" ca="1" si="1422"/>
        <v>27.012600000000003</v>
      </c>
      <c r="H1061" s="46">
        <f t="shared" ca="1" si="1380"/>
        <v>28.517550000000004</v>
      </c>
      <c r="I1061" s="45">
        <f t="shared" ca="1" si="1381"/>
        <v>0.10471759589279002</v>
      </c>
      <c r="J1061" s="45">
        <f t="shared" ca="1" si="1382"/>
        <v>0.27952512346894071</v>
      </c>
      <c r="K1061" s="45">
        <f t="shared" ca="1" si="1398"/>
        <v>0.90345467800480783</v>
      </c>
      <c r="L1061" s="358">
        <f t="shared" ca="1" si="1383"/>
        <v>0.42572038710161686</v>
      </c>
      <c r="M1061" s="76">
        <f t="shared" ca="1" si="1422"/>
        <v>0.25347808785320641</v>
      </c>
      <c r="N1061" s="45">
        <f t="shared" ca="1" si="1422"/>
        <v>0.25</v>
      </c>
      <c r="O1061" s="45">
        <f t="shared" ca="1" si="1422"/>
        <v>0</v>
      </c>
      <c r="P1061" s="46" t="str">
        <f t="shared" ca="1" si="1422"/>
        <v/>
      </c>
      <c r="Q1061" s="243" t="str">
        <f t="shared" ca="1" si="1422"/>
        <v/>
      </c>
      <c r="R1061" s="45">
        <f t="shared" ca="1" si="1399"/>
        <v>0.10586323800879122</v>
      </c>
      <c r="S1061" s="45">
        <f t="shared" ref="S1061:S1124" ca="1" si="1423">M1061*N1061/(1+N1061) +   IF(O1061&gt;0,O1061*P1061*(1-Q1061)/(1+P1061),0)</f>
        <v>5.0695617570641283E-2</v>
      </c>
      <c r="T1061" s="77">
        <f t="shared" ca="1" si="1384"/>
        <v>8.8465126159825002E-3</v>
      </c>
      <c r="U1061" s="45">
        <f t="shared" ca="1" si="1400"/>
        <v>17.395568999675202</v>
      </c>
      <c r="V1061" s="45">
        <f t="shared" ca="1" si="1385"/>
        <v>0.20278247028256513</v>
      </c>
      <c r="W1061" s="77">
        <f t="shared" ca="1" si="1386"/>
        <v>4.5480994889538821E-2</v>
      </c>
      <c r="X1061" s="45">
        <f t="shared" ca="1" si="1401"/>
        <v>1.0410660896954964</v>
      </c>
      <c r="Y1061" s="45">
        <f t="shared" ca="1" si="1387"/>
        <v>5.5379922937059834E-3</v>
      </c>
      <c r="Z1061" s="77">
        <f t="shared" ca="1" si="1388"/>
        <v>5.9787528501361103E-3</v>
      </c>
      <c r="AA1061" s="45">
        <f t="shared" ca="1" si="1402"/>
        <v>39.236993381572745</v>
      </c>
      <c r="AB1061" s="45">
        <f t="shared" ca="1" si="1389"/>
        <v>0</v>
      </c>
      <c r="AC1061" s="45" cm="1">
        <f t="array" aca="1" ref="AC1061" ca="1">pHUM*(T1061+W1061+Z1061+AD1061)</f>
        <v>6.5152850514188041E-3</v>
      </c>
      <c r="AD1061" s="77">
        <f t="shared" ca="1" si="1390"/>
        <v>6.8474084741239356E-3</v>
      </c>
      <c r="AE1061" s="45">
        <f t="shared" ca="1" si="1403"/>
        <v>6.3847072090583081</v>
      </c>
      <c r="AF1061" s="45">
        <f t="shared" ca="1" si="1391"/>
        <v>0</v>
      </c>
      <c r="AG1061" s="76">
        <f t="shared" ca="1" si="1392"/>
        <v>64.164198918010541</v>
      </c>
      <c r="AH1061" s="45">
        <f t="shared" ca="1" si="1393"/>
        <v>5.5100391484656584E-2</v>
      </c>
      <c r="AI1061" s="77">
        <f t="shared" ca="1" si="1394"/>
        <v>1.1176322165563343E-2</v>
      </c>
      <c r="AJ1061" s="384">
        <f t="shared" ca="1" si="1396"/>
        <v>1.5173075316634588E-2</v>
      </c>
      <c r="AU1061" s="1"/>
    </row>
    <row r="1062" spans="3:47" x14ac:dyDescent="0.25">
      <c r="C1062" s="10">
        <f t="shared" si="1421"/>
        <v>80</v>
      </c>
      <c r="D1062" s="91">
        <f t="shared" si="1404"/>
        <v>12</v>
      </c>
      <c r="E1062" s="278"/>
      <c r="F1062" s="76">
        <f t="shared" ref="F1062:Q1062" ca="1" si="1424">F990</f>
        <v>-0.63</v>
      </c>
      <c r="G1062" s="46">
        <f t="shared" ca="1" si="1424"/>
        <v>27.012600000000003</v>
      </c>
      <c r="H1062" s="46">
        <f t="shared" ca="1" si="1380"/>
        <v>28.517550000000004</v>
      </c>
      <c r="I1062" s="45">
        <f t="shared" ca="1" si="1381"/>
        <v>5.069926650983797E-2</v>
      </c>
      <c r="J1062" s="45">
        <f t="shared" ca="1" si="1382"/>
        <v>0.27952512346894071</v>
      </c>
      <c r="K1062" s="45">
        <f t="shared" ca="1" si="1398"/>
        <v>0.90345467800480783</v>
      </c>
      <c r="L1062" s="358">
        <f t="shared" ca="1" si="1383"/>
        <v>0.3403279781726225</v>
      </c>
      <c r="M1062" s="76">
        <f t="shared" ca="1" si="1424"/>
        <v>0.25347808785320641</v>
      </c>
      <c r="N1062" s="45">
        <f t="shared" ca="1" si="1424"/>
        <v>0.25</v>
      </c>
      <c r="O1062" s="45">
        <f t="shared" ca="1" si="1424"/>
        <v>0</v>
      </c>
      <c r="P1062" s="46" t="str">
        <f t="shared" ca="1" si="1424"/>
        <v/>
      </c>
      <c r="Q1062" s="243" t="str">
        <f t="shared" ca="1" si="1424"/>
        <v/>
      </c>
      <c r="R1062" s="45">
        <f t="shared" ca="1" si="1399"/>
        <v>0.14771234296345001</v>
      </c>
      <c r="S1062" s="45">
        <f t="shared" ca="1" si="1423"/>
        <v>5.0695617570641283E-2</v>
      </c>
      <c r="T1062" s="77">
        <f t="shared" ca="1" si="1384"/>
        <v>6.1107593251454049E-3</v>
      </c>
      <c r="U1062" s="45">
        <f t="shared" ca="1" si="1400"/>
        <v>17.552870475068229</v>
      </c>
      <c r="V1062" s="45">
        <f t="shared" ca="1" si="1385"/>
        <v>0.20278247028256513</v>
      </c>
      <c r="W1062" s="77">
        <f t="shared" ca="1" si="1386"/>
        <v>2.2233847981825237E-2</v>
      </c>
      <c r="X1062" s="45">
        <f t="shared" ca="1" si="1401"/>
        <v>1.0406253291390664</v>
      </c>
      <c r="Y1062" s="45">
        <f t="shared" ca="1" si="1387"/>
        <v>2.8498787889825457E-3</v>
      </c>
      <c r="Z1062" s="77">
        <f t="shared" ca="1" si="1388"/>
        <v>2.897699812335825E-3</v>
      </c>
      <c r="AA1062" s="45">
        <f t="shared" ca="1" si="1402"/>
        <v>39.236661258150043</v>
      </c>
      <c r="AB1062" s="45">
        <f t="shared" ca="1" si="1389"/>
        <v>0</v>
      </c>
      <c r="AC1062" s="45" cm="1">
        <f t="array" aca="1" ref="AC1062" ca="1">pHUM*(T1062+W1062+Z1062+AD1062)</f>
        <v>3.3527985752735833E-3</v>
      </c>
      <c r="AD1062" s="77">
        <f t="shared" ca="1" si="1390"/>
        <v>3.3153098383513629E-3</v>
      </c>
      <c r="AE1062" s="45">
        <f t="shared" ca="1" si="1403"/>
        <v>6.3847072090583081</v>
      </c>
      <c r="AF1062" s="45">
        <f t="shared" ca="1" si="1391"/>
        <v>0</v>
      </c>
      <c r="AG1062" s="76">
        <f t="shared" ca="1" si="1392"/>
        <v>64.362576614379094</v>
      </c>
      <c r="AH1062" s="45">
        <f t="shared" ca="1" si="1393"/>
        <v>2.8354939593401702E-2</v>
      </c>
      <c r="AI1062" s="77">
        <f t="shared" ca="1" si="1394"/>
        <v>1.180699147049012E-2</v>
      </c>
      <c r="AJ1062" s="384">
        <f t="shared" ca="1" si="1396"/>
        <v>1.2814100410339924E-2</v>
      </c>
      <c r="AU1062" s="1"/>
    </row>
    <row r="1063" spans="3:47" x14ac:dyDescent="0.25">
      <c r="C1063" s="10">
        <f t="shared" si="1421"/>
        <v>81</v>
      </c>
      <c r="D1063" s="91">
        <f t="shared" si="1404"/>
        <v>1</v>
      </c>
      <c r="E1063" s="278"/>
      <c r="F1063" s="76">
        <f t="shared" ref="F1063:Q1063" ca="1" si="1425">F991</f>
        <v>-5.04</v>
      </c>
      <c r="G1063" s="46">
        <f t="shared" ca="1" si="1425"/>
        <v>27.012600000000003</v>
      </c>
      <c r="H1063" s="46">
        <f t="shared" ca="1" si="1380"/>
        <v>28.517550000000004</v>
      </c>
      <c r="I1063" s="45">
        <f t="shared" ca="1" si="1381"/>
        <v>6.847402527399577E-3</v>
      </c>
      <c r="J1063" s="45">
        <f t="shared" ca="1" si="1382"/>
        <v>0.27952512346894071</v>
      </c>
      <c r="K1063" s="45">
        <f t="shared" ca="1" si="1398"/>
        <v>0.90345467800480783</v>
      </c>
      <c r="L1063" s="358">
        <f t="shared" ca="1" si="1383"/>
        <v>0.21084054547214914</v>
      </c>
      <c r="M1063" s="76">
        <f t="shared" ca="1" si="1425"/>
        <v>0.25347808785320641</v>
      </c>
      <c r="N1063" s="45">
        <f t="shared" ca="1" si="1425"/>
        <v>0.25</v>
      </c>
      <c r="O1063" s="45">
        <f t="shared" ca="1" si="1425"/>
        <v>0</v>
      </c>
      <c r="P1063" s="46" t="str">
        <f t="shared" ca="1" si="1425"/>
        <v/>
      </c>
      <c r="Q1063" s="243" t="str">
        <f t="shared" ca="1" si="1425"/>
        <v/>
      </c>
      <c r="R1063" s="45">
        <f t="shared" ca="1" si="1399"/>
        <v>0.19229720120894589</v>
      </c>
      <c r="S1063" s="45">
        <f t="shared" ca="1" si="1423"/>
        <v>5.0695617570641283E-2</v>
      </c>
      <c r="T1063" s="77">
        <f t="shared" ca="1" si="1384"/>
        <v>1.0941555975497383E-3</v>
      </c>
      <c r="U1063" s="45">
        <f t="shared" ca="1" si="1400"/>
        <v>17.733419097368966</v>
      </c>
      <c r="V1063" s="45">
        <f t="shared" ca="1" si="1385"/>
        <v>0.20278247028256513</v>
      </c>
      <c r="W1063" s="77">
        <f t="shared" ca="1" si="1386"/>
        <v>3.0354366505489674E-3</v>
      </c>
      <c r="X1063" s="45">
        <f t="shared" ca="1" si="1401"/>
        <v>1.0405775081157131</v>
      </c>
      <c r="Y1063" s="45">
        <f t="shared" ca="1" si="1387"/>
        <v>4.0979623785033869E-4</v>
      </c>
      <c r="Z1063" s="77">
        <f t="shared" ca="1" si="1388"/>
        <v>3.9181513342719177E-4</v>
      </c>
      <c r="AA1063" s="45">
        <f t="shared" ca="1" si="1402"/>
        <v>39.236698746886965</v>
      </c>
      <c r="AB1063" s="45">
        <f t="shared" ca="1" si="1389"/>
        <v>0</v>
      </c>
      <c r="AC1063" s="45" cm="1">
        <f t="array" aca="1" ref="AC1063" ca="1">pHUM*(T1063+W1063+Z1063+AD1063)</f>
        <v>4.8211322100039848E-4</v>
      </c>
      <c r="AD1063" s="77">
        <f t="shared" ca="1" si="1390"/>
        <v>4.4777989516426914E-4</v>
      </c>
      <c r="AE1063" s="45">
        <f t="shared" ca="1" si="1403"/>
        <v>6.3847072090583081</v>
      </c>
      <c r="AF1063" s="45">
        <f t="shared" ca="1" si="1391"/>
        <v>0</v>
      </c>
      <c r="AG1063" s="76">
        <f t="shared" ca="1" si="1392"/>
        <v>64.587699762638891</v>
      </c>
      <c r="AH1063" s="45">
        <f t="shared" ca="1" si="1393"/>
        <v>4.0772778178394297E-3</v>
      </c>
      <c r="AI1063" s="77">
        <f t="shared" ca="1" si="1394"/>
        <v>1.247718328739976E-2</v>
      </c>
      <c r="AJ1063" s="384">
        <f t="shared" ca="1" si="1396"/>
        <v>8.3892612407043821E-3</v>
      </c>
      <c r="AU1063" s="1"/>
    </row>
    <row r="1064" spans="3:47" x14ac:dyDescent="0.25">
      <c r="C1064" s="10">
        <f t="shared" si="1421"/>
        <v>81</v>
      </c>
      <c r="D1064" s="91">
        <f t="shared" si="1404"/>
        <v>2</v>
      </c>
      <c r="E1064" s="278"/>
      <c r="F1064" s="76">
        <f t="shared" ref="F1064:Q1064" ca="1" si="1426">F992</f>
        <v>-4.4400000000000004</v>
      </c>
      <c r="G1064" s="46">
        <f t="shared" ca="1" si="1426"/>
        <v>27.012600000000003</v>
      </c>
      <c r="H1064" s="46">
        <f t="shared" ca="1" si="1380"/>
        <v>28.517550000000004</v>
      </c>
      <c r="I1064" s="45">
        <f t="shared" ca="1" si="1381"/>
        <v>9.6941753008840392E-3</v>
      </c>
      <c r="J1064" s="45">
        <f t="shared" ca="1" si="1382"/>
        <v>0.27952512346894071</v>
      </c>
      <c r="K1064" s="45">
        <f t="shared" ca="1" si="1398"/>
        <v>0.90345467800480783</v>
      </c>
      <c r="L1064" s="358">
        <f t="shared" ca="1" si="1383"/>
        <v>0.22612365929309886</v>
      </c>
      <c r="M1064" s="76">
        <f t="shared" ca="1" si="1426"/>
        <v>0.25347808785320641</v>
      </c>
      <c r="N1064" s="45">
        <f t="shared" ca="1" si="1426"/>
        <v>0.25</v>
      </c>
      <c r="O1064" s="45">
        <f t="shared" ca="1" si="1426"/>
        <v>0</v>
      </c>
      <c r="P1064" s="46" t="str">
        <f t="shared" ca="1" si="1426"/>
        <v/>
      </c>
      <c r="Q1064" s="243" t="str">
        <f t="shared" ca="1" si="1426"/>
        <v/>
      </c>
      <c r="R1064" s="45">
        <f t="shared" ca="1" si="1399"/>
        <v>0.24189866318203743</v>
      </c>
      <c r="S1064" s="45">
        <f t="shared" ca="1" si="1423"/>
        <v>5.0695617570641283E-2</v>
      </c>
      <c r="T1064" s="77">
        <f t="shared" ca="1" si="1384"/>
        <v>1.9463012095627269E-3</v>
      </c>
      <c r="U1064" s="45">
        <f t="shared" ca="1" si="1400"/>
        <v>17.933166131000981</v>
      </c>
      <c r="V1064" s="45">
        <f t="shared" ca="1" si="1385"/>
        <v>0.20278247028256513</v>
      </c>
      <c r="W1064" s="77">
        <f t="shared" ca="1" si="1386"/>
        <v>4.3456547888338637E-3</v>
      </c>
      <c r="X1064" s="45">
        <f t="shared" ca="1" si="1401"/>
        <v>1.0405954892201363</v>
      </c>
      <c r="Y1064" s="45">
        <f t="shared" ca="1" si="1387"/>
        <v>6.1690388169900257E-4</v>
      </c>
      <c r="Z1064" s="77">
        <f t="shared" ca="1" si="1388"/>
        <v>5.5467644570500073E-4</v>
      </c>
      <c r="AA1064" s="45">
        <f t="shared" ca="1" si="1402"/>
        <v>39.236733080212801</v>
      </c>
      <c r="AB1064" s="45">
        <f t="shared" ca="1" si="1389"/>
        <v>0</v>
      </c>
      <c r="AC1064" s="45" cm="1">
        <f t="array" aca="1" ref="AC1064" ca="1">pHUM*(T1064+W1064+Z1064+AD1064)</f>
        <v>7.2576927258706189E-4</v>
      </c>
      <c r="AD1064" s="77">
        <f t="shared" ca="1" si="1390"/>
        <v>6.3394115989282105E-4</v>
      </c>
      <c r="AE1064" s="45">
        <f t="shared" ca="1" si="1403"/>
        <v>6.3847072090583081</v>
      </c>
      <c r="AF1064" s="45">
        <f t="shared" ca="1" si="1391"/>
        <v>0</v>
      </c>
      <c r="AG1064" s="76">
        <f t="shared" ca="1" si="1392"/>
        <v>64.83710057267426</v>
      </c>
      <c r="AH1064" s="45">
        <f t="shared" ca="1" si="1393"/>
        <v>6.1379004497083478E-3</v>
      </c>
      <c r="AI1064" s="77">
        <f t="shared" ca="1" si="1394"/>
        <v>1.3216544869744476E-2</v>
      </c>
      <c r="AJ1064" s="384">
        <f t="shared" ca="1" si="1396"/>
        <v>9.5305179700932996E-3</v>
      </c>
      <c r="AU1064" s="1"/>
    </row>
    <row r="1065" spans="3:47" x14ac:dyDescent="0.25">
      <c r="C1065" s="10">
        <f t="shared" si="1421"/>
        <v>81</v>
      </c>
      <c r="D1065" s="91">
        <f t="shared" si="1404"/>
        <v>3</v>
      </c>
      <c r="E1065" s="278"/>
      <c r="F1065" s="76">
        <f t="shared" ref="F1065:Q1065" ca="1" si="1427">F993</f>
        <v>-0.82</v>
      </c>
      <c r="G1065" s="46">
        <f t="shared" ca="1" si="1427"/>
        <v>27.012600000000003</v>
      </c>
      <c r="H1065" s="46">
        <f t="shared" ca="1" si="1380"/>
        <v>28.517550000000004</v>
      </c>
      <c r="I1065" s="45">
        <f t="shared" ca="1" si="1381"/>
        <v>4.749388171975074E-2</v>
      </c>
      <c r="J1065" s="45">
        <f t="shared" ca="1" si="1382"/>
        <v>0.27952512346894071</v>
      </c>
      <c r="K1065" s="45">
        <f t="shared" ca="1" si="1398"/>
        <v>0.90345467800480783</v>
      </c>
      <c r="L1065" s="358">
        <f t="shared" ca="1" si="1383"/>
        <v>0.33399301288143546</v>
      </c>
      <c r="M1065" s="76">
        <f t="shared" ca="1" si="1427"/>
        <v>0.25347808785320641</v>
      </c>
      <c r="N1065" s="45">
        <f t="shared" ca="1" si="1427"/>
        <v>0.25</v>
      </c>
      <c r="O1065" s="45">
        <f t="shared" ca="1" si="1427"/>
        <v>0</v>
      </c>
      <c r="P1065" s="46" t="str">
        <f t="shared" ca="1" si="1427"/>
        <v/>
      </c>
      <c r="Q1065" s="243" t="str">
        <f t="shared" ca="1" si="1427"/>
        <v/>
      </c>
      <c r="R1065" s="45">
        <f t="shared" ca="1" si="1399"/>
        <v>0.29064797954311594</v>
      </c>
      <c r="S1065" s="45">
        <f t="shared" ca="1" si="1423"/>
        <v>5.0695617570641283E-2</v>
      </c>
      <c r="T1065" s="77">
        <f t="shared" ca="1" si="1384"/>
        <v>1.1278666868164679E-2</v>
      </c>
      <c r="U1065" s="45">
        <f t="shared" ca="1" si="1400"/>
        <v>18.131602946494709</v>
      </c>
      <c r="V1065" s="45">
        <f t="shared" ca="1" si="1385"/>
        <v>0.20278247028256513</v>
      </c>
      <c r="W1065" s="77">
        <f t="shared" ca="1" si="1386"/>
        <v>2.1515729296751992E-2</v>
      </c>
      <c r="X1065" s="45">
        <f t="shared" ca="1" si="1401"/>
        <v>1.0406577166561304</v>
      </c>
      <c r="Y1065" s="45">
        <f t="shared" ca="1" si="1387"/>
        <v>3.1844761131096886E-3</v>
      </c>
      <c r="Z1065" s="77">
        <f t="shared" ca="1" si="1388"/>
        <v>2.7148207762539094E-3</v>
      </c>
      <c r="AA1065" s="45">
        <f t="shared" ca="1" si="1402"/>
        <v>39.236824908325495</v>
      </c>
      <c r="AB1065" s="45">
        <f t="shared" ca="1" si="1389"/>
        <v>0</v>
      </c>
      <c r="AC1065" s="45" cm="1">
        <f t="array" aca="1" ref="AC1065" ca="1">pHUM*(T1065+W1065+Z1065+AD1065)</f>
        <v>3.7464424860113982E-3</v>
      </c>
      <c r="AD1065" s="77">
        <f t="shared" ca="1" si="1390"/>
        <v>3.1057256146651423E-3</v>
      </c>
      <c r="AE1065" s="45">
        <f t="shared" ca="1" si="1403"/>
        <v>6.3847072090583081</v>
      </c>
      <c r="AF1065" s="45">
        <f t="shared" ca="1" si="1391"/>
        <v>0</v>
      </c>
      <c r="AG1065" s="76">
        <f t="shared" ca="1" si="1392"/>
        <v>65.084440760077754</v>
      </c>
      <c r="AH1065" s="45">
        <f t="shared" ca="1" si="1393"/>
        <v>3.168402395671463E-2</v>
      </c>
      <c r="AI1065" s="77">
        <f t="shared" ca="1" si="1394"/>
        <v>1.3937501184177897E-2</v>
      </c>
      <c r="AJ1065" s="384">
        <f t="shared" ca="1" si="1396"/>
        <v>1.4844743106579017E-2</v>
      </c>
      <c r="AU1065" s="1"/>
    </row>
    <row r="1066" spans="3:47" x14ac:dyDescent="0.25">
      <c r="C1066" s="10">
        <f t="shared" si="1421"/>
        <v>81</v>
      </c>
      <c r="D1066" s="91">
        <f t="shared" si="1404"/>
        <v>4</v>
      </c>
      <c r="E1066" s="278"/>
      <c r="F1066" s="76">
        <f t="shared" ref="F1066:Q1066" ca="1" si="1428">F994</f>
        <v>6.18</v>
      </c>
      <c r="G1066" s="46">
        <f t="shared" ca="1" si="1428"/>
        <v>27.012600000000003</v>
      </c>
      <c r="H1066" s="46">
        <f t="shared" ca="1" si="1380"/>
        <v>28.517550000000004</v>
      </c>
      <c r="I1066" s="45">
        <f t="shared" ca="1" si="1381"/>
        <v>0.26773980091806004</v>
      </c>
      <c r="J1066" s="45">
        <f t="shared" ca="1" si="1382"/>
        <v>0.27952512346894071</v>
      </c>
      <c r="K1066" s="45">
        <f t="shared" ca="1" si="1398"/>
        <v>0.90345467800480783</v>
      </c>
      <c r="L1066" s="358">
        <f t="shared" ca="1" si="1383"/>
        <v>0.58750950384279488</v>
      </c>
      <c r="M1066" s="76">
        <f t="shared" ca="1" si="1428"/>
        <v>0.25347808785320641</v>
      </c>
      <c r="N1066" s="45">
        <f t="shared" ca="1" si="1428"/>
        <v>0.25</v>
      </c>
      <c r="O1066" s="45">
        <f t="shared" ca="1" si="1428"/>
        <v>0</v>
      </c>
      <c r="P1066" s="46" t="str">
        <f t="shared" ca="1" si="1428"/>
        <v/>
      </c>
      <c r="Q1066" s="243" t="str">
        <f t="shared" ca="1" si="1428"/>
        <v/>
      </c>
      <c r="R1066" s="45">
        <f t="shared" ca="1" si="1399"/>
        <v>0.33006493024559252</v>
      </c>
      <c r="S1066" s="45">
        <f t="shared" ca="1" si="1423"/>
        <v>5.0695617570641283E-2</v>
      </c>
      <c r="T1066" s="77">
        <f t="shared" ca="1" si="1384"/>
        <v>6.6005843202412762E-2</v>
      </c>
      <c r="U1066" s="45">
        <f t="shared" ca="1" si="1400"/>
        <v>18.312869687480521</v>
      </c>
      <c r="V1066" s="45">
        <f t="shared" ca="1" si="1385"/>
        <v>0.20278247028256513</v>
      </c>
      <c r="W1066" s="77">
        <f t="shared" ca="1" si="1386"/>
        <v>0.1221677812691801</v>
      </c>
      <c r="X1066" s="45">
        <f t="shared" ca="1" si="1401"/>
        <v>1.0411273719929861</v>
      </c>
      <c r="Y1066" s="45">
        <f t="shared" ca="1" si="1387"/>
        <v>1.8216876385921892E-2</v>
      </c>
      <c r="Z1066" s="77">
        <f t="shared" ca="1" si="1388"/>
        <v>1.5218987886662136E-2</v>
      </c>
      <c r="AA1066" s="45">
        <f t="shared" ca="1" si="1402"/>
        <v>39.23746562519684</v>
      </c>
      <c r="AB1066" s="45">
        <f t="shared" ca="1" si="1389"/>
        <v>0</v>
      </c>
      <c r="AC1066" s="45" cm="1">
        <f t="array" aca="1" ref="AC1066" ca="1">pHUM*(T1066+W1066+Z1066+AD1066)</f>
        <v>2.1431619277555165E-2</v>
      </c>
      <c r="AD1066" s="77">
        <f t="shared" ca="1" si="1390"/>
        <v>1.7505146080953604E-2</v>
      </c>
      <c r="AE1066" s="45">
        <f t="shared" ca="1" si="1403"/>
        <v>6.3847072090583081</v>
      </c>
      <c r="AF1066" s="45">
        <f t="shared" ca="1" si="1391"/>
        <v>0</v>
      </c>
      <c r="AG1066" s="76">
        <f t="shared" ca="1" si="1392"/>
        <v>65.306234823974251</v>
      </c>
      <c r="AH1066" s="45">
        <f t="shared" ca="1" si="1393"/>
        <v>0.18124926277573158</v>
      </c>
      <c r="AI1066" s="77">
        <f t="shared" ca="1" si="1394"/>
        <v>1.4519882067857965E-2</v>
      </c>
      <c r="AJ1066" s="384">
        <f t="shared" ca="1" si="1396"/>
        <v>2.7203407632108156E-2</v>
      </c>
      <c r="AU1066" s="1"/>
    </row>
    <row r="1067" spans="3:47" x14ac:dyDescent="0.25">
      <c r="C1067" s="10">
        <f t="shared" si="1421"/>
        <v>81</v>
      </c>
      <c r="D1067" s="91">
        <f t="shared" si="1404"/>
        <v>5</v>
      </c>
      <c r="E1067" s="278"/>
      <c r="F1067" s="76">
        <f t="shared" ref="F1067:Q1067" ca="1" si="1429">F995</f>
        <v>13.58</v>
      </c>
      <c r="G1067" s="46">
        <f t="shared" ca="1" si="1429"/>
        <v>27.012600000000003</v>
      </c>
      <c r="H1067" s="46">
        <f t="shared" ca="1" si="1380"/>
        <v>28.517550000000004</v>
      </c>
      <c r="I1067" s="45">
        <f t="shared" ca="1" si="1381"/>
        <v>0.71743035359667851</v>
      </c>
      <c r="J1067" s="45">
        <f t="shared" ca="1" si="1382"/>
        <v>0.27952512346894071</v>
      </c>
      <c r="K1067" s="45">
        <f t="shared" ca="1" si="1398"/>
        <v>0.90345467800480783</v>
      </c>
      <c r="L1067" s="358">
        <f t="shared" ca="1" si="1383"/>
        <v>0.81042644426030708</v>
      </c>
      <c r="M1067" s="76">
        <f t="shared" ca="1" si="1429"/>
        <v>0.25347808785320641</v>
      </c>
      <c r="N1067" s="45">
        <f t="shared" ca="1" si="1429"/>
        <v>0.25</v>
      </c>
      <c r="O1067" s="45">
        <f t="shared" ca="1" si="1429"/>
        <v>0</v>
      </c>
      <c r="P1067" s="46" t="str">
        <f t="shared" ca="1" si="1429"/>
        <v/>
      </c>
      <c r="Q1067" s="243" t="str">
        <f t="shared" ca="1" si="1429"/>
        <v/>
      </c>
      <c r="R1067" s="45">
        <f t="shared" ca="1" si="1399"/>
        <v>0.31475470461382105</v>
      </c>
      <c r="S1067" s="45">
        <f t="shared" ca="1" si="1423"/>
        <v>5.0695617570641283E-2</v>
      </c>
      <c r="T1067" s="77">
        <f t="shared" ca="1" si="1384"/>
        <v>0.14164336103755834</v>
      </c>
      <c r="U1067" s="45">
        <f t="shared" ca="1" si="1400"/>
        <v>18.393484376493905</v>
      </c>
      <c r="V1067" s="45">
        <f t="shared" ca="1" si="1385"/>
        <v>0.20278247028256513</v>
      </c>
      <c r="W1067" s="77">
        <f t="shared" ca="1" si="1386"/>
        <v>0.32696019541712734</v>
      </c>
      <c r="X1067" s="45">
        <f t="shared" ca="1" si="1401"/>
        <v>1.0441252604922457</v>
      </c>
      <c r="Y1067" s="45">
        <f t="shared" ca="1" si="1387"/>
        <v>4.5843218982226076E-2</v>
      </c>
      <c r="Z1067" s="77">
        <f t="shared" ca="1" si="1388"/>
        <v>4.0397535614612325E-2</v>
      </c>
      <c r="AA1067" s="45">
        <f t="shared" ca="1" si="1402"/>
        <v>39.24139209839344</v>
      </c>
      <c r="AB1067" s="45">
        <f t="shared" ca="1" si="1389"/>
        <v>0</v>
      </c>
      <c r="AC1067" s="45" cm="1">
        <f t="array" aca="1" ref="AC1067" ca="1">pHUM*(T1067+W1067+Z1067+AD1067)</f>
        <v>5.393319880261891E-2</v>
      </c>
      <c r="AD1067" s="77">
        <f t="shared" ca="1" si="1390"/>
        <v>4.6893568369714748E-2</v>
      </c>
      <c r="AE1067" s="45">
        <f t="shared" ca="1" si="1403"/>
        <v>6.3847072090583081</v>
      </c>
      <c r="AF1067" s="45">
        <f t="shared" ca="1" si="1391"/>
        <v>0</v>
      </c>
      <c r="AG1067" s="76">
        <f t="shared" ca="1" si="1392"/>
        <v>65.378463649051724</v>
      </c>
      <c r="AH1067" s="45">
        <f t="shared" ca="1" si="1393"/>
        <v>0.45611824265416778</v>
      </c>
      <c r="AI1067" s="77">
        <f t="shared" ca="1" si="1394"/>
        <v>1.4322903932063778E-2</v>
      </c>
      <c r="AJ1067" s="384">
        <f t="shared" ca="1" si="1396"/>
        <v>3.7015701659109945E-2</v>
      </c>
      <c r="AU1067" s="1"/>
    </row>
    <row r="1068" spans="3:47" x14ac:dyDescent="0.25">
      <c r="C1068" s="10">
        <f t="shared" si="1421"/>
        <v>81</v>
      </c>
      <c r="D1068" s="91">
        <f t="shared" si="1404"/>
        <v>6</v>
      </c>
      <c r="E1068" s="278"/>
      <c r="F1068" s="76">
        <f t="shared" ref="F1068:Q1068" ca="1" si="1430">F996</f>
        <v>18.37</v>
      </c>
      <c r="G1068" s="46">
        <f t="shared" ca="1" si="1430"/>
        <v>27.012600000000003</v>
      </c>
      <c r="H1068" s="46">
        <f t="shared" ca="1" si="1380"/>
        <v>28.517550000000004</v>
      </c>
      <c r="I1068" s="45">
        <f t="shared" ca="1" si="1381"/>
        <v>1.0882596087882719</v>
      </c>
      <c r="J1068" s="45">
        <f t="shared" ca="1" si="1382"/>
        <v>0.27952512346894071</v>
      </c>
      <c r="K1068" s="45">
        <f t="shared" ca="1" si="1398"/>
        <v>0.90345467800480783</v>
      </c>
      <c r="L1068" s="358">
        <f t="shared" ca="1" si="1383"/>
        <v>0.89586760620832129</v>
      </c>
      <c r="M1068" s="76">
        <f t="shared" ca="1" si="1430"/>
        <v>0.25347808785320641</v>
      </c>
      <c r="N1068" s="45">
        <f t="shared" ca="1" si="1430"/>
        <v>0.25</v>
      </c>
      <c r="O1068" s="45">
        <f t="shared" ca="1" si="1430"/>
        <v>0</v>
      </c>
      <c r="P1068" s="46" t="str">
        <f t="shared" ca="1" si="1430"/>
        <v/>
      </c>
      <c r="Q1068" s="243" t="str">
        <f t="shared" ca="1" si="1430"/>
        <v/>
      </c>
      <c r="R1068" s="45">
        <f t="shared" ca="1" si="1399"/>
        <v>0.22380696114690399</v>
      </c>
      <c r="S1068" s="45">
        <f t="shared" ca="1" si="1423"/>
        <v>5.0695617570641283E-2</v>
      </c>
      <c r="T1068" s="77">
        <f t="shared" ca="1" si="1384"/>
        <v>0.1334379969187959</v>
      </c>
      <c r="U1068" s="45">
        <f t="shared" ca="1" si="1400"/>
        <v>18.269306651359344</v>
      </c>
      <c r="V1068" s="45">
        <f t="shared" ca="1" si="1385"/>
        <v>0.20278247028256513</v>
      </c>
      <c r="W1068" s="77">
        <f t="shared" ca="1" si="1386"/>
        <v>0.49034320852854363</v>
      </c>
      <c r="X1068" s="45">
        <f t="shared" ca="1" si="1401"/>
        <v>1.0495709438598595</v>
      </c>
      <c r="Y1068" s="45">
        <f t="shared" ca="1" si="1387"/>
        <v>6.2335696157964762E-2</v>
      </c>
      <c r="Z1068" s="77">
        <f t="shared" ca="1" si="1388"/>
        <v>6.0978204714561841E-2</v>
      </c>
      <c r="AA1068" s="45">
        <f t="shared" ca="1" si="1402"/>
        <v>39.24843172882634</v>
      </c>
      <c r="AB1068" s="45">
        <f t="shared" ca="1" si="1389"/>
        <v>0</v>
      </c>
      <c r="AC1068" s="45" cm="1">
        <f t="array" aca="1" ref="AC1068" ca="1">pHUM*(T1068+W1068+Z1068+AD1068)</f>
        <v>7.3336113127017363E-2</v>
      </c>
      <c r="AD1068" s="77">
        <f t="shared" ca="1" si="1390"/>
        <v>7.1122951903386633E-2</v>
      </c>
      <c r="AE1068" s="45">
        <f t="shared" ca="1" si="1403"/>
        <v>6.3847072090583081</v>
      </c>
      <c r="AF1068" s="45">
        <f t="shared" ca="1" si="1391"/>
        <v>0</v>
      </c>
      <c r="AG1068" s="76">
        <f t="shared" ca="1" si="1392"/>
        <v>65.17582349425075</v>
      </c>
      <c r="AH1068" s="45">
        <f t="shared" ca="1" si="1393"/>
        <v>0.6202105527803059</v>
      </c>
      <c r="AI1068" s="77">
        <f t="shared" ca="1" si="1394"/>
        <v>1.3035624605522792E-2</v>
      </c>
      <c r="AJ1068" s="384">
        <f t="shared" ca="1" si="1396"/>
        <v>3.7240618899303524E-2</v>
      </c>
      <c r="AU1068" s="1"/>
    </row>
    <row r="1069" spans="3:47" x14ac:dyDescent="0.25">
      <c r="C1069" s="10">
        <f t="shared" si="1421"/>
        <v>81</v>
      </c>
      <c r="D1069" s="91">
        <f t="shared" si="1404"/>
        <v>7</v>
      </c>
      <c r="E1069" s="278"/>
      <c r="F1069" s="76">
        <f t="shared" ref="F1069:Q1069" ca="1" si="1431">F997</f>
        <v>22.71</v>
      </c>
      <c r="G1069" s="46">
        <f t="shared" ca="1" si="1431"/>
        <v>27.012600000000003</v>
      </c>
      <c r="H1069" s="46">
        <f t="shared" ca="1" si="1380"/>
        <v>28.517550000000004</v>
      </c>
      <c r="I1069" s="45">
        <f t="shared" ca="1" si="1381"/>
        <v>1.4513708414333564</v>
      </c>
      <c r="J1069" s="45">
        <f t="shared" ca="1" si="1382"/>
        <v>0.27952512346894071</v>
      </c>
      <c r="K1069" s="45">
        <f t="shared" ca="1" si="1398"/>
        <v>0.90345467800480783</v>
      </c>
      <c r="L1069" s="358">
        <f t="shared" ca="1" si="1383"/>
        <v>0.94004721434733285</v>
      </c>
      <c r="M1069" s="76">
        <f t="shared" ca="1" si="1431"/>
        <v>0.25347808785320641</v>
      </c>
      <c r="N1069" s="45">
        <f t="shared" ca="1" si="1431"/>
        <v>0.25</v>
      </c>
      <c r="O1069" s="45">
        <f t="shared" ca="1" si="1431"/>
        <v>0</v>
      </c>
      <c r="P1069" s="46" t="str">
        <f t="shared" ca="1" si="1431"/>
        <v/>
      </c>
      <c r="Q1069" s="243" t="str">
        <f t="shared" ca="1" si="1431"/>
        <v/>
      </c>
      <c r="R1069" s="45">
        <f t="shared" ca="1" si="1399"/>
        <v>0.14106458179874934</v>
      </c>
      <c r="S1069" s="45">
        <f t="shared" ca="1" si="1423"/>
        <v>5.0695617570641283E-2</v>
      </c>
      <c r="T1069" s="77">
        <f t="shared" ca="1" si="1384"/>
        <v>9.8977446831495092E-2</v>
      </c>
      <c r="U1069" s="45">
        <f t="shared" ca="1" si="1400"/>
        <v>17.981745913113365</v>
      </c>
      <c r="V1069" s="45">
        <f t="shared" ca="1" si="1385"/>
        <v>0.20278247028256513</v>
      </c>
      <c r="W1069" s="77">
        <f t="shared" ca="1" si="1386"/>
        <v>0.64075949904819007</v>
      </c>
      <c r="X1069" s="45">
        <f t="shared" ca="1" si="1401"/>
        <v>1.0509284353032624</v>
      </c>
      <c r="Y1069" s="45">
        <f t="shared" ca="1" si="1387"/>
        <v>7.5474003972107323E-2</v>
      </c>
      <c r="Z1069" s="77">
        <f t="shared" ca="1" si="1388"/>
        <v>8.0629814832138991E-2</v>
      </c>
      <c r="AA1069" s="45">
        <f t="shared" ca="1" si="1402"/>
        <v>39.250644890049976</v>
      </c>
      <c r="AB1069" s="45">
        <f t="shared" ca="1" si="1389"/>
        <v>0</v>
      </c>
      <c r="AC1069" s="45" cm="1">
        <f t="array" aca="1" ref="AC1069" ca="1">pHUM*(T1069+W1069+Z1069+AD1069)</f>
        <v>8.8792945849538035E-2</v>
      </c>
      <c r="AD1069" s="77">
        <f t="shared" ca="1" si="1390"/>
        <v>9.4830660880973486E-2</v>
      </c>
      <c r="AE1069" s="45">
        <f t="shared" ca="1" si="1403"/>
        <v>6.3847072090583081</v>
      </c>
      <c r="AF1069" s="45">
        <f t="shared" ca="1" si="1391"/>
        <v>0</v>
      </c>
      <c r="AG1069" s="76">
        <f t="shared" ca="1" si="1392"/>
        <v>64.809091029323653</v>
      </c>
      <c r="AH1069" s="45">
        <f t="shared" ca="1" si="1393"/>
        <v>0.75093047177115235</v>
      </c>
      <c r="AI1069" s="77">
        <f t="shared" ca="1" si="1394"/>
        <v>1.1815550738921243E-2</v>
      </c>
      <c r="AJ1069" s="384">
        <f t="shared" ca="1" si="1396"/>
        <v>3.5419758337238427E-2</v>
      </c>
      <c r="AU1069" s="1"/>
    </row>
    <row r="1070" spans="3:47" x14ac:dyDescent="0.25">
      <c r="C1070" s="10">
        <f t="shared" si="1421"/>
        <v>81</v>
      </c>
      <c r="D1070" s="91">
        <f t="shared" si="1404"/>
        <v>8</v>
      </c>
      <c r="E1070" s="278"/>
      <c r="F1070" s="76">
        <f t="shared" ref="F1070:Q1070" ca="1" si="1432">F998</f>
        <v>19.329999999999998</v>
      </c>
      <c r="G1070" s="46">
        <f t="shared" ca="1" si="1432"/>
        <v>27.012600000000003</v>
      </c>
      <c r="H1070" s="46">
        <f t="shared" ca="1" si="1380"/>
        <v>28.517550000000004</v>
      </c>
      <c r="I1070" s="45">
        <f t="shared" ca="1" si="1381"/>
        <v>1.1670427279291871</v>
      </c>
      <c r="J1070" s="45">
        <f t="shared" ca="1" si="1382"/>
        <v>0.27952512346894071</v>
      </c>
      <c r="K1070" s="45">
        <f t="shared" ca="1" si="1398"/>
        <v>0.90345467800480783</v>
      </c>
      <c r="L1070" s="358">
        <f t="shared" ca="1" si="1383"/>
        <v>0.9079689727892073</v>
      </c>
      <c r="M1070" s="76">
        <f t="shared" ca="1" si="1432"/>
        <v>0.25347808785320641</v>
      </c>
      <c r="N1070" s="45">
        <f t="shared" ca="1" si="1432"/>
        <v>0.25</v>
      </c>
      <c r="O1070" s="45">
        <f t="shared" ca="1" si="1432"/>
        <v>0</v>
      </c>
      <c r="P1070" s="46" t="str">
        <f t="shared" ca="1" si="1432"/>
        <v/>
      </c>
      <c r="Q1070" s="243" t="str">
        <f t="shared" ca="1" si="1432"/>
        <v/>
      </c>
      <c r="R1070" s="45">
        <f t="shared" ca="1" si="1399"/>
        <v>9.278275253789553E-2</v>
      </c>
      <c r="S1070" s="45">
        <f t="shared" ca="1" si="1423"/>
        <v>5.0695617570641283E-2</v>
      </c>
      <c r="T1070" s="77">
        <f t="shared" ca="1" si="1384"/>
        <v>5.7699455138857644E-2</v>
      </c>
      <c r="U1070" s="45">
        <f t="shared" ca="1" si="1400"/>
        <v>17.543768884347738</v>
      </c>
      <c r="V1070" s="45">
        <f t="shared" ca="1" si="1385"/>
        <v>0.20278247028256513</v>
      </c>
      <c r="W1070" s="77">
        <f t="shared" ca="1" si="1386"/>
        <v>0.50446328525616979</v>
      </c>
      <c r="X1070" s="45">
        <f t="shared" ca="1" si="1401"/>
        <v>1.0457726244432308</v>
      </c>
      <c r="Y1070" s="45">
        <f t="shared" ca="1" si="1387"/>
        <v>5.8010787795968313E-2</v>
      </c>
      <c r="Z1070" s="77">
        <f t="shared" ca="1" si="1388"/>
        <v>6.5016436263737987E-2</v>
      </c>
      <c r="AA1070" s="45">
        <f t="shared" ca="1" si="1402"/>
        <v>39.244607175018544</v>
      </c>
      <c r="AB1070" s="45">
        <f t="shared" ca="1" si="1389"/>
        <v>0</v>
      </c>
      <c r="AC1070" s="45" cm="1">
        <f t="array" aca="1" ref="AC1070" ca="1">pHUM*(T1070+W1070+Z1070+AD1070)</f>
        <v>6.824798564231567E-2</v>
      </c>
      <c r="AD1070" s="77">
        <f t="shared" ca="1" si="1390"/>
        <v>7.6259366697936745E-2</v>
      </c>
      <c r="AE1070" s="45">
        <f t="shared" ca="1" si="1403"/>
        <v>6.3847072090583081</v>
      </c>
      <c r="AF1070" s="45">
        <f t="shared" ca="1" si="1391"/>
        <v>0</v>
      </c>
      <c r="AG1070" s="76">
        <f t="shared" ca="1" si="1392"/>
        <v>64.311638645405722</v>
      </c>
      <c r="AH1070" s="45">
        <f t="shared" ca="1" si="1393"/>
        <v>0.57717976991841824</v>
      </c>
      <c r="AI1070" s="77">
        <f t="shared" ca="1" si="1394"/>
        <v>1.1028347949491011E-2</v>
      </c>
      <c r="AJ1070" s="384">
        <f t="shared" ca="1" si="1396"/>
        <v>3.1931906900921625E-2</v>
      </c>
      <c r="AU1070" s="1"/>
    </row>
    <row r="1071" spans="3:47" x14ac:dyDescent="0.25">
      <c r="C1071" s="10">
        <f t="shared" si="1421"/>
        <v>81</v>
      </c>
      <c r="D1071" s="91">
        <f t="shared" si="1404"/>
        <v>9</v>
      </c>
      <c r="E1071" s="278"/>
      <c r="F1071" s="76">
        <f t="shared" ref="F1071:Q1071" ca="1" si="1433">F999</f>
        <v>15.36</v>
      </c>
      <c r="G1071" s="46">
        <f t="shared" ca="1" si="1433"/>
        <v>27.012600000000003</v>
      </c>
      <c r="H1071" s="46">
        <f t="shared" ca="1" si="1380"/>
        <v>28.517550000000004</v>
      </c>
      <c r="I1071" s="45">
        <f t="shared" ca="1" si="1381"/>
        <v>0.85004563012661705</v>
      </c>
      <c r="J1071" s="45">
        <f t="shared" ca="1" si="1382"/>
        <v>0.27952512346894071</v>
      </c>
      <c r="K1071" s="45">
        <f t="shared" ca="1" si="1398"/>
        <v>0.90345467800480783</v>
      </c>
      <c r="L1071" s="358">
        <f t="shared" ca="1" si="1383"/>
        <v>0.84745728919304408</v>
      </c>
      <c r="M1071" s="76">
        <f t="shared" ca="1" si="1433"/>
        <v>0.25347808785320641</v>
      </c>
      <c r="N1071" s="45">
        <f t="shared" ca="1" si="1433"/>
        <v>0.25</v>
      </c>
      <c r="O1071" s="45">
        <f t="shared" ca="1" si="1433"/>
        <v>0</v>
      </c>
      <c r="P1071" s="46" t="str">
        <f t="shared" ca="1" si="1433"/>
        <v/>
      </c>
      <c r="Q1071" s="243" t="str">
        <f t="shared" ca="1" si="1433"/>
        <v/>
      </c>
      <c r="R1071" s="45">
        <f t="shared" ca="1" si="1399"/>
        <v>8.5778914969679168E-2</v>
      </c>
      <c r="S1071" s="45">
        <f t="shared" ca="1" si="1423"/>
        <v>5.0695617570641283E-2</v>
      </c>
      <c r="T1071" s="77">
        <f t="shared" ca="1" si="1384"/>
        <v>4.3537468977546526E-2</v>
      </c>
      <c r="U1071" s="45">
        <f t="shared" ca="1" si="1400"/>
        <v>17.242088069374134</v>
      </c>
      <c r="V1071" s="45">
        <f t="shared" ca="1" si="1385"/>
        <v>0.20278247028256513</v>
      </c>
      <c r="W1071" s="77">
        <f t="shared" ca="1" si="1386"/>
        <v>0.36254811579820673</v>
      </c>
      <c r="X1071" s="45">
        <f t="shared" ca="1" si="1401"/>
        <v>1.0387669759754612</v>
      </c>
      <c r="Y1071" s="45">
        <f t="shared" ca="1" si="1387"/>
        <v>4.1982662550154606E-2</v>
      </c>
      <c r="Z1071" s="77">
        <f t="shared" ca="1" si="1388"/>
        <v>4.7447183446095095E-2</v>
      </c>
      <c r="AA1071" s="45">
        <f t="shared" ca="1" si="1402"/>
        <v>39.23659579396292</v>
      </c>
      <c r="AB1071" s="45">
        <f t="shared" ca="1" si="1389"/>
        <v>0</v>
      </c>
      <c r="AC1071" s="45" cm="1">
        <f t="array" aca="1" ref="AC1071" ca="1">pHUM*(T1071+W1071+Z1071+AD1071)</f>
        <v>4.9391367706064247E-2</v>
      </c>
      <c r="AD1071" s="77">
        <f t="shared" ca="1" si="1390"/>
        <v>5.5548802853957462E-2</v>
      </c>
      <c r="AE1071" s="45">
        <f t="shared" ca="1" si="1403"/>
        <v>6.3847072090583081</v>
      </c>
      <c r="AF1071" s="45">
        <f t="shared" ca="1" si="1391"/>
        <v>0</v>
      </c>
      <c r="AG1071" s="76">
        <f t="shared" ca="1" si="1392"/>
        <v>63.987936963340502</v>
      </c>
      <c r="AH1071" s="45">
        <f t="shared" ca="1" si="1393"/>
        <v>0.41770754081958694</v>
      </c>
      <c r="AI1071" s="77">
        <f t="shared" ca="1" si="1394"/>
        <v>1.0851147471139981E-2</v>
      </c>
      <c r="AJ1071" s="384">
        <f t="shared" ca="1" si="1396"/>
        <v>2.9324994540280702E-2</v>
      </c>
      <c r="AU1071" s="1"/>
    </row>
    <row r="1072" spans="3:47" x14ac:dyDescent="0.25">
      <c r="C1072" s="10">
        <f t="shared" si="1421"/>
        <v>81</v>
      </c>
      <c r="D1072" s="91">
        <f t="shared" si="1404"/>
        <v>10</v>
      </c>
      <c r="E1072" s="278"/>
      <c r="F1072" s="76">
        <f t="shared" ref="F1072:Q1072" ca="1" si="1434">F1000</f>
        <v>10.24</v>
      </c>
      <c r="G1072" s="46">
        <f t="shared" ca="1" si="1434"/>
        <v>27.012600000000003</v>
      </c>
      <c r="H1072" s="46">
        <f t="shared" ca="1" si="1380"/>
        <v>28.517550000000004</v>
      </c>
      <c r="I1072" s="45">
        <f t="shared" ca="1" si="1381"/>
        <v>0.49116850915432075</v>
      </c>
      <c r="J1072" s="45">
        <f t="shared" ca="1" si="1382"/>
        <v>0.27952512346894071</v>
      </c>
      <c r="K1072" s="45">
        <f t="shared" ca="1" si="1398"/>
        <v>0.90345467800480783</v>
      </c>
      <c r="L1072" s="358">
        <f t="shared" ca="1" si="1383"/>
        <v>0.72269796343841763</v>
      </c>
      <c r="M1072" s="76">
        <f t="shared" ca="1" si="1434"/>
        <v>0.25347808785320641</v>
      </c>
      <c r="N1072" s="45">
        <f t="shared" ca="1" si="1434"/>
        <v>0.25</v>
      </c>
      <c r="O1072" s="45">
        <f t="shared" ca="1" si="1434"/>
        <v>0</v>
      </c>
      <c r="P1072" s="46" t="str">
        <f t="shared" ca="1" si="1434"/>
        <v/>
      </c>
      <c r="Q1072" s="243" t="str">
        <f t="shared" ca="1" si="1434"/>
        <v/>
      </c>
      <c r="R1072" s="45">
        <f t="shared" ca="1" si="1399"/>
        <v>9.2937063562773911E-2</v>
      </c>
      <c r="S1072" s="45">
        <f t="shared" ca="1" si="1423"/>
        <v>5.0695617570641283E-2</v>
      </c>
      <c r="T1072" s="77">
        <f t="shared" ca="1" si="1384"/>
        <v>3.1216606232968552E-2</v>
      </c>
      <c r="U1072" s="45">
        <f t="shared" ca="1" si="1400"/>
        <v>17.082322423858493</v>
      </c>
      <c r="V1072" s="45">
        <f t="shared" ca="1" si="1385"/>
        <v>0.20278247028256513</v>
      </c>
      <c r="W1072" s="77">
        <f t="shared" ca="1" si="1386"/>
        <v>0.20847489767265825</v>
      </c>
      <c r="X1072" s="45">
        <f t="shared" ca="1" si="1401"/>
        <v>1.0333024550795209</v>
      </c>
      <c r="Y1072" s="45">
        <f t="shared" ca="1" si="1387"/>
        <v>2.4685247854249068E-2</v>
      </c>
      <c r="Z1072" s="77">
        <f t="shared" ca="1" si="1388"/>
        <v>2.754024485427135E-2</v>
      </c>
      <c r="AA1072" s="45">
        <f t="shared" ca="1" si="1402"/>
        <v>39.230438358815029</v>
      </c>
      <c r="AB1072" s="45">
        <f t="shared" ca="1" si="1389"/>
        <v>0</v>
      </c>
      <c r="AC1072" s="45" cm="1">
        <f t="array" aca="1" ref="AC1072" ca="1">pHUM*(T1072+W1072+Z1072+AD1072)</f>
        <v>2.9041468063822434E-2</v>
      </c>
      <c r="AD1072" s="77">
        <f t="shared" ca="1" si="1390"/>
        <v>3.2101452058983668E-2</v>
      </c>
      <c r="AE1072" s="45">
        <f t="shared" ca="1" si="1403"/>
        <v>6.3847072090583081</v>
      </c>
      <c r="AF1072" s="45">
        <f t="shared" ca="1" si="1391"/>
        <v>0</v>
      </c>
      <c r="AG1072" s="76">
        <f t="shared" ca="1" si="1392"/>
        <v>63.82370751037412</v>
      </c>
      <c r="AH1072" s="45">
        <f t="shared" ca="1" si="1393"/>
        <v>0.24560648490081033</v>
      </c>
      <c r="AI1072" s="77">
        <f t="shared" ca="1" si="1394"/>
        <v>1.0911076258961554E-2</v>
      </c>
      <c r="AJ1072" s="384">
        <f t="shared" ca="1" si="1396"/>
        <v>2.5146097138752932E-2</v>
      </c>
      <c r="AU1072" s="1"/>
    </row>
    <row r="1073" spans="3:47" x14ac:dyDescent="0.25">
      <c r="C1073" s="10">
        <f t="shared" si="1421"/>
        <v>81</v>
      </c>
      <c r="D1073" s="91">
        <f t="shared" si="1404"/>
        <v>11</v>
      </c>
      <c r="E1073" s="278"/>
      <c r="F1073" s="76">
        <f t="shared" ref="F1073:Q1073" ca="1" si="1435">F1001</f>
        <v>1.6</v>
      </c>
      <c r="G1073" s="46">
        <f t="shared" ca="1" si="1435"/>
        <v>27.012600000000003</v>
      </c>
      <c r="H1073" s="46">
        <f t="shared" ca="1" si="1380"/>
        <v>28.517550000000004</v>
      </c>
      <c r="I1073" s="45">
        <f t="shared" ca="1" si="1381"/>
        <v>9.9319080037688343E-2</v>
      </c>
      <c r="J1073" s="45">
        <f t="shared" ca="1" si="1382"/>
        <v>0.27952512346894071</v>
      </c>
      <c r="K1073" s="45">
        <f t="shared" ca="1" si="1398"/>
        <v>0.90345467800480783</v>
      </c>
      <c r="L1073" s="358">
        <f t="shared" ca="1" si="1383"/>
        <v>0.41844375967031366</v>
      </c>
      <c r="M1073" s="76">
        <f t="shared" ca="1" si="1435"/>
        <v>0.25347808785320641</v>
      </c>
      <c r="N1073" s="45">
        <f t="shared" ca="1" si="1435"/>
        <v>0.25</v>
      </c>
      <c r="O1073" s="45">
        <f t="shared" ca="1" si="1435"/>
        <v>0</v>
      </c>
      <c r="P1073" s="46" t="str">
        <f t="shared" ca="1" si="1435"/>
        <v/>
      </c>
      <c r="Q1073" s="243" t="str">
        <f t="shared" ca="1" si="1435"/>
        <v/>
      </c>
      <c r="R1073" s="45">
        <f t="shared" ca="1" si="1399"/>
        <v>0.11241607490044665</v>
      </c>
      <c r="S1073" s="45">
        <f t="shared" ca="1" si="1423"/>
        <v>5.0695617570641283E-2</v>
      </c>
      <c r="T1073" s="77">
        <f t="shared" ca="1" si="1384"/>
        <v>8.9295880519691829E-3</v>
      </c>
      <c r="U1073" s="45">
        <f t="shared" ca="1" si="1400"/>
        <v>17.076629996468398</v>
      </c>
      <c r="V1073" s="45">
        <f t="shared" ca="1" si="1385"/>
        <v>0.20278247028256513</v>
      </c>
      <c r="W1073" s="77">
        <f t="shared" ca="1" si="1386"/>
        <v>4.2348282871586186E-2</v>
      </c>
      <c r="X1073" s="45">
        <f t="shared" ca="1" si="1401"/>
        <v>1.0304474580794984</v>
      </c>
      <c r="Y1073" s="45">
        <f t="shared" ca="1" si="1387"/>
        <v>5.2271367695629336E-3</v>
      </c>
      <c r="Z1073" s="77">
        <f t="shared" ca="1" si="1388"/>
        <v>5.6135241109147053E-3</v>
      </c>
      <c r="AA1073" s="45">
        <f t="shared" ca="1" si="1402"/>
        <v>39.227378374819871</v>
      </c>
      <c r="AB1073" s="45">
        <f t="shared" ca="1" si="1389"/>
        <v>0</v>
      </c>
      <c r="AC1073" s="45" cm="1">
        <f t="array" aca="1" ref="AC1073" ca="1">pHUM*(T1073+W1073+Z1073+AD1073)</f>
        <v>6.1495726700740404E-3</v>
      </c>
      <c r="AD1073" s="77">
        <f t="shared" ca="1" si="1390"/>
        <v>6.4928411534610625E-3</v>
      </c>
      <c r="AE1073" s="45">
        <f t="shared" ca="1" si="1403"/>
        <v>6.3847072090583081</v>
      </c>
      <c r="AF1073" s="45">
        <f t="shared" ca="1" si="1391"/>
        <v>0</v>
      </c>
      <c r="AG1073" s="76">
        <f t="shared" ca="1" si="1392"/>
        <v>63.831579113326519</v>
      </c>
      <c r="AH1073" s="45">
        <f t="shared" ca="1" si="1393"/>
        <v>5.2007526748294154E-2</v>
      </c>
      <c r="AI1073" s="77">
        <f t="shared" ca="1" si="1394"/>
        <v>1.1186847345702151E-2</v>
      </c>
      <c r="AJ1073" s="384">
        <f t="shared" ca="1" si="1396"/>
        <v>1.4927777763132921E-2</v>
      </c>
      <c r="AU1073" s="1"/>
    </row>
    <row r="1074" spans="3:47" x14ac:dyDescent="0.25">
      <c r="C1074" s="10">
        <f t="shared" si="1421"/>
        <v>81</v>
      </c>
      <c r="D1074" s="91">
        <f t="shared" si="1404"/>
        <v>12</v>
      </c>
      <c r="E1074" s="278"/>
      <c r="F1074" s="76">
        <f t="shared" ref="F1074:Q1074" ca="1" si="1436">F1002</f>
        <v>-3.59</v>
      </c>
      <c r="G1074" s="46">
        <f t="shared" ca="1" si="1436"/>
        <v>27.012600000000003</v>
      </c>
      <c r="H1074" s="46">
        <f t="shared" ca="1" si="1380"/>
        <v>28.517550000000004</v>
      </c>
      <c r="I1074" s="45">
        <f t="shared" ca="1" si="1381"/>
        <v>1.5109209527995384E-2</v>
      </c>
      <c r="J1074" s="45">
        <f t="shared" ca="1" si="1382"/>
        <v>0.27952512346894071</v>
      </c>
      <c r="K1074" s="45">
        <f t="shared" ca="1" si="1398"/>
        <v>0.90345467800480783</v>
      </c>
      <c r="L1074" s="358">
        <f t="shared" ca="1" si="1383"/>
        <v>0.24908644075501707</v>
      </c>
      <c r="M1074" s="76">
        <f t="shared" ca="1" si="1436"/>
        <v>0.25347808785320641</v>
      </c>
      <c r="N1074" s="45">
        <f t="shared" ca="1" si="1436"/>
        <v>0.25</v>
      </c>
      <c r="O1074" s="45">
        <f t="shared" ca="1" si="1436"/>
        <v>0</v>
      </c>
      <c r="P1074" s="46" t="str">
        <f t="shared" ca="1" si="1436"/>
        <v/>
      </c>
      <c r="Q1074" s="243" t="str">
        <f t="shared" ca="1" si="1436"/>
        <v/>
      </c>
      <c r="R1074" s="45">
        <f t="shared" ca="1" si="1399"/>
        <v>0.15418210441911873</v>
      </c>
      <c r="S1074" s="45">
        <f t="shared" ca="1" si="1423"/>
        <v>5.0695617570641283E-2</v>
      </c>
      <c r="T1074" s="77">
        <f t="shared" ca="1" si="1384"/>
        <v>1.9291377207575763E-3</v>
      </c>
      <c r="U1074" s="45">
        <f t="shared" ca="1" si="1400"/>
        <v>17.237064183879376</v>
      </c>
      <c r="V1074" s="45">
        <f t="shared" ca="1" si="1385"/>
        <v>0.20278247028256513</v>
      </c>
      <c r="W1074" s="77">
        <f t="shared" ca="1" si="1386"/>
        <v>6.5097308215559023E-3</v>
      </c>
      <c r="X1074" s="45">
        <f t="shared" ca="1" si="1401"/>
        <v>1.0300610707381466</v>
      </c>
      <c r="Y1074" s="45">
        <f t="shared" ca="1" si="1387"/>
        <v>8.4795544840522263E-4</v>
      </c>
      <c r="Z1074" s="77">
        <f t="shared" ca="1" si="1388"/>
        <v>8.5563190285642225E-4</v>
      </c>
      <c r="AA1074" s="45">
        <f t="shared" ca="1" si="1402"/>
        <v>39.227035106336487</v>
      </c>
      <c r="AB1074" s="45">
        <f t="shared" ca="1" si="1389"/>
        <v>0</v>
      </c>
      <c r="AC1074" s="45" cm="1">
        <f t="array" aca="1" ref="AC1074" ca="1">pHUM*(T1074+W1074+Z1074+AD1074)</f>
        <v>9.9759464518261488E-4</v>
      </c>
      <c r="AD1074" s="77">
        <f t="shared" ca="1" si="1390"/>
        <v>9.8780338348115589E-4</v>
      </c>
      <c r="AE1074" s="45">
        <f t="shared" ca="1" si="1403"/>
        <v>6.3847072090583081</v>
      </c>
      <c r="AF1074" s="45">
        <f t="shared" ca="1" si="1391"/>
        <v>0</v>
      </c>
      <c r="AG1074" s="76">
        <f t="shared" ca="1" si="1392"/>
        <v>64.033049674431439</v>
      </c>
      <c r="AH1074" s="45">
        <f t="shared" ca="1" si="1393"/>
        <v>8.4367537350632203E-3</v>
      </c>
      <c r="AI1074" s="77">
        <f t="shared" ca="1" si="1394"/>
        <v>1.1820694458938217E-2</v>
      </c>
      <c r="AJ1074" s="384">
        <f t="shared" ca="1" si="1396"/>
        <v>9.3895699462542836E-3</v>
      </c>
      <c r="AU1074" s="1"/>
    </row>
    <row r="1075" spans="3:47" x14ac:dyDescent="0.25">
      <c r="C1075" s="10">
        <f t="shared" si="1421"/>
        <v>82</v>
      </c>
      <c r="D1075" s="91">
        <f t="shared" si="1404"/>
        <v>1</v>
      </c>
      <c r="E1075" s="278"/>
      <c r="F1075" s="76">
        <f t="shared" ref="F1075:Q1075" ca="1" si="1437">F1003</f>
        <v>-7.32</v>
      </c>
      <c r="G1075" s="46">
        <f t="shared" ca="1" si="1437"/>
        <v>27.012600000000003</v>
      </c>
      <c r="H1075" s="46">
        <f t="shared" ca="1" si="1380"/>
        <v>28.517550000000004</v>
      </c>
      <c r="I1075" s="45">
        <f t="shared" ca="1" si="1381"/>
        <v>1.2903599790233234E-3</v>
      </c>
      <c r="J1075" s="45">
        <f t="shared" ca="1" si="1382"/>
        <v>0.27952512346894071</v>
      </c>
      <c r="K1075" s="45">
        <f t="shared" ca="1" si="1398"/>
        <v>0.90345467800480783</v>
      </c>
      <c r="L1075" s="358">
        <f t="shared" ca="1" si="1383"/>
        <v>0.15974615302556239</v>
      </c>
      <c r="M1075" s="76">
        <f t="shared" ca="1" si="1437"/>
        <v>0.25347808785320641</v>
      </c>
      <c r="N1075" s="45">
        <f t="shared" ca="1" si="1437"/>
        <v>0.25</v>
      </c>
      <c r="O1075" s="45">
        <f t="shared" ca="1" si="1437"/>
        <v>0</v>
      </c>
      <c r="P1075" s="46" t="str">
        <f t="shared" ca="1" si="1437"/>
        <v/>
      </c>
      <c r="Q1075" s="243" t="str">
        <f t="shared" ca="1" si="1437"/>
        <v/>
      </c>
      <c r="R1075" s="45">
        <f t="shared" ca="1" si="1399"/>
        <v>0.20294858426900242</v>
      </c>
      <c r="S1075" s="45">
        <f t="shared" ca="1" si="1423"/>
        <v>5.0695617570641283E-2</v>
      </c>
      <c r="T1075" s="77">
        <f t="shared" ca="1" si="1384"/>
        <v>2.1811331947600471E-4</v>
      </c>
      <c r="U1075" s="45">
        <f t="shared" ca="1" si="1400"/>
        <v>17.433336923340384</v>
      </c>
      <c r="V1075" s="45">
        <f t="shared" ca="1" si="1385"/>
        <v>0.20278247028256513</v>
      </c>
      <c r="W1075" s="77">
        <f t="shared" ca="1" si="1386"/>
        <v>5.6237293582497014E-4</v>
      </c>
      <c r="X1075" s="45">
        <f t="shared" ca="1" si="1401"/>
        <v>1.0300533942836956</v>
      </c>
      <c r="Y1075" s="45">
        <f t="shared" ca="1" si="1387"/>
        <v>7.7350180890147624E-5</v>
      </c>
      <c r="Z1075" s="77">
        <f t="shared" ca="1" si="1388"/>
        <v>7.3100088213272869E-5</v>
      </c>
      <c r="AA1075" s="45">
        <f t="shared" ca="1" si="1402"/>
        <v>39.227044897598191</v>
      </c>
      <c r="AB1075" s="45">
        <f t="shared" ca="1" si="1389"/>
        <v>0</v>
      </c>
      <c r="AC1075" s="45" cm="1">
        <f t="array" aca="1" ref="AC1075" ca="1">pHUM*(T1075+W1075+Z1075+AD1075)</f>
        <v>9.100021281193839E-5</v>
      </c>
      <c r="AD1075" s="77">
        <f t="shared" ca="1" si="1390"/>
        <v>8.4361590671958638E-5</v>
      </c>
      <c r="AE1075" s="45">
        <f t="shared" ca="1" si="1403"/>
        <v>6.3847072090583081</v>
      </c>
      <c r="AF1075" s="45">
        <f t="shared" ca="1" si="1391"/>
        <v>0</v>
      </c>
      <c r="AG1075" s="76">
        <f t="shared" ca="1" si="1392"/>
        <v>64.27809100854958</v>
      </c>
      <c r="AH1075" s="45">
        <f t="shared" ca="1" si="1393"/>
        <v>7.6959754048412036E-4</v>
      </c>
      <c r="AI1075" s="77">
        <f t="shared" ca="1" si="1394"/>
        <v>1.2557369088561265E-2</v>
      </c>
      <c r="AJ1075" s="384">
        <f t="shared" ca="1" si="1396"/>
        <v>6.397096711288075E-3</v>
      </c>
      <c r="AU1075" s="1"/>
    </row>
    <row r="1076" spans="3:47" x14ac:dyDescent="0.25">
      <c r="C1076" s="10">
        <f t="shared" si="1421"/>
        <v>82</v>
      </c>
      <c r="D1076" s="91">
        <f t="shared" si="1404"/>
        <v>2</v>
      </c>
      <c r="E1076" s="278"/>
      <c r="F1076" s="76">
        <f t="shared" ref="F1076:Q1076" ca="1" si="1438">F1004</f>
        <v>-7.56</v>
      </c>
      <c r="G1076" s="46">
        <f t="shared" ca="1" si="1438"/>
        <v>27.012600000000003</v>
      </c>
      <c r="H1076" s="46">
        <f t="shared" ca="1" si="1380"/>
        <v>28.517550000000004</v>
      </c>
      <c r="I1076" s="45">
        <f t="shared" ca="1" si="1381"/>
        <v>1.0386103497602255E-3</v>
      </c>
      <c r="J1076" s="45">
        <f t="shared" ca="1" si="1382"/>
        <v>0.27952512346894071</v>
      </c>
      <c r="K1076" s="45">
        <f t="shared" ca="1" si="1398"/>
        <v>0.90345467800480783</v>
      </c>
      <c r="L1076" s="358">
        <f t="shared" ca="1" si="1383"/>
        <v>0.15499691161362872</v>
      </c>
      <c r="M1076" s="76">
        <f t="shared" ca="1" si="1438"/>
        <v>0.25347808785320641</v>
      </c>
      <c r="N1076" s="45">
        <f t="shared" ca="1" si="1438"/>
        <v>0.25</v>
      </c>
      <c r="O1076" s="45">
        <f t="shared" ca="1" si="1438"/>
        <v>0</v>
      </c>
      <c r="P1076" s="46" t="str">
        <f t="shared" ca="1" si="1438"/>
        <v/>
      </c>
      <c r="Q1076" s="243" t="str">
        <f t="shared" ca="1" si="1438"/>
        <v/>
      </c>
      <c r="R1076" s="45">
        <f t="shared" ca="1" si="1399"/>
        <v>0.25342608852016768</v>
      </c>
      <c r="S1076" s="45">
        <f t="shared" ca="1" si="1423"/>
        <v>5.0695617570641283E-2</v>
      </c>
      <c r="T1076" s="77">
        <f t="shared" ca="1" si="1384"/>
        <v>2.1924757134496564E-4</v>
      </c>
      <c r="U1076" s="45">
        <f t="shared" ca="1" si="1400"/>
        <v>17.635557020687123</v>
      </c>
      <c r="V1076" s="45">
        <f t="shared" ca="1" si="1385"/>
        <v>0.20278247028256513</v>
      </c>
      <c r="W1076" s="77">
        <f t="shared" ca="1" si="1386"/>
        <v>4.5790585628981042E-4</v>
      </c>
      <c r="X1076" s="45">
        <f t="shared" ca="1" si="1401"/>
        <v>1.0300576443763725</v>
      </c>
      <c r="Y1076" s="45">
        <f t="shared" ca="1" si="1387"/>
        <v>6.6295173038898316E-5</v>
      </c>
      <c r="Z1076" s="77">
        <f t="shared" ca="1" si="1388"/>
        <v>5.8838888606766885E-5</v>
      </c>
      <c r="AA1076" s="45">
        <f t="shared" ca="1" si="1402"/>
        <v>39.22705153622033</v>
      </c>
      <c r="AB1076" s="45">
        <f t="shared" ca="1" si="1389"/>
        <v>0</v>
      </c>
      <c r="AC1076" s="45" cm="1">
        <f t="array" aca="1" ref="AC1076" ca="1">pHUM*(T1076+W1076+Z1076+AD1076)</f>
        <v>7.7994321222233314E-5</v>
      </c>
      <c r="AD1076" s="77">
        <f t="shared" ca="1" si="1390"/>
        <v>6.7902644090372943E-5</v>
      </c>
      <c r="AE1076" s="45">
        <f t="shared" ca="1" si="1403"/>
        <v>6.3847072090583081</v>
      </c>
      <c r="AF1076" s="45">
        <f t="shared" ca="1" si="1391"/>
        <v>0</v>
      </c>
      <c r="AG1076" s="76">
        <f t="shared" ca="1" si="1392"/>
        <v>64.530799498862308</v>
      </c>
      <c r="AH1076" s="45">
        <f t="shared" ca="1" si="1393"/>
        <v>6.5960546607078446E-4</v>
      </c>
      <c r="AI1076" s="77">
        <f t="shared" ca="1" si="1394"/>
        <v>1.331317190546257E-2</v>
      </c>
      <c r="AJ1076" s="384">
        <f t="shared" ca="1" si="1396"/>
        <v>6.5804918895862041E-3</v>
      </c>
      <c r="AU1076" s="1"/>
    </row>
    <row r="1077" spans="3:47" x14ac:dyDescent="0.25">
      <c r="C1077" s="10">
        <f t="shared" si="1421"/>
        <v>82</v>
      </c>
      <c r="D1077" s="91">
        <f t="shared" si="1404"/>
        <v>3</v>
      </c>
      <c r="E1077" s="278"/>
      <c r="F1077" s="76">
        <f t="shared" ref="F1077:Q1077" ca="1" si="1439">F1005</f>
        <v>-3.72</v>
      </c>
      <c r="G1077" s="46">
        <f t="shared" ca="1" si="1439"/>
        <v>27.012600000000003</v>
      </c>
      <c r="H1077" s="46">
        <f t="shared" ca="1" si="1380"/>
        <v>28.517550000000004</v>
      </c>
      <c r="I1077" s="45">
        <f t="shared" ca="1" si="1381"/>
        <v>1.416534540335657E-2</v>
      </c>
      <c r="J1077" s="45">
        <f t="shared" ca="1" si="1382"/>
        <v>0.27952512346894071</v>
      </c>
      <c r="K1077" s="45">
        <f t="shared" ca="1" si="1398"/>
        <v>0.90345467800480783</v>
      </c>
      <c r="L1077" s="358">
        <f t="shared" ca="1" si="1383"/>
        <v>0.24547574864616473</v>
      </c>
      <c r="M1077" s="76">
        <f t="shared" ca="1" si="1439"/>
        <v>0.25347808785320641</v>
      </c>
      <c r="N1077" s="45">
        <f t="shared" ca="1" si="1439"/>
        <v>0.25</v>
      </c>
      <c r="O1077" s="45">
        <f t="shared" ca="1" si="1439"/>
        <v>0</v>
      </c>
      <c r="P1077" s="46" t="str">
        <f t="shared" ca="1" si="1439"/>
        <v/>
      </c>
      <c r="Q1077" s="243" t="str">
        <f t="shared" ca="1" si="1439"/>
        <v/>
      </c>
      <c r="R1077" s="45">
        <f t="shared" ca="1" si="1399"/>
        <v>0.30390245851946401</v>
      </c>
      <c r="S1077" s="45">
        <f t="shared" ca="1" si="1423"/>
        <v>5.0695617570641283E-2</v>
      </c>
      <c r="T1077" s="77">
        <f t="shared" ca="1" si="1384"/>
        <v>3.5663121478739478E-3</v>
      </c>
      <c r="U1077" s="45">
        <f t="shared" ca="1" si="1400"/>
        <v>17.837881585113397</v>
      </c>
      <c r="V1077" s="45">
        <f t="shared" ca="1" si="1385"/>
        <v>0.20278247028256513</v>
      </c>
      <c r="W1077" s="77">
        <f t="shared" ca="1" si="1386"/>
        <v>6.3158754499605283E-3</v>
      </c>
      <c r="X1077" s="45">
        <f t="shared" ca="1" si="1401"/>
        <v>1.0300651006608046</v>
      </c>
      <c r="Y1077" s="45">
        <f t="shared" ca="1" si="1387"/>
        <v>9.5748756731297343E-4</v>
      </c>
      <c r="Z1077" s="77">
        <f t="shared" ca="1" si="1388"/>
        <v>8.0220499950698048E-4</v>
      </c>
      <c r="AA1077" s="45">
        <f t="shared" ca="1" si="1402"/>
        <v>39.227061627897463</v>
      </c>
      <c r="AB1077" s="45">
        <f t="shared" ca="1" si="1389"/>
        <v>0</v>
      </c>
      <c r="AC1077" s="45" cm="1">
        <f t="array" aca="1" ref="AC1077" ca="1">pHUM*(T1077+W1077+Z1077+AD1077)</f>
        <v>1.1264559615446746E-3</v>
      </c>
      <c r="AD1077" s="77">
        <f t="shared" ca="1" si="1390"/>
        <v>9.2609719641376879E-4</v>
      </c>
      <c r="AE1077" s="45">
        <f t="shared" ca="1" si="1403"/>
        <v>6.3847072090583081</v>
      </c>
      <c r="AF1077" s="45">
        <f t="shared" ca="1" si="1391"/>
        <v>0</v>
      </c>
      <c r="AG1077" s="76">
        <f t="shared" ca="1" si="1392"/>
        <v>64.783617981249435</v>
      </c>
      <c r="AH1077" s="45">
        <f t="shared" ca="1" si="1393"/>
        <v>9.5265462648975799E-3</v>
      </c>
      <c r="AI1077" s="77">
        <f t="shared" ca="1" si="1394"/>
        <v>1.406243873589429E-2</v>
      </c>
      <c r="AJ1077" s="384">
        <f t="shared" ca="1" si="1396"/>
        <v>1.1008323815809851E-2</v>
      </c>
      <c r="AU1077" s="1"/>
    </row>
    <row r="1078" spans="3:47" x14ac:dyDescent="0.25">
      <c r="C1078" s="10">
        <f t="shared" si="1421"/>
        <v>82</v>
      </c>
      <c r="D1078" s="91">
        <f t="shared" si="1404"/>
        <v>4</v>
      </c>
      <c r="E1078" s="278"/>
      <c r="F1078" s="76">
        <f t="shared" ref="F1078:Q1078" ca="1" si="1440">F1006</f>
        <v>5.88</v>
      </c>
      <c r="G1078" s="46">
        <f t="shared" ca="1" si="1440"/>
        <v>27.012600000000003</v>
      </c>
      <c r="H1078" s="46">
        <f t="shared" ca="1" si="1380"/>
        <v>28.517550000000004</v>
      </c>
      <c r="I1078" s="45">
        <f t="shared" ca="1" si="1381"/>
        <v>0.2538659245156123</v>
      </c>
      <c r="J1078" s="45">
        <f t="shared" ca="1" si="1382"/>
        <v>0.27952512346894071</v>
      </c>
      <c r="K1078" s="45">
        <f t="shared" ca="1" si="1398"/>
        <v>0.90345467800480783</v>
      </c>
      <c r="L1078" s="358">
        <f t="shared" ca="1" si="1383"/>
        <v>0.57663575359475594</v>
      </c>
      <c r="M1078" s="76">
        <f t="shared" ca="1" si="1440"/>
        <v>0.25347808785320641</v>
      </c>
      <c r="N1078" s="45">
        <f t="shared" ca="1" si="1440"/>
        <v>0.25</v>
      </c>
      <c r="O1078" s="45">
        <f t="shared" ca="1" si="1440"/>
        <v>0</v>
      </c>
      <c r="P1078" s="46" t="str">
        <f t="shared" ca="1" si="1440"/>
        <v/>
      </c>
      <c r="Q1078" s="243" t="str">
        <f t="shared" ca="1" si="1440"/>
        <v/>
      </c>
      <c r="R1078" s="45">
        <f t="shared" ca="1" si="1399"/>
        <v>0.35103176394223135</v>
      </c>
      <c r="S1078" s="45">
        <f t="shared" ca="1" si="1423"/>
        <v>5.0695617570641283E-2</v>
      </c>
      <c r="T1078" s="77">
        <f t="shared" ca="1" si="1384"/>
        <v>6.6933045521027232E-2</v>
      </c>
      <c r="U1078" s="45">
        <f t="shared" ca="1" si="1400"/>
        <v>18.034348179946001</v>
      </c>
      <c r="V1078" s="45">
        <f t="shared" ca="1" si="1385"/>
        <v>0.20278247028256513</v>
      </c>
      <c r="W1078" s="77">
        <f t="shared" ca="1" si="1386"/>
        <v>0.11409521776539266</v>
      </c>
      <c r="X1078" s="45">
        <f t="shared" ca="1" si="1401"/>
        <v>1.0302203832286108</v>
      </c>
      <c r="Y1078" s="45">
        <f t="shared" ca="1" si="1387"/>
        <v>1.7475416445414955E-2</v>
      </c>
      <c r="Z1078" s="77">
        <f t="shared" ca="1" si="1388"/>
        <v>1.4284624249753861E-2</v>
      </c>
      <c r="AA1078" s="45">
        <f t="shared" ca="1" si="1402"/>
        <v>39.227261986662597</v>
      </c>
      <c r="AB1078" s="45">
        <f t="shared" ca="1" si="1389"/>
        <v>0</v>
      </c>
      <c r="AC1078" s="45" cm="1">
        <f t="array" aca="1" ref="AC1078" ca="1">pHUM*(T1078+W1078+Z1078+AD1078)</f>
        <v>2.0559313465194063E-2</v>
      </c>
      <c r="AD1078" s="77">
        <f t="shared" ca="1" si="1390"/>
        <v>1.6593931108492114E-2</v>
      </c>
      <c r="AE1078" s="45">
        <f t="shared" ca="1" si="1403"/>
        <v>6.3847072090583081</v>
      </c>
      <c r="AF1078" s="45">
        <f t="shared" ca="1" si="1391"/>
        <v>0</v>
      </c>
      <c r="AG1078" s="76">
        <f t="shared" ca="1" si="1392"/>
        <v>65.027569522837751</v>
      </c>
      <c r="AH1078" s="45">
        <f t="shared" ca="1" si="1393"/>
        <v>0.17387208873405688</v>
      </c>
      <c r="AI1078" s="77">
        <f t="shared" ca="1" si="1394"/>
        <v>1.4757568634273556E-2</v>
      </c>
      <c r="AJ1078" s="384">
        <f t="shared" ca="1" si="1396"/>
        <v>2.7136993439177415E-2</v>
      </c>
      <c r="AU1078" s="1"/>
    </row>
    <row r="1079" spans="3:47" x14ac:dyDescent="0.25">
      <c r="C1079" s="10">
        <f t="shared" si="1421"/>
        <v>82</v>
      </c>
      <c r="D1079" s="91">
        <f t="shared" si="1404"/>
        <v>5</v>
      </c>
      <c r="E1079" s="278"/>
      <c r="F1079" s="76">
        <f t="shared" ref="F1079:Q1079" ca="1" si="1441">F1007</f>
        <v>13.3</v>
      </c>
      <c r="G1079" s="46">
        <f t="shared" ca="1" si="1441"/>
        <v>27.012600000000003</v>
      </c>
      <c r="H1079" s="46">
        <f t="shared" ca="1" si="1380"/>
        <v>28.517550000000004</v>
      </c>
      <c r="I1079" s="45">
        <f t="shared" ca="1" si="1381"/>
        <v>0.69725265541392489</v>
      </c>
      <c r="J1079" s="45">
        <f t="shared" ca="1" si="1382"/>
        <v>0.27952512346894071</v>
      </c>
      <c r="K1079" s="45">
        <f t="shared" ca="1" si="1398"/>
        <v>0.90345467800480783</v>
      </c>
      <c r="L1079" s="358">
        <f t="shared" ca="1" si="1383"/>
        <v>0.80399103068855049</v>
      </c>
      <c r="M1079" s="76">
        <f t="shared" ca="1" si="1441"/>
        <v>0.25347808785320641</v>
      </c>
      <c r="N1079" s="45">
        <f t="shared" ca="1" si="1441"/>
        <v>0.25</v>
      </c>
      <c r="O1079" s="45">
        <f t="shared" ca="1" si="1441"/>
        <v>0</v>
      </c>
      <c r="P1079" s="46" t="str">
        <f t="shared" ca="1" si="1441"/>
        <v/>
      </c>
      <c r="Q1079" s="243" t="str">
        <f t="shared" ca="1" si="1441"/>
        <v/>
      </c>
      <c r="R1079" s="45">
        <f t="shared" ca="1" si="1399"/>
        <v>0.33479433599184538</v>
      </c>
      <c r="S1079" s="45">
        <f t="shared" ca="1" si="1423"/>
        <v>5.0695617570641283E-2</v>
      </c>
      <c r="T1079" s="77">
        <f t="shared" ca="1" si="1384"/>
        <v>0.14753910809057297</v>
      </c>
      <c r="U1079" s="45">
        <f t="shared" ca="1" si="1400"/>
        <v>18.123035432463173</v>
      </c>
      <c r="V1079" s="45">
        <f t="shared" ca="1" si="1385"/>
        <v>0.20278247028256513</v>
      </c>
      <c r="W1079" s="77">
        <f t="shared" ca="1" si="1386"/>
        <v>0.31317094385387539</v>
      </c>
      <c r="X1079" s="45">
        <f t="shared" ca="1" si="1401"/>
        <v>1.0334111754242719</v>
      </c>
      <c r="Y1079" s="45">
        <f t="shared" ca="1" si="1387"/>
        <v>4.4957432162830706E-2</v>
      </c>
      <c r="Z1079" s="77">
        <f t="shared" ca="1" si="1388"/>
        <v>3.8879912147292764E-2</v>
      </c>
      <c r="AA1079" s="45">
        <f t="shared" ca="1" si="1402"/>
        <v>39.231227369019294</v>
      </c>
      <c r="AB1079" s="45">
        <f t="shared" ca="1" si="1389"/>
        <v>0</v>
      </c>
      <c r="AC1079" s="45" cm="1">
        <f t="array" aca="1" ref="AC1079" ca="1">pHUM*(T1079+W1079+Z1079+AD1079)</f>
        <v>5.2891096662153775E-2</v>
      </c>
      <c r="AD1079" s="77">
        <f t="shared" ca="1" si="1390"/>
        <v>4.5563649489718867E-2</v>
      </c>
      <c r="AE1079" s="45">
        <f t="shared" ca="1" si="1403"/>
        <v>6.3847072090583081</v>
      </c>
      <c r="AF1079" s="45">
        <f t="shared" ca="1" si="1391"/>
        <v>0</v>
      </c>
      <c r="AG1079" s="76">
        <f t="shared" ca="1" si="1392"/>
        <v>65.10717552195689</v>
      </c>
      <c r="AH1079" s="45">
        <f t="shared" ca="1" si="1393"/>
        <v>0.44730508475647551</v>
      </c>
      <c r="AI1079" s="77">
        <f t="shared" ca="1" si="1394"/>
        <v>1.4547994727494039E-2</v>
      </c>
      <c r="AJ1079" s="384">
        <f t="shared" ca="1" si="1396"/>
        <v>3.7298857253963424E-2</v>
      </c>
      <c r="AU1079" s="1"/>
    </row>
    <row r="1080" spans="3:47" x14ac:dyDescent="0.25">
      <c r="C1080" s="10">
        <f t="shared" si="1421"/>
        <v>82</v>
      </c>
      <c r="D1080" s="91">
        <f t="shared" si="1404"/>
        <v>6</v>
      </c>
      <c r="E1080" s="278"/>
      <c r="F1080" s="76">
        <f t="shared" ref="F1080:Q1080" ca="1" si="1442">F1008</f>
        <v>18.579999999999998</v>
      </c>
      <c r="G1080" s="46">
        <f t="shared" ca="1" si="1442"/>
        <v>27.012600000000003</v>
      </c>
      <c r="H1080" s="46">
        <f t="shared" ca="1" si="1380"/>
        <v>28.517550000000004</v>
      </c>
      <c r="I1080" s="45">
        <f t="shared" ca="1" si="1381"/>
        <v>1.1053966357180092</v>
      </c>
      <c r="J1080" s="45">
        <f t="shared" ca="1" si="1382"/>
        <v>0.27952512346894071</v>
      </c>
      <c r="K1080" s="45">
        <f t="shared" ca="1" si="1398"/>
        <v>0.90345467800480783</v>
      </c>
      <c r="L1080" s="358">
        <f t="shared" ca="1" si="1383"/>
        <v>0.89864190578209513</v>
      </c>
      <c r="M1080" s="76">
        <f t="shared" ca="1" si="1442"/>
        <v>0.25347808785320641</v>
      </c>
      <c r="N1080" s="45">
        <f t="shared" ca="1" si="1442"/>
        <v>0.25</v>
      </c>
      <c r="O1080" s="45">
        <f t="shared" ca="1" si="1442"/>
        <v>0</v>
      </c>
      <c r="P1080" s="46" t="str">
        <f t="shared" ca="1" si="1442"/>
        <v/>
      </c>
      <c r="Q1080" s="243" t="str">
        <f t="shared" ca="1" si="1442"/>
        <v/>
      </c>
      <c r="R1080" s="45">
        <f t="shared" ca="1" si="1399"/>
        <v>0.2379508454719137</v>
      </c>
      <c r="S1080" s="45">
        <f t="shared" ca="1" si="1423"/>
        <v>5.0695617570641283E-2</v>
      </c>
      <c r="T1080" s="77">
        <f t="shared" ca="1" si="1384"/>
        <v>0.14323320525148991</v>
      </c>
      <c r="U1080" s="45">
        <f t="shared" ca="1" si="1400"/>
        <v>18.01264695889186</v>
      </c>
      <c r="V1080" s="45">
        <f t="shared" ca="1" si="1385"/>
        <v>0.20278247028256513</v>
      </c>
      <c r="W1080" s="77">
        <f t="shared" ca="1" si="1386"/>
        <v>0.49096287994063764</v>
      </c>
      <c r="X1080" s="45">
        <f t="shared" ca="1" si="1401"/>
        <v>1.0394886954398099</v>
      </c>
      <c r="Y1080" s="45">
        <f t="shared" ca="1" si="1387"/>
        <v>6.331312465967516E-2</v>
      </c>
      <c r="Z1080" s="77">
        <f t="shared" ca="1" si="1388"/>
        <v>6.1314843186860341E-2</v>
      </c>
      <c r="AA1080" s="45">
        <f t="shared" ca="1" si="1402"/>
        <v>39.238554816191723</v>
      </c>
      <c r="AB1080" s="45">
        <f t="shared" ca="1" si="1389"/>
        <v>0</v>
      </c>
      <c r="AC1080" s="45" cm="1">
        <f t="array" aca="1" ref="AC1080" ca="1">pHUM*(T1080+W1080+Z1080+AD1080)</f>
        <v>7.4486029011382543E-2</v>
      </c>
      <c r="AD1080" s="77">
        <f t="shared" ca="1" si="1390"/>
        <v>7.2223727157933806E-2</v>
      </c>
      <c r="AE1080" s="45">
        <f t="shared" ca="1" si="1403"/>
        <v>6.3847072090583081</v>
      </c>
      <c r="AF1080" s="45">
        <f t="shared" ca="1" si="1391"/>
        <v>0</v>
      </c>
      <c r="AG1080" s="76">
        <f t="shared" ca="1" si="1392"/>
        <v>64.913348525053621</v>
      </c>
      <c r="AH1080" s="45">
        <f t="shared" ca="1" si="1393"/>
        <v>0.629935501865864</v>
      </c>
      <c r="AI1080" s="77">
        <f t="shared" ca="1" si="1394"/>
        <v>1.3176079223244243E-2</v>
      </c>
      <c r="AJ1080" s="384">
        <f t="shared" ca="1" si="1396"/>
        <v>3.7758424397263957E-2</v>
      </c>
      <c r="AU1080" s="1"/>
    </row>
    <row r="1081" spans="3:47" x14ac:dyDescent="0.25">
      <c r="C1081" s="10">
        <f t="shared" si="1421"/>
        <v>82</v>
      </c>
      <c r="D1081" s="91">
        <f t="shared" si="1404"/>
        <v>7</v>
      </c>
      <c r="E1081" s="278"/>
      <c r="F1081" s="76">
        <f t="shared" ref="F1081:Q1081" ca="1" si="1443">F1009</f>
        <v>20.88</v>
      </c>
      <c r="G1081" s="46">
        <f t="shared" ca="1" si="1443"/>
        <v>27.012600000000003</v>
      </c>
      <c r="H1081" s="46">
        <f t="shared" ca="1" si="1380"/>
        <v>28.517550000000004</v>
      </c>
      <c r="I1081" s="45">
        <f t="shared" ca="1" si="1381"/>
        <v>1.2963209464812457</v>
      </c>
      <c r="J1081" s="45">
        <f t="shared" ca="1" si="1382"/>
        <v>0.27952512346894071</v>
      </c>
      <c r="K1081" s="45">
        <f t="shared" ca="1" si="1398"/>
        <v>0.90345467800480783</v>
      </c>
      <c r="L1081" s="358">
        <f t="shared" ca="1" si="1383"/>
        <v>0.92456370800230281</v>
      </c>
      <c r="M1081" s="76">
        <f t="shared" ca="1" si="1443"/>
        <v>0.25347808785320641</v>
      </c>
      <c r="N1081" s="45">
        <f t="shared" ca="1" si="1443"/>
        <v>0.25</v>
      </c>
      <c r="O1081" s="45">
        <f t="shared" ca="1" si="1443"/>
        <v>0</v>
      </c>
      <c r="P1081" s="46" t="str">
        <f t="shared" ca="1" si="1443"/>
        <v/>
      </c>
      <c r="Q1081" s="243" t="str">
        <f t="shared" ca="1" si="1443"/>
        <v/>
      </c>
      <c r="R1081" s="45">
        <f t="shared" ca="1" si="1399"/>
        <v>0.14541325779106506</v>
      </c>
      <c r="S1081" s="45">
        <f t="shared" ca="1" si="1423"/>
        <v>5.0695617570641283E-2</v>
      </c>
      <c r="T1081" s="77">
        <f t="shared" ca="1" si="1384"/>
        <v>9.6044771709889135E-2</v>
      </c>
      <c r="U1081" s="45">
        <f t="shared" ca="1" si="1400"/>
        <v>17.724466549233785</v>
      </c>
      <c r="V1081" s="45">
        <f t="shared" ca="1" si="1385"/>
        <v>0.20278247028256513</v>
      </c>
      <c r="W1081" s="77">
        <f t="shared" ca="1" si="1386"/>
        <v>0.56520684500002072</v>
      </c>
      <c r="X1081" s="45">
        <f t="shared" ca="1" si="1401"/>
        <v>1.0414869769126247</v>
      </c>
      <c r="Y1081" s="45">
        <f t="shared" ca="1" si="1387"/>
        <v>6.7426341950485108E-2</v>
      </c>
      <c r="Z1081" s="77">
        <f t="shared" ca="1" si="1388"/>
        <v>7.1670257677789256E-2</v>
      </c>
      <c r="AA1081" s="45">
        <f t="shared" ca="1" si="1402"/>
        <v>39.240817118045172</v>
      </c>
      <c r="AB1081" s="45">
        <f t="shared" ca="1" si="1389"/>
        <v>0</v>
      </c>
      <c r="AC1081" s="45" cm="1">
        <f t="array" aca="1" ref="AC1081" ca="1">pHUM*(T1081+W1081+Z1081+AD1081)</f>
        <v>7.9325108177041304E-2</v>
      </c>
      <c r="AD1081" s="77">
        <f t="shared" ca="1" si="1390"/>
        <v>8.4689634911895351E-2</v>
      </c>
      <c r="AE1081" s="45">
        <f t="shared" ca="1" si="1403"/>
        <v>6.3847072090583081</v>
      </c>
      <c r="AF1081" s="45">
        <f t="shared" ca="1" si="1391"/>
        <v>0</v>
      </c>
      <c r="AG1081" s="76">
        <f t="shared" ca="1" si="1392"/>
        <v>64.536891111040958</v>
      </c>
      <c r="AH1081" s="45">
        <f t="shared" ca="1" si="1393"/>
        <v>0.67086005917206804</v>
      </c>
      <c r="AI1081" s="77">
        <f t="shared" ca="1" si="1394"/>
        <v>1.1813357264591285E-2</v>
      </c>
      <c r="AJ1081" s="384">
        <f t="shared" ca="1" si="1396"/>
        <v>3.4829912180250888E-2</v>
      </c>
      <c r="AU1081" s="1"/>
    </row>
    <row r="1082" spans="3:47" x14ac:dyDescent="0.25">
      <c r="C1082" s="10">
        <f t="shared" si="1421"/>
        <v>82</v>
      </c>
      <c r="D1082" s="91">
        <f t="shared" si="1404"/>
        <v>8</v>
      </c>
      <c r="E1082" s="278"/>
      <c r="F1082" s="76">
        <f t="shared" ref="F1082:Q1082" ca="1" si="1444">F1010</f>
        <v>19.38</v>
      </c>
      <c r="G1082" s="46">
        <f t="shared" ca="1" si="1444"/>
        <v>27.012600000000003</v>
      </c>
      <c r="H1082" s="46">
        <f t="shared" ca="1" si="1380"/>
        <v>28.517550000000004</v>
      </c>
      <c r="I1082" s="45">
        <f t="shared" ca="1" si="1381"/>
        <v>1.1711755949831784</v>
      </c>
      <c r="J1082" s="45">
        <f t="shared" ca="1" si="1382"/>
        <v>0.27952512346894071</v>
      </c>
      <c r="K1082" s="45">
        <f t="shared" ca="1" si="1398"/>
        <v>0.90345467800480783</v>
      </c>
      <c r="L1082" s="358">
        <f t="shared" ca="1" si="1383"/>
        <v>0.9085593811553081</v>
      </c>
      <c r="M1082" s="76">
        <f t="shared" ca="1" si="1444"/>
        <v>0.25347808785320641</v>
      </c>
      <c r="N1082" s="45">
        <f t="shared" ca="1" si="1444"/>
        <v>0.25</v>
      </c>
      <c r="O1082" s="45">
        <f t="shared" ca="1" si="1444"/>
        <v>0</v>
      </c>
      <c r="P1082" s="46" t="str">
        <f t="shared" ca="1" si="1444"/>
        <v/>
      </c>
      <c r="Q1082" s="243" t="str">
        <f t="shared" ca="1" si="1444"/>
        <v/>
      </c>
      <c r="R1082" s="45">
        <f t="shared" ca="1" si="1399"/>
        <v>0.10006410365181721</v>
      </c>
      <c r="S1082" s="45">
        <f t="shared" ca="1" si="1423"/>
        <v>5.0695617570641283E-2</v>
      </c>
      <c r="T1082" s="77">
        <f t="shared" ca="1" si="1384"/>
        <v>6.2357646589744672E-2</v>
      </c>
      <c r="U1082" s="45">
        <f t="shared" ca="1" si="1400"/>
        <v>17.362042174516329</v>
      </c>
      <c r="V1082" s="45">
        <f t="shared" ca="1" si="1385"/>
        <v>0.20278247028256513</v>
      </c>
      <c r="W1082" s="77">
        <f t="shared" ca="1" si="1386"/>
        <v>0.50098001760649225</v>
      </c>
      <c r="X1082" s="45">
        <f t="shared" ca="1" si="1401"/>
        <v>1.0372430611853205</v>
      </c>
      <c r="Y1082" s="45">
        <f t="shared" ca="1" si="1387"/>
        <v>5.8102959016854611E-2</v>
      </c>
      <c r="Z1082" s="77">
        <f t="shared" ca="1" si="1388"/>
        <v>6.4707237177258264E-2</v>
      </c>
      <c r="AA1082" s="45">
        <f t="shared" ca="1" si="1402"/>
        <v>39.235452591310313</v>
      </c>
      <c r="AB1082" s="45">
        <f t="shared" ca="1" si="1389"/>
        <v>0</v>
      </c>
      <c r="AC1082" s="45" cm="1">
        <f t="array" aca="1" ref="AC1082" ca="1">pHUM*(T1082+W1082+Z1082+AD1082)</f>
        <v>6.8356422372770134E-2</v>
      </c>
      <c r="AD1082" s="77">
        <f t="shared" ca="1" si="1390"/>
        <v>7.6511309779543554E-2</v>
      </c>
      <c r="AE1082" s="45">
        <f t="shared" ca="1" si="1403"/>
        <v>6.3847072090583081</v>
      </c>
      <c r="AF1082" s="45">
        <f t="shared" ca="1" si="1391"/>
        <v>0</v>
      </c>
      <c r="AG1082" s="76">
        <f t="shared" ca="1" si="1392"/>
        <v>64.119509139722084</v>
      </c>
      <c r="AH1082" s="45">
        <f t="shared" ca="1" si="1393"/>
        <v>0.57809682976341403</v>
      </c>
      <c r="AI1082" s="77">
        <f t="shared" ca="1" si="1394"/>
        <v>1.1083065592313923E-2</v>
      </c>
      <c r="AJ1082" s="384">
        <f t="shared" ca="1" si="1396"/>
        <v>3.211119985410793E-2</v>
      </c>
      <c r="AU1082" s="1"/>
    </row>
    <row r="1083" spans="3:47" x14ac:dyDescent="0.25">
      <c r="C1083" s="10">
        <f t="shared" si="1421"/>
        <v>82</v>
      </c>
      <c r="D1083" s="91">
        <f t="shared" si="1404"/>
        <v>9</v>
      </c>
      <c r="E1083" s="278"/>
      <c r="F1083" s="76">
        <f t="shared" ref="F1083:Q1083" ca="1" si="1445">F1011</f>
        <v>16.57</v>
      </c>
      <c r="G1083" s="46">
        <f t="shared" ca="1" si="1445"/>
        <v>27.012600000000003</v>
      </c>
      <c r="H1083" s="46">
        <f t="shared" ca="1" si="1380"/>
        <v>28.517550000000004</v>
      </c>
      <c r="I1083" s="45">
        <f t="shared" ca="1" si="1381"/>
        <v>0.9439672665218134</v>
      </c>
      <c r="J1083" s="45">
        <f t="shared" ca="1" si="1382"/>
        <v>0.27952512346894071</v>
      </c>
      <c r="K1083" s="45">
        <f t="shared" ca="1" si="1398"/>
        <v>0.90345467800480783</v>
      </c>
      <c r="L1083" s="358">
        <f t="shared" ca="1" si="1383"/>
        <v>0.86895066774150642</v>
      </c>
      <c r="M1083" s="76">
        <f t="shared" ca="1" si="1445"/>
        <v>0.25347808785320641</v>
      </c>
      <c r="N1083" s="45">
        <f t="shared" ca="1" si="1445"/>
        <v>0.25</v>
      </c>
      <c r="O1083" s="45">
        <f t="shared" ca="1" si="1445"/>
        <v>0</v>
      </c>
      <c r="P1083" s="46" t="str">
        <f t="shared" ca="1" si="1445"/>
        <v/>
      </c>
      <c r="Q1083" s="243" t="str">
        <f t="shared" ca="1" si="1445"/>
        <v/>
      </c>
      <c r="R1083" s="45">
        <f t="shared" ca="1" si="1399"/>
        <v>8.8402074632713837E-2</v>
      </c>
      <c r="S1083" s="45">
        <f t="shared" ca="1" si="1423"/>
        <v>5.0695617570641283E-2</v>
      </c>
      <c r="T1083" s="77">
        <f t="shared" ca="1" si="1384"/>
        <v>4.8146195874830794E-2</v>
      </c>
      <c r="U1083" s="45">
        <f t="shared" ca="1" si="1400"/>
        <v>17.063844627192402</v>
      </c>
      <c r="V1083" s="45">
        <f t="shared" ca="1" si="1385"/>
        <v>0.20278247028256513</v>
      </c>
      <c r="W1083" s="77">
        <f t="shared" ca="1" si="1386"/>
        <v>0.39797831786852667</v>
      </c>
      <c r="X1083" s="45">
        <f t="shared" ca="1" si="1401"/>
        <v>1.0306387830249168</v>
      </c>
      <c r="Y1083" s="45">
        <f t="shared" ca="1" si="1387"/>
        <v>4.617642073885693E-2</v>
      </c>
      <c r="Z1083" s="77">
        <f t="shared" ca="1" si="1388"/>
        <v>5.2143597044975079E-2</v>
      </c>
      <c r="AA1083" s="45">
        <f t="shared" ca="1" si="1402"/>
        <v>39.227297703903545</v>
      </c>
      <c r="AB1083" s="45">
        <f t="shared" ca="1" si="1389"/>
        <v>0</v>
      </c>
      <c r="AC1083" s="45" cm="1">
        <f t="array" aca="1" ref="AC1083" ca="1">pHUM*(T1083+W1083+Z1083+AD1083)</f>
        <v>5.4325200869243452E-2</v>
      </c>
      <c r="AD1083" s="77">
        <f t="shared" ca="1" si="1390"/>
        <v>6.1666952603880422E-2</v>
      </c>
      <c r="AE1083" s="45">
        <f t="shared" ca="1" si="1403"/>
        <v>6.3847072090583081</v>
      </c>
      <c r="AF1083" s="45">
        <f t="shared" ca="1" si="1391"/>
        <v>0</v>
      </c>
      <c r="AG1083" s="76">
        <f t="shared" ca="1" si="1392"/>
        <v>63.794890397811884</v>
      </c>
      <c r="AH1083" s="45">
        <f t="shared" ca="1" si="1393"/>
        <v>0.45943344178411266</v>
      </c>
      <c r="AI1083" s="77">
        <f t="shared" ca="1" si="1394"/>
        <v>1.0840036370095741E-2</v>
      </c>
      <c r="AJ1083" s="384">
        <f t="shared" ca="1" si="1396"/>
        <v>3.0037931541817553E-2</v>
      </c>
      <c r="AU1083" s="1"/>
    </row>
    <row r="1084" spans="3:47" x14ac:dyDescent="0.25">
      <c r="C1084" s="10">
        <f t="shared" si="1421"/>
        <v>82</v>
      </c>
      <c r="D1084" s="91">
        <f t="shared" si="1404"/>
        <v>10</v>
      </c>
      <c r="E1084" s="278"/>
      <c r="F1084" s="76">
        <f t="shared" ref="F1084:Q1084" ca="1" si="1446">F1012</f>
        <v>10.87</v>
      </c>
      <c r="G1084" s="46">
        <f t="shared" ca="1" si="1446"/>
        <v>27.012600000000003</v>
      </c>
      <c r="H1084" s="46">
        <f t="shared" ca="1" si="1380"/>
        <v>28.517550000000004</v>
      </c>
      <c r="I1084" s="45">
        <f t="shared" ca="1" si="1381"/>
        <v>0.53125146958099567</v>
      </c>
      <c r="J1084" s="45">
        <f t="shared" ca="1" si="1382"/>
        <v>0.27952512346894071</v>
      </c>
      <c r="K1084" s="45">
        <f t="shared" ca="1" si="1398"/>
        <v>0.90345467800480783</v>
      </c>
      <c r="L1084" s="358">
        <f t="shared" ca="1" si="1383"/>
        <v>0.74105246316705919</v>
      </c>
      <c r="M1084" s="76">
        <f t="shared" ca="1" si="1446"/>
        <v>0.25347808785320641</v>
      </c>
      <c r="N1084" s="45">
        <f t="shared" ca="1" si="1446"/>
        <v>0.25</v>
      </c>
      <c r="O1084" s="45">
        <f t="shared" ca="1" si="1446"/>
        <v>0</v>
      </c>
      <c r="P1084" s="46" t="str">
        <f t="shared" ca="1" si="1446"/>
        <v/>
      </c>
      <c r="Q1084" s="243" t="str">
        <f t="shared" ca="1" si="1446"/>
        <v/>
      </c>
      <c r="R1084" s="45">
        <f t="shared" ca="1" si="1399"/>
        <v>9.0951496328524312E-2</v>
      </c>
      <c r="S1084" s="45">
        <f t="shared" ca="1" si="1423"/>
        <v>5.0695617570641283E-2</v>
      </c>
      <c r="T1084" s="77">
        <f t="shared" ca="1" si="1384"/>
        <v>3.2533920585815154E-2</v>
      </c>
      <c r="U1084" s="45">
        <f t="shared" ca="1" si="1400"/>
        <v>16.868648779606438</v>
      </c>
      <c r="V1084" s="45">
        <f t="shared" ca="1" si="1385"/>
        <v>0.20278247028256513</v>
      </c>
      <c r="W1084" s="77">
        <f t="shared" ca="1" si="1386"/>
        <v>0.22255617374225356</v>
      </c>
      <c r="X1084" s="45">
        <f t="shared" ca="1" si="1401"/>
        <v>1.0246716067187986</v>
      </c>
      <c r="Y1084" s="45">
        <f t="shared" ca="1" si="1387"/>
        <v>2.6332465795403052E-2</v>
      </c>
      <c r="Z1084" s="77">
        <f t="shared" ca="1" si="1388"/>
        <v>2.9506533905986673E-2</v>
      </c>
      <c r="AA1084" s="45">
        <f t="shared" ca="1" si="1402"/>
        <v>39.21995595216891</v>
      </c>
      <c r="AB1084" s="45">
        <f t="shared" ca="1" si="1389"/>
        <v>0</v>
      </c>
      <c r="AC1084" s="45" cm="1">
        <f t="array" aca="1" ref="AC1084" ca="1">pHUM*(T1084+W1084+Z1084+AD1084)</f>
        <v>3.0979371524003593E-2</v>
      </c>
      <c r="AD1084" s="77">
        <f t="shared" ca="1" si="1390"/>
        <v>3.471072968801462E-2</v>
      </c>
      <c r="AE1084" s="45">
        <f t="shared" ca="1" si="1403"/>
        <v>6.3847072090583081</v>
      </c>
      <c r="AF1084" s="45">
        <f t="shared" ca="1" si="1391"/>
        <v>0</v>
      </c>
      <c r="AG1084" s="76">
        <f t="shared" ca="1" si="1392"/>
        <v>63.58893504388098</v>
      </c>
      <c r="AH1084" s="45">
        <f t="shared" ca="1" si="1393"/>
        <v>0.2619955206026634</v>
      </c>
      <c r="AI1084" s="77">
        <f t="shared" ca="1" si="1394"/>
        <v>1.0824945780379186E-2</v>
      </c>
      <c r="AJ1084" s="384">
        <f t="shared" ca="1" si="1396"/>
        <v>2.5581185886097701E-2</v>
      </c>
      <c r="AU1084" s="1"/>
    </row>
    <row r="1085" spans="3:47" x14ac:dyDescent="0.25">
      <c r="C1085" s="10">
        <f t="shared" si="1421"/>
        <v>82</v>
      </c>
      <c r="D1085" s="91">
        <f t="shared" si="1404"/>
        <v>11</v>
      </c>
      <c r="E1085" s="278"/>
      <c r="F1085" s="76">
        <f t="shared" ref="F1085:Q1085" ca="1" si="1447">F1013</f>
        <v>1.4</v>
      </c>
      <c r="G1085" s="46">
        <f t="shared" ca="1" si="1447"/>
        <v>28.536243189942063</v>
      </c>
      <c r="H1085" s="46">
        <f t="shared" ca="1" si="1380"/>
        <v>26.993906810057943</v>
      </c>
      <c r="I1085" s="45">
        <f t="shared" ca="1" si="1381"/>
        <v>9.940372096718314E-2</v>
      </c>
      <c r="J1085" s="45">
        <f t="shared" ca="1" si="1382"/>
        <v>0.28648639837560558</v>
      </c>
      <c r="K1085" s="45">
        <f t="shared" ca="1" si="1398"/>
        <v>0.92595425264501963</v>
      </c>
      <c r="L1085" s="358">
        <f t="shared" ca="1" si="1383"/>
        <v>0.41120226021724715</v>
      </c>
      <c r="M1085" s="76">
        <f t="shared" ca="1" si="1447"/>
        <v>0.25347808785320641</v>
      </c>
      <c r="N1085" s="45">
        <f t="shared" ca="1" si="1447"/>
        <v>0.25</v>
      </c>
      <c r="O1085" s="45">
        <f t="shared" ca="1" si="1447"/>
        <v>0</v>
      </c>
      <c r="P1085" s="46" t="str">
        <f t="shared" ca="1" si="1447"/>
        <v/>
      </c>
      <c r="Q1085" s="243" t="str">
        <f t="shared" ca="1" si="1447"/>
        <v/>
      </c>
      <c r="R1085" s="45">
        <f t="shared" ca="1" si="1399"/>
        <v>0.10911319331335044</v>
      </c>
      <c r="S1085" s="45">
        <f t="shared" ca="1" si="1423"/>
        <v>5.0695617570641283E-2</v>
      </c>
      <c r="T1085" s="77">
        <f t="shared" ca="1" si="1384"/>
        <v>8.6743136422450483E-3</v>
      </c>
      <c r="U1085" s="45">
        <f t="shared" ca="1" si="1400"/>
        <v>16.848875076146747</v>
      </c>
      <c r="V1085" s="45">
        <f t="shared" ca="1" si="1385"/>
        <v>0.20278247028256513</v>
      </c>
      <c r="W1085" s="77">
        <f t="shared" ca="1" si="1386"/>
        <v>4.1819038295059896E-2</v>
      </c>
      <c r="X1085" s="45">
        <f t="shared" ca="1" si="1401"/>
        <v>1.0214975386082152</v>
      </c>
      <c r="Y1085" s="45">
        <f t="shared" ca="1" si="1387"/>
        <v>5.1591126159556983E-3</v>
      </c>
      <c r="Z1085" s="77">
        <f t="shared" ca="1" si="1388"/>
        <v>5.5694974323325271E-3</v>
      </c>
      <c r="AA1085" s="45">
        <f t="shared" ca="1" si="1402"/>
        <v>39.216224594004899</v>
      </c>
      <c r="AB1085" s="45">
        <f t="shared" ca="1" si="1389"/>
        <v>0</v>
      </c>
      <c r="AC1085" s="45" cm="1">
        <f t="array" aca="1" ref="AC1085" ca="1">pHUM*(T1085+W1085+Z1085+AD1085)</f>
        <v>6.0695442540655278E-3</v>
      </c>
      <c r="AD1085" s="77">
        <f t="shared" ca="1" si="1390"/>
        <v>6.4965262476211075E-3</v>
      </c>
      <c r="AE1085" s="45">
        <f t="shared" ca="1" si="1403"/>
        <v>6.3847072090583081</v>
      </c>
      <c r="AF1085" s="45">
        <f t="shared" ca="1" si="1391"/>
        <v>0</v>
      </c>
      <c r="AG1085" s="76">
        <f t="shared" ca="1" si="1392"/>
        <v>63.580417611131523</v>
      </c>
      <c r="AH1085" s="45">
        <f t="shared" ca="1" si="1393"/>
        <v>5.133071874723736E-2</v>
      </c>
      <c r="AI1085" s="77">
        <f t="shared" ca="1" si="1394"/>
        <v>1.1079367184885088E-2</v>
      </c>
      <c r="AJ1085" s="384">
        <f t="shared" ca="1" si="1396"/>
        <v>1.4890318161459026E-2</v>
      </c>
      <c r="AU1085" s="1"/>
    </row>
    <row r="1086" spans="3:47" x14ac:dyDescent="0.25">
      <c r="C1086" s="10">
        <f t="shared" si="1421"/>
        <v>82</v>
      </c>
      <c r="D1086" s="91">
        <f t="shared" si="1404"/>
        <v>12</v>
      </c>
      <c r="E1086" s="278"/>
      <c r="F1086" s="76">
        <f t="shared" ref="F1086:Q1086" ca="1" si="1448">F1014</f>
        <v>-1.78</v>
      </c>
      <c r="G1086" s="46">
        <f t="shared" ca="1" si="1448"/>
        <v>32.216243189942062</v>
      </c>
      <c r="H1086" s="46">
        <f t="shared" ca="1" si="1380"/>
        <v>23.313906810057944</v>
      </c>
      <c r="I1086" s="45">
        <f t="shared" ca="1" si="1381"/>
        <v>3.9789790397057247E-2</v>
      </c>
      <c r="J1086" s="45">
        <f t="shared" ca="1" si="1382"/>
        <v>0.29882189650486002</v>
      </c>
      <c r="K1086" s="45">
        <f t="shared" ca="1" si="1398"/>
        <v>0.96582388351071458</v>
      </c>
      <c r="L1086" s="358">
        <f t="shared" ca="1" si="1383"/>
        <v>0.30292377267304249</v>
      </c>
      <c r="M1086" s="76">
        <f t="shared" ca="1" si="1448"/>
        <v>0.25347808785320641</v>
      </c>
      <c r="N1086" s="45">
        <f t="shared" ca="1" si="1448"/>
        <v>0.25</v>
      </c>
      <c r="O1086" s="45">
        <f t="shared" ca="1" si="1448"/>
        <v>0</v>
      </c>
      <c r="P1086" s="46" t="str">
        <f t="shared" ca="1" si="1448"/>
        <v/>
      </c>
      <c r="Q1086" s="243" t="str">
        <f t="shared" ca="1" si="1448"/>
        <v/>
      </c>
      <c r="R1086" s="45">
        <f t="shared" ca="1" si="1399"/>
        <v>0.15113449724174668</v>
      </c>
      <c r="S1086" s="45">
        <f t="shared" ca="1" si="1423"/>
        <v>5.0695617570641283E-2</v>
      </c>
      <c r="T1086" s="77">
        <f t="shared" ca="1" si="1384"/>
        <v>4.9291689443774654E-3</v>
      </c>
      <c r="U1086" s="45">
        <f t="shared" ca="1" si="1400"/>
        <v>17.009838508134251</v>
      </c>
      <c r="V1086" s="45">
        <f t="shared" ca="1" si="1385"/>
        <v>0.20278247028256513</v>
      </c>
      <c r="W1086" s="77">
        <f t="shared" ca="1" si="1386"/>
        <v>1.6912034749626128E-2</v>
      </c>
      <c r="X1086" s="45">
        <f t="shared" ca="1" si="1401"/>
        <v>1.0210871537918385</v>
      </c>
      <c r="Y1086" s="45">
        <f t="shared" ca="1" si="1387"/>
        <v>2.1997293439972093E-3</v>
      </c>
      <c r="Z1086" s="77">
        <f t="shared" ca="1" si="1388"/>
        <v>2.2321430657180276E-3</v>
      </c>
      <c r="AA1086" s="45">
        <f t="shared" ca="1" si="1402"/>
        <v>39.215797612011343</v>
      </c>
      <c r="AB1086" s="45">
        <f t="shared" ca="1" si="1389"/>
        <v>0</v>
      </c>
      <c r="AC1086" s="45" cm="1">
        <f t="array" aca="1" ref="AC1086" ca="1">pHUM*(T1086+W1086+Z1086+AD1086)</f>
        <v>2.5879168752908342E-3</v>
      </c>
      <c r="AD1086" s="77">
        <f t="shared" ca="1" si="1390"/>
        <v>2.6005610479556893E-3</v>
      </c>
      <c r="AE1086" s="45">
        <f t="shared" ca="1" si="1403"/>
        <v>6.3847072090583081</v>
      </c>
      <c r="AF1086" s="45">
        <f t="shared" ca="1" si="1391"/>
        <v>0</v>
      </c>
      <c r="AG1086" s="76">
        <f t="shared" ca="1" si="1392"/>
        <v>63.782564980237481</v>
      </c>
      <c r="AH1086" s="45">
        <f t="shared" ca="1" si="1393"/>
        <v>2.1886261588389268E-2</v>
      </c>
      <c r="AI1086" s="77">
        <f t="shared" ca="1" si="1394"/>
        <v>1.1720138335101755E-2</v>
      </c>
      <c r="AJ1086" s="384">
        <f t="shared" ca="1" si="1396"/>
        <v>1.2103449855835891E-2</v>
      </c>
      <c r="AU1086" s="1"/>
    </row>
    <row r="1087" spans="3:47" x14ac:dyDescent="0.25">
      <c r="C1087" s="10">
        <f t="shared" si="1421"/>
        <v>83</v>
      </c>
      <c r="D1087" s="91">
        <f t="shared" si="1404"/>
        <v>1</v>
      </c>
      <c r="E1087" s="278"/>
      <c r="F1087" s="76">
        <f t="shared" ref="F1087:Q1087" ca="1" si="1449">F1015</f>
        <v>-8.2799999999999994</v>
      </c>
      <c r="G1087" s="46">
        <f t="shared" ca="1" si="1449"/>
        <v>27.676243189942063</v>
      </c>
      <c r="H1087" s="46">
        <f t="shared" ca="1" si="1380"/>
        <v>27.853906810057943</v>
      </c>
      <c r="I1087" s="45">
        <f t="shared" ca="1" si="1381"/>
        <v>5.2124139735228647E-4</v>
      </c>
      <c r="J1087" s="45">
        <f t="shared" ca="1" si="1382"/>
        <v>0.28271042830183513</v>
      </c>
      <c r="K1087" s="45">
        <f t="shared" ca="1" si="1398"/>
        <v>0.91374991914963299</v>
      </c>
      <c r="L1087" s="358">
        <f t="shared" ca="1" si="1383"/>
        <v>0.14143923467074027</v>
      </c>
      <c r="M1087" s="76">
        <f t="shared" ca="1" si="1449"/>
        <v>0.25347808785320641</v>
      </c>
      <c r="N1087" s="45">
        <f t="shared" ca="1" si="1449"/>
        <v>0.25</v>
      </c>
      <c r="O1087" s="45">
        <f t="shared" ca="1" si="1449"/>
        <v>0</v>
      </c>
      <c r="P1087" s="46" t="str">
        <f t="shared" ca="1" si="1449"/>
        <v/>
      </c>
      <c r="Q1087" s="243" t="str">
        <f t="shared" ca="1" si="1449"/>
        <v/>
      </c>
      <c r="R1087" s="45">
        <f t="shared" ca="1" si="1399"/>
        <v>0.19690094586801049</v>
      </c>
      <c r="S1087" s="45">
        <f t="shared" ca="1" si="1423"/>
        <v>5.0695617570641283E-2</v>
      </c>
      <c r="T1087" s="77">
        <f t="shared" ca="1" si="1384"/>
        <v>8.5508864309104358E-5</v>
      </c>
      <c r="U1087" s="45">
        <f t="shared" ca="1" si="1400"/>
        <v>17.195708943667189</v>
      </c>
      <c r="V1087" s="45">
        <f t="shared" ca="1" si="1385"/>
        <v>0.20278247028256513</v>
      </c>
      <c r="W1087" s="77">
        <f t="shared" ca="1" si="1386"/>
        <v>2.2407642397958351E-4</v>
      </c>
      <c r="X1087" s="45">
        <f t="shared" ca="1" si="1401"/>
        <v>1.0210547400701178</v>
      </c>
      <c r="Y1087" s="45">
        <f t="shared" ca="1" si="1387"/>
        <v>3.0754166885760593E-5</v>
      </c>
      <c r="Z1087" s="77">
        <f t="shared" ca="1" si="1388"/>
        <v>2.927146038863898E-5</v>
      </c>
      <c r="AA1087" s="45">
        <f t="shared" ca="1" si="1402"/>
        <v>39.21578496783868</v>
      </c>
      <c r="AB1087" s="45">
        <f t="shared" ca="1" si="1389"/>
        <v>0</v>
      </c>
      <c r="AC1087" s="45" cm="1">
        <f t="array" aca="1" ref="AC1087" ca="1">pHUM*(T1087+W1087+Z1087+AD1087)</f>
        <v>3.6181372806777167E-5</v>
      </c>
      <c r="AD1087" s="77">
        <f t="shared" ca="1" si="1390"/>
        <v>3.4068136127838148E-5</v>
      </c>
      <c r="AE1087" s="45">
        <f t="shared" ca="1" si="1403"/>
        <v>6.3847072090583081</v>
      </c>
      <c r="AF1087" s="45">
        <f t="shared" ca="1" si="1391"/>
        <v>0</v>
      </c>
      <c r="AG1087" s="76">
        <f t="shared" ca="1" si="1392"/>
        <v>64.014156806502299</v>
      </c>
      <c r="AH1087" s="45">
        <f t="shared" ca="1" si="1393"/>
        <v>3.0598934511262728E-4</v>
      </c>
      <c r="AI1087" s="77">
        <f t="shared" ca="1" si="1394"/>
        <v>1.2415431736086023E-2</v>
      </c>
      <c r="AJ1087" s="384">
        <f t="shared" ca="1" si="1396"/>
        <v>5.6637862375108483E-3</v>
      </c>
      <c r="AU1087" s="1"/>
    </row>
    <row r="1088" spans="3:47" x14ac:dyDescent="0.25">
      <c r="C1088" s="10">
        <f t="shared" si="1421"/>
        <v>83</v>
      </c>
      <c r="D1088" s="91">
        <f t="shared" si="1404"/>
        <v>2</v>
      </c>
      <c r="E1088" s="278"/>
      <c r="F1088" s="76">
        <f t="shared" ref="F1088:Q1088" ca="1" si="1450">F1016</f>
        <v>-13.02</v>
      </c>
      <c r="G1088" s="46">
        <f t="shared" ca="1" si="1450"/>
        <v>27.012600000000003</v>
      </c>
      <c r="H1088" s="46">
        <f t="shared" ca="1" si="1380"/>
        <v>28.517550000000004</v>
      </c>
      <c r="I1088" s="45">
        <f t="shared" ca="1" si="1381"/>
        <v>3.4968020066039631E-8</v>
      </c>
      <c r="J1088" s="45">
        <f t="shared" ca="1" si="1382"/>
        <v>0.27952512346894071</v>
      </c>
      <c r="K1088" s="45">
        <f t="shared" ca="1" si="1398"/>
        <v>0.90345467800480783</v>
      </c>
      <c r="L1088" s="358">
        <f t="shared" ca="1" si="1383"/>
        <v>7.5103934893711255E-2</v>
      </c>
      <c r="M1088" s="76">
        <f t="shared" ca="1" si="1450"/>
        <v>0.25347808785320641</v>
      </c>
      <c r="N1088" s="45">
        <f t="shared" ca="1" si="1450"/>
        <v>0.25</v>
      </c>
      <c r="O1088" s="45">
        <f t="shared" ca="1" si="1450"/>
        <v>0</v>
      </c>
      <c r="P1088" s="46" t="str">
        <f t="shared" ca="1" si="1450"/>
        <v/>
      </c>
      <c r="Q1088" s="243" t="str">
        <f t="shared" ca="1" si="1450"/>
        <v/>
      </c>
      <c r="R1088" s="45">
        <f t="shared" ca="1" si="1399"/>
        <v>0.24751105457434266</v>
      </c>
      <c r="S1088" s="45">
        <f t="shared" ca="1" si="1423"/>
        <v>5.0695617570641283E-2</v>
      </c>
      <c r="T1088" s="77">
        <f t="shared" ca="1" si="1384"/>
        <v>7.2124761619648606E-9</v>
      </c>
      <c r="U1088" s="45">
        <f t="shared" ca="1" si="1400"/>
        <v>17.398267337525773</v>
      </c>
      <c r="V1088" s="45">
        <f t="shared" ca="1" si="1385"/>
        <v>0.20278247028256513</v>
      </c>
      <c r="W1088" s="77">
        <f t="shared" ca="1" si="1386"/>
        <v>1.5209573827709933E-8</v>
      </c>
      <c r="X1088" s="45">
        <f t="shared" ca="1" si="1401"/>
        <v>1.0210562227766149</v>
      </c>
      <c r="Y1088" s="45">
        <f t="shared" ca="1" si="1387"/>
        <v>2.1995130672762376E-9</v>
      </c>
      <c r="Z1088" s="77">
        <f t="shared" ca="1" si="1388"/>
        <v>1.9637373154311871E-9</v>
      </c>
      <c r="AA1088" s="45">
        <f t="shared" ca="1" si="1402"/>
        <v>39.215787081075355</v>
      </c>
      <c r="AB1088" s="45">
        <f t="shared" ca="1" si="1389"/>
        <v>0</v>
      </c>
      <c r="AC1088" s="45" cm="1">
        <f t="array" aca="1" ref="AC1088" ca="1">pHUM*(T1088+W1088+Z1088+AD1088)</f>
        <v>2.5876624320896915E-9</v>
      </c>
      <c r="AD1088" s="77">
        <f t="shared" ca="1" si="1390"/>
        <v>2.2854979320574229E-9</v>
      </c>
      <c r="AE1088" s="45">
        <f t="shared" ca="1" si="1403"/>
        <v>6.3847072090583081</v>
      </c>
      <c r="AF1088" s="45">
        <f t="shared" ca="1" si="1391"/>
        <v>0</v>
      </c>
      <c r="AG1088" s="76">
        <f t="shared" ca="1" si="1392"/>
        <v>64.267328905010388</v>
      </c>
      <c r="AH1088" s="45">
        <f t="shared" ca="1" si="1393"/>
        <v>2.1884109737797478E-8</v>
      </c>
      <c r="AI1088" s="77">
        <f t="shared" ca="1" si="1394"/>
        <v>1.3177247516150596E-2</v>
      </c>
      <c r="AJ1088" s="384">
        <f t="shared" ca="1" si="1396"/>
        <v>3.1560405295016913E-3</v>
      </c>
      <c r="AU1088" s="1"/>
    </row>
    <row r="1089" spans="3:47" x14ac:dyDescent="0.25">
      <c r="C1089" s="10">
        <f t="shared" si="1421"/>
        <v>83</v>
      </c>
      <c r="D1089" s="91">
        <f t="shared" si="1404"/>
        <v>3</v>
      </c>
      <c r="E1089" s="278"/>
      <c r="F1089" s="76">
        <f t="shared" ref="F1089:Q1089" ca="1" si="1451">F1017</f>
        <v>-3.52</v>
      </c>
      <c r="G1089" s="46">
        <f t="shared" ca="1" si="1451"/>
        <v>29.742600000000003</v>
      </c>
      <c r="H1089" s="46">
        <f t="shared" ca="1" si="1380"/>
        <v>25.787550000000003</v>
      </c>
      <c r="I1089" s="45">
        <f t="shared" ca="1" si="1381"/>
        <v>1.7216068766348798E-2</v>
      </c>
      <c r="J1089" s="45">
        <f t="shared" ca="1" si="1382"/>
        <v>0.2911707845539237</v>
      </c>
      <c r="K1089" s="45">
        <f t="shared" ca="1" si="1398"/>
        <v>0.94109468279262609</v>
      </c>
      <c r="L1089" s="358">
        <f t="shared" ca="1" si="1383"/>
        <v>0.2510452916114092</v>
      </c>
      <c r="M1089" s="76">
        <f t="shared" ca="1" si="1451"/>
        <v>0.25347808785320641</v>
      </c>
      <c r="N1089" s="45">
        <f t="shared" ca="1" si="1451"/>
        <v>0.25</v>
      </c>
      <c r="O1089" s="45">
        <f t="shared" ca="1" si="1451"/>
        <v>0</v>
      </c>
      <c r="P1089" s="46" t="str">
        <f t="shared" ca="1" si="1451"/>
        <v/>
      </c>
      <c r="Q1089" s="243" t="str">
        <f t="shared" ca="1" si="1451"/>
        <v/>
      </c>
      <c r="R1089" s="45">
        <f t="shared" ca="1" si="1399"/>
        <v>0.2982066649325078</v>
      </c>
      <c r="S1089" s="45">
        <f t="shared" ca="1" si="1423"/>
        <v>5.0695617570641283E-2</v>
      </c>
      <c r="T1089" s="77">
        <f t="shared" ca="1" si="1384"/>
        <v>4.2477452355207971E-3</v>
      </c>
      <c r="U1089" s="45">
        <f t="shared" ca="1" si="1400"/>
        <v>17.601049792598765</v>
      </c>
      <c r="V1089" s="45">
        <f t="shared" ca="1" si="1385"/>
        <v>0.20278247028256513</v>
      </c>
      <c r="W1089" s="77">
        <f t="shared" ca="1" si="1386"/>
        <v>7.57389206473105E-3</v>
      </c>
      <c r="X1089" s="45">
        <f t="shared" ca="1" si="1401"/>
        <v>1.0210562230123905</v>
      </c>
      <c r="Y1089" s="45">
        <f t="shared" ca="1" si="1387"/>
        <v>1.1473879779438406E-3</v>
      </c>
      <c r="Z1089" s="77">
        <f t="shared" ca="1" si="1388"/>
        <v>9.6636398883602113E-4</v>
      </c>
      <c r="AA1089" s="45">
        <f t="shared" ca="1" si="1402"/>
        <v>39.21578708137752</v>
      </c>
      <c r="AB1089" s="45">
        <f t="shared" ca="1" si="1389"/>
        <v>0</v>
      </c>
      <c r="AC1089" s="45" cm="1">
        <f t="array" aca="1" ref="AC1089" ca="1">pHUM*(T1089+W1089+Z1089+AD1089)</f>
        <v>1.349868209345695E-3</v>
      </c>
      <c r="AD1089" s="77">
        <f t="shared" ca="1" si="1390"/>
        <v>1.1252200018993395E-3</v>
      </c>
      <c r="AE1089" s="45">
        <f t="shared" ca="1" si="1403"/>
        <v>6.3847072090583081</v>
      </c>
      <c r="AF1089" s="45">
        <f t="shared" ca="1" si="1391"/>
        <v>0</v>
      </c>
      <c r="AG1089" s="76">
        <f t="shared" ca="1" si="1392"/>
        <v>64.520806970979493</v>
      </c>
      <c r="AH1089" s="45">
        <f t="shared" ca="1" si="1393"/>
        <v>1.1415965103697674E-2</v>
      </c>
      <c r="AI1089" s="77">
        <f t="shared" ca="1" si="1394"/>
        <v>1.3933675283412817E-2</v>
      </c>
      <c r="AJ1089" s="384">
        <f t="shared" ca="1" si="1396"/>
        <v>1.1619740347269536E-2</v>
      </c>
      <c r="AU1089" s="1"/>
    </row>
    <row r="1090" spans="3:47" x14ac:dyDescent="0.25">
      <c r="C1090" s="10">
        <f t="shared" si="1421"/>
        <v>83</v>
      </c>
      <c r="D1090" s="91">
        <f t="shared" si="1404"/>
        <v>4</v>
      </c>
      <c r="E1090" s="278"/>
      <c r="F1090" s="76">
        <f t="shared" ref="F1090:Q1090" ca="1" si="1452">F1018</f>
        <v>6.08</v>
      </c>
      <c r="G1090" s="46">
        <f t="shared" ca="1" si="1452"/>
        <v>27.012600000000003</v>
      </c>
      <c r="H1090" s="46">
        <f t="shared" ca="1" si="1380"/>
        <v>28.517550000000004</v>
      </c>
      <c r="I1090" s="45">
        <f t="shared" ca="1" si="1381"/>
        <v>0.26307228538649535</v>
      </c>
      <c r="J1090" s="45">
        <f t="shared" ca="1" si="1382"/>
        <v>0.27952512346894071</v>
      </c>
      <c r="K1090" s="45">
        <f t="shared" ca="1" si="1398"/>
        <v>0.90345467800480783</v>
      </c>
      <c r="L1090" s="358">
        <f t="shared" ca="1" si="1383"/>
        <v>0.58389398806465831</v>
      </c>
      <c r="M1090" s="76">
        <f t="shared" ca="1" si="1452"/>
        <v>0.25347808785320641</v>
      </c>
      <c r="N1090" s="45">
        <f t="shared" ca="1" si="1452"/>
        <v>0.25</v>
      </c>
      <c r="O1090" s="45">
        <f t="shared" ca="1" si="1452"/>
        <v>0</v>
      </c>
      <c r="P1090" s="46" t="str">
        <f t="shared" ca="1" si="1452"/>
        <v/>
      </c>
      <c r="Q1090" s="243" t="str">
        <f t="shared" ca="1" si="1452"/>
        <v/>
      </c>
      <c r="R1090" s="45">
        <f t="shared" ca="1" si="1399"/>
        <v>0.34465453726762829</v>
      </c>
      <c r="S1090" s="45">
        <f t="shared" ca="1" si="1423"/>
        <v>5.0695617570641283E-2</v>
      </c>
      <c r="T1090" s="77">
        <f t="shared" ca="1" si="1384"/>
        <v>6.7848877793297319E-2</v>
      </c>
      <c r="U1090" s="45">
        <f t="shared" ca="1" si="1400"/>
        <v>17.796258370816599</v>
      </c>
      <c r="V1090" s="45">
        <f t="shared" ca="1" si="1385"/>
        <v>0.20278247028256513</v>
      </c>
      <c r="W1090" s="77">
        <f t="shared" ca="1" si="1386"/>
        <v>0.11665851823681385</v>
      </c>
      <c r="X1090" s="45">
        <f t="shared" ca="1" si="1401"/>
        <v>1.0212372470014983</v>
      </c>
      <c r="Y1090" s="45">
        <f t="shared" ca="1" si="1387"/>
        <v>1.7843311204724294E-2</v>
      </c>
      <c r="Z1090" s="77">
        <f t="shared" ca="1" si="1388"/>
        <v>1.4669871967707427E-2</v>
      </c>
      <c r="AA1090" s="45">
        <f t="shared" ca="1" si="1402"/>
        <v>39.21601172958497</v>
      </c>
      <c r="AB1090" s="45">
        <f t="shared" ca="1" si="1389"/>
        <v>0</v>
      </c>
      <c r="AC1090" s="45" cm="1">
        <f t="array" aca="1" ref="AC1090" ca="1">pHUM*(T1090+W1090+Z1090+AD1090)</f>
        <v>2.0992130829087404E-2</v>
      </c>
      <c r="AD1090" s="77">
        <f t="shared" ca="1" si="1390"/>
        <v>1.7190640789379541E-2</v>
      </c>
      <c r="AE1090" s="45">
        <f t="shared" ca="1" si="1403"/>
        <v>6.3847072090583081</v>
      </c>
      <c r="AF1090" s="45">
        <f t="shared" ca="1" si="1391"/>
        <v>0</v>
      </c>
      <c r="AG1090" s="76">
        <f t="shared" ca="1" si="1392"/>
        <v>64.762869093729009</v>
      </c>
      <c r="AH1090" s="45">
        <f t="shared" ca="1" si="1393"/>
        <v>0.17753246675338646</v>
      </c>
      <c r="AI1090" s="77">
        <f t="shared" ca="1" si="1394"/>
        <v>1.4622705036190113E-2</v>
      </c>
      <c r="AJ1090" s="384">
        <f t="shared" ca="1" si="1396"/>
        <v>2.7227454276913532E-2</v>
      </c>
      <c r="AU1090" s="1"/>
    </row>
    <row r="1091" spans="3:47" x14ac:dyDescent="0.25">
      <c r="C1091" s="10">
        <f t="shared" si="1421"/>
        <v>83</v>
      </c>
      <c r="D1091" s="91">
        <f t="shared" si="1404"/>
        <v>5</v>
      </c>
      <c r="E1091" s="278"/>
      <c r="F1091" s="76">
        <f t="shared" ref="F1091:Q1091" ca="1" si="1453">F1019</f>
        <v>16.079999999999998</v>
      </c>
      <c r="G1091" s="46">
        <f t="shared" ca="1" si="1453"/>
        <v>27.012600000000003</v>
      </c>
      <c r="H1091" s="46">
        <f t="shared" ca="1" si="1380"/>
        <v>28.517550000000004</v>
      </c>
      <c r="I1091" s="45">
        <f t="shared" ca="1" si="1381"/>
        <v>0.90560233354751607</v>
      </c>
      <c r="J1091" s="45">
        <f t="shared" ca="1" si="1382"/>
        <v>0.27952512346894071</v>
      </c>
      <c r="K1091" s="45">
        <f t="shared" ca="1" si="1398"/>
        <v>0.90345467800480783</v>
      </c>
      <c r="L1091" s="358">
        <f t="shared" ca="1" si="1383"/>
        <v>0.86059167822175908</v>
      </c>
      <c r="M1091" s="76">
        <f t="shared" ca="1" si="1453"/>
        <v>0.25347808785320641</v>
      </c>
      <c r="N1091" s="45">
        <f t="shared" ca="1" si="1453"/>
        <v>0.25</v>
      </c>
      <c r="O1091" s="45">
        <f t="shared" ca="1" si="1453"/>
        <v>0</v>
      </c>
      <c r="P1091" s="46" t="str">
        <f t="shared" ca="1" si="1453"/>
        <v/>
      </c>
      <c r="Q1091" s="243" t="str">
        <f t="shared" ca="1" si="1453"/>
        <v/>
      </c>
      <c r="R1091" s="45">
        <f t="shared" ca="1" si="1399"/>
        <v>0.32750127704497223</v>
      </c>
      <c r="S1091" s="45">
        <f t="shared" ca="1" si="1423"/>
        <v>5.0695617570641283E-2</v>
      </c>
      <c r="T1091" s="77">
        <f t="shared" ca="1" si="1384"/>
        <v>0.17352118168479536</v>
      </c>
      <c r="U1091" s="45">
        <f t="shared" ca="1" si="1400"/>
        <v>17.882382322862348</v>
      </c>
      <c r="V1091" s="45">
        <f t="shared" ca="1" si="1385"/>
        <v>0.20278247028256513</v>
      </c>
      <c r="W1091" s="77">
        <f t="shared" ca="1" si="1386"/>
        <v>0.40030956426196046</v>
      </c>
      <c r="X1091" s="45">
        <f t="shared" ca="1" si="1401"/>
        <v>1.0244106862385152</v>
      </c>
      <c r="Y1091" s="45">
        <f t="shared" ca="1" si="1387"/>
        <v>5.6305161811001384E-2</v>
      </c>
      <c r="Z1091" s="77">
        <f t="shared" ca="1" si="1388"/>
        <v>4.9774111522311766E-2</v>
      </c>
      <c r="AA1091" s="45">
        <f t="shared" ca="1" si="1402"/>
        <v>39.219813219624676</v>
      </c>
      <c r="AB1091" s="45">
        <f t="shared" ca="1" si="1389"/>
        <v>0</v>
      </c>
      <c r="AC1091" s="45" cm="1">
        <f t="array" aca="1" ref="AC1091" ca="1">pHUM*(T1091+W1091+Z1091+AD1091)</f>
        <v>6.6241366836472221E-2</v>
      </c>
      <c r="AD1091" s="77">
        <f t="shared" ca="1" si="1390"/>
        <v>5.9151273116473016E-2</v>
      </c>
      <c r="AE1091" s="45">
        <f t="shared" ca="1" si="1403"/>
        <v>6.3847072090583081</v>
      </c>
      <c r="AF1091" s="45">
        <f t="shared" ca="1" si="1391"/>
        <v>0</v>
      </c>
      <c r="AG1091" s="76">
        <f t="shared" ca="1" si="1392"/>
        <v>64.838814714828814</v>
      </c>
      <c r="AH1091" s="45">
        <f t="shared" ca="1" si="1393"/>
        <v>0.56020960193806713</v>
      </c>
      <c r="AI1091" s="77">
        <f t="shared" ca="1" si="1394"/>
        <v>1.4399094742288865E-2</v>
      </c>
      <c r="AJ1091" s="384">
        <f t="shared" ca="1" si="1396"/>
        <v>3.9515966679405379E-2</v>
      </c>
      <c r="AU1091" s="1"/>
    </row>
    <row r="1092" spans="3:47" x14ac:dyDescent="0.25">
      <c r="C1092" s="10">
        <f t="shared" si="1421"/>
        <v>83</v>
      </c>
      <c r="D1092" s="91">
        <f t="shared" si="1404"/>
        <v>6</v>
      </c>
      <c r="E1092" s="278"/>
      <c r="F1092" s="76">
        <f t="shared" ref="F1092:Q1092" ca="1" si="1454">F1020</f>
        <v>17.399999999999999</v>
      </c>
      <c r="G1092" s="46">
        <f t="shared" ca="1" si="1454"/>
        <v>27.012600000000003</v>
      </c>
      <c r="H1092" s="46">
        <f t="shared" ca="1" si="1380"/>
        <v>28.517550000000004</v>
      </c>
      <c r="I1092" s="45">
        <f t="shared" ca="1" si="1381"/>
        <v>1.0098878501236044</v>
      </c>
      <c r="J1092" s="45">
        <f t="shared" ca="1" si="1382"/>
        <v>0.27952512346894071</v>
      </c>
      <c r="K1092" s="45">
        <f t="shared" ca="1" si="1398"/>
        <v>0.90345467800480783</v>
      </c>
      <c r="L1092" s="358">
        <f t="shared" ca="1" si="1383"/>
        <v>0.88208077264421947</v>
      </c>
      <c r="M1092" s="76">
        <f t="shared" ca="1" si="1454"/>
        <v>0.25347808785320641</v>
      </c>
      <c r="N1092" s="45">
        <f t="shared" ca="1" si="1454"/>
        <v>0.25</v>
      </c>
      <c r="O1092" s="45">
        <f t="shared" ca="1" si="1454"/>
        <v>0</v>
      </c>
      <c r="P1092" s="46" t="str">
        <f t="shared" ca="1" si="1454"/>
        <v/>
      </c>
      <c r="Q1092" s="243" t="str">
        <f t="shared" ca="1" si="1454"/>
        <v/>
      </c>
      <c r="R1092" s="45">
        <f t="shared" ca="1" si="1399"/>
        <v>0.20467571293081815</v>
      </c>
      <c r="S1092" s="45">
        <f t="shared" ca="1" si="1423"/>
        <v>5.0695617570641283E-2</v>
      </c>
      <c r="T1092" s="77">
        <f t="shared" ca="1" si="1384"/>
        <v>0.11645395421434461</v>
      </c>
      <c r="U1092" s="45">
        <f t="shared" ca="1" si="1400"/>
        <v>17.684855228882952</v>
      </c>
      <c r="V1092" s="45">
        <f t="shared" ca="1" si="1385"/>
        <v>0.20278247028256513</v>
      </c>
      <c r="W1092" s="77">
        <f t="shared" ca="1" si="1386"/>
        <v>0.440903798447148</v>
      </c>
      <c r="X1092" s="45">
        <f t="shared" ca="1" si="1401"/>
        <v>1.0309417365272047</v>
      </c>
      <c r="Y1092" s="45">
        <f t="shared" ca="1" si="1387"/>
        <v>5.5997716200305581E-2</v>
      </c>
      <c r="Z1092" s="77">
        <f t="shared" ca="1" si="1388"/>
        <v>5.5701205511407864E-2</v>
      </c>
      <c r="AA1092" s="45">
        <f t="shared" ca="1" si="1402"/>
        <v>39.226903313344678</v>
      </c>
      <c r="AB1092" s="45">
        <f t="shared" ca="1" si="1389"/>
        <v>0</v>
      </c>
      <c r="AC1092" s="45" cm="1">
        <f t="array" aca="1" ref="AC1092" ca="1">pHUM*(T1092+W1092+Z1092+AD1092)</f>
        <v>6.5879666118006566E-2</v>
      </c>
      <c r="AD1092" s="77">
        <f t="shared" ca="1" si="1390"/>
        <v>6.5969088365412376E-2</v>
      </c>
      <c r="AE1092" s="45">
        <f t="shared" ca="1" si="1403"/>
        <v>6.3847072090583081</v>
      </c>
      <c r="AF1092" s="45">
        <f t="shared" ca="1" si="1391"/>
        <v>0</v>
      </c>
      <c r="AG1092" s="76">
        <f t="shared" ca="1" si="1392"/>
        <v>64.532083200743955</v>
      </c>
      <c r="AH1092" s="45">
        <f t="shared" ca="1" si="1393"/>
        <v>0.5571506642200007</v>
      </c>
      <c r="AI1092" s="77">
        <f t="shared" ca="1" si="1394"/>
        <v>1.2636244198432189E-2</v>
      </c>
      <c r="AJ1092" s="384">
        <f t="shared" ca="1" si="1396"/>
        <v>3.5544161390509421E-2</v>
      </c>
      <c r="AU1092" s="1"/>
    </row>
    <row r="1093" spans="3:47" x14ac:dyDescent="0.25">
      <c r="C1093" s="10">
        <f t="shared" si="1421"/>
        <v>83</v>
      </c>
      <c r="D1093" s="91">
        <f t="shared" si="1404"/>
        <v>7</v>
      </c>
      <c r="E1093" s="278"/>
      <c r="F1093" s="76">
        <f t="shared" ref="F1093:Q1093" ca="1" si="1455">F1021</f>
        <v>21.29</v>
      </c>
      <c r="G1093" s="46">
        <f t="shared" ca="1" si="1455"/>
        <v>27.012600000000003</v>
      </c>
      <c r="H1093" s="46">
        <f t="shared" ca="1" si="1380"/>
        <v>28.517550000000004</v>
      </c>
      <c r="I1093" s="45">
        <f t="shared" ca="1" si="1381"/>
        <v>1.3308669995183955</v>
      </c>
      <c r="J1093" s="45">
        <f t="shared" ca="1" si="1382"/>
        <v>0.27952512346894071</v>
      </c>
      <c r="K1093" s="45">
        <f t="shared" ca="1" si="1398"/>
        <v>0.90345467800480783</v>
      </c>
      <c r="L1093" s="358">
        <f t="shared" ca="1" si="1383"/>
        <v>0.92839591561968593</v>
      </c>
      <c r="M1093" s="76">
        <f t="shared" ca="1" si="1455"/>
        <v>0.25347808785320641</v>
      </c>
      <c r="N1093" s="45">
        <f t="shared" ca="1" si="1455"/>
        <v>0.25</v>
      </c>
      <c r="O1093" s="45">
        <f t="shared" ca="1" si="1455"/>
        <v>0</v>
      </c>
      <c r="P1093" s="46" t="str">
        <f t="shared" ca="1" si="1455"/>
        <v/>
      </c>
      <c r="Q1093" s="243" t="str">
        <f t="shared" ca="1" si="1455"/>
        <v/>
      </c>
      <c r="R1093" s="45">
        <f t="shared" ca="1" si="1399"/>
        <v>0.13891737628711481</v>
      </c>
      <c r="S1093" s="45">
        <f t="shared" ca="1" si="1423"/>
        <v>5.0695617570641283E-2</v>
      </c>
      <c r="T1093" s="77">
        <f t="shared" ca="1" si="1384"/>
        <v>9.3092664317525969E-2</v>
      </c>
      <c r="U1093" s="45">
        <f t="shared" ca="1" si="1400"/>
        <v>17.446733900718367</v>
      </c>
      <c r="V1093" s="45">
        <f t="shared" ca="1" si="1385"/>
        <v>0.20278247028256513</v>
      </c>
      <c r="W1093" s="77">
        <f t="shared" ca="1" si="1386"/>
        <v>0.57093146914169579</v>
      </c>
      <c r="X1093" s="45">
        <f t="shared" ca="1" si="1401"/>
        <v>1.0312382472161024</v>
      </c>
      <c r="Y1093" s="45">
        <f t="shared" ca="1" si="1387"/>
        <v>6.7930503224044106E-2</v>
      </c>
      <c r="Z1093" s="77">
        <f t="shared" ca="1" si="1388"/>
        <v>7.2787806628673499E-2</v>
      </c>
      <c r="AA1093" s="45">
        <f t="shared" ca="1" si="1402"/>
        <v>39.226813891097272</v>
      </c>
      <c r="AB1093" s="45">
        <f t="shared" ca="1" si="1389"/>
        <v>0</v>
      </c>
      <c r="AC1093" s="45" cm="1">
        <f t="array" aca="1" ref="AC1093" ca="1">pHUM*(T1093+W1093+Z1093+AD1093)</f>
        <v>7.991823908711071E-2</v>
      </c>
      <c r="AD1093" s="77">
        <f t="shared" ca="1" si="1390"/>
        <v>8.6913026473071614E-2</v>
      </c>
      <c r="AE1093" s="45">
        <f t="shared" ca="1" si="1403"/>
        <v>6.3847072090583081</v>
      </c>
      <c r="AF1093" s="45">
        <f t="shared" ca="1" si="1391"/>
        <v>0</v>
      </c>
      <c r="AG1093" s="76">
        <f t="shared" ca="1" si="1392"/>
        <v>64.228410624377162</v>
      </c>
      <c r="AH1093" s="45">
        <f t="shared" ca="1" si="1393"/>
        <v>0.67587622424981209</v>
      </c>
      <c r="AI1093" s="77">
        <f t="shared" ca="1" si="1394"/>
        <v>1.16525899053592E-2</v>
      </c>
      <c r="AJ1093" s="384">
        <f t="shared" ca="1" si="1396"/>
        <v>3.4498325738798741E-2</v>
      </c>
      <c r="AU1093" s="1"/>
    </row>
    <row r="1094" spans="3:47" x14ac:dyDescent="0.25">
      <c r="C1094" s="10">
        <f t="shared" si="1421"/>
        <v>83</v>
      </c>
      <c r="D1094" s="91">
        <f t="shared" si="1404"/>
        <v>8</v>
      </c>
      <c r="E1094" s="278"/>
      <c r="F1094" s="76">
        <f t="shared" ref="F1094:Q1094" ca="1" si="1456">F1022</f>
        <v>21.81</v>
      </c>
      <c r="G1094" s="46">
        <f t="shared" ca="1" si="1456"/>
        <v>27.012600000000003</v>
      </c>
      <c r="H1094" s="46">
        <f t="shared" ca="1" si="1380"/>
        <v>28.517550000000004</v>
      </c>
      <c r="I1094" s="45">
        <f t="shared" ca="1" si="1381"/>
        <v>1.3748539373542934</v>
      </c>
      <c r="J1094" s="45">
        <f t="shared" ca="1" si="1382"/>
        <v>0.27952512346894071</v>
      </c>
      <c r="K1094" s="45">
        <f t="shared" ca="1" si="1398"/>
        <v>0.90345467800480783</v>
      </c>
      <c r="L1094" s="358">
        <f t="shared" ca="1" si="1383"/>
        <v>0.93294591915671865</v>
      </c>
      <c r="M1094" s="76">
        <f t="shared" ca="1" si="1456"/>
        <v>0.25347808785320641</v>
      </c>
      <c r="N1094" s="45">
        <f t="shared" ca="1" si="1456"/>
        <v>0.25</v>
      </c>
      <c r="O1094" s="45">
        <f t="shared" ca="1" si="1456"/>
        <v>0</v>
      </c>
      <c r="P1094" s="46" t="str">
        <f t="shared" ca="1" si="1456"/>
        <v/>
      </c>
      <c r="Q1094" s="243" t="str">
        <f t="shared" ca="1" si="1456"/>
        <v/>
      </c>
      <c r="R1094" s="45">
        <f t="shared" ca="1" si="1399"/>
        <v>9.6520329540230126E-2</v>
      </c>
      <c r="S1094" s="45">
        <f t="shared" ca="1" si="1423"/>
        <v>5.0695617570641283E-2</v>
      </c>
      <c r="T1094" s="77">
        <f t="shared" ca="1" si="1384"/>
        <v>6.5827101645662786E-2</v>
      </c>
      <c r="U1094" s="45">
        <f t="shared" ca="1" si="1400"/>
        <v>17.078584901859237</v>
      </c>
      <c r="V1094" s="45">
        <f t="shared" ca="1" si="1385"/>
        <v>0.20278247028256513</v>
      </c>
      <c r="W1094" s="77">
        <f t="shared" ca="1" si="1386"/>
        <v>0.57704035683231025</v>
      </c>
      <c r="X1094" s="45">
        <f t="shared" ca="1" si="1401"/>
        <v>1.0263809438114728</v>
      </c>
      <c r="Y1094" s="45">
        <f t="shared" ca="1" si="1387"/>
        <v>6.6582888091594183E-2</v>
      </c>
      <c r="Z1094" s="77">
        <f t="shared" ca="1" si="1388"/>
        <v>7.4750014309673568E-2</v>
      </c>
      <c r="AA1094" s="45">
        <f t="shared" ca="1" si="1402"/>
        <v>39.219819103711316</v>
      </c>
      <c r="AB1094" s="45">
        <f t="shared" ca="1" si="1389"/>
        <v>0</v>
      </c>
      <c r="AC1094" s="45" cm="1">
        <f t="array" aca="1" ref="AC1094" ca="1">pHUM*(T1094+W1094+Z1094+AD1094)</f>
        <v>7.8332809519522567E-2</v>
      </c>
      <c r="AD1094" s="77">
        <f t="shared" ca="1" si="1390"/>
        <v>8.9766318936837522E-2</v>
      </c>
      <c r="AE1094" s="45">
        <f t="shared" ca="1" si="1403"/>
        <v>6.3847072090583081</v>
      </c>
      <c r="AF1094" s="45">
        <f t="shared" ca="1" si="1391"/>
        <v>0</v>
      </c>
      <c r="AG1094" s="76">
        <f t="shared" ca="1" si="1392"/>
        <v>63.80601248798056</v>
      </c>
      <c r="AH1094" s="45">
        <f t="shared" ca="1" si="1393"/>
        <v>0.66246809411336738</v>
      </c>
      <c r="AI1094" s="77">
        <f t="shared" ca="1" si="1394"/>
        <v>1.0957876079666952E-2</v>
      </c>
      <c r="AJ1094" s="384">
        <f t="shared" ca="1" si="1396"/>
        <v>3.2600628040316826E-2</v>
      </c>
      <c r="AU1094" s="1"/>
    </row>
    <row r="1095" spans="3:47" x14ac:dyDescent="0.25">
      <c r="C1095" s="10">
        <f t="shared" si="1421"/>
        <v>83</v>
      </c>
      <c r="D1095" s="91">
        <f t="shared" si="1404"/>
        <v>9</v>
      </c>
      <c r="E1095" s="278"/>
      <c r="F1095" s="76">
        <f t="shared" ref="F1095:Q1095" ca="1" si="1457">F1023</f>
        <v>19.09</v>
      </c>
      <c r="G1095" s="46">
        <f t="shared" ca="1" si="1457"/>
        <v>27.012600000000003</v>
      </c>
      <c r="H1095" s="46">
        <f t="shared" ca="1" si="1380"/>
        <v>28.517550000000004</v>
      </c>
      <c r="I1095" s="45">
        <f t="shared" ca="1" si="1381"/>
        <v>1.1472439462064867</v>
      </c>
      <c r="J1095" s="45">
        <f t="shared" ca="1" si="1382"/>
        <v>0.27952512346894071</v>
      </c>
      <c r="K1095" s="45">
        <f t="shared" ca="1" si="1398"/>
        <v>0.90345467800480783</v>
      </c>
      <c r="L1095" s="358">
        <f t="shared" ca="1" si="1383"/>
        <v>0.90508116523032656</v>
      </c>
      <c r="M1095" s="76">
        <f t="shared" ca="1" si="1457"/>
        <v>0.25347808785320641</v>
      </c>
      <c r="N1095" s="45">
        <f t="shared" ca="1" si="1457"/>
        <v>0.25</v>
      </c>
      <c r="O1095" s="45">
        <f t="shared" ca="1" si="1457"/>
        <v>0</v>
      </c>
      <c r="P1095" s="46" t="str">
        <f t="shared" ca="1" si="1457"/>
        <v/>
      </c>
      <c r="Q1095" s="243" t="str">
        <f t="shared" ca="1" si="1457"/>
        <v/>
      </c>
      <c r="R1095" s="45">
        <f t="shared" ca="1" si="1399"/>
        <v>8.1388845465208623E-2</v>
      </c>
      <c r="S1095" s="45">
        <f t="shared" ca="1" si="1423"/>
        <v>5.0695617570641283E-2</v>
      </c>
      <c r="T1095" s="77">
        <f t="shared" ca="1" si="1384"/>
        <v>5.0101878867953413E-2</v>
      </c>
      <c r="U1095" s="45">
        <f t="shared" ca="1" si="1400"/>
        <v>16.704327015309492</v>
      </c>
      <c r="V1095" s="45">
        <f t="shared" ca="1" si="1385"/>
        <v>0.20278247028256513</v>
      </c>
      <c r="W1095" s="77">
        <f t="shared" ca="1" si="1386"/>
        <v>0.47229313266443151</v>
      </c>
      <c r="X1095" s="45">
        <f t="shared" ca="1" si="1401"/>
        <v>1.0182138175933935</v>
      </c>
      <c r="Y1095" s="45">
        <f t="shared" ca="1" si="1387"/>
        <v>5.4391854421656678E-2</v>
      </c>
      <c r="Z1095" s="77">
        <f t="shared" ca="1" si="1388"/>
        <v>6.2262685255887573E-2</v>
      </c>
      <c r="AA1095" s="45">
        <f t="shared" ca="1" si="1402"/>
        <v>39.208385594294</v>
      </c>
      <c r="AB1095" s="45">
        <f t="shared" ca="1" si="1389"/>
        <v>0</v>
      </c>
      <c r="AC1095" s="45" cm="1">
        <f t="array" aca="1" ref="AC1095" ca="1">pHUM*(T1095+W1095+Z1095+AD1095)</f>
        <v>6.3990416966654917E-2</v>
      </c>
      <c r="AD1095" s="77">
        <f t="shared" ca="1" si="1390"/>
        <v>7.4897677281291472E-2</v>
      </c>
      <c r="AE1095" s="45">
        <f t="shared" ca="1" si="1403"/>
        <v>6.3847072090583081</v>
      </c>
      <c r="AF1095" s="45">
        <f t="shared" ca="1" si="1391"/>
        <v>0</v>
      </c>
      <c r="AG1095" s="76">
        <f t="shared" ca="1" si="1392"/>
        <v>63.397022481720398</v>
      </c>
      <c r="AH1095" s="45">
        <f t="shared" ca="1" si="1393"/>
        <v>0.54117310268125229</v>
      </c>
      <c r="AI1095" s="77">
        <f t="shared" ca="1" si="1394"/>
        <v>1.0642986162900634E-2</v>
      </c>
      <c r="AJ1095" s="384">
        <f t="shared" ca="1" si="1396"/>
        <v>3.0718139525234278E-2</v>
      </c>
      <c r="AU1095" s="1"/>
    </row>
    <row r="1096" spans="3:47" x14ac:dyDescent="0.25">
      <c r="C1096" s="10">
        <f t="shared" si="1421"/>
        <v>83</v>
      </c>
      <c r="D1096" s="91">
        <f t="shared" si="1404"/>
        <v>10</v>
      </c>
      <c r="E1096" s="278"/>
      <c r="F1096" s="76">
        <f t="shared" ref="F1096:Q1096" ca="1" si="1458">F1024</f>
        <v>9.02</v>
      </c>
      <c r="G1096" s="46">
        <f t="shared" ca="1" si="1458"/>
        <v>27.012600000000003</v>
      </c>
      <c r="H1096" s="46">
        <f t="shared" ca="1" si="1380"/>
        <v>28.517550000000004</v>
      </c>
      <c r="I1096" s="45">
        <f t="shared" ca="1" si="1381"/>
        <v>0.41742778729268759</v>
      </c>
      <c r="J1096" s="45">
        <f t="shared" ca="1" si="1382"/>
        <v>0.27952512346894071</v>
      </c>
      <c r="K1096" s="45">
        <f t="shared" ca="1" si="1398"/>
        <v>0.90345467800480783</v>
      </c>
      <c r="L1096" s="358">
        <f t="shared" ca="1" si="1383"/>
        <v>0.68492882381082199</v>
      </c>
      <c r="M1096" s="76">
        <f t="shared" ca="1" si="1458"/>
        <v>0.25347808785320641</v>
      </c>
      <c r="N1096" s="45">
        <f t="shared" ca="1" si="1458"/>
        <v>0.25</v>
      </c>
      <c r="O1096" s="45">
        <f t="shared" ca="1" si="1458"/>
        <v>0</v>
      </c>
      <c r="P1096" s="46" t="str">
        <f t="shared" ca="1" si="1458"/>
        <v/>
      </c>
      <c r="Q1096" s="243" t="str">
        <f t="shared" ca="1" si="1458"/>
        <v/>
      </c>
      <c r="R1096" s="45">
        <f t="shared" ca="1" si="1399"/>
        <v>8.1982584167896499E-2</v>
      </c>
      <c r="S1096" s="45">
        <f t="shared" ca="1" si="1423"/>
        <v>5.0695617570641283E-2</v>
      </c>
      <c r="T1096" s="77">
        <f t="shared" ca="1" si="1384"/>
        <v>2.4086465507844296E-2</v>
      </c>
      <c r="U1096" s="45">
        <f t="shared" ca="1" si="1400"/>
        <v>16.434816352927623</v>
      </c>
      <c r="V1096" s="45">
        <f t="shared" ca="1" si="1385"/>
        <v>0.20278247028256513</v>
      </c>
      <c r="W1096" s="77">
        <f t="shared" ca="1" si="1386"/>
        <v>0.17061692415632265</v>
      </c>
      <c r="X1096" s="45">
        <f t="shared" ca="1" si="1401"/>
        <v>1.0103429867591625</v>
      </c>
      <c r="Y1096" s="45">
        <f t="shared" ca="1" si="1387"/>
        <v>2.019593726339516E-2</v>
      </c>
      <c r="Z1096" s="77">
        <f t="shared" ca="1" si="1388"/>
        <v>2.2931741283240586E-2</v>
      </c>
      <c r="AA1096" s="45">
        <f t="shared" ca="1" si="1402"/>
        <v>39.197478333979362</v>
      </c>
      <c r="AB1096" s="45">
        <f t="shared" ca="1" si="1389"/>
        <v>0</v>
      </c>
      <c r="AC1096" s="45" cm="1">
        <f t="array" aca="1" ref="AC1096" ca="1">pHUM*(T1096+W1096+Z1096+AD1096)</f>
        <v>2.3759926192229601E-2</v>
      </c>
      <c r="AD1096" s="77">
        <f t="shared" ca="1" si="1390"/>
        <v>2.7260710499403092E-2</v>
      </c>
      <c r="AE1096" s="45">
        <f t="shared" ca="1" si="1403"/>
        <v>6.3847072090583081</v>
      </c>
      <c r="AF1096" s="45">
        <f t="shared" ca="1" si="1391"/>
        <v>0</v>
      </c>
      <c r="AG1096" s="76">
        <f t="shared" ca="1" si="1392"/>
        <v>63.109327466892353</v>
      </c>
      <c r="AH1096" s="45">
        <f t="shared" ca="1" si="1393"/>
        <v>0.20093997799118588</v>
      </c>
      <c r="AI1096" s="77">
        <f t="shared" ca="1" si="1394"/>
        <v>1.0578955329517865E-2</v>
      </c>
      <c r="AJ1096" s="384">
        <f t="shared" ca="1" si="1396"/>
        <v>2.3106556505191334E-2</v>
      </c>
      <c r="AU1096" s="1"/>
    </row>
    <row r="1097" spans="3:47" x14ac:dyDescent="0.25">
      <c r="C1097" s="10">
        <f t="shared" si="1421"/>
        <v>83</v>
      </c>
      <c r="D1097" s="91">
        <f t="shared" si="1404"/>
        <v>11</v>
      </c>
      <c r="E1097" s="278"/>
      <c r="F1097" s="76">
        <f t="shared" ref="F1097:Q1097" ca="1" si="1459">F1025</f>
        <v>5.62</v>
      </c>
      <c r="G1097" s="46">
        <f t="shared" ca="1" si="1459"/>
        <v>27.012600000000003</v>
      </c>
      <c r="H1097" s="46">
        <f t="shared" ca="1" si="1380"/>
        <v>28.517550000000004</v>
      </c>
      <c r="I1097" s="45">
        <f t="shared" ca="1" si="1381"/>
        <v>0.24215575259059691</v>
      </c>
      <c r="J1097" s="45">
        <f t="shared" ca="1" si="1382"/>
        <v>0.27952512346894071</v>
      </c>
      <c r="K1097" s="45">
        <f t="shared" ca="1" si="1398"/>
        <v>0.90345467800480783</v>
      </c>
      <c r="L1097" s="358">
        <f t="shared" ca="1" si="1383"/>
        <v>0.5671500175141555</v>
      </c>
      <c r="M1097" s="76">
        <f t="shared" ca="1" si="1459"/>
        <v>0.25347808785320641</v>
      </c>
      <c r="N1097" s="45">
        <f t="shared" ca="1" si="1459"/>
        <v>0.25</v>
      </c>
      <c r="O1097" s="45">
        <f t="shared" ca="1" si="1459"/>
        <v>0</v>
      </c>
      <c r="P1097" s="46" t="str">
        <f t="shared" ca="1" si="1459"/>
        <v/>
      </c>
      <c r="Q1097" s="243" t="str">
        <f t="shared" ca="1" si="1459"/>
        <v/>
      </c>
      <c r="R1097" s="45">
        <f t="shared" ca="1" si="1399"/>
        <v>0.10859173623069349</v>
      </c>
      <c r="S1097" s="45">
        <f t="shared" ca="1" si="1423"/>
        <v>5.0695617570641283E-2</v>
      </c>
      <c r="T1097" s="77">
        <f t="shared" ca="1" si="1384"/>
        <v>1.9843917491017132E-2</v>
      </c>
      <c r="U1097" s="45">
        <f t="shared" ca="1" si="1400"/>
        <v>16.466981899053863</v>
      </c>
      <c r="V1097" s="45">
        <f t="shared" ca="1" si="1385"/>
        <v>0.20278247028256513</v>
      </c>
      <c r="W1097" s="77">
        <f t="shared" ca="1" si="1386"/>
        <v>9.9388213476194129E-2</v>
      </c>
      <c r="X1097" s="45">
        <f t="shared" ca="1" si="1401"/>
        <v>1.0076071827393169</v>
      </c>
      <c r="Y1097" s="45">
        <f t="shared" ca="1" si="1387"/>
        <v>1.2236378014639582E-2</v>
      </c>
      <c r="Z1097" s="77">
        <f t="shared" ca="1" si="1388"/>
        <v>1.3330911786814137E-2</v>
      </c>
      <c r="AA1097" s="45">
        <f t="shared" ca="1" si="1402"/>
        <v>39.193977549672184</v>
      </c>
      <c r="AB1097" s="45">
        <f t="shared" ca="1" si="1389"/>
        <v>0</v>
      </c>
      <c r="AC1097" s="45" cm="1">
        <f t="array" aca="1" ref="AC1097" ca="1">pHUM*(T1097+W1097+Z1097+AD1097)</f>
        <v>1.439573884075245E-2</v>
      </c>
      <c r="AD1097" s="77">
        <f t="shared" ca="1" si="1390"/>
        <v>1.5815220214129955E-2</v>
      </c>
      <c r="AE1097" s="45">
        <f t="shared" ca="1" si="1403"/>
        <v>6.3847072090583081</v>
      </c>
      <c r="AF1097" s="45">
        <f t="shared" ca="1" si="1391"/>
        <v>0</v>
      </c>
      <c r="AG1097" s="76">
        <f t="shared" ca="1" si="1392"/>
        <v>63.161865576754366</v>
      </c>
      <c r="AH1097" s="45">
        <f t="shared" ca="1" si="1393"/>
        <v>0.12174614611276333</v>
      </c>
      <c r="AI1097" s="77">
        <f t="shared" ca="1" si="1394"/>
        <v>1.0971125887186314E-2</v>
      </c>
      <c r="AJ1097" s="384">
        <f t="shared" ca="1" si="1396"/>
        <v>1.9842550216750965E-2</v>
      </c>
      <c r="AU1097" s="1"/>
    </row>
    <row r="1098" spans="3:47" x14ac:dyDescent="0.25">
      <c r="C1098" s="10">
        <f t="shared" si="1421"/>
        <v>83</v>
      </c>
      <c r="D1098" s="91">
        <f t="shared" si="1404"/>
        <v>12</v>
      </c>
      <c r="E1098" s="278"/>
      <c r="F1098" s="76">
        <f t="shared" ref="F1098:Q1098" ca="1" si="1460">F1026</f>
        <v>3.68</v>
      </c>
      <c r="G1098" s="46">
        <f t="shared" ca="1" si="1460"/>
        <v>27.012600000000003</v>
      </c>
      <c r="H1098" s="46">
        <f t="shared" ca="1" si="1380"/>
        <v>28.517550000000004</v>
      </c>
      <c r="I1098" s="45">
        <f t="shared" ca="1" si="1381"/>
        <v>0.16418562454767627</v>
      </c>
      <c r="J1098" s="45">
        <f t="shared" ca="1" si="1382"/>
        <v>0.27952512346894071</v>
      </c>
      <c r="K1098" s="45">
        <f t="shared" ca="1" si="1398"/>
        <v>0.90345467800480783</v>
      </c>
      <c r="L1098" s="358">
        <f t="shared" ca="1" si="1383"/>
        <v>0.49525928680467546</v>
      </c>
      <c r="M1098" s="76">
        <f t="shared" ca="1" si="1460"/>
        <v>0.25347808785320641</v>
      </c>
      <c r="N1098" s="45">
        <f t="shared" ca="1" si="1460"/>
        <v>0.25</v>
      </c>
      <c r="O1098" s="45">
        <f t="shared" ca="1" si="1460"/>
        <v>0</v>
      </c>
      <c r="P1098" s="46" t="str">
        <f t="shared" ca="1" si="1460"/>
        <v/>
      </c>
      <c r="Q1098" s="243" t="str">
        <f t="shared" ca="1" si="1460"/>
        <v/>
      </c>
      <c r="R1098" s="45">
        <f t="shared" ca="1" si="1399"/>
        <v>0.13944343631031764</v>
      </c>
      <c r="S1098" s="45">
        <f t="shared" ca="1" si="1423"/>
        <v>5.0695617570641283E-2</v>
      </c>
      <c r="T1098" s="77">
        <f t="shared" ca="1" si="1384"/>
        <v>1.7831187991366577E-2</v>
      </c>
      <c r="U1098" s="45">
        <f t="shared" ca="1" si="1400"/>
        <v>16.570376155860234</v>
      </c>
      <c r="V1098" s="45">
        <f t="shared" ca="1" si="1385"/>
        <v>0.20278247028256513</v>
      </c>
      <c r="W1098" s="77">
        <f t="shared" ca="1" si="1386"/>
        <v>6.7876040279326699E-2</v>
      </c>
      <c r="X1098" s="45">
        <f t="shared" ca="1" si="1401"/>
        <v>1.0065126489671423</v>
      </c>
      <c r="Y1098" s="45">
        <f t="shared" ca="1" si="1387"/>
        <v>8.6985538879776319E-3</v>
      </c>
      <c r="Z1098" s="77">
        <f t="shared" ca="1" si="1388"/>
        <v>9.0481053058311077E-3</v>
      </c>
      <c r="AA1098" s="45">
        <f t="shared" ca="1" si="1402"/>
        <v>39.192558068298808</v>
      </c>
      <c r="AB1098" s="45">
        <f t="shared" ca="1" si="1389"/>
        <v>0</v>
      </c>
      <c r="AC1098" s="45" cm="1">
        <f t="array" aca="1" ref="AC1098" ca="1">pHUM*(T1098+W1098+Z1098+AD1098)</f>
        <v>1.0233592809385449E-2</v>
      </c>
      <c r="AD1098" s="77">
        <f t="shared" ca="1" si="1390"/>
        <v>1.0723290464744385E-2</v>
      </c>
      <c r="AE1098" s="45">
        <f t="shared" ca="1" si="1403"/>
        <v>6.3847072090583081</v>
      </c>
      <c r="AF1098" s="45">
        <f t="shared" ca="1" si="1391"/>
        <v>0</v>
      </c>
      <c r="AG1098" s="76">
        <f t="shared" ca="1" si="1392"/>
        <v>63.293597518494806</v>
      </c>
      <c r="AH1098" s="45">
        <f t="shared" ca="1" si="1393"/>
        <v>8.6546477343905692E-2</v>
      </c>
      <c r="AI1098" s="77">
        <f t="shared" ca="1" si="1394"/>
        <v>1.1441822002765188E-2</v>
      </c>
      <c r="AJ1098" s="384">
        <f t="shared" ca="1" si="1396"/>
        <v>1.8070779265295656E-2</v>
      </c>
      <c r="AU1098" s="1"/>
    </row>
    <row r="1099" spans="3:47" x14ac:dyDescent="0.25">
      <c r="C1099" s="10">
        <f t="shared" si="1421"/>
        <v>84</v>
      </c>
      <c r="D1099" s="91">
        <f t="shared" si="1404"/>
        <v>1</v>
      </c>
      <c r="E1099" s="278"/>
      <c r="F1099" s="76">
        <f t="shared" ref="F1099:Q1099" si="1461">F1027</f>
        <v>0.85587096774193583</v>
      </c>
      <c r="G1099" s="46">
        <f t="shared" si="1461"/>
        <v>78.439554282868485</v>
      </c>
      <c r="H1099" s="46">
        <f t="shared" si="1380"/>
        <v>-22.909404282868479</v>
      </c>
      <c r="I1099" s="45">
        <f t="shared" si="1381"/>
        <v>0</v>
      </c>
      <c r="J1099" s="45">
        <f t="shared" si="1382"/>
        <v>0.23072180944359474</v>
      </c>
      <c r="K1099" s="45">
        <f t="shared" ca="1" si="1398"/>
        <v>0.74571722023659515</v>
      </c>
      <c r="L1099" s="358">
        <f t="shared" si="1383"/>
        <v>0.39170179323548027</v>
      </c>
      <c r="M1099" s="76">
        <f t="shared" ca="1" si="1461"/>
        <v>0.25347808785320641</v>
      </c>
      <c r="N1099" s="45">
        <f t="shared" ca="1" si="1461"/>
        <v>0.25</v>
      </c>
      <c r="O1099" s="45">
        <f t="shared" ca="1" si="1461"/>
        <v>0</v>
      </c>
      <c r="P1099" s="46" t="str">
        <f t="shared" ca="1" si="1461"/>
        <v/>
      </c>
      <c r="Q1099" s="243" t="str">
        <f t="shared" ca="1" si="1461"/>
        <v/>
      </c>
      <c r="R1099" s="45">
        <f t="shared" ca="1" si="1399"/>
        <v>0.17230786588959235</v>
      </c>
      <c r="S1099" s="45">
        <f t="shared" ca="1" si="1423"/>
        <v>5.0695617570641283E-2</v>
      </c>
      <c r="T1099" s="77">
        <f t="shared" ca="1" si="1384"/>
        <v>0</v>
      </c>
      <c r="U1099" s="45">
        <f t="shared" ca="1" si="1400"/>
        <v>16.705282585863472</v>
      </c>
      <c r="V1099" s="45">
        <f t="shared" ca="1" si="1385"/>
        <v>0.20278247028256513</v>
      </c>
      <c r="W1099" s="77">
        <f t="shared" ca="1" si="1386"/>
        <v>0</v>
      </c>
      <c r="X1099" s="45">
        <f t="shared" ca="1" si="1401"/>
        <v>1.0061630975492888</v>
      </c>
      <c r="Y1099" s="45">
        <f t="shared" ca="1" si="1387"/>
        <v>0</v>
      </c>
      <c r="Z1099" s="77">
        <f t="shared" ca="1" si="1388"/>
        <v>0</v>
      </c>
      <c r="AA1099" s="45">
        <f t="shared" ca="1" si="1402"/>
        <v>39.192068370643447</v>
      </c>
      <c r="AB1099" s="45">
        <f t="shared" ca="1" si="1389"/>
        <v>0</v>
      </c>
      <c r="AC1099" s="45" cm="1">
        <f t="array" aca="1" ref="AC1099" ca="1">pHUM*(T1099+W1099+Z1099+AD1099)</f>
        <v>0</v>
      </c>
      <c r="AD1099" s="77">
        <f t="shared" ca="1" si="1390"/>
        <v>0</v>
      </c>
      <c r="AE1099" s="45">
        <f t="shared" ca="1" si="1403"/>
        <v>6.3847072090583081</v>
      </c>
      <c r="AF1099" s="45">
        <f t="shared" ca="1" si="1391"/>
        <v>0</v>
      </c>
      <c r="AG1099" s="76">
        <f t="shared" ca="1" si="1392"/>
        <v>63.460529129004108</v>
      </c>
      <c r="AH1099" s="45">
        <f t="shared" ca="1" si="1393"/>
        <v>0</v>
      </c>
      <c r="AI1099" s="77">
        <f t="shared" ca="1" si="1394"/>
        <v>1.1946933294462217E-2</v>
      </c>
      <c r="AJ1099" s="384">
        <f t="shared" ca="1" si="1396"/>
        <v>1.2317745381755785E-2</v>
      </c>
      <c r="AU1099" s="1"/>
    </row>
    <row r="1100" spans="3:47" x14ac:dyDescent="0.25">
      <c r="C1100" s="10">
        <f t="shared" si="1421"/>
        <v>84</v>
      </c>
      <c r="D1100" s="91">
        <f t="shared" si="1404"/>
        <v>2</v>
      </c>
      <c r="E1100" s="278"/>
      <c r="F1100" s="76">
        <f t="shared" ref="F1100:Q1100" si="1462">F1028</f>
        <v>0.91042857142857181</v>
      </c>
      <c r="G1100" s="46">
        <f t="shared" si="1462"/>
        <v>77.312634079068317</v>
      </c>
      <c r="H1100" s="46">
        <f t="shared" si="1380"/>
        <v>-21.782484079068311</v>
      </c>
      <c r="I1100" s="45">
        <f t="shared" si="1381"/>
        <v>0</v>
      </c>
      <c r="J1100" s="45">
        <f t="shared" si="1382"/>
        <v>0.23463537609132465</v>
      </c>
      <c r="K1100" s="45">
        <f t="shared" ca="1" si="1398"/>
        <v>0.75836628037006848</v>
      </c>
      <c r="L1100" s="358">
        <f t="shared" si="1383"/>
        <v>0.39364266736760256</v>
      </c>
      <c r="M1100" s="76">
        <f t="shared" ca="1" si="1462"/>
        <v>0.25347808785320641</v>
      </c>
      <c r="N1100" s="45">
        <f t="shared" ca="1" si="1462"/>
        <v>0.25</v>
      </c>
      <c r="O1100" s="45">
        <f t="shared" ca="1" si="1462"/>
        <v>0</v>
      </c>
      <c r="P1100" s="46" t="str">
        <f t="shared" ca="1" si="1462"/>
        <v/>
      </c>
      <c r="Q1100" s="243" t="str">
        <f t="shared" ca="1" si="1462"/>
        <v/>
      </c>
      <c r="R1100" s="45">
        <f t="shared" ca="1" si="1399"/>
        <v>0.22300348346023363</v>
      </c>
      <c r="S1100" s="45">
        <f t="shared" ca="1" si="1423"/>
        <v>5.0695617570641283E-2</v>
      </c>
      <c r="T1100" s="77">
        <f t="shared" ca="1" si="1384"/>
        <v>0</v>
      </c>
      <c r="U1100" s="45">
        <f t="shared" ca="1" si="1400"/>
        <v>16.908065056146036</v>
      </c>
      <c r="V1100" s="45">
        <f t="shared" ca="1" si="1385"/>
        <v>0.20278247028256513</v>
      </c>
      <c r="W1100" s="77">
        <f t="shared" ca="1" si="1386"/>
        <v>0</v>
      </c>
      <c r="X1100" s="45">
        <f t="shared" ca="1" si="1401"/>
        <v>1.0061630975492888</v>
      </c>
      <c r="Y1100" s="45">
        <f t="shared" ca="1" si="1387"/>
        <v>0</v>
      </c>
      <c r="Z1100" s="77">
        <f t="shared" ca="1" si="1388"/>
        <v>0</v>
      </c>
      <c r="AA1100" s="45">
        <f t="shared" ca="1" si="1402"/>
        <v>39.192068370643447</v>
      </c>
      <c r="AB1100" s="45">
        <f t="shared" ca="1" si="1389"/>
        <v>0</v>
      </c>
      <c r="AC1100" s="45" cm="1">
        <f t="array" aca="1" ref="AC1100" ca="1">pHUM*(T1100+W1100+Z1100+AD1100)</f>
        <v>0</v>
      </c>
      <c r="AD1100" s="77">
        <f t="shared" ca="1" si="1390"/>
        <v>0</v>
      </c>
      <c r="AE1100" s="45">
        <f t="shared" ca="1" si="1403"/>
        <v>6.3847072090583081</v>
      </c>
      <c r="AF1100" s="45">
        <f t="shared" ca="1" si="1391"/>
        <v>0</v>
      </c>
      <c r="AG1100" s="76">
        <f t="shared" ca="1" si="1392"/>
        <v>63.714007216857311</v>
      </c>
      <c r="AH1100" s="45">
        <f t="shared" ca="1" si="1393"/>
        <v>0</v>
      </c>
      <c r="AI1100" s="77">
        <f t="shared" ca="1" si="1394"/>
        <v>1.2719446196580046E-2</v>
      </c>
      <c r="AJ1100" s="384">
        <f t="shared" ca="1" si="1396"/>
        <v>1.3402752274083163E-2</v>
      </c>
      <c r="AU1100" s="1"/>
    </row>
    <row r="1101" spans="3:47" x14ac:dyDescent="0.25">
      <c r="C1101" s="10">
        <f t="shared" si="1421"/>
        <v>84</v>
      </c>
      <c r="D1101" s="91">
        <f t="shared" si="1404"/>
        <v>3</v>
      </c>
      <c r="E1101" s="278"/>
      <c r="F1101" s="76">
        <f t="shared" ref="F1101:Q1101" si="1463">F1029</f>
        <v>1.7499333333333336</v>
      </c>
      <c r="G1101" s="46">
        <f t="shared" si="1463"/>
        <v>89.127050621045186</v>
      </c>
      <c r="H1101" s="46">
        <f t="shared" si="1380"/>
        <v>-33.596900621045179</v>
      </c>
      <c r="I1101" s="45">
        <f t="shared" si="1381"/>
        <v>0</v>
      </c>
      <c r="J1101" s="45">
        <f t="shared" si="1382"/>
        <v>0.19161115755788954</v>
      </c>
      <c r="K1101" s="45">
        <f t="shared" ca="1" si="1398"/>
        <v>0.61930746869995335</v>
      </c>
      <c r="L1101" s="358">
        <f t="shared" si="1383"/>
        <v>0.42389567243620196</v>
      </c>
      <c r="M1101" s="76">
        <f t="shared" ca="1" si="1463"/>
        <v>0.25347808785320641</v>
      </c>
      <c r="N1101" s="45">
        <f t="shared" ca="1" si="1463"/>
        <v>0.25</v>
      </c>
      <c r="O1101" s="45">
        <f t="shared" ca="1" si="1463"/>
        <v>0</v>
      </c>
      <c r="P1101" s="46" t="str">
        <f t="shared" ca="1" si="1463"/>
        <v/>
      </c>
      <c r="Q1101" s="243" t="str">
        <f t="shared" ca="1" si="1463"/>
        <v/>
      </c>
      <c r="R1101" s="45">
        <f t="shared" ca="1" si="1399"/>
        <v>0.27369910103087491</v>
      </c>
      <c r="S1101" s="45">
        <f t="shared" ca="1" si="1423"/>
        <v>5.0695617570641283E-2</v>
      </c>
      <c r="T1101" s="77">
        <f t="shared" ca="1" si="1384"/>
        <v>0</v>
      </c>
      <c r="U1101" s="45">
        <f t="shared" ca="1" si="1400"/>
        <v>17.1108475264286</v>
      </c>
      <c r="V1101" s="45">
        <f t="shared" ca="1" si="1385"/>
        <v>0.20278247028256513</v>
      </c>
      <c r="W1101" s="77">
        <f t="shared" ca="1" si="1386"/>
        <v>0</v>
      </c>
      <c r="X1101" s="45">
        <f t="shared" ca="1" si="1401"/>
        <v>1.0061630975492888</v>
      </c>
      <c r="Y1101" s="45">
        <f t="shared" ca="1" si="1387"/>
        <v>0</v>
      </c>
      <c r="Z1101" s="77">
        <f t="shared" ca="1" si="1388"/>
        <v>0</v>
      </c>
      <c r="AA1101" s="45">
        <f t="shared" ca="1" si="1402"/>
        <v>39.192068370643447</v>
      </c>
      <c r="AB1101" s="45">
        <f t="shared" ca="1" si="1389"/>
        <v>0</v>
      </c>
      <c r="AC1101" s="45" cm="1">
        <f t="array" aca="1" ref="AC1101" ca="1">pHUM*(T1101+W1101+Z1101+AD1101)</f>
        <v>0</v>
      </c>
      <c r="AD1101" s="77">
        <f t="shared" ca="1" si="1390"/>
        <v>0</v>
      </c>
      <c r="AE1101" s="45">
        <f t="shared" ca="1" si="1403"/>
        <v>6.3847072090583081</v>
      </c>
      <c r="AF1101" s="45">
        <f t="shared" ca="1" si="1391"/>
        <v>0</v>
      </c>
      <c r="AG1101" s="76">
        <f t="shared" ca="1" si="1392"/>
        <v>63.967485304710522</v>
      </c>
      <c r="AH1101" s="45">
        <f t="shared" ca="1" si="1393"/>
        <v>0</v>
      </c>
      <c r="AI1101" s="77">
        <f t="shared" ca="1" si="1394"/>
        <v>1.3485157930023951E-2</v>
      </c>
      <c r="AJ1101" s="384">
        <f t="shared" ca="1" si="1396"/>
        <v>1.2495864764021647E-2</v>
      </c>
      <c r="AU1101" s="1"/>
    </row>
    <row r="1102" spans="3:47" x14ac:dyDescent="0.25">
      <c r="C1102" s="10">
        <f t="shared" si="1421"/>
        <v>84</v>
      </c>
      <c r="D1102" s="91">
        <f t="shared" si="1404"/>
        <v>4</v>
      </c>
      <c r="E1102" s="278"/>
      <c r="F1102" s="76">
        <f t="shared" ref="F1102:Q1102" si="1464">F1030</f>
        <v>5.3144</v>
      </c>
      <c r="G1102" s="46">
        <f t="shared" si="1464"/>
        <v>88.517400984298064</v>
      </c>
      <c r="H1102" s="46">
        <f t="shared" si="1380"/>
        <v>-32.987250984298058</v>
      </c>
      <c r="I1102" s="45">
        <f t="shared" si="1381"/>
        <v>0</v>
      </c>
      <c r="J1102" s="45">
        <f t="shared" si="1382"/>
        <v>0.19391725365845511</v>
      </c>
      <c r="K1102" s="45">
        <f t="shared" ca="1" si="1398"/>
        <v>0.62676101449980381</v>
      </c>
      <c r="L1102" s="358">
        <f t="shared" si="1383"/>
        <v>0.55593677468735669</v>
      </c>
      <c r="M1102" s="76">
        <f t="shared" ca="1" si="1464"/>
        <v>0.25347808785320641</v>
      </c>
      <c r="N1102" s="45">
        <f t="shared" ca="1" si="1464"/>
        <v>0.25</v>
      </c>
      <c r="O1102" s="45">
        <f t="shared" ca="1" si="1464"/>
        <v>0</v>
      </c>
      <c r="P1102" s="46" t="str">
        <f t="shared" ca="1" si="1464"/>
        <v/>
      </c>
      <c r="Q1102" s="243" t="str">
        <f t="shared" ca="1" si="1464"/>
        <v/>
      </c>
      <c r="R1102" s="45">
        <f t="shared" ca="1" si="1399"/>
        <v>0.3243947186015162</v>
      </c>
      <c r="S1102" s="45">
        <f t="shared" ca="1" si="1423"/>
        <v>5.0695617570641283E-2</v>
      </c>
      <c r="T1102" s="77">
        <f t="shared" ca="1" si="1384"/>
        <v>0</v>
      </c>
      <c r="U1102" s="45">
        <f t="shared" ca="1" si="1400"/>
        <v>17.313629996711164</v>
      </c>
      <c r="V1102" s="45">
        <f t="shared" ca="1" si="1385"/>
        <v>0.20278247028256513</v>
      </c>
      <c r="W1102" s="77">
        <f t="shared" ca="1" si="1386"/>
        <v>0</v>
      </c>
      <c r="X1102" s="45">
        <f t="shared" ca="1" si="1401"/>
        <v>1.0061630975492888</v>
      </c>
      <c r="Y1102" s="45">
        <f t="shared" ca="1" si="1387"/>
        <v>0</v>
      </c>
      <c r="Z1102" s="77">
        <f t="shared" ca="1" si="1388"/>
        <v>0</v>
      </c>
      <c r="AA1102" s="45">
        <f t="shared" ca="1" si="1402"/>
        <v>39.192068370643447</v>
      </c>
      <c r="AB1102" s="45">
        <f t="shared" ca="1" si="1389"/>
        <v>0</v>
      </c>
      <c r="AC1102" s="45" cm="1">
        <f t="array" aca="1" ref="AC1102" ca="1">pHUM*(T1102+W1102+Z1102+AD1102)</f>
        <v>0</v>
      </c>
      <c r="AD1102" s="77">
        <f t="shared" ca="1" si="1390"/>
        <v>0</v>
      </c>
      <c r="AE1102" s="45">
        <f t="shared" ca="1" si="1403"/>
        <v>6.3847072090583081</v>
      </c>
      <c r="AF1102" s="45">
        <f t="shared" ca="1" si="1391"/>
        <v>0</v>
      </c>
      <c r="AG1102" s="76">
        <f t="shared" ca="1" si="1392"/>
        <v>64.220963392563732</v>
      </c>
      <c r="AH1102" s="45">
        <f t="shared" ca="1" si="1393"/>
        <v>0</v>
      </c>
      <c r="AI1102" s="77">
        <f t="shared" ca="1" si="1394"/>
        <v>1.424415791693211E-2</v>
      </c>
      <c r="AJ1102" s="384">
        <f t="shared" ca="1" si="1396"/>
        <v>1.7518909889158163E-2</v>
      </c>
      <c r="AU1102" s="1"/>
    </row>
    <row r="1103" spans="3:47" x14ac:dyDescent="0.25">
      <c r="C1103" s="10">
        <f t="shared" si="1421"/>
        <v>84</v>
      </c>
      <c r="D1103" s="91">
        <f t="shared" si="1404"/>
        <v>5</v>
      </c>
      <c r="E1103" s="278"/>
      <c r="F1103" s="76">
        <f t="shared" ref="F1103:Q1103" si="1465">F1031</f>
        <v>12.662516129032257</v>
      </c>
      <c r="G1103" s="46">
        <f t="shared" si="1465"/>
        <v>89.413014608233681</v>
      </c>
      <c r="H1103" s="46">
        <f t="shared" si="1380"/>
        <v>-33.882864608233675</v>
      </c>
      <c r="I1103" s="45">
        <f t="shared" si="1381"/>
        <v>0</v>
      </c>
      <c r="J1103" s="45">
        <f t="shared" si="1382"/>
        <v>0.19052718077467024</v>
      </c>
      <c r="K1103" s="45">
        <f t="shared" ca="1" si="1398"/>
        <v>0.6158039414194908</v>
      </c>
      <c r="L1103" s="358">
        <f t="shared" si="1383"/>
        <v>0.78870900469063665</v>
      </c>
      <c r="M1103" s="76">
        <f t="shared" ca="1" si="1465"/>
        <v>0.25347808785320641</v>
      </c>
      <c r="N1103" s="45">
        <f t="shared" ca="1" si="1465"/>
        <v>0.25</v>
      </c>
      <c r="O1103" s="45">
        <f t="shared" ca="1" si="1465"/>
        <v>0</v>
      </c>
      <c r="P1103" s="46" t="str">
        <f t="shared" ca="1" si="1465"/>
        <v/>
      </c>
      <c r="Q1103" s="243" t="str">
        <f t="shared" ca="1" si="1465"/>
        <v/>
      </c>
      <c r="R1103" s="45">
        <f t="shared" ca="1" si="1399"/>
        <v>0.37509033617215748</v>
      </c>
      <c r="S1103" s="45">
        <f t="shared" ca="1" si="1423"/>
        <v>5.0695617570641283E-2</v>
      </c>
      <c r="T1103" s="77">
        <f t="shared" ca="1" si="1384"/>
        <v>0</v>
      </c>
      <c r="U1103" s="45">
        <f t="shared" ca="1" si="1400"/>
        <v>17.516412466993728</v>
      </c>
      <c r="V1103" s="45">
        <f t="shared" ca="1" si="1385"/>
        <v>0.20278247028256513</v>
      </c>
      <c r="W1103" s="77">
        <f t="shared" ca="1" si="1386"/>
        <v>0</v>
      </c>
      <c r="X1103" s="45">
        <f t="shared" ca="1" si="1401"/>
        <v>1.0061630975492888</v>
      </c>
      <c r="Y1103" s="45">
        <f t="shared" ca="1" si="1387"/>
        <v>0</v>
      </c>
      <c r="Z1103" s="77">
        <f t="shared" ca="1" si="1388"/>
        <v>0</v>
      </c>
      <c r="AA1103" s="45">
        <f t="shared" ca="1" si="1402"/>
        <v>39.192068370643447</v>
      </c>
      <c r="AB1103" s="45">
        <f t="shared" ca="1" si="1389"/>
        <v>0</v>
      </c>
      <c r="AC1103" s="45" cm="1">
        <f t="array" aca="1" ref="AC1103" ca="1">pHUM*(T1103+W1103+Z1103+AD1103)</f>
        <v>0</v>
      </c>
      <c r="AD1103" s="77">
        <f t="shared" ca="1" si="1390"/>
        <v>0</v>
      </c>
      <c r="AE1103" s="45">
        <f t="shared" ca="1" si="1403"/>
        <v>6.3847072090583081</v>
      </c>
      <c r="AF1103" s="45">
        <f t="shared" ca="1" si="1391"/>
        <v>0</v>
      </c>
      <c r="AG1103" s="76">
        <f t="shared" ca="1" si="1392"/>
        <v>64.474441480416928</v>
      </c>
      <c r="AH1103" s="45">
        <f t="shared" ca="1" si="1393"/>
        <v>0</v>
      </c>
      <c r="AI1103" s="77">
        <f t="shared" ca="1" si="1394"/>
        <v>1.4996534018646947E-2</v>
      </c>
      <c r="AJ1103" s="384">
        <f t="shared" ca="1" si="1396"/>
        <v>2.5709268837553756E-2</v>
      </c>
      <c r="AU1103" s="1"/>
    </row>
    <row r="1104" spans="3:47" x14ac:dyDescent="0.25">
      <c r="C1104" s="10">
        <f t="shared" si="1421"/>
        <v>84</v>
      </c>
      <c r="D1104" s="91">
        <f t="shared" si="1404"/>
        <v>6</v>
      </c>
      <c r="E1104" s="278"/>
      <c r="F1104" s="76">
        <f t="shared" ref="F1104:Q1104" si="1466">F1032</f>
        <v>17.952400000000004</v>
      </c>
      <c r="G1104" s="46">
        <f t="shared" si="1466"/>
        <v>83.948488098886401</v>
      </c>
      <c r="H1104" s="46">
        <f t="shared" si="1380"/>
        <v>-28.418338098886395</v>
      </c>
      <c r="I1104" s="45">
        <f t="shared" si="1381"/>
        <v>0</v>
      </c>
      <c r="J1104" s="45">
        <f t="shared" si="1382"/>
        <v>0.21095121603234232</v>
      </c>
      <c r="K1104" s="45">
        <f t="shared" ca="1" si="1398"/>
        <v>0.68181657730811884</v>
      </c>
      <c r="L1104" s="358">
        <f t="shared" si="1383"/>
        <v>0.89013124354981255</v>
      </c>
      <c r="M1104" s="76">
        <f t="shared" ca="1" si="1466"/>
        <v>0.25347808785320641</v>
      </c>
      <c r="N1104" s="45">
        <f t="shared" ca="1" si="1466"/>
        <v>0.25</v>
      </c>
      <c r="O1104" s="45">
        <f t="shared" ca="1" si="1466"/>
        <v>0</v>
      </c>
      <c r="P1104" s="46" t="str">
        <f t="shared" ca="1" si="1466"/>
        <v/>
      </c>
      <c r="Q1104" s="243" t="str">
        <f t="shared" ca="1" si="1466"/>
        <v/>
      </c>
      <c r="R1104" s="45">
        <f t="shared" ca="1" si="1399"/>
        <v>0.42578595374279876</v>
      </c>
      <c r="S1104" s="45">
        <f t="shared" ca="1" si="1423"/>
        <v>5.0695617570641283E-2</v>
      </c>
      <c r="T1104" s="77">
        <f t="shared" ca="1" si="1384"/>
        <v>0</v>
      </c>
      <c r="U1104" s="45">
        <f t="shared" ca="1" si="1400"/>
        <v>17.719194937276292</v>
      </c>
      <c r="V1104" s="45">
        <f t="shared" ca="1" si="1385"/>
        <v>0.20278247028256513</v>
      </c>
      <c r="W1104" s="77">
        <f t="shared" ca="1" si="1386"/>
        <v>0</v>
      </c>
      <c r="X1104" s="45">
        <f t="shared" ca="1" si="1401"/>
        <v>1.0061630975492888</v>
      </c>
      <c r="Y1104" s="45">
        <f t="shared" ca="1" si="1387"/>
        <v>0</v>
      </c>
      <c r="Z1104" s="77">
        <f t="shared" ca="1" si="1388"/>
        <v>0</v>
      </c>
      <c r="AA1104" s="45">
        <f t="shared" ca="1" si="1402"/>
        <v>39.192068370643447</v>
      </c>
      <c r="AB1104" s="45">
        <f t="shared" ca="1" si="1389"/>
        <v>0</v>
      </c>
      <c r="AC1104" s="45" cm="1">
        <f t="array" aca="1" ref="AC1104" ca="1">pHUM*(T1104+W1104+Z1104+AD1104)</f>
        <v>0</v>
      </c>
      <c r="AD1104" s="77">
        <f t="shared" ca="1" si="1390"/>
        <v>0</v>
      </c>
      <c r="AE1104" s="45">
        <f t="shared" ca="1" si="1403"/>
        <v>6.3847072090583081</v>
      </c>
      <c r="AF1104" s="45">
        <f t="shared" ca="1" si="1391"/>
        <v>0</v>
      </c>
      <c r="AG1104" s="76">
        <f t="shared" ca="1" si="1392"/>
        <v>64.727919568270138</v>
      </c>
      <c r="AH1104" s="45">
        <f t="shared" ca="1" si="1393"/>
        <v>0</v>
      </c>
      <c r="AI1104" s="77">
        <f t="shared" ca="1" si="1394"/>
        <v>1.5742372569620317E-2</v>
      </c>
      <c r="AJ1104" s="384">
        <f t="shared" ca="1" si="1396"/>
        <v>3.3723144958874851E-2</v>
      </c>
      <c r="AU1104" s="1"/>
    </row>
    <row r="1105" spans="3:47" x14ac:dyDescent="0.25">
      <c r="C1105" s="10">
        <f t="shared" si="1421"/>
        <v>84</v>
      </c>
      <c r="D1105" s="91">
        <f t="shared" si="1404"/>
        <v>7</v>
      </c>
      <c r="E1105" s="278"/>
      <c r="F1105" s="76">
        <f t="shared" ref="F1105:Q1105" si="1467">F1033</f>
        <v>21.363032258064525</v>
      </c>
      <c r="G1105" s="46">
        <f t="shared" si="1467"/>
        <v>73.679575814389409</v>
      </c>
      <c r="H1105" s="46">
        <f t="shared" si="1380"/>
        <v>-18.149425814389403</v>
      </c>
      <c r="I1105" s="45">
        <f t="shared" si="1381"/>
        <v>0</v>
      </c>
      <c r="J1105" s="45">
        <f t="shared" si="1382"/>
        <v>0.2468878570948656</v>
      </c>
      <c r="K1105" s="45">
        <f t="shared" ca="1" si="1398"/>
        <v>0.79796759113040194</v>
      </c>
      <c r="L1105" s="358">
        <f t="shared" si="1383"/>
        <v>0.92905557700722019</v>
      </c>
      <c r="M1105" s="76">
        <f t="shared" ca="1" si="1467"/>
        <v>0.25347808785320641</v>
      </c>
      <c r="N1105" s="45">
        <f t="shared" ca="1" si="1467"/>
        <v>0.25</v>
      </c>
      <c r="O1105" s="45">
        <f t="shared" ca="1" si="1467"/>
        <v>0</v>
      </c>
      <c r="P1105" s="46" t="str">
        <f t="shared" ca="1" si="1467"/>
        <v/>
      </c>
      <c r="Q1105" s="243" t="str">
        <f t="shared" ca="1" si="1467"/>
        <v/>
      </c>
      <c r="R1105" s="45">
        <f t="shared" ca="1" si="1399"/>
        <v>0.47648157131344004</v>
      </c>
      <c r="S1105" s="45">
        <f t="shared" ca="1" si="1423"/>
        <v>5.0695617570641283E-2</v>
      </c>
      <c r="T1105" s="77">
        <f t="shared" ca="1" si="1384"/>
        <v>0</v>
      </c>
      <c r="U1105" s="45">
        <f t="shared" ca="1" si="1400"/>
        <v>17.921977407558856</v>
      </c>
      <c r="V1105" s="45">
        <f t="shared" ca="1" si="1385"/>
        <v>0.20278247028256513</v>
      </c>
      <c r="W1105" s="77">
        <f t="shared" ca="1" si="1386"/>
        <v>0</v>
      </c>
      <c r="X1105" s="45">
        <f t="shared" ca="1" si="1401"/>
        <v>1.0061630975492888</v>
      </c>
      <c r="Y1105" s="45">
        <f t="shared" ca="1" si="1387"/>
        <v>0</v>
      </c>
      <c r="Z1105" s="77">
        <f t="shared" ca="1" si="1388"/>
        <v>0</v>
      </c>
      <c r="AA1105" s="45">
        <f t="shared" ca="1" si="1402"/>
        <v>39.192068370643447</v>
      </c>
      <c r="AB1105" s="45">
        <f t="shared" ca="1" si="1389"/>
        <v>0</v>
      </c>
      <c r="AC1105" s="45" cm="1">
        <f t="array" aca="1" ref="AC1105" ca="1">pHUM*(T1105+W1105+Z1105+AD1105)</f>
        <v>0</v>
      </c>
      <c r="AD1105" s="77">
        <f t="shared" ca="1" si="1390"/>
        <v>0</v>
      </c>
      <c r="AE1105" s="45">
        <f t="shared" ca="1" si="1403"/>
        <v>6.3847072090583081</v>
      </c>
      <c r="AF1105" s="45">
        <f t="shared" ca="1" si="1391"/>
        <v>0</v>
      </c>
      <c r="AG1105" s="76">
        <f t="shared" ca="1" si="1392"/>
        <v>64.981397656123335</v>
      </c>
      <c r="AH1105" s="45">
        <f t="shared" ca="1" si="1393"/>
        <v>0</v>
      </c>
      <c r="AI1105" s="77">
        <f t="shared" ca="1" si="1394"/>
        <v>1.6481758410438713E-2</v>
      </c>
      <c r="AJ1105" s="384">
        <f t="shared" ca="1" si="1396"/>
        <v>4.3128357598460898E-2</v>
      </c>
      <c r="AU1105" s="1"/>
    </row>
    <row r="1106" spans="3:47" x14ac:dyDescent="0.25">
      <c r="C1106" s="10">
        <f t="shared" si="1421"/>
        <v>84</v>
      </c>
      <c r="D1106" s="91">
        <f t="shared" si="1404"/>
        <v>8</v>
      </c>
      <c r="E1106" s="278"/>
      <c r="F1106" s="76">
        <f t="shared" ref="F1106:Q1106" si="1468">F1034</f>
        <v>21.84690322580645</v>
      </c>
      <c r="G1106" s="46">
        <f t="shared" si="1468"/>
        <v>71.917724933598876</v>
      </c>
      <c r="H1106" s="46">
        <f t="shared" ref="H1106:H1169" si="1469">FC-G1106</f>
        <v>-16.38757493359887</v>
      </c>
      <c r="I1106" s="45">
        <f t="shared" ref="I1106:I1169" si="1470">PRODUCT(47.91/(1+EXP(106.06/(F1106+18.27))), IF(IF(H1106&lt;=0,1-((1-RM_PWP)*(G1106-FC)/(WSAT-FC)),IF(H1106&lt;=Wat1bar,1,1-((1-RM_PWP)*(H1106-Wat1bar)/(FC-Wat1bar))))&lt;=RM_PWP,RM_PWP,IF(H1106&lt;=0,1-((1-RM_PWP)*(G1106-FC)/(WSAT-FC)),IF(H1106&lt;=Wat1bar,1,1-((1-RM_PWP)*(H1106-Wat1bar)/(FC-Wat1bar))))),0.56+(ATAN(3.14*0.45*(SoilpH-5)))/3.14,EXP(-0.09*SoilSal))</f>
        <v>0</v>
      </c>
      <c r="J1106" s="45">
        <f t="shared" ref="J1106:J1169" si="1471">POWER(((G1106/150)-$J$9),$M$9)*POWER(($L$9-(G1106/150)),$N$9)</f>
        <v>0.25260629061506468</v>
      </c>
      <c r="K1106" s="45">
        <f t="shared" ca="1" si="1398"/>
        <v>0.81645017133846476</v>
      </c>
      <c r="L1106" s="358">
        <f t="shared" ref="L1106:L1169" si="1472">1/(1+EXP(-(F1106-3.8)/6.7))+1/(1+EXP((F1106-62.2)/7.1))-1</f>
        <v>0.93325603418156189</v>
      </c>
      <c r="M1106" s="76">
        <f t="shared" ca="1" si="1468"/>
        <v>0.25347808785320641</v>
      </c>
      <c r="N1106" s="45">
        <f t="shared" ca="1" si="1468"/>
        <v>0.25</v>
      </c>
      <c r="O1106" s="45">
        <f t="shared" ca="1" si="1468"/>
        <v>0</v>
      </c>
      <c r="P1106" s="46" t="str">
        <f t="shared" ca="1" si="1468"/>
        <v/>
      </c>
      <c r="Q1106" s="243" t="str">
        <f t="shared" ca="1" si="1468"/>
        <v/>
      </c>
      <c r="R1106" s="45">
        <f t="shared" ca="1" si="1399"/>
        <v>0.52717718888408127</v>
      </c>
      <c r="S1106" s="45">
        <f t="shared" ca="1" si="1423"/>
        <v>5.0695617570641283E-2</v>
      </c>
      <c r="T1106" s="77">
        <f t="shared" ref="T1106:T1169" ca="1" si="1473">R1106*(1-EXP(-kDPM*I1106))</f>
        <v>0</v>
      </c>
      <c r="U1106" s="45">
        <f t="shared" ca="1" si="1400"/>
        <v>18.12475987784142</v>
      </c>
      <c r="V1106" s="45">
        <f t="shared" ref="V1106:V1169" ca="1" si="1474">M1106*1/(1+N1106)</f>
        <v>0.20278247028256513</v>
      </c>
      <c r="W1106" s="77">
        <f t="shared" ref="W1106:W1169" ca="1" si="1475">U1106*(1-EXP(-kRPM*I1106))</f>
        <v>0</v>
      </c>
      <c r="X1106" s="45">
        <f t="shared" ca="1" si="1401"/>
        <v>1.0061630975492888</v>
      </c>
      <c r="Y1106" s="45">
        <f t="shared" ref="Y1106:Y1169" ca="1" si="1476">pBIO*(T1106+W1106+Z1106+AD1106)</f>
        <v>0</v>
      </c>
      <c r="Z1106" s="77">
        <f t="shared" ref="Z1106:Z1169" ca="1" si="1477">X1106*(1-EXP(-kBIO*I1106))</f>
        <v>0</v>
      </c>
      <c r="AA1106" s="45">
        <f t="shared" ca="1" si="1402"/>
        <v>39.192068370643447</v>
      </c>
      <c r="AB1106" s="45">
        <f t="shared" ref="AB1106:AB1169" ca="1" si="1478">IF(O1106&gt;0,O1106*(1-Q1106)/(1+P1106),0)</f>
        <v>0</v>
      </c>
      <c r="AC1106" s="45" cm="1">
        <f t="array" aca="1" ref="AC1106" ca="1">pHUM*(T1106+W1106+Z1106+AD1106)</f>
        <v>0</v>
      </c>
      <c r="AD1106" s="77">
        <f t="shared" ref="AD1106:AD1169" ca="1" si="1479">AA1106*(1-EXP(-kHUM*I1106))</f>
        <v>0</v>
      </c>
      <c r="AE1106" s="45">
        <f t="shared" ca="1" si="1403"/>
        <v>6.3847072090583081</v>
      </c>
      <c r="AF1106" s="45">
        <f t="shared" ref="AF1106:AF1169" ca="1" si="1480">IF(O1106&gt;0,O1106*Q1106,0)</f>
        <v>0</v>
      </c>
      <c r="AG1106" s="76">
        <f t="shared" ref="AG1106:AG1169" ca="1" si="1481">R1106+U1106+X1106+AA1106+AE1106</f>
        <v>65.234875743976545</v>
      </c>
      <c r="AH1106" s="45">
        <f t="shared" ref="AH1106:AH1169" ca="1" si="1482">p_CO2*(T1106+W1106+Z1106+AD1106)</f>
        <v>0</v>
      </c>
      <c r="AI1106" s="77">
        <f t="shared" ref="AI1106:AI1169" ca="1" si="1483">((kRPM*U1106)+(kDPM*R1106)+(kBIO*X1106)+(kHUM*AA1106))/(U1106+R1106+AA1106+X1106)</f>
        <v>1.7214774919994954E-2</v>
      </c>
      <c r="AJ1106" s="384">
        <f t="shared" ca="1" si="1396"/>
        <v>4.6298078731087378E-2</v>
      </c>
      <c r="AU1106" s="1"/>
    </row>
    <row r="1107" spans="3:47" x14ac:dyDescent="0.25">
      <c r="C1107" s="10">
        <f t="shared" si="1421"/>
        <v>84</v>
      </c>
      <c r="D1107" s="91">
        <f t="shared" si="1404"/>
        <v>9</v>
      </c>
      <c r="E1107" s="278"/>
      <c r="F1107" s="76">
        <f t="shared" ref="F1107:Q1107" si="1484">F1035</f>
        <v>19.915099999999999</v>
      </c>
      <c r="G1107" s="46">
        <f t="shared" si="1484"/>
        <v>90.121120170480822</v>
      </c>
      <c r="H1107" s="46">
        <f t="shared" si="1469"/>
        <v>-34.590970170480816</v>
      </c>
      <c r="I1107" s="45">
        <f t="shared" si="1470"/>
        <v>0</v>
      </c>
      <c r="J1107" s="45">
        <f t="shared" si="1471"/>
        <v>0.18783711693191202</v>
      </c>
      <c r="K1107" s="45">
        <f t="shared" ca="1" si="1398"/>
        <v>0.60710937138331467</v>
      </c>
      <c r="L1107" s="358">
        <f t="shared" si="1472"/>
        <v>0.91464137695305081</v>
      </c>
      <c r="M1107" s="76">
        <f t="shared" ca="1" si="1484"/>
        <v>0.25347808785320641</v>
      </c>
      <c r="N1107" s="45">
        <f t="shared" ca="1" si="1484"/>
        <v>0.25</v>
      </c>
      <c r="O1107" s="45">
        <f t="shared" ca="1" si="1484"/>
        <v>0</v>
      </c>
      <c r="P1107" s="46" t="str">
        <f t="shared" ca="1" si="1484"/>
        <v/>
      </c>
      <c r="Q1107" s="243" t="str">
        <f t="shared" ca="1" si="1484"/>
        <v/>
      </c>
      <c r="R1107" s="45">
        <f t="shared" ca="1" si="1399"/>
        <v>0.5778728064547225</v>
      </c>
      <c r="S1107" s="45">
        <f t="shared" ca="1" si="1423"/>
        <v>5.0695617570641283E-2</v>
      </c>
      <c r="T1107" s="77">
        <f t="shared" ca="1" si="1473"/>
        <v>0</v>
      </c>
      <c r="U1107" s="45">
        <f t="shared" ca="1" si="1400"/>
        <v>18.327542348123984</v>
      </c>
      <c r="V1107" s="45">
        <f t="shared" ca="1" si="1474"/>
        <v>0.20278247028256513</v>
      </c>
      <c r="W1107" s="77">
        <f t="shared" ca="1" si="1475"/>
        <v>0</v>
      </c>
      <c r="X1107" s="45">
        <f t="shared" ca="1" si="1401"/>
        <v>1.0061630975492888</v>
      </c>
      <c r="Y1107" s="45">
        <f t="shared" ca="1" si="1476"/>
        <v>0</v>
      </c>
      <c r="Z1107" s="77">
        <f t="shared" ca="1" si="1477"/>
        <v>0</v>
      </c>
      <c r="AA1107" s="45">
        <f t="shared" ca="1" si="1402"/>
        <v>39.192068370643447</v>
      </c>
      <c r="AB1107" s="45">
        <f t="shared" ca="1" si="1478"/>
        <v>0</v>
      </c>
      <c r="AC1107" s="45" cm="1">
        <f t="array" aca="1" ref="AC1107" ca="1">pHUM*(T1107+W1107+Z1107+AD1107)</f>
        <v>0</v>
      </c>
      <c r="AD1107" s="77">
        <f t="shared" ca="1" si="1479"/>
        <v>0</v>
      </c>
      <c r="AE1107" s="45">
        <f t="shared" ca="1" si="1403"/>
        <v>6.3847072090583081</v>
      </c>
      <c r="AF1107" s="45">
        <f t="shared" ca="1" si="1480"/>
        <v>0</v>
      </c>
      <c r="AG1107" s="76">
        <f t="shared" ca="1" si="1481"/>
        <v>65.488353831829755</v>
      </c>
      <c r="AH1107" s="45">
        <f t="shared" ca="1" si="1482"/>
        <v>0</v>
      </c>
      <c r="AI1107" s="77">
        <f t="shared" ca="1" si="1483"/>
        <v>1.7941504046832046E-2</v>
      </c>
      <c r="AJ1107" s="384">
        <f t="shared" ref="AJ1107:AJ1170" ca="1" si="1485">(530)*(1-EXP((-$AJ$9*L1107*K1107*AI1107)))</f>
        <v>3.5165137445061223E-2</v>
      </c>
      <c r="AU1107" s="1"/>
    </row>
    <row r="1108" spans="3:47" x14ac:dyDescent="0.25">
      <c r="C1108" s="10">
        <f t="shared" si="1421"/>
        <v>84</v>
      </c>
      <c r="D1108" s="91">
        <f t="shared" si="1404"/>
        <v>10</v>
      </c>
      <c r="E1108" s="278"/>
      <c r="F1108" s="76">
        <f t="shared" ref="F1108:Q1108" si="1486">F1036</f>
        <v>16.404967741935486</v>
      </c>
      <c r="G1108" s="46">
        <f t="shared" si="1486"/>
        <v>93.270963763991602</v>
      </c>
      <c r="H1108" s="46">
        <f t="shared" si="1469"/>
        <v>-37.740813763991596</v>
      </c>
      <c r="I1108" s="45">
        <f t="shared" si="1470"/>
        <v>0</v>
      </c>
      <c r="J1108" s="45">
        <f t="shared" si="1471"/>
        <v>0.1757835150476853</v>
      </c>
      <c r="K1108" s="45">
        <f t="shared" ref="K1108:K1171" ca="1" si="1487">J1108/$I$15</f>
        <v>0.56815085891056294</v>
      </c>
      <c r="L1108" s="358">
        <f t="shared" si="1472"/>
        <v>0.86618676922472848</v>
      </c>
      <c r="M1108" s="76">
        <f t="shared" ca="1" si="1486"/>
        <v>0.25347808785320641</v>
      </c>
      <c r="N1108" s="45">
        <f t="shared" ca="1" si="1486"/>
        <v>0.25</v>
      </c>
      <c r="O1108" s="45">
        <f t="shared" ca="1" si="1486"/>
        <v>0</v>
      </c>
      <c r="P1108" s="46" t="str">
        <f t="shared" ca="1" si="1486"/>
        <v/>
      </c>
      <c r="Q1108" s="243" t="str">
        <f t="shared" ca="1" si="1486"/>
        <v/>
      </c>
      <c r="R1108" s="45">
        <f t="shared" ref="R1108:R1171" ca="1" si="1488">R1107+S1108-T1107</f>
        <v>0.62856842402536373</v>
      </c>
      <c r="S1108" s="45">
        <f t="shared" ca="1" si="1423"/>
        <v>5.0695617570641283E-2</v>
      </c>
      <c r="T1108" s="77">
        <f t="shared" ca="1" si="1473"/>
        <v>0</v>
      </c>
      <c r="U1108" s="45">
        <f t="shared" ref="U1108:U1171" ca="1" si="1489">U1107+V1108-W1107</f>
        <v>18.530324818406548</v>
      </c>
      <c r="V1108" s="45">
        <f t="shared" ca="1" si="1474"/>
        <v>0.20278247028256513</v>
      </c>
      <c r="W1108" s="77">
        <f t="shared" ca="1" si="1475"/>
        <v>0</v>
      </c>
      <c r="X1108" s="45">
        <f t="shared" ref="X1108:X1171" ca="1" si="1490">X1107+Y1107-Z1107</f>
        <v>1.0061630975492888</v>
      </c>
      <c r="Y1108" s="45">
        <f t="shared" ca="1" si="1476"/>
        <v>0</v>
      </c>
      <c r="Z1108" s="77">
        <f t="shared" ca="1" si="1477"/>
        <v>0</v>
      </c>
      <c r="AA1108" s="45">
        <f t="shared" ref="AA1108:AA1171" ca="1" si="1491">AA1107+AC1107+AB1108-AD1107</f>
        <v>39.192068370643447</v>
      </c>
      <c r="AB1108" s="45">
        <f t="shared" ca="1" si="1478"/>
        <v>0</v>
      </c>
      <c r="AC1108" s="45" cm="1">
        <f t="array" aca="1" ref="AC1108" ca="1">pHUM*(T1108+W1108+Z1108+AD1108)</f>
        <v>0</v>
      </c>
      <c r="AD1108" s="77">
        <f t="shared" ca="1" si="1479"/>
        <v>0</v>
      </c>
      <c r="AE1108" s="45">
        <f t="shared" ref="AE1108:AE1171" ca="1" si="1492">AE1107+AF1108</f>
        <v>6.3847072090583081</v>
      </c>
      <c r="AF1108" s="45">
        <f t="shared" ca="1" si="1480"/>
        <v>0</v>
      </c>
      <c r="AG1108" s="76">
        <f t="shared" ca="1" si="1481"/>
        <v>65.741831919682951</v>
      </c>
      <c r="AH1108" s="45">
        <f t="shared" ca="1" si="1482"/>
        <v>0</v>
      </c>
      <c r="AI1108" s="77">
        <f t="shared" ca="1" si="1483"/>
        <v>1.866202633968397E-2</v>
      </c>
      <c r="AJ1108" s="384">
        <f t="shared" ca="1" si="1485"/>
        <v>3.2416851251454437E-2</v>
      </c>
      <c r="AU1108" s="1"/>
    </row>
    <row r="1109" spans="3:47" x14ac:dyDescent="0.25">
      <c r="C1109" s="10">
        <f t="shared" si="1421"/>
        <v>84</v>
      </c>
      <c r="D1109" s="91">
        <f t="shared" ref="D1109:D1172" si="1493">IF(D1108+1&lt;13,D1108+1,1)</f>
        <v>11</v>
      </c>
      <c r="E1109" s="278"/>
      <c r="F1109" s="76">
        <f t="shared" ref="F1109:Q1109" si="1494">F1037</f>
        <v>8.5982333333333347</v>
      </c>
      <c r="G1109" s="46">
        <f t="shared" si="1494"/>
        <v>93.768190396309464</v>
      </c>
      <c r="H1109" s="46">
        <f t="shared" si="1469"/>
        <v>-38.238040396309458</v>
      </c>
      <c r="I1109" s="45">
        <f t="shared" si="1470"/>
        <v>0</v>
      </c>
      <c r="J1109" s="45">
        <f t="shared" si="1471"/>
        <v>0.17386998013358751</v>
      </c>
      <c r="K1109" s="45">
        <f t="shared" ca="1" si="1487"/>
        <v>0.56196611226520721</v>
      </c>
      <c r="L1109" s="358">
        <f t="shared" si="1472"/>
        <v>0.6712335176859634</v>
      </c>
      <c r="M1109" s="76">
        <f t="shared" ca="1" si="1494"/>
        <v>0.25347808785320641</v>
      </c>
      <c r="N1109" s="45">
        <f t="shared" ca="1" si="1494"/>
        <v>0.25</v>
      </c>
      <c r="O1109" s="45">
        <f t="shared" ca="1" si="1494"/>
        <v>0</v>
      </c>
      <c r="P1109" s="46" t="str">
        <f t="shared" ca="1" si="1494"/>
        <v/>
      </c>
      <c r="Q1109" s="243" t="str">
        <f t="shared" ca="1" si="1494"/>
        <v/>
      </c>
      <c r="R1109" s="45">
        <f t="shared" ca="1" si="1488"/>
        <v>0.67926404159600495</v>
      </c>
      <c r="S1109" s="45">
        <f t="shared" ca="1" si="1423"/>
        <v>5.0695617570641283E-2</v>
      </c>
      <c r="T1109" s="77">
        <f t="shared" ca="1" si="1473"/>
        <v>0</v>
      </c>
      <c r="U1109" s="45">
        <f t="shared" ca="1" si="1489"/>
        <v>18.733107288689112</v>
      </c>
      <c r="V1109" s="45">
        <f t="shared" ca="1" si="1474"/>
        <v>0.20278247028256513</v>
      </c>
      <c r="W1109" s="77">
        <f t="shared" ca="1" si="1475"/>
        <v>0</v>
      </c>
      <c r="X1109" s="45">
        <f t="shared" ca="1" si="1490"/>
        <v>1.0061630975492888</v>
      </c>
      <c r="Y1109" s="45">
        <f t="shared" ca="1" si="1476"/>
        <v>0</v>
      </c>
      <c r="Z1109" s="77">
        <f t="shared" ca="1" si="1477"/>
        <v>0</v>
      </c>
      <c r="AA1109" s="45">
        <f t="shared" ca="1" si="1491"/>
        <v>39.192068370643447</v>
      </c>
      <c r="AB1109" s="45">
        <f t="shared" ca="1" si="1478"/>
        <v>0</v>
      </c>
      <c r="AC1109" s="45" cm="1">
        <f t="array" aca="1" ref="AC1109" ca="1">pHUM*(T1109+W1109+Z1109+AD1109)</f>
        <v>0</v>
      </c>
      <c r="AD1109" s="77">
        <f t="shared" ca="1" si="1479"/>
        <v>0</v>
      </c>
      <c r="AE1109" s="45">
        <f t="shared" ca="1" si="1492"/>
        <v>6.3847072090583081</v>
      </c>
      <c r="AF1109" s="45">
        <f t="shared" ca="1" si="1480"/>
        <v>0</v>
      </c>
      <c r="AG1109" s="76">
        <f t="shared" ca="1" si="1481"/>
        <v>65.995310007536162</v>
      </c>
      <c r="AH1109" s="45">
        <f t="shared" ca="1" si="1482"/>
        <v>0</v>
      </c>
      <c r="AI1109" s="77">
        <f t="shared" ca="1" si="1483"/>
        <v>1.9376420977237217E-2</v>
      </c>
      <c r="AJ1109" s="384">
        <f t="shared" ca="1" si="1485"/>
        <v>2.5798642366948732E-2</v>
      </c>
      <c r="AU1109" s="1"/>
    </row>
    <row r="1110" spans="3:47" x14ac:dyDescent="0.25">
      <c r="C1110" s="10">
        <f t="shared" si="1421"/>
        <v>84</v>
      </c>
      <c r="D1110" s="91">
        <f t="shared" si="1493"/>
        <v>12</v>
      </c>
      <c r="E1110" s="278"/>
      <c r="F1110" s="76">
        <f t="shared" ref="F1110:Q1110" si="1495">F1038</f>
        <v>5.8543548387096775</v>
      </c>
      <c r="G1110" s="46">
        <f t="shared" si="1495"/>
        <v>92.353978821555827</v>
      </c>
      <c r="H1110" s="46">
        <f t="shared" si="1469"/>
        <v>-36.823828821555821</v>
      </c>
      <c r="I1110" s="45">
        <f t="shared" si="1470"/>
        <v>0</v>
      </c>
      <c r="J1110" s="45">
        <f t="shared" si="1471"/>
        <v>0.17930557122010893</v>
      </c>
      <c r="K1110" s="45">
        <f t="shared" ca="1" si="1487"/>
        <v>0.57953451589882432</v>
      </c>
      <c r="L1110" s="358">
        <f t="shared" si="1472"/>
        <v>0.57570255434605899</v>
      </c>
      <c r="M1110" s="76">
        <f t="shared" ca="1" si="1495"/>
        <v>0.25347808785320641</v>
      </c>
      <c r="N1110" s="45">
        <f t="shared" ca="1" si="1495"/>
        <v>0.25</v>
      </c>
      <c r="O1110" s="45">
        <f t="shared" ca="1" si="1495"/>
        <v>0</v>
      </c>
      <c r="P1110" s="46" t="str">
        <f t="shared" ca="1" si="1495"/>
        <v/>
      </c>
      <c r="Q1110" s="243" t="str">
        <f t="shared" ca="1" si="1495"/>
        <v/>
      </c>
      <c r="R1110" s="45">
        <f t="shared" ca="1" si="1488"/>
        <v>0.72995965916664618</v>
      </c>
      <c r="S1110" s="45">
        <f t="shared" ca="1" si="1423"/>
        <v>5.0695617570641283E-2</v>
      </c>
      <c r="T1110" s="77">
        <f t="shared" ca="1" si="1473"/>
        <v>0</v>
      </c>
      <c r="U1110" s="45">
        <f t="shared" ca="1" si="1489"/>
        <v>18.935889758971676</v>
      </c>
      <c r="V1110" s="45">
        <f t="shared" ca="1" si="1474"/>
        <v>0.20278247028256513</v>
      </c>
      <c r="W1110" s="77">
        <f t="shared" ca="1" si="1475"/>
        <v>0</v>
      </c>
      <c r="X1110" s="45">
        <f t="shared" ca="1" si="1490"/>
        <v>1.0061630975492888</v>
      </c>
      <c r="Y1110" s="45">
        <f t="shared" ca="1" si="1476"/>
        <v>0</v>
      </c>
      <c r="Z1110" s="77">
        <f t="shared" ca="1" si="1477"/>
        <v>0</v>
      </c>
      <c r="AA1110" s="45">
        <f t="shared" ca="1" si="1491"/>
        <v>39.192068370643447</v>
      </c>
      <c r="AB1110" s="45">
        <f t="shared" ca="1" si="1478"/>
        <v>0</v>
      </c>
      <c r="AC1110" s="45" cm="1">
        <f t="array" aca="1" ref="AC1110" ca="1">pHUM*(T1110+W1110+Z1110+AD1110)</f>
        <v>0</v>
      </c>
      <c r="AD1110" s="77">
        <f t="shared" ca="1" si="1479"/>
        <v>0</v>
      </c>
      <c r="AE1110" s="45">
        <f t="shared" ca="1" si="1492"/>
        <v>6.3847072090583081</v>
      </c>
      <c r="AF1110" s="45">
        <f t="shared" ca="1" si="1480"/>
        <v>0</v>
      </c>
      <c r="AG1110" s="76">
        <f t="shared" ca="1" si="1481"/>
        <v>66.248788095389372</v>
      </c>
      <c r="AH1110" s="45">
        <f t="shared" ca="1" si="1482"/>
        <v>0</v>
      </c>
      <c r="AI1110" s="77">
        <f t="shared" ca="1" si="1483"/>
        <v>2.0084765797136254E-2</v>
      </c>
      <c r="AJ1110" s="384">
        <f t="shared" ca="1" si="1485"/>
        <v>2.3652913457917757E-2</v>
      </c>
      <c r="AU1110" s="1"/>
    </row>
    <row r="1111" spans="3:47" x14ac:dyDescent="0.25">
      <c r="C1111" s="10">
        <f t="shared" si="1421"/>
        <v>85</v>
      </c>
      <c r="D1111" s="91">
        <f t="shared" si="1493"/>
        <v>1</v>
      </c>
      <c r="E1111" s="278"/>
      <c r="F1111" s="76">
        <f t="shared" ref="F1111:Q1111" si="1496">F1039</f>
        <v>2.2624333333333326</v>
      </c>
      <c r="G1111" s="46">
        <f t="shared" si="1496"/>
        <v>87.461548542671366</v>
      </c>
      <c r="H1111" s="46">
        <f t="shared" si="1469"/>
        <v>-31.93139854267136</v>
      </c>
      <c r="I1111" s="45">
        <f t="shared" si="1470"/>
        <v>0</v>
      </c>
      <c r="J1111" s="45">
        <f t="shared" si="1471"/>
        <v>0.19789456043296222</v>
      </c>
      <c r="K1111" s="45">
        <f t="shared" ca="1" si="1487"/>
        <v>0.63961608944510806</v>
      </c>
      <c r="L1111" s="358">
        <f t="shared" si="1472"/>
        <v>0.44266298791276926</v>
      </c>
      <c r="M1111" s="76">
        <f t="shared" ca="1" si="1496"/>
        <v>0.25347808785320641</v>
      </c>
      <c r="N1111" s="45">
        <f t="shared" ca="1" si="1496"/>
        <v>0.25</v>
      </c>
      <c r="O1111" s="45">
        <f t="shared" ca="1" si="1496"/>
        <v>0</v>
      </c>
      <c r="P1111" s="46" t="str">
        <f t="shared" ca="1" si="1496"/>
        <v/>
      </c>
      <c r="Q1111" s="243" t="str">
        <f t="shared" ca="1" si="1496"/>
        <v/>
      </c>
      <c r="R1111" s="45">
        <f t="shared" ca="1" si="1488"/>
        <v>0.78065527673728741</v>
      </c>
      <c r="S1111" s="45">
        <f t="shared" ca="1" si="1423"/>
        <v>5.0695617570641283E-2</v>
      </c>
      <c r="T1111" s="77">
        <f t="shared" ca="1" si="1473"/>
        <v>0</v>
      </c>
      <c r="U1111" s="45">
        <f t="shared" ca="1" si="1489"/>
        <v>19.13867222925424</v>
      </c>
      <c r="V1111" s="45">
        <f t="shared" ca="1" si="1474"/>
        <v>0.20278247028256513</v>
      </c>
      <c r="W1111" s="77">
        <f t="shared" ca="1" si="1475"/>
        <v>0</v>
      </c>
      <c r="X1111" s="45">
        <f t="shared" ca="1" si="1490"/>
        <v>1.0061630975492888</v>
      </c>
      <c r="Y1111" s="45">
        <f t="shared" ca="1" si="1476"/>
        <v>0</v>
      </c>
      <c r="Z1111" s="77">
        <f t="shared" ca="1" si="1477"/>
        <v>0</v>
      </c>
      <c r="AA1111" s="45">
        <f t="shared" ca="1" si="1491"/>
        <v>39.192068370643447</v>
      </c>
      <c r="AB1111" s="45">
        <f t="shared" ca="1" si="1478"/>
        <v>0</v>
      </c>
      <c r="AC1111" s="45" cm="1">
        <f t="array" aca="1" ref="AC1111" ca="1">pHUM*(T1111+W1111+Z1111+AD1111)</f>
        <v>0</v>
      </c>
      <c r="AD1111" s="77">
        <f t="shared" ca="1" si="1479"/>
        <v>0</v>
      </c>
      <c r="AE1111" s="45">
        <f t="shared" ca="1" si="1492"/>
        <v>6.3847072090583081</v>
      </c>
      <c r="AF1111" s="45">
        <f t="shared" ca="1" si="1480"/>
        <v>0</v>
      </c>
      <c r="AG1111" s="76">
        <f t="shared" ca="1" si="1481"/>
        <v>66.502266183242568</v>
      </c>
      <c r="AH1111" s="45">
        <f t="shared" ca="1" si="1482"/>
        <v>0</v>
      </c>
      <c r="AI1111" s="77">
        <f t="shared" ca="1" si="1483"/>
        <v>2.07871373242552E-2</v>
      </c>
      <c r="AJ1111" s="384">
        <f t="shared" ca="1" si="1485"/>
        <v>2.0774417875031315E-2</v>
      </c>
      <c r="AU1111" s="1"/>
    </row>
    <row r="1112" spans="3:47" x14ac:dyDescent="0.25">
      <c r="C1112" s="10">
        <f t="shared" si="1421"/>
        <v>85</v>
      </c>
      <c r="D1112" s="91">
        <f t="shared" si="1493"/>
        <v>2</v>
      </c>
      <c r="E1112" s="278"/>
      <c r="F1112" s="76">
        <f t="shared" ref="F1112:Q1112" si="1497">F1040</f>
        <v>1.5363448275862068</v>
      </c>
      <c r="G1112" s="46">
        <f t="shared" si="1497"/>
        <v>89.651029216467379</v>
      </c>
      <c r="H1112" s="46">
        <f t="shared" si="1469"/>
        <v>-34.120879216467372</v>
      </c>
      <c r="I1112" s="45">
        <f t="shared" si="1470"/>
        <v>0</v>
      </c>
      <c r="J1112" s="45">
        <f t="shared" si="1471"/>
        <v>0.18962389606700991</v>
      </c>
      <c r="K1112" s="45">
        <f t="shared" ca="1" si="1487"/>
        <v>0.61288442998317227</v>
      </c>
      <c r="L1112" s="358">
        <f t="shared" si="1472"/>
        <v>0.41613501220093307</v>
      </c>
      <c r="M1112" s="76">
        <f t="shared" ca="1" si="1497"/>
        <v>0.25347808785320641</v>
      </c>
      <c r="N1112" s="45">
        <f t="shared" ca="1" si="1497"/>
        <v>0.25</v>
      </c>
      <c r="O1112" s="45">
        <f t="shared" ca="1" si="1497"/>
        <v>0</v>
      </c>
      <c r="P1112" s="46" t="str">
        <f t="shared" ca="1" si="1497"/>
        <v/>
      </c>
      <c r="Q1112" s="243" t="str">
        <f t="shared" ca="1" si="1497"/>
        <v/>
      </c>
      <c r="R1112" s="45">
        <f t="shared" ca="1" si="1488"/>
        <v>0.83135089430792863</v>
      </c>
      <c r="S1112" s="45">
        <f t="shared" ca="1" si="1423"/>
        <v>5.0695617570641283E-2</v>
      </c>
      <c r="T1112" s="77">
        <f t="shared" ca="1" si="1473"/>
        <v>0</v>
      </c>
      <c r="U1112" s="45">
        <f t="shared" ca="1" si="1489"/>
        <v>19.341454699536804</v>
      </c>
      <c r="V1112" s="45">
        <f t="shared" ca="1" si="1474"/>
        <v>0.20278247028256513</v>
      </c>
      <c r="W1112" s="77">
        <f t="shared" ca="1" si="1475"/>
        <v>0</v>
      </c>
      <c r="X1112" s="45">
        <f t="shared" ca="1" si="1490"/>
        <v>1.0061630975492888</v>
      </c>
      <c r="Y1112" s="45">
        <f t="shared" ca="1" si="1476"/>
        <v>0</v>
      </c>
      <c r="Z1112" s="77">
        <f t="shared" ca="1" si="1477"/>
        <v>0</v>
      </c>
      <c r="AA1112" s="45">
        <f t="shared" ca="1" si="1491"/>
        <v>39.192068370643447</v>
      </c>
      <c r="AB1112" s="45">
        <f t="shared" ca="1" si="1478"/>
        <v>0</v>
      </c>
      <c r="AC1112" s="45" cm="1">
        <f t="array" aca="1" ref="AC1112" ca="1">pHUM*(T1112+W1112+Z1112+AD1112)</f>
        <v>0</v>
      </c>
      <c r="AD1112" s="77">
        <f t="shared" ca="1" si="1479"/>
        <v>0</v>
      </c>
      <c r="AE1112" s="45">
        <f t="shared" ca="1" si="1492"/>
        <v>6.3847072090583081</v>
      </c>
      <c r="AF1112" s="45">
        <f t="shared" ca="1" si="1480"/>
        <v>0</v>
      </c>
      <c r="AG1112" s="76">
        <f t="shared" ca="1" si="1481"/>
        <v>66.755744271095779</v>
      </c>
      <c r="AH1112" s="45">
        <f t="shared" ca="1" si="1482"/>
        <v>0</v>
      </c>
      <c r="AI1112" s="77">
        <f t="shared" ca="1" si="1483"/>
        <v>2.1483610798257256E-2</v>
      </c>
      <c r="AJ1112" s="384">
        <f t="shared" ca="1" si="1485"/>
        <v>1.9340259482708566E-2</v>
      </c>
      <c r="AU1112" s="1"/>
    </row>
    <row r="1113" spans="3:47" x14ac:dyDescent="0.25">
      <c r="C1113" s="10">
        <f t="shared" si="1421"/>
        <v>85</v>
      </c>
      <c r="D1113" s="91">
        <f t="shared" si="1493"/>
        <v>3</v>
      </c>
      <c r="E1113" s="278"/>
      <c r="F1113" s="76">
        <f t="shared" ref="F1113:Q1113" ca="1" si="1498">F1041</f>
        <v>-0.57999999999999996</v>
      </c>
      <c r="G1113" s="46">
        <f t="shared" ca="1" si="1498"/>
        <v>55.530150000000006</v>
      </c>
      <c r="H1113" s="46">
        <f t="shared" ca="1" si="1469"/>
        <v>0</v>
      </c>
      <c r="I1113" s="45">
        <f t="shared" ca="1" si="1470"/>
        <v>8.1834107856600266E-2</v>
      </c>
      <c r="J1113" s="45">
        <f t="shared" ca="1" si="1471"/>
        <v>0.29595601705647312</v>
      </c>
      <c r="K1113" s="45">
        <f t="shared" ca="1" si="1487"/>
        <v>0.95656105889548582</v>
      </c>
      <c r="L1113" s="358">
        <f t="shared" ca="1" si="1472"/>
        <v>0.34200470507454295</v>
      </c>
      <c r="M1113" s="76">
        <f t="shared" ca="1" si="1498"/>
        <v>0.25347808785320641</v>
      </c>
      <c r="N1113" s="45">
        <f t="shared" ca="1" si="1498"/>
        <v>0.25</v>
      </c>
      <c r="O1113" s="45">
        <f t="shared" ca="1" si="1498"/>
        <v>0</v>
      </c>
      <c r="P1113" s="46" t="str">
        <f t="shared" ca="1" si="1498"/>
        <v/>
      </c>
      <c r="Q1113" s="243" t="str">
        <f t="shared" ca="1" si="1498"/>
        <v/>
      </c>
      <c r="R1113" s="45">
        <f t="shared" ca="1" si="1488"/>
        <v>0.88204651187856986</v>
      </c>
      <c r="S1113" s="45">
        <f t="shared" ca="1" si="1423"/>
        <v>5.0695617570641283E-2</v>
      </c>
      <c r="T1113" s="77">
        <f t="shared" ca="1" si="1473"/>
        <v>5.8146070292331417E-2</v>
      </c>
      <c r="U1113" s="45">
        <f t="shared" ca="1" si="1489"/>
        <v>19.544237169819368</v>
      </c>
      <c r="V1113" s="45">
        <f t="shared" ca="1" si="1474"/>
        <v>0.20278247028256513</v>
      </c>
      <c r="W1113" s="77">
        <f t="shared" ca="1" si="1475"/>
        <v>3.9943756859817457E-2</v>
      </c>
      <c r="X1113" s="45">
        <f t="shared" ca="1" si="1490"/>
        <v>1.0061630975492888</v>
      </c>
      <c r="Y1113" s="45">
        <f t="shared" ca="1" si="1476"/>
        <v>8.9026353632691291E-3</v>
      </c>
      <c r="Z1113" s="77">
        <f t="shared" ca="1" si="1477"/>
        <v>4.5184391746417229E-3</v>
      </c>
      <c r="AA1113" s="45">
        <f t="shared" ca="1" si="1491"/>
        <v>39.192068370643447</v>
      </c>
      <c r="AB1113" s="45">
        <f t="shared" ca="1" si="1478"/>
        <v>0</v>
      </c>
      <c r="AC1113" s="45" cm="1">
        <f t="array" aca="1" ref="AC1113" ca="1">pHUM*(T1113+W1113+Z1113+AD1113)</f>
        <v>1.0473688662669565E-2</v>
      </c>
      <c r="AD1113" s="77">
        <f t="shared" ca="1" si="1479"/>
        <v>5.3450487359146285E-3</v>
      </c>
      <c r="AE1113" s="45">
        <f t="shared" ca="1" si="1492"/>
        <v>6.3847072090583081</v>
      </c>
      <c r="AF1113" s="45">
        <f t="shared" ca="1" si="1480"/>
        <v>0</v>
      </c>
      <c r="AG1113" s="76">
        <f t="shared" ca="1" si="1481"/>
        <v>67.009222358948989</v>
      </c>
      <c r="AH1113" s="45">
        <f t="shared" ca="1" si="1482"/>
        <v>8.8576991036766528E-2</v>
      </c>
      <c r="AI1113" s="77">
        <f t="shared" ca="1" si="1483"/>
        <v>2.2174260200462814E-2</v>
      </c>
      <c r="AJ1113" s="384">
        <f t="shared" ca="1" si="1485"/>
        <v>2.5605515573651205E-2</v>
      </c>
      <c r="AU1113" s="1"/>
    </row>
    <row r="1114" spans="3:47" x14ac:dyDescent="0.25">
      <c r="C1114" s="10">
        <f t="shared" si="1421"/>
        <v>85</v>
      </c>
      <c r="D1114" s="91">
        <f t="shared" si="1493"/>
        <v>4</v>
      </c>
      <c r="E1114" s="278"/>
      <c r="F1114" s="76">
        <f t="shared" ref="F1114:Q1114" ca="1" si="1499">F1042</f>
        <v>7.18</v>
      </c>
      <c r="G1114" s="46">
        <f t="shared" ca="1" si="1499"/>
        <v>29.828585295978598</v>
      </c>
      <c r="H1114" s="46">
        <f t="shared" ca="1" si="1469"/>
        <v>25.701564704021408</v>
      </c>
      <c r="I1114" s="45">
        <f t="shared" ca="1" si="1470"/>
        <v>0.34975431431902781</v>
      </c>
      <c r="J1114" s="45">
        <f t="shared" ca="1" si="1471"/>
        <v>0.29147915612483932</v>
      </c>
      <c r="K1114" s="45">
        <f t="shared" ca="1" si="1487"/>
        <v>0.94209137223094908</v>
      </c>
      <c r="L1114" s="358">
        <f t="shared" ca="1" si="1472"/>
        <v>0.62308014794471589</v>
      </c>
      <c r="M1114" s="76">
        <f t="shared" ca="1" si="1499"/>
        <v>0.25347808785320641</v>
      </c>
      <c r="N1114" s="45">
        <f t="shared" ca="1" si="1499"/>
        <v>0.25</v>
      </c>
      <c r="O1114" s="45">
        <f t="shared" ca="1" si="1499"/>
        <v>0</v>
      </c>
      <c r="P1114" s="46" t="str">
        <f t="shared" ca="1" si="1499"/>
        <v/>
      </c>
      <c r="Q1114" s="243" t="str">
        <f t="shared" ca="1" si="1499"/>
        <v/>
      </c>
      <c r="R1114" s="45">
        <f t="shared" ca="1" si="1488"/>
        <v>0.87459605915687966</v>
      </c>
      <c r="S1114" s="45">
        <f t="shared" ca="1" si="1423"/>
        <v>5.0695617570641283E-2</v>
      </c>
      <c r="T1114" s="77">
        <f t="shared" ca="1" si="1473"/>
        <v>0.22112372029543051</v>
      </c>
      <c r="U1114" s="45">
        <f t="shared" ca="1" si="1489"/>
        <v>19.707075883242116</v>
      </c>
      <c r="V1114" s="45">
        <f t="shared" ca="1" si="1474"/>
        <v>0.20278247028256513</v>
      </c>
      <c r="W1114" s="77">
        <f t="shared" ca="1" si="1475"/>
        <v>0.17156470852603625</v>
      </c>
      <c r="X1114" s="45">
        <f t="shared" ca="1" si="1490"/>
        <v>1.0105472937379161</v>
      </c>
      <c r="Y1114" s="45">
        <f t="shared" ca="1" si="1476"/>
        <v>3.5855559867857704E-2</v>
      </c>
      <c r="Z1114" s="77">
        <f t="shared" ca="1" si="1477"/>
        <v>1.925360063044735E-2</v>
      </c>
      <c r="AA1114" s="45">
        <f t="shared" ca="1" si="1491"/>
        <v>39.197197010570207</v>
      </c>
      <c r="AB1114" s="45">
        <f t="shared" ca="1" si="1478"/>
        <v>0</v>
      </c>
      <c r="AC1114" s="45" cm="1">
        <f t="array" aca="1" ref="AC1114" ca="1">pHUM*(T1114+W1114+Z1114+AD1114)</f>
        <v>4.2183011609244363E-2</v>
      </c>
      <c r="AD1114" s="77">
        <f t="shared" ca="1" si="1479"/>
        <v>2.2842322958445141E-2</v>
      </c>
      <c r="AE1114" s="45">
        <f t="shared" ca="1" si="1492"/>
        <v>6.3847072090583081</v>
      </c>
      <c r="AF1114" s="45">
        <f t="shared" ca="1" si="1480"/>
        <v>0</v>
      </c>
      <c r="AG1114" s="76">
        <f t="shared" ca="1" si="1481"/>
        <v>67.174123455765425</v>
      </c>
      <c r="AH1114" s="45">
        <f t="shared" ca="1" si="1482"/>
        <v>0.35674578093325721</v>
      </c>
      <c r="AI1114" s="77">
        <f t="shared" ca="1" si="1483"/>
        <v>2.2083049848188638E-2</v>
      </c>
      <c r="AJ1114" s="384">
        <f t="shared" ca="1" si="1485"/>
        <v>4.5753818584503003E-2</v>
      </c>
      <c r="AU1114" s="1"/>
    </row>
    <row r="1115" spans="3:47" x14ac:dyDescent="0.25">
      <c r="C1115" s="10">
        <f t="shared" si="1421"/>
        <v>85</v>
      </c>
      <c r="D1115" s="91">
        <f t="shared" si="1493"/>
        <v>5</v>
      </c>
      <c r="E1115" s="278"/>
      <c r="F1115" s="76">
        <f t="shared" ref="F1115:Q1115" ca="1" si="1500">F1043</f>
        <v>14.05</v>
      </c>
      <c r="G1115" s="46">
        <f t="shared" ca="1" si="1500"/>
        <v>27.012600000000003</v>
      </c>
      <c r="H1115" s="46">
        <f t="shared" ca="1" si="1469"/>
        <v>28.517550000000004</v>
      </c>
      <c r="I1115" s="45">
        <f t="shared" ca="1" si="1470"/>
        <v>0.75173784437395219</v>
      </c>
      <c r="J1115" s="45">
        <f t="shared" ca="1" si="1471"/>
        <v>0.27952512346894071</v>
      </c>
      <c r="K1115" s="45">
        <f t="shared" ca="1" si="1487"/>
        <v>0.90345467800480783</v>
      </c>
      <c r="L1115" s="358">
        <f t="shared" ca="1" si="1472"/>
        <v>0.82085140481213359</v>
      </c>
      <c r="M1115" s="76">
        <f t="shared" ca="1" si="1500"/>
        <v>0.25347808785320641</v>
      </c>
      <c r="N1115" s="45">
        <f t="shared" ca="1" si="1500"/>
        <v>0.25</v>
      </c>
      <c r="O1115" s="45">
        <f t="shared" ca="1" si="1500"/>
        <v>0</v>
      </c>
      <c r="P1115" s="46" t="str">
        <f t="shared" ca="1" si="1500"/>
        <v/>
      </c>
      <c r="Q1115" s="243" t="str">
        <f t="shared" ca="1" si="1500"/>
        <v/>
      </c>
      <c r="R1115" s="45">
        <f t="shared" ca="1" si="1488"/>
        <v>0.70416795643209051</v>
      </c>
      <c r="S1115" s="45">
        <f t="shared" ca="1" si="1423"/>
        <v>5.0695617570641283E-2</v>
      </c>
      <c r="T1115" s="77">
        <f t="shared" ca="1" si="1473"/>
        <v>0.32779946324687731</v>
      </c>
      <c r="U1115" s="45">
        <f t="shared" ca="1" si="1489"/>
        <v>19.738293644998642</v>
      </c>
      <c r="V1115" s="45">
        <f t="shared" ca="1" si="1474"/>
        <v>0.20278247028256513</v>
      </c>
      <c r="W1115" s="77">
        <f t="shared" ca="1" si="1475"/>
        <v>0.36748657226626158</v>
      </c>
      <c r="X1115" s="45">
        <f t="shared" ca="1" si="1490"/>
        <v>1.0271492529753263</v>
      </c>
      <c r="Y1115" s="45">
        <f t="shared" ca="1" si="1476"/>
        <v>6.4818732754719763E-2</v>
      </c>
      <c r="Z1115" s="77">
        <f t="shared" ca="1" si="1477"/>
        <v>4.1602124818800233E-2</v>
      </c>
      <c r="AA1115" s="45">
        <f t="shared" ca="1" si="1491"/>
        <v>39.216537699221007</v>
      </c>
      <c r="AB1115" s="45">
        <f t="shared" ca="1" si="1478"/>
        <v>0</v>
      </c>
      <c r="AC1115" s="45" cm="1">
        <f t="array" aca="1" ref="AC1115" ca="1">pHUM*(T1115+W1115+Z1115+AD1115)</f>
        <v>7.625733265261149E-2</v>
      </c>
      <c r="AD1115" s="77">
        <f t="shared" ca="1" si="1479"/>
        <v>4.9103491972019027E-2</v>
      </c>
      <c r="AE1115" s="45">
        <f t="shared" ca="1" si="1492"/>
        <v>6.3847072090583081</v>
      </c>
      <c r="AF1115" s="45">
        <f t="shared" ca="1" si="1480"/>
        <v>0</v>
      </c>
      <c r="AG1115" s="76">
        <f t="shared" ca="1" si="1481"/>
        <v>67.070855762685369</v>
      </c>
      <c r="AH1115" s="45">
        <f t="shared" ca="1" si="1482"/>
        <v>0.64491558689662698</v>
      </c>
      <c r="AI1115" s="77">
        <f t="shared" ca="1" si="1483"/>
        <v>1.9808771939147964E-2</v>
      </c>
      <c r="AJ1115" s="384">
        <f t="shared" ca="1" si="1485"/>
        <v>5.1851022205641195E-2</v>
      </c>
      <c r="AU1115" s="1"/>
    </row>
    <row r="1116" spans="3:47" x14ac:dyDescent="0.25">
      <c r="C1116" s="10">
        <f t="shared" si="1421"/>
        <v>85</v>
      </c>
      <c r="D1116" s="91">
        <f t="shared" si="1493"/>
        <v>6</v>
      </c>
      <c r="E1116" s="278"/>
      <c r="F1116" s="76">
        <f t="shared" ref="F1116:Q1116" ca="1" si="1501">F1044</f>
        <v>17.96</v>
      </c>
      <c r="G1116" s="46">
        <f t="shared" ca="1" si="1501"/>
        <v>27.012600000000003</v>
      </c>
      <c r="H1116" s="46">
        <f t="shared" ca="1" si="1469"/>
        <v>28.517550000000004</v>
      </c>
      <c r="I1116" s="45">
        <f t="shared" ca="1" si="1470"/>
        <v>1.0549705763362276</v>
      </c>
      <c r="J1116" s="45">
        <f t="shared" ca="1" si="1471"/>
        <v>0.27952512346894071</v>
      </c>
      <c r="K1116" s="45">
        <f t="shared" ca="1" si="1487"/>
        <v>0.90345467800480783</v>
      </c>
      <c r="L1116" s="358">
        <f t="shared" ca="1" si="1472"/>
        <v>0.89023829243059249</v>
      </c>
      <c r="M1116" s="76">
        <f t="shared" ca="1" si="1501"/>
        <v>0.25347808785320641</v>
      </c>
      <c r="N1116" s="45">
        <f t="shared" ca="1" si="1501"/>
        <v>0.25</v>
      </c>
      <c r="O1116" s="45">
        <f t="shared" ca="1" si="1501"/>
        <v>0</v>
      </c>
      <c r="P1116" s="46" t="str">
        <f t="shared" ca="1" si="1501"/>
        <v/>
      </c>
      <c r="Q1116" s="243" t="str">
        <f t="shared" ca="1" si="1501"/>
        <v/>
      </c>
      <c r="R1116" s="45">
        <f t="shared" ca="1" si="1488"/>
        <v>0.42706411075585454</v>
      </c>
      <c r="S1116" s="45">
        <f t="shared" ca="1" si="1423"/>
        <v>5.0695617570641283E-2</v>
      </c>
      <c r="T1116" s="77">
        <f t="shared" ca="1" si="1473"/>
        <v>0.24977319108169391</v>
      </c>
      <c r="U1116" s="45">
        <f t="shared" ca="1" si="1489"/>
        <v>19.573589543014943</v>
      </c>
      <c r="V1116" s="45">
        <f t="shared" ca="1" si="1474"/>
        <v>0.20278247028256513</v>
      </c>
      <c r="W1116" s="77">
        <f t="shared" ca="1" si="1475"/>
        <v>0.50949077066283921</v>
      </c>
      <c r="X1116" s="45">
        <f t="shared" ca="1" si="1490"/>
        <v>1.0503658609112458</v>
      </c>
      <c r="Y1116" s="45">
        <f t="shared" ca="1" si="1476"/>
        <v>7.3182961250001469E-2</v>
      </c>
      <c r="Z1116" s="77">
        <f t="shared" ca="1" si="1477"/>
        <v>5.9211346619889874E-2</v>
      </c>
      <c r="AA1116" s="45">
        <f t="shared" ca="1" si="1491"/>
        <v>39.243691539901597</v>
      </c>
      <c r="AB1116" s="45">
        <f t="shared" ca="1" si="1478"/>
        <v>0</v>
      </c>
      <c r="AC1116" s="45" cm="1">
        <f t="array" aca="1" ref="AC1116" ca="1">pHUM*(T1116+W1116+Z1116+AD1116)</f>
        <v>8.6097601470589966E-2</v>
      </c>
      <c r="AD1116" s="77">
        <f t="shared" ca="1" si="1479"/>
        <v>6.8940939821897876E-2</v>
      </c>
      <c r="AE1116" s="45">
        <f t="shared" ca="1" si="1492"/>
        <v>6.3847072090583081</v>
      </c>
      <c r="AF1116" s="45">
        <f t="shared" ca="1" si="1480"/>
        <v>0</v>
      </c>
      <c r="AG1116" s="76">
        <f t="shared" ca="1" si="1481"/>
        <v>66.679418263641949</v>
      </c>
      <c r="AH1116" s="45">
        <f t="shared" ca="1" si="1482"/>
        <v>0.7281356854657296</v>
      </c>
      <c r="AI1116" s="77">
        <f t="shared" ca="1" si="1483"/>
        <v>1.606115620288039E-2</v>
      </c>
      <c r="AJ1116" s="384">
        <f t="shared" ca="1" si="1485"/>
        <v>4.5595382663047301E-2</v>
      </c>
      <c r="AU1116" s="1"/>
    </row>
    <row r="1117" spans="3:47" x14ac:dyDescent="0.25">
      <c r="C1117" s="10">
        <f t="shared" si="1421"/>
        <v>85</v>
      </c>
      <c r="D1117" s="91">
        <f t="shared" si="1493"/>
        <v>7</v>
      </c>
      <c r="E1117" s="278"/>
      <c r="F1117" s="76">
        <f t="shared" ref="F1117:Q1117" ca="1" si="1502">F1045</f>
        <v>21.89</v>
      </c>
      <c r="G1117" s="46">
        <f t="shared" ca="1" si="1502"/>
        <v>27.012600000000003</v>
      </c>
      <c r="H1117" s="46">
        <f t="shared" ca="1" si="1469"/>
        <v>28.517550000000004</v>
      </c>
      <c r="I1117" s="45">
        <f t="shared" ca="1" si="1470"/>
        <v>1.3816368002949853</v>
      </c>
      <c r="J1117" s="45">
        <f t="shared" ca="1" si="1471"/>
        <v>0.27952512346894071</v>
      </c>
      <c r="K1117" s="45">
        <f t="shared" ca="1" si="1487"/>
        <v>0.90345467800480783</v>
      </c>
      <c r="L1117" s="358">
        <f t="shared" ca="1" si="1472"/>
        <v>0.9336160920992449</v>
      </c>
      <c r="M1117" s="76">
        <f t="shared" ca="1" si="1502"/>
        <v>0.25347808785320641</v>
      </c>
      <c r="N1117" s="45">
        <f t="shared" ca="1" si="1502"/>
        <v>0.25</v>
      </c>
      <c r="O1117" s="45">
        <f t="shared" ca="1" si="1502"/>
        <v>0</v>
      </c>
      <c r="P1117" s="46" t="str">
        <f t="shared" ca="1" si="1502"/>
        <v/>
      </c>
      <c r="Q1117" s="243" t="str">
        <f t="shared" ca="1" si="1502"/>
        <v/>
      </c>
      <c r="R1117" s="45">
        <f t="shared" ca="1" si="1488"/>
        <v>0.22798653724480192</v>
      </c>
      <c r="S1117" s="45">
        <f t="shared" ca="1" si="1423"/>
        <v>5.0695617570641283E-2</v>
      </c>
      <c r="T1117" s="77">
        <f t="shared" ca="1" si="1473"/>
        <v>0.15589601521205412</v>
      </c>
      <c r="U1117" s="45">
        <f t="shared" ca="1" si="1489"/>
        <v>19.266881242634668</v>
      </c>
      <c r="V1117" s="45">
        <f t="shared" ca="1" si="1474"/>
        <v>0.20278247028256513</v>
      </c>
      <c r="W1117" s="77">
        <f t="shared" ca="1" si="1475"/>
        <v>0.65413358135573696</v>
      </c>
      <c r="X1117" s="45">
        <f t="shared" ca="1" si="1490"/>
        <v>1.0643374755413575</v>
      </c>
      <c r="Y1117" s="45">
        <f t="shared" ca="1" si="1476"/>
        <v>8.0670907746298454E-2</v>
      </c>
      <c r="Z1117" s="77">
        <f t="shared" ca="1" si="1477"/>
        <v>7.7882413150515264E-2</v>
      </c>
      <c r="AA1117" s="45">
        <f t="shared" ca="1" si="1491"/>
        <v>39.260848201550289</v>
      </c>
      <c r="AB1117" s="45">
        <f t="shared" ca="1" si="1478"/>
        <v>0</v>
      </c>
      <c r="AC1117" s="45" cm="1">
        <f t="array" aca="1" ref="AC1117" ca="1">pHUM*(T1117+W1117+Z1117+AD1117)</f>
        <v>9.4906950289762884E-2</v>
      </c>
      <c r="AD1117" s="77">
        <f t="shared" ca="1" si="1479"/>
        <v>9.0303042900974656E-2</v>
      </c>
      <c r="AE1117" s="45">
        <f t="shared" ca="1" si="1492"/>
        <v>6.3847072090583081</v>
      </c>
      <c r="AF1117" s="45">
        <f t="shared" ca="1" si="1480"/>
        <v>0</v>
      </c>
      <c r="AG1117" s="76">
        <f t="shared" ca="1" si="1481"/>
        <v>66.204760666029429</v>
      </c>
      <c r="AH1117" s="45">
        <f t="shared" ca="1" si="1482"/>
        <v>0.80263719458321969</v>
      </c>
      <c r="AI1117" s="77">
        <f t="shared" ca="1" si="1483"/>
        <v>1.3300458195559185E-2</v>
      </c>
      <c r="AJ1117" s="384">
        <f t="shared" ca="1" si="1485"/>
        <v>3.9598175547264081E-2</v>
      </c>
      <c r="AU1117" s="1"/>
    </row>
    <row r="1118" spans="3:47" x14ac:dyDescent="0.25">
      <c r="C1118" s="10">
        <f t="shared" si="1421"/>
        <v>85</v>
      </c>
      <c r="D1118" s="91">
        <f t="shared" si="1493"/>
        <v>8</v>
      </c>
      <c r="E1118" s="278"/>
      <c r="F1118" s="76">
        <f t="shared" ref="F1118:Q1118" ca="1" si="1503">F1046</f>
        <v>20.350000000000001</v>
      </c>
      <c r="G1118" s="46">
        <f t="shared" ca="1" si="1503"/>
        <v>27.012600000000003</v>
      </c>
      <c r="H1118" s="46">
        <f t="shared" ca="1" si="1469"/>
        <v>28.517550000000004</v>
      </c>
      <c r="I1118" s="45">
        <f t="shared" ca="1" si="1470"/>
        <v>1.2518642054104028</v>
      </c>
      <c r="J1118" s="45">
        <f t="shared" ca="1" si="1471"/>
        <v>0.27952512346894071</v>
      </c>
      <c r="K1118" s="45">
        <f t="shared" ca="1" si="1487"/>
        <v>0.90345467800480783</v>
      </c>
      <c r="L1118" s="358">
        <f t="shared" ca="1" si="1472"/>
        <v>0.91927514332007565</v>
      </c>
      <c r="M1118" s="76">
        <f t="shared" ca="1" si="1503"/>
        <v>0.25347808785320641</v>
      </c>
      <c r="N1118" s="45">
        <f t="shared" ca="1" si="1503"/>
        <v>0.25</v>
      </c>
      <c r="O1118" s="45">
        <f t="shared" ca="1" si="1503"/>
        <v>0</v>
      </c>
      <c r="P1118" s="46" t="str">
        <f t="shared" ca="1" si="1503"/>
        <v/>
      </c>
      <c r="Q1118" s="243" t="str">
        <f t="shared" ca="1" si="1503"/>
        <v/>
      </c>
      <c r="R1118" s="45">
        <f t="shared" ca="1" si="1488"/>
        <v>0.12278613960338911</v>
      </c>
      <c r="S1118" s="45">
        <f t="shared" ca="1" si="1423"/>
        <v>5.0695617570641283E-2</v>
      </c>
      <c r="T1118" s="77">
        <f t="shared" ca="1" si="1473"/>
        <v>7.9526332198068456E-2</v>
      </c>
      <c r="U1118" s="45">
        <f t="shared" ca="1" si="1489"/>
        <v>18.815530131561495</v>
      </c>
      <c r="V1118" s="45">
        <f t="shared" ca="1" si="1474"/>
        <v>0.20278247028256513</v>
      </c>
      <c r="W1118" s="77">
        <f t="shared" ca="1" si="1475"/>
        <v>0.57974290489603197</v>
      </c>
      <c r="X1118" s="45">
        <f t="shared" ca="1" si="1490"/>
        <v>1.0671259701371405</v>
      </c>
      <c r="Y1118" s="45">
        <f t="shared" ca="1" si="1476"/>
        <v>6.6972712354349512E-2</v>
      </c>
      <c r="Z1118" s="77">
        <f t="shared" ca="1" si="1477"/>
        <v>7.100194491718749E-2</v>
      </c>
      <c r="AA1118" s="45">
        <f t="shared" ca="1" si="1491"/>
        <v>39.265452108939073</v>
      </c>
      <c r="AB1118" s="45">
        <f t="shared" ca="1" si="1478"/>
        <v>0</v>
      </c>
      <c r="AC1118" s="45" cm="1">
        <f t="array" aca="1" ref="AC1118" ca="1">pHUM*(T1118+W1118+Z1118+AD1118)</f>
        <v>7.8791426299234718E-2</v>
      </c>
      <c r="AD1118" s="77">
        <f t="shared" ca="1" si="1479"/>
        <v>8.183961691265304E-2</v>
      </c>
      <c r="AE1118" s="45">
        <f t="shared" ca="1" si="1492"/>
        <v>6.3847072090583081</v>
      </c>
      <c r="AF1118" s="45">
        <f t="shared" ca="1" si="1480"/>
        <v>0</v>
      </c>
      <c r="AG1118" s="76">
        <f t="shared" ca="1" si="1481"/>
        <v>65.655601559299399</v>
      </c>
      <c r="AH1118" s="45">
        <f t="shared" ca="1" si="1482"/>
        <v>0.66634666027035683</v>
      </c>
      <c r="AI1118" s="77">
        <f t="shared" ca="1" si="1483"/>
        <v>1.1756940610904329E-2</v>
      </c>
      <c r="AJ1118" s="384">
        <f t="shared" ca="1" si="1485"/>
        <v>3.4465310078223288E-2</v>
      </c>
      <c r="AU1118" s="1"/>
    </row>
    <row r="1119" spans="3:47" x14ac:dyDescent="0.25">
      <c r="C1119" s="10">
        <f t="shared" si="1421"/>
        <v>85</v>
      </c>
      <c r="D1119" s="91">
        <f t="shared" si="1493"/>
        <v>9</v>
      </c>
      <c r="E1119" s="278"/>
      <c r="F1119" s="76">
        <f t="shared" ref="F1119:Q1119" ca="1" si="1504">F1047</f>
        <v>17.38</v>
      </c>
      <c r="G1119" s="46">
        <f t="shared" ca="1" si="1504"/>
        <v>27.012600000000003</v>
      </c>
      <c r="H1119" s="46">
        <f t="shared" ca="1" si="1469"/>
        <v>28.517550000000004</v>
      </c>
      <c r="I1119" s="45">
        <f t="shared" ca="1" si="1470"/>
        <v>1.0082864185928893</v>
      </c>
      <c r="J1119" s="45">
        <f t="shared" ca="1" si="1471"/>
        <v>0.27952512346894071</v>
      </c>
      <c r="K1119" s="45">
        <f t="shared" ca="1" si="1487"/>
        <v>0.90345467800480783</v>
      </c>
      <c r="L1119" s="358">
        <f t="shared" ca="1" si="1472"/>
        <v>0.88177917719725518</v>
      </c>
      <c r="M1119" s="76">
        <f t="shared" ca="1" si="1504"/>
        <v>0.25347808785320641</v>
      </c>
      <c r="N1119" s="45">
        <f t="shared" ca="1" si="1504"/>
        <v>0.25</v>
      </c>
      <c r="O1119" s="45">
        <f t="shared" ca="1" si="1504"/>
        <v>0</v>
      </c>
      <c r="P1119" s="46" t="str">
        <f t="shared" ca="1" si="1504"/>
        <v/>
      </c>
      <c r="Q1119" s="243" t="str">
        <f t="shared" ca="1" si="1504"/>
        <v/>
      </c>
      <c r="R1119" s="45">
        <f t="shared" ca="1" si="1488"/>
        <v>9.3955424975961932E-2</v>
      </c>
      <c r="S1119" s="45">
        <f t="shared" ca="1" si="1423"/>
        <v>5.0695617570641283E-2</v>
      </c>
      <c r="T1119" s="77">
        <f t="shared" ca="1" si="1473"/>
        <v>5.340355944267039E-2</v>
      </c>
      <c r="U1119" s="45">
        <f t="shared" ca="1" si="1489"/>
        <v>18.438569696948026</v>
      </c>
      <c r="V1119" s="45">
        <f t="shared" ca="1" si="1474"/>
        <v>0.20278247028256513</v>
      </c>
      <c r="W1119" s="77">
        <f t="shared" ca="1" si="1475"/>
        <v>0.45897495492135426</v>
      </c>
      <c r="X1119" s="45">
        <f t="shared" ca="1" si="1490"/>
        <v>1.0630967375743026</v>
      </c>
      <c r="Y1119" s="45">
        <f t="shared" ca="1" si="1476"/>
        <v>5.2420655829379333E-2</v>
      </c>
      <c r="Z1119" s="77">
        <f t="shared" ca="1" si="1477"/>
        <v>5.7349941232949217E-2</v>
      </c>
      <c r="AA1119" s="45">
        <f t="shared" ca="1" si="1491"/>
        <v>39.262403918325653</v>
      </c>
      <c r="AB1119" s="45">
        <f t="shared" ca="1" si="1478"/>
        <v>0</v>
      </c>
      <c r="AC1119" s="45" cm="1">
        <f t="array" aca="1" ref="AC1119" ca="1">pHUM*(T1119+W1119+Z1119+AD1119)</f>
        <v>6.1671359799269805E-2</v>
      </c>
      <c r="AD1119" s="77">
        <f t="shared" ca="1" si="1479"/>
        <v>6.5924173498753805E-2</v>
      </c>
      <c r="AE1119" s="45">
        <f t="shared" ca="1" si="1492"/>
        <v>6.3847072090583081</v>
      </c>
      <c r="AF1119" s="45">
        <f t="shared" ca="1" si="1480"/>
        <v>0</v>
      </c>
      <c r="AG1119" s="76">
        <f t="shared" ca="1" si="1481"/>
        <v>65.242732986882245</v>
      </c>
      <c r="AH1119" s="45">
        <f t="shared" ca="1" si="1482"/>
        <v>0.5215606134670786</v>
      </c>
      <c r="AI1119" s="77">
        <f t="shared" ca="1" si="1483"/>
        <v>1.126724998961815E-2</v>
      </c>
      <c r="AJ1119" s="384">
        <f t="shared" ca="1" si="1485"/>
        <v>3.1682632357531437E-2</v>
      </c>
      <c r="AU1119" s="1"/>
    </row>
    <row r="1120" spans="3:47" x14ac:dyDescent="0.25">
      <c r="C1120" s="10">
        <f t="shared" si="1421"/>
        <v>85</v>
      </c>
      <c r="D1120" s="91">
        <f t="shared" si="1493"/>
        <v>10</v>
      </c>
      <c r="E1120" s="278"/>
      <c r="F1120" s="76">
        <f t="shared" ref="F1120:Q1120" ca="1" si="1505">F1048</f>
        <v>9.61</v>
      </c>
      <c r="G1120" s="46">
        <f t="shared" ca="1" si="1505"/>
        <v>27.012600000000003</v>
      </c>
      <c r="H1120" s="46">
        <f t="shared" ca="1" si="1469"/>
        <v>28.517550000000004</v>
      </c>
      <c r="I1120" s="45">
        <f t="shared" ca="1" si="1470"/>
        <v>0.45243046736638293</v>
      </c>
      <c r="J1120" s="45">
        <f t="shared" ca="1" si="1471"/>
        <v>0.27952512346894071</v>
      </c>
      <c r="K1120" s="45">
        <f t="shared" ca="1" si="1487"/>
        <v>0.90345467800480783</v>
      </c>
      <c r="L1120" s="358">
        <f t="shared" ca="1" si="1472"/>
        <v>0.70354868513849667</v>
      </c>
      <c r="M1120" s="76">
        <f t="shared" ca="1" si="1505"/>
        <v>0.25347808785320641</v>
      </c>
      <c r="N1120" s="45">
        <f t="shared" ca="1" si="1505"/>
        <v>0.25</v>
      </c>
      <c r="O1120" s="45">
        <f t="shared" ca="1" si="1505"/>
        <v>0</v>
      </c>
      <c r="P1120" s="46" t="str">
        <f t="shared" ca="1" si="1505"/>
        <v/>
      </c>
      <c r="Q1120" s="243" t="str">
        <f t="shared" ca="1" si="1505"/>
        <v/>
      </c>
      <c r="R1120" s="45">
        <f t="shared" ca="1" si="1488"/>
        <v>9.1247483103932825E-2</v>
      </c>
      <c r="S1120" s="45">
        <f t="shared" ca="1" si="1423"/>
        <v>5.0695617570641283E-2</v>
      </c>
      <c r="T1120" s="77">
        <f t="shared" ca="1" si="1473"/>
        <v>2.8660956799418685E-2</v>
      </c>
      <c r="U1120" s="45">
        <f t="shared" ca="1" si="1489"/>
        <v>18.182377212309234</v>
      </c>
      <c r="V1120" s="45">
        <f t="shared" ca="1" si="1474"/>
        <v>0.20278247028256513</v>
      </c>
      <c r="W1120" s="77">
        <f t="shared" ca="1" si="1475"/>
        <v>0.20449784215166256</v>
      </c>
      <c r="X1120" s="45">
        <f t="shared" ca="1" si="1490"/>
        <v>1.0581674521707327</v>
      </c>
      <c r="Y1120" s="45">
        <f t="shared" ca="1" si="1476"/>
        <v>2.3813011700027586E-2</v>
      </c>
      <c r="Z1120" s="77">
        <f t="shared" ca="1" si="1477"/>
        <v>2.6006189034738315E-2</v>
      </c>
      <c r="AA1120" s="45">
        <f t="shared" ca="1" si="1491"/>
        <v>39.258151104626172</v>
      </c>
      <c r="AB1120" s="45">
        <f t="shared" ca="1" si="1478"/>
        <v>0</v>
      </c>
      <c r="AC1120" s="45" cm="1">
        <f t="array" aca="1" ref="AC1120" ca="1">pHUM*(T1120+W1120+Z1120+AD1120)</f>
        <v>2.8015307882385397E-2</v>
      </c>
      <c r="AD1120" s="77">
        <f t="shared" ca="1" si="1479"/>
        <v>2.9591481278465923E-2</v>
      </c>
      <c r="AE1120" s="45">
        <f t="shared" ca="1" si="1492"/>
        <v>6.3847072090583081</v>
      </c>
      <c r="AF1120" s="45">
        <f t="shared" ca="1" si="1480"/>
        <v>0</v>
      </c>
      <c r="AG1120" s="76">
        <f t="shared" ca="1" si="1481"/>
        <v>64.974650461268382</v>
      </c>
      <c r="AH1120" s="45">
        <f t="shared" ca="1" si="1482"/>
        <v>0.23692814968187254</v>
      </c>
      <c r="AI1120" s="77">
        <f t="shared" ca="1" si="1483"/>
        <v>1.1166224525175043E-2</v>
      </c>
      <c r="AJ1120" s="384">
        <f t="shared" ca="1" si="1485"/>
        <v>2.5052248864331217E-2</v>
      </c>
      <c r="AU1120" s="1"/>
    </row>
    <row r="1121" spans="3:47" x14ac:dyDescent="0.25">
      <c r="C1121" s="10">
        <f t="shared" si="1421"/>
        <v>85</v>
      </c>
      <c r="D1121" s="91">
        <f t="shared" si="1493"/>
        <v>11</v>
      </c>
      <c r="E1121" s="278"/>
      <c r="F1121" s="76">
        <f t="shared" ref="F1121:Q1121" ca="1" si="1506">F1049</f>
        <v>5.71</v>
      </c>
      <c r="G1121" s="46">
        <f t="shared" ca="1" si="1506"/>
        <v>27.012600000000003</v>
      </c>
      <c r="H1121" s="46">
        <f t="shared" ca="1" si="1469"/>
        <v>28.517550000000004</v>
      </c>
      <c r="I1121" s="45">
        <f t="shared" ca="1" si="1470"/>
        <v>0.24617612464957264</v>
      </c>
      <c r="J1121" s="45">
        <f t="shared" ca="1" si="1471"/>
        <v>0.27952512346894071</v>
      </c>
      <c r="K1121" s="45">
        <f t="shared" ca="1" si="1487"/>
        <v>0.90345467800480783</v>
      </c>
      <c r="L1121" s="358">
        <f t="shared" ca="1" si="1472"/>
        <v>0.57043958344737544</v>
      </c>
      <c r="M1121" s="76">
        <f t="shared" ca="1" si="1506"/>
        <v>0.25347808785320641</v>
      </c>
      <c r="N1121" s="45">
        <f t="shared" ca="1" si="1506"/>
        <v>0.25</v>
      </c>
      <c r="O1121" s="45">
        <f t="shared" ca="1" si="1506"/>
        <v>0</v>
      </c>
      <c r="P1121" s="46" t="str">
        <f t="shared" ca="1" si="1506"/>
        <v/>
      </c>
      <c r="Q1121" s="243" t="str">
        <f t="shared" ca="1" si="1506"/>
        <v/>
      </c>
      <c r="R1121" s="45">
        <f t="shared" ca="1" si="1488"/>
        <v>0.11328214387515542</v>
      </c>
      <c r="S1121" s="45">
        <f t="shared" ca="1" si="1423"/>
        <v>5.0695617570641283E-2</v>
      </c>
      <c r="T1121" s="77">
        <f t="shared" ca="1" si="1473"/>
        <v>2.1010693094592452E-2</v>
      </c>
      <c r="U1121" s="45">
        <f t="shared" ca="1" si="1489"/>
        <v>18.180661840440134</v>
      </c>
      <c r="V1121" s="45">
        <f t="shared" ca="1" si="1474"/>
        <v>0.20278247028256513</v>
      </c>
      <c r="W1121" s="77">
        <f t="shared" ca="1" si="1475"/>
        <v>0.11154751561003887</v>
      </c>
      <c r="X1121" s="45">
        <f t="shared" ca="1" si="1490"/>
        <v>1.0559742748360219</v>
      </c>
      <c r="Y1121" s="45">
        <f t="shared" ca="1" si="1476"/>
        <v>1.3430883273182004E-2</v>
      </c>
      <c r="Z1121" s="77">
        <f t="shared" ca="1" si="1477"/>
        <v>1.4201204130441045E-2</v>
      </c>
      <c r="AA1121" s="45">
        <f t="shared" ca="1" si="1491"/>
        <v>39.256574931230091</v>
      </c>
      <c r="AB1121" s="45">
        <f t="shared" ca="1" si="1478"/>
        <v>0</v>
      </c>
      <c r="AC1121" s="45" cm="1">
        <f t="array" aca="1" ref="AC1121" ca="1">pHUM*(T1121+W1121+Z1121+AD1121)</f>
        <v>1.5801039144920006E-2</v>
      </c>
      <c r="AD1121" s="77">
        <f t="shared" ca="1" si="1479"/>
        <v>1.6103415349751186E-2</v>
      </c>
      <c r="AE1121" s="45">
        <f t="shared" ca="1" si="1492"/>
        <v>6.3847072090583081</v>
      </c>
      <c r="AF1121" s="45">
        <f t="shared" ca="1" si="1480"/>
        <v>0</v>
      </c>
      <c r="AG1121" s="76">
        <f t="shared" ca="1" si="1481"/>
        <v>64.991200399439705</v>
      </c>
      <c r="AH1121" s="45">
        <f t="shared" ca="1" si="1482"/>
        <v>0.13363090576672154</v>
      </c>
      <c r="AI1121" s="77">
        <f t="shared" ca="1" si="1483"/>
        <v>1.1473550215513609E-2</v>
      </c>
      <c r="AJ1121" s="384">
        <f t="shared" ca="1" si="1485"/>
        <v>2.0871583182547893E-2</v>
      </c>
      <c r="AU1121" s="1"/>
    </row>
    <row r="1122" spans="3:47" x14ac:dyDescent="0.25">
      <c r="C1122" s="10">
        <f t="shared" si="1421"/>
        <v>85</v>
      </c>
      <c r="D1122" s="91">
        <f t="shared" si="1493"/>
        <v>12</v>
      </c>
      <c r="E1122" s="278"/>
      <c r="F1122" s="76">
        <f t="shared" ref="F1122:Q1122" ca="1" si="1507">F1050</f>
        <v>-0.46</v>
      </c>
      <c r="G1122" s="46">
        <f t="shared" ca="1" si="1507"/>
        <v>27.012600000000003</v>
      </c>
      <c r="H1122" s="46">
        <f t="shared" ca="1" si="1469"/>
        <v>28.517550000000004</v>
      </c>
      <c r="I1122" s="45">
        <f t="shared" ca="1" si="1470"/>
        <v>5.3686278337302371E-2</v>
      </c>
      <c r="J1122" s="45">
        <f t="shared" ca="1" si="1471"/>
        <v>0.27952512346894071</v>
      </c>
      <c r="K1122" s="45">
        <f t="shared" ca="1" si="1487"/>
        <v>0.90345467800480783</v>
      </c>
      <c r="L1122" s="358">
        <f t="shared" ca="1" si="1472"/>
        <v>0.34604490353891793</v>
      </c>
      <c r="M1122" s="76">
        <f t="shared" ca="1" si="1507"/>
        <v>0.25347808785320641</v>
      </c>
      <c r="N1122" s="45">
        <f t="shared" ca="1" si="1507"/>
        <v>0.25</v>
      </c>
      <c r="O1122" s="45">
        <f t="shared" ca="1" si="1507"/>
        <v>0</v>
      </c>
      <c r="P1122" s="46" t="str">
        <f t="shared" ca="1" si="1507"/>
        <v/>
      </c>
      <c r="Q1122" s="243" t="str">
        <f t="shared" ca="1" si="1507"/>
        <v/>
      </c>
      <c r="R1122" s="45">
        <f t="shared" ca="1" si="1488"/>
        <v>0.14296706835120426</v>
      </c>
      <c r="S1122" s="45">
        <f t="shared" ca="1" si="1423"/>
        <v>5.0695617570641283E-2</v>
      </c>
      <c r="T1122" s="77">
        <f t="shared" ca="1" si="1473"/>
        <v>6.255174458432983E-3</v>
      </c>
      <c r="U1122" s="45">
        <f t="shared" ca="1" si="1489"/>
        <v>18.27189679511266</v>
      </c>
      <c r="V1122" s="45">
        <f t="shared" ca="1" si="1474"/>
        <v>0.20278247028256513</v>
      </c>
      <c r="W1122" s="77">
        <f t="shared" ca="1" si="1475"/>
        <v>2.4507303424486204E-2</v>
      </c>
      <c r="X1122" s="45">
        <f t="shared" ca="1" si="1490"/>
        <v>1.0552039539787628</v>
      </c>
      <c r="Y1122" s="45">
        <f t="shared" ca="1" si="1476"/>
        <v>3.0831293691574936E-3</v>
      </c>
      <c r="Z1122" s="77">
        <f t="shared" ca="1" si="1477"/>
        <v>3.1111530429648714E-3</v>
      </c>
      <c r="AA1122" s="45">
        <f t="shared" ca="1" si="1491"/>
        <v>39.256272555025255</v>
      </c>
      <c r="AB1122" s="45">
        <f t="shared" ca="1" si="1478"/>
        <v>0</v>
      </c>
      <c r="AC1122" s="45" cm="1">
        <f t="array" aca="1" ref="AC1122" ca="1">pHUM*(T1122+W1122+Z1122+AD1122)</f>
        <v>3.6272110225382278E-3</v>
      </c>
      <c r="AD1122" s="77">
        <f t="shared" ca="1" si="1479"/>
        <v>3.5123814835378996E-3</v>
      </c>
      <c r="AE1122" s="45">
        <f t="shared" ca="1" si="1492"/>
        <v>6.3847072090583081</v>
      </c>
      <c r="AF1122" s="45">
        <f t="shared" ca="1" si="1480"/>
        <v>0</v>
      </c>
      <c r="AG1122" s="76">
        <f t="shared" ca="1" si="1481"/>
        <v>65.111047581526194</v>
      </c>
      <c r="AH1122" s="45">
        <f t="shared" ca="1" si="1482"/>
        <v>3.0675672017726242E-2</v>
      </c>
      <c r="AI1122" s="77">
        <f t="shared" ca="1" si="1483"/>
        <v>1.1909476692431309E-2</v>
      </c>
      <c r="AJ1122" s="384">
        <f t="shared" ca="1" si="1485"/>
        <v>1.3142446607508074E-2</v>
      </c>
      <c r="AU1122" s="1"/>
    </row>
    <row r="1123" spans="3:47" x14ac:dyDescent="0.25">
      <c r="C1123" s="10">
        <f t="shared" si="1421"/>
        <v>86</v>
      </c>
      <c r="D1123" s="91">
        <f t="shared" si="1493"/>
        <v>1</v>
      </c>
      <c r="E1123" s="278"/>
      <c r="F1123" s="76">
        <f t="shared" ref="F1123:Q1123" ca="1" si="1508">F1051</f>
        <v>-3.44</v>
      </c>
      <c r="G1123" s="46">
        <f t="shared" ca="1" si="1508"/>
        <v>27.012600000000003</v>
      </c>
      <c r="H1123" s="46">
        <f t="shared" ca="1" si="1469"/>
        <v>28.517550000000004</v>
      </c>
      <c r="I1123" s="45">
        <f t="shared" ca="1" si="1470"/>
        <v>1.6253779081695344E-2</v>
      </c>
      <c r="J1123" s="45">
        <f t="shared" ca="1" si="1471"/>
        <v>0.27952512346894071</v>
      </c>
      <c r="K1123" s="45">
        <f t="shared" ca="1" si="1487"/>
        <v>0.90345467800480783</v>
      </c>
      <c r="L1123" s="358">
        <f t="shared" ca="1" si="1472"/>
        <v>0.25329647647379749</v>
      </c>
      <c r="M1123" s="76">
        <f t="shared" ca="1" si="1508"/>
        <v>0.25347808785320641</v>
      </c>
      <c r="N1123" s="45">
        <f t="shared" ca="1" si="1508"/>
        <v>0.25</v>
      </c>
      <c r="O1123" s="45">
        <f t="shared" ca="1" si="1508"/>
        <v>0</v>
      </c>
      <c r="P1123" s="46" t="str">
        <f t="shared" ca="1" si="1508"/>
        <v/>
      </c>
      <c r="Q1123" s="243" t="str">
        <f t="shared" ca="1" si="1508"/>
        <v/>
      </c>
      <c r="R1123" s="45">
        <f t="shared" ca="1" si="1488"/>
        <v>0.18740751146341256</v>
      </c>
      <c r="S1123" s="45">
        <f t="shared" ca="1" si="1423"/>
        <v>5.0695617570641283E-2</v>
      </c>
      <c r="T1123" s="77">
        <f t="shared" ca="1" si="1473"/>
        <v>2.5212865139021302E-3</v>
      </c>
      <c r="U1123" s="45">
        <f t="shared" ca="1" si="1489"/>
        <v>18.450171961970739</v>
      </c>
      <c r="V1123" s="45">
        <f t="shared" ca="1" si="1474"/>
        <v>0.20278247028256513</v>
      </c>
      <c r="W1123" s="77">
        <f t="shared" ca="1" si="1475"/>
        <v>7.495602475758441E-3</v>
      </c>
      <c r="X1123" s="45">
        <f t="shared" ca="1" si="1490"/>
        <v>1.0551759303049555</v>
      </c>
      <c r="Y1123" s="45">
        <f t="shared" ca="1" si="1476"/>
        <v>9.9152082920724201E-4</v>
      </c>
      <c r="Z1123" s="77">
        <f t="shared" ca="1" si="1477"/>
        <v>9.4286130356928757E-4</v>
      </c>
      <c r="AA1123" s="45">
        <f t="shared" ca="1" si="1491"/>
        <v>39.256387384564256</v>
      </c>
      <c r="AB1123" s="45">
        <f t="shared" ca="1" si="1478"/>
        <v>0</v>
      </c>
      <c r="AC1123" s="45" cm="1">
        <f t="array" aca="1" ref="AC1123" ca="1">pHUM*(T1123+W1123+Z1123+AD1123)</f>
        <v>1.1664950931849908E-3</v>
      </c>
      <c r="AD1123" s="77">
        <f t="shared" ca="1" si="1479"/>
        <v>1.0634266761724695E-3</v>
      </c>
      <c r="AE1123" s="45">
        <f t="shared" ca="1" si="1492"/>
        <v>6.3847072090583081</v>
      </c>
      <c r="AF1123" s="45">
        <f t="shared" ca="1" si="1480"/>
        <v>0</v>
      </c>
      <c r="AG1123" s="76">
        <f t="shared" ca="1" si="1481"/>
        <v>65.333849997361668</v>
      </c>
      <c r="AH1123" s="45">
        <f t="shared" ca="1" si="1482"/>
        <v>9.8651610470100962E-3</v>
      </c>
      <c r="AI1123" s="77">
        <f t="shared" ca="1" si="1483"/>
        <v>1.2568277988431839E-2</v>
      </c>
      <c r="AJ1123" s="384">
        <f t="shared" ca="1" si="1485"/>
        <v>1.0152131551879329E-2</v>
      </c>
      <c r="AU1123" s="1"/>
    </row>
    <row r="1124" spans="3:47" x14ac:dyDescent="0.25">
      <c r="C1124" s="10">
        <f t="shared" si="1421"/>
        <v>86</v>
      </c>
      <c r="D1124" s="91">
        <f t="shared" si="1493"/>
        <v>2</v>
      </c>
      <c r="E1124" s="278"/>
      <c r="F1124" s="76">
        <f t="shared" ref="F1124:Q1124" ca="1" si="1509">F1052</f>
        <v>-1.65</v>
      </c>
      <c r="G1124" s="46">
        <f t="shared" ca="1" si="1509"/>
        <v>27.012600000000003</v>
      </c>
      <c r="H1124" s="46">
        <f t="shared" ca="1" si="1469"/>
        <v>28.517550000000004</v>
      </c>
      <c r="I1124" s="45">
        <f t="shared" ca="1" si="1470"/>
        <v>3.508132091145684E-2</v>
      </c>
      <c r="J1124" s="45">
        <f t="shared" ca="1" si="1471"/>
        <v>0.27952512346894071</v>
      </c>
      <c r="K1124" s="45">
        <f t="shared" ca="1" si="1487"/>
        <v>0.90345467800480783</v>
      </c>
      <c r="L1124" s="358">
        <f t="shared" ca="1" si="1472"/>
        <v>0.30703519550320224</v>
      </c>
      <c r="M1124" s="76">
        <f t="shared" ca="1" si="1509"/>
        <v>0.25347808785320641</v>
      </c>
      <c r="N1124" s="45">
        <f t="shared" ca="1" si="1509"/>
        <v>0.25</v>
      </c>
      <c r="O1124" s="45">
        <f t="shared" ca="1" si="1509"/>
        <v>0</v>
      </c>
      <c r="P1124" s="46" t="str">
        <f t="shared" ca="1" si="1509"/>
        <v/>
      </c>
      <c r="Q1124" s="243" t="str">
        <f t="shared" ca="1" si="1509"/>
        <v/>
      </c>
      <c r="R1124" s="45">
        <f t="shared" ca="1" si="1488"/>
        <v>0.23558184252015171</v>
      </c>
      <c r="S1124" s="45">
        <f t="shared" ca="1" si="1423"/>
        <v>5.0695617570641283E-2</v>
      </c>
      <c r="T1124" s="77">
        <f t="shared" ca="1" si="1473"/>
        <v>6.7874054706907241E-3</v>
      </c>
      <c r="U1124" s="45">
        <f t="shared" ca="1" si="1489"/>
        <v>18.645458829777546</v>
      </c>
      <c r="V1124" s="45">
        <f t="shared" ca="1" si="1474"/>
        <v>0.20278247028256513</v>
      </c>
      <c r="W1124" s="77">
        <f t="shared" ca="1" si="1475"/>
        <v>1.6345514293085277E-2</v>
      </c>
      <c r="X1124" s="45">
        <f t="shared" ca="1" si="1490"/>
        <v>1.0552245898305934</v>
      </c>
      <c r="Y1124" s="45">
        <f t="shared" ca="1" si="1476"/>
        <v>2.2647377344920832E-3</v>
      </c>
      <c r="Z1124" s="77">
        <f t="shared" ca="1" si="1477"/>
        <v>2.0340640193305514E-3</v>
      </c>
      <c r="AA1124" s="45">
        <f t="shared" ca="1" si="1491"/>
        <v>39.256490452981268</v>
      </c>
      <c r="AB1124" s="45">
        <f t="shared" ca="1" si="1478"/>
        <v>0</v>
      </c>
      <c r="AC1124" s="45" cm="1">
        <f t="array" aca="1" ref="AC1124" ca="1">pHUM*(T1124+W1124+Z1124+AD1124)</f>
        <v>2.6643973346965684E-3</v>
      </c>
      <c r="AD1124" s="77">
        <f t="shared" ca="1" si="1479"/>
        <v>2.2952154657508708E-3</v>
      </c>
      <c r="AE1124" s="45">
        <f t="shared" ca="1" si="1492"/>
        <v>6.3847072090583081</v>
      </c>
      <c r="AF1124" s="45">
        <f t="shared" ca="1" si="1480"/>
        <v>0</v>
      </c>
      <c r="AG1124" s="76">
        <f t="shared" ca="1" si="1481"/>
        <v>65.577462924167861</v>
      </c>
      <c r="AH1124" s="45">
        <f t="shared" ca="1" si="1482"/>
        <v>2.2533064179668778E-2</v>
      </c>
      <c r="AI1124" s="77">
        <f t="shared" ca="1" si="1483"/>
        <v>1.3277292126018315E-2</v>
      </c>
      <c r="AJ1124" s="384">
        <f t="shared" ca="1" si="1485"/>
        <v>1.3000163538025022E-2</v>
      </c>
      <c r="AU1124" s="1"/>
    </row>
    <row r="1125" spans="3:47" x14ac:dyDescent="0.25">
      <c r="C1125" s="10">
        <f t="shared" ref="C1125:C1188" si="1510">IF(D1125=1,C1124+1,C1124)</f>
        <v>86</v>
      </c>
      <c r="D1125" s="91">
        <f t="shared" si="1493"/>
        <v>3</v>
      </c>
      <c r="E1125" s="278"/>
      <c r="F1125" s="76">
        <f t="shared" ref="F1125:Q1125" ca="1" si="1511">F1053</f>
        <v>4.68</v>
      </c>
      <c r="G1125" s="46">
        <f t="shared" ca="1" si="1511"/>
        <v>27.012600000000003</v>
      </c>
      <c r="H1125" s="46">
        <f t="shared" ca="1" si="1469"/>
        <v>28.517550000000004</v>
      </c>
      <c r="I1125" s="45">
        <f t="shared" ca="1" si="1470"/>
        <v>0.20228669449817699</v>
      </c>
      <c r="J1125" s="45">
        <f t="shared" ca="1" si="1471"/>
        <v>0.27952512346894071</v>
      </c>
      <c r="K1125" s="45">
        <f t="shared" ca="1" si="1487"/>
        <v>0.90345467800480783</v>
      </c>
      <c r="L1125" s="358">
        <f t="shared" ca="1" si="1472"/>
        <v>0.53248567772813127</v>
      </c>
      <c r="M1125" s="76">
        <f t="shared" ca="1" si="1511"/>
        <v>0.25347808785320641</v>
      </c>
      <c r="N1125" s="45">
        <f t="shared" ca="1" si="1511"/>
        <v>0.25</v>
      </c>
      <c r="O1125" s="45">
        <f t="shared" ca="1" si="1511"/>
        <v>0</v>
      </c>
      <c r="P1125" s="46" t="str">
        <f t="shared" ca="1" si="1511"/>
        <v/>
      </c>
      <c r="Q1125" s="243" t="str">
        <f t="shared" ca="1" si="1511"/>
        <v/>
      </c>
      <c r="R1125" s="45">
        <f t="shared" ca="1" si="1488"/>
        <v>0.27949005462010229</v>
      </c>
      <c r="S1125" s="45">
        <f t="shared" ref="S1125:S1188" ca="1" si="1512">M1125*N1125/(1+N1125) +   IF(O1125&gt;0,O1125*P1125*(1-Q1125)/(1+P1125),0)</f>
        <v>5.0695617570641283E-2</v>
      </c>
      <c r="T1125" s="77">
        <f t="shared" ca="1" si="1473"/>
        <v>4.3357229787122406E-2</v>
      </c>
      <c r="U1125" s="45">
        <f t="shared" ca="1" si="1489"/>
        <v>18.831895785767024</v>
      </c>
      <c r="V1125" s="45">
        <f t="shared" ca="1" si="1474"/>
        <v>0.20278247028256513</v>
      </c>
      <c r="W1125" s="77">
        <f t="shared" ca="1" si="1475"/>
        <v>9.4995641852234608E-2</v>
      </c>
      <c r="X1125" s="45">
        <f t="shared" ca="1" si="1490"/>
        <v>1.0554552635457548</v>
      </c>
      <c r="Y1125" s="45">
        <f t="shared" ca="1" si="1476"/>
        <v>1.3463929236325384E-2</v>
      </c>
      <c r="Z1125" s="77">
        <f t="shared" ca="1" si="1477"/>
        <v>1.1677668630253971E-2</v>
      </c>
      <c r="AA1125" s="45">
        <f t="shared" ca="1" si="1491"/>
        <v>39.256859634850215</v>
      </c>
      <c r="AB1125" s="45">
        <f t="shared" ca="1" si="1478"/>
        <v>0</v>
      </c>
      <c r="AC1125" s="45" cm="1">
        <f t="array" aca="1" ref="AC1125" ca="1">pHUM*(T1125+W1125+Z1125+AD1125)</f>
        <v>1.5839916748618097E-2</v>
      </c>
      <c r="AD1125" s="77">
        <f t="shared" ca="1" si="1479"/>
        <v>1.3233003110792332E-2</v>
      </c>
      <c r="AE1125" s="45">
        <f t="shared" ca="1" si="1492"/>
        <v>6.3847072090583081</v>
      </c>
      <c r="AF1125" s="45">
        <f t="shared" ca="1" si="1480"/>
        <v>0</v>
      </c>
      <c r="AG1125" s="76">
        <f t="shared" ca="1" si="1481"/>
        <v>65.808407947841403</v>
      </c>
      <c r="AH1125" s="45">
        <f t="shared" ca="1" si="1482"/>
        <v>0.13395969739545985</v>
      </c>
      <c r="AI1125" s="77">
        <f t="shared" ca="1" si="1483"/>
        <v>1.3920100937786761E-2</v>
      </c>
      <c r="AJ1125" s="384">
        <f t="shared" ca="1" si="1485"/>
        <v>2.3637258275350792E-2</v>
      </c>
      <c r="AU1125" s="1"/>
    </row>
    <row r="1126" spans="3:47" x14ac:dyDescent="0.25">
      <c r="C1126" s="10">
        <f t="shared" si="1510"/>
        <v>86</v>
      </c>
      <c r="D1126" s="91">
        <f t="shared" si="1493"/>
        <v>4</v>
      </c>
      <c r="E1126" s="278"/>
      <c r="F1126" s="76">
        <f t="shared" ref="F1126:Q1126" ca="1" si="1513">F1054</f>
        <v>7.69</v>
      </c>
      <c r="G1126" s="46">
        <f t="shared" ca="1" si="1513"/>
        <v>27.012600000000003</v>
      </c>
      <c r="H1126" s="46">
        <f t="shared" ca="1" si="1469"/>
        <v>28.517550000000004</v>
      </c>
      <c r="I1126" s="45">
        <f t="shared" ca="1" si="1470"/>
        <v>0.3433111911106958</v>
      </c>
      <c r="J1126" s="45">
        <f t="shared" ca="1" si="1471"/>
        <v>0.27952512346894071</v>
      </c>
      <c r="K1126" s="45">
        <f t="shared" ca="1" si="1487"/>
        <v>0.90345467800480783</v>
      </c>
      <c r="L1126" s="358">
        <f t="shared" ca="1" si="1472"/>
        <v>0.64074183470648283</v>
      </c>
      <c r="M1126" s="76">
        <f t="shared" ca="1" si="1513"/>
        <v>0.25347808785320641</v>
      </c>
      <c r="N1126" s="45">
        <f t="shared" ca="1" si="1513"/>
        <v>0.25</v>
      </c>
      <c r="O1126" s="45">
        <f t="shared" ca="1" si="1513"/>
        <v>0</v>
      </c>
      <c r="P1126" s="46" t="str">
        <f t="shared" ca="1" si="1513"/>
        <v/>
      </c>
      <c r="Q1126" s="243" t="str">
        <f t="shared" ca="1" si="1513"/>
        <v/>
      </c>
      <c r="R1126" s="45">
        <f t="shared" ca="1" si="1488"/>
        <v>0.28682844240362115</v>
      </c>
      <c r="S1126" s="45">
        <f t="shared" ca="1" si="1512"/>
        <v>5.0695617570641283E-2</v>
      </c>
      <c r="T1126" s="77">
        <f t="shared" ca="1" si="1473"/>
        <v>7.1364922050609986E-2</v>
      </c>
      <c r="U1126" s="45">
        <f t="shared" ca="1" si="1489"/>
        <v>18.939682614197352</v>
      </c>
      <c r="V1126" s="45">
        <f t="shared" ca="1" si="1474"/>
        <v>0.20278247028256513</v>
      </c>
      <c r="W1126" s="77">
        <f t="shared" ca="1" si="1475"/>
        <v>0.16185952899039582</v>
      </c>
      <c r="X1126" s="45">
        <f t="shared" ca="1" si="1490"/>
        <v>1.0572415241518263</v>
      </c>
      <c r="Y1126" s="45">
        <f t="shared" ca="1" si="1476"/>
        <v>2.2716269774151969E-2</v>
      </c>
      <c r="Z1126" s="77">
        <f t="shared" ca="1" si="1477"/>
        <v>1.9775665823872801E-2</v>
      </c>
      <c r="AA1126" s="45">
        <f t="shared" ca="1" si="1491"/>
        <v>39.259466548488042</v>
      </c>
      <c r="AB1126" s="45">
        <f t="shared" ca="1" si="1478"/>
        <v>0</v>
      </c>
      <c r="AC1126" s="45" cm="1">
        <f t="array" aca="1" ref="AC1126" ca="1">pHUM*(T1126+W1126+Z1126+AD1126)</f>
        <v>2.6725023263708198E-2</v>
      </c>
      <c r="AD1126" s="77">
        <f t="shared" ca="1" si="1479"/>
        <v>2.2457264900550531E-2</v>
      </c>
      <c r="AE1126" s="45">
        <f t="shared" ca="1" si="1492"/>
        <v>6.3847072090583081</v>
      </c>
      <c r="AF1126" s="45">
        <f t="shared" ca="1" si="1480"/>
        <v>0</v>
      </c>
      <c r="AG1126" s="76">
        <f t="shared" ca="1" si="1481"/>
        <v>65.927926338299145</v>
      </c>
      <c r="AH1126" s="45">
        <f t="shared" ca="1" si="1482"/>
        <v>0.22601608872756901</v>
      </c>
      <c r="AI1126" s="77">
        <f t="shared" ca="1" si="1483"/>
        <v>1.4041842340082459E-2</v>
      </c>
      <c r="AJ1126" s="384">
        <f t="shared" ca="1" si="1485"/>
        <v>2.8691409714250993E-2</v>
      </c>
      <c r="AU1126" s="1"/>
    </row>
    <row r="1127" spans="3:47" x14ac:dyDescent="0.25">
      <c r="C1127" s="10">
        <f t="shared" si="1510"/>
        <v>86</v>
      </c>
      <c r="D1127" s="91">
        <f t="shared" si="1493"/>
        <v>5</v>
      </c>
      <c r="E1127" s="278"/>
      <c r="F1127" s="76">
        <f t="shared" ref="F1127:Q1127" ca="1" si="1514">F1055</f>
        <v>15.52</v>
      </c>
      <c r="G1127" s="46">
        <f t="shared" ca="1" si="1514"/>
        <v>27.012600000000003</v>
      </c>
      <c r="H1127" s="46">
        <f t="shared" ca="1" si="1469"/>
        <v>28.517550000000004</v>
      </c>
      <c r="I1127" s="45">
        <f t="shared" ca="1" si="1470"/>
        <v>0.86230369296737164</v>
      </c>
      <c r="J1127" s="45">
        <f t="shared" ca="1" si="1471"/>
        <v>0.27952512346894071</v>
      </c>
      <c r="K1127" s="45">
        <f t="shared" ca="1" si="1487"/>
        <v>0.90345467800480783</v>
      </c>
      <c r="L1127" s="358">
        <f t="shared" ca="1" si="1472"/>
        <v>0.85046529796407655</v>
      </c>
      <c r="M1127" s="76">
        <f t="shared" ca="1" si="1514"/>
        <v>0.25347808785320641</v>
      </c>
      <c r="N1127" s="45">
        <f t="shared" ca="1" si="1514"/>
        <v>0.25</v>
      </c>
      <c r="O1127" s="45">
        <f t="shared" ca="1" si="1514"/>
        <v>0</v>
      </c>
      <c r="P1127" s="46" t="str">
        <f t="shared" ca="1" si="1514"/>
        <v/>
      </c>
      <c r="Q1127" s="243" t="str">
        <f t="shared" ca="1" si="1514"/>
        <v/>
      </c>
      <c r="R1127" s="45">
        <f t="shared" ca="1" si="1488"/>
        <v>0.26615913792365242</v>
      </c>
      <c r="S1127" s="45">
        <f t="shared" ca="1" si="1512"/>
        <v>5.0695617570641283E-2</v>
      </c>
      <c r="T1127" s="77">
        <f t="shared" ca="1" si="1473"/>
        <v>0.13642231208113587</v>
      </c>
      <c r="U1127" s="45">
        <f t="shared" ca="1" si="1489"/>
        <v>18.980605555489522</v>
      </c>
      <c r="V1127" s="45">
        <f t="shared" ca="1" si="1474"/>
        <v>0.20278247028256513</v>
      </c>
      <c r="W1127" s="77">
        <f t="shared" ca="1" si="1475"/>
        <v>0.40479725289842572</v>
      </c>
      <c r="X1127" s="45">
        <f t="shared" ca="1" si="1490"/>
        <v>1.0601821281021053</v>
      </c>
      <c r="Y1127" s="45">
        <f t="shared" ca="1" si="1476"/>
        <v>5.333294543866289E-2</v>
      </c>
      <c r="Z1127" s="77">
        <f t="shared" ca="1" si="1477"/>
        <v>4.9107241390289873E-2</v>
      </c>
      <c r="AA1127" s="45">
        <f t="shared" ca="1" si="1491"/>
        <v>39.263734306851198</v>
      </c>
      <c r="AB1127" s="45">
        <f t="shared" ca="1" si="1478"/>
        <v>0</v>
      </c>
      <c r="AC1127" s="45" cm="1">
        <f t="array" aca="1" ref="AC1127" ca="1">pHUM*(T1127+W1127+Z1127+AD1127)</f>
        <v>6.2744641692544581E-2</v>
      </c>
      <c r="AD1127" s="77">
        <f t="shared" ca="1" si="1479"/>
        <v>5.6388242290509087E-2</v>
      </c>
      <c r="AE1127" s="45">
        <f t="shared" ca="1" si="1492"/>
        <v>6.3847072090583081</v>
      </c>
      <c r="AF1127" s="45">
        <f t="shared" ca="1" si="1480"/>
        <v>0</v>
      </c>
      <c r="AG1127" s="76">
        <f t="shared" ca="1" si="1481"/>
        <v>65.955388337424779</v>
      </c>
      <c r="AH1127" s="45">
        <f t="shared" ca="1" si="1482"/>
        <v>0.53063746152915314</v>
      </c>
      <c r="AI1127" s="77">
        <f t="shared" ca="1" si="1483"/>
        <v>1.3766234986416551E-2</v>
      </c>
      <c r="AJ1127" s="384">
        <f t="shared" ca="1" si="1485"/>
        <v>3.7334724328308422E-2</v>
      </c>
      <c r="AU1127" s="1"/>
    </row>
    <row r="1128" spans="3:47" x14ac:dyDescent="0.25">
      <c r="C1128" s="10">
        <f t="shared" si="1510"/>
        <v>86</v>
      </c>
      <c r="D1128" s="91">
        <f t="shared" si="1493"/>
        <v>6</v>
      </c>
      <c r="E1128" s="278"/>
      <c r="F1128" s="76">
        <f t="shared" ref="F1128:Q1128" ca="1" si="1515">F1056</f>
        <v>17.8</v>
      </c>
      <c r="G1128" s="46">
        <f t="shared" ca="1" si="1515"/>
        <v>27.012600000000003</v>
      </c>
      <c r="H1128" s="46">
        <f t="shared" ca="1" si="1469"/>
        <v>28.517550000000004</v>
      </c>
      <c r="I1128" s="45">
        <f t="shared" ca="1" si="1470"/>
        <v>1.0420430221807615</v>
      </c>
      <c r="J1128" s="45">
        <f t="shared" ca="1" si="1471"/>
        <v>0.27952512346894071</v>
      </c>
      <c r="K1128" s="45">
        <f t="shared" ca="1" si="1487"/>
        <v>0.90345467800480783</v>
      </c>
      <c r="L1128" s="358">
        <f t="shared" ca="1" si="1472"/>
        <v>0.88796358149435028</v>
      </c>
      <c r="M1128" s="76">
        <f t="shared" ca="1" si="1515"/>
        <v>0.25347808785320641</v>
      </c>
      <c r="N1128" s="45">
        <f t="shared" ca="1" si="1515"/>
        <v>0.25</v>
      </c>
      <c r="O1128" s="45">
        <f t="shared" ca="1" si="1515"/>
        <v>0</v>
      </c>
      <c r="P1128" s="46" t="str">
        <f t="shared" ca="1" si="1515"/>
        <v/>
      </c>
      <c r="Q1128" s="243" t="str">
        <f t="shared" ca="1" si="1515"/>
        <v/>
      </c>
      <c r="R1128" s="45">
        <f t="shared" ca="1" si="1488"/>
        <v>0.18043244341315784</v>
      </c>
      <c r="S1128" s="45">
        <f t="shared" ca="1" si="1512"/>
        <v>5.0695617570641283E-2</v>
      </c>
      <c r="T1128" s="77">
        <f t="shared" ca="1" si="1473"/>
        <v>0.10471661384205616</v>
      </c>
      <c r="U1128" s="45">
        <f t="shared" ca="1" si="1489"/>
        <v>18.77859077287366</v>
      </c>
      <c r="V1128" s="45">
        <f t="shared" ca="1" si="1474"/>
        <v>0.20278247028256513</v>
      </c>
      <c r="W1128" s="77">
        <f t="shared" ca="1" si="1475"/>
        <v>0.48288533662476496</v>
      </c>
      <c r="X1128" s="45">
        <f t="shared" ca="1" si="1490"/>
        <v>1.0644078321504784</v>
      </c>
      <c r="Y1128" s="45">
        <f t="shared" ca="1" si="1476"/>
        <v>5.8966965894837443E-2</v>
      </c>
      <c r="Z1128" s="77">
        <f t="shared" ca="1" si="1477"/>
        <v>5.9288520874898595E-2</v>
      </c>
      <c r="AA1128" s="45">
        <f t="shared" ca="1" si="1491"/>
        <v>39.270090706253235</v>
      </c>
      <c r="AB1128" s="45">
        <f t="shared" ca="1" si="1478"/>
        <v>0</v>
      </c>
      <c r="AC1128" s="45" cm="1">
        <f t="array" aca="1" ref="AC1128" ca="1">pHUM*(T1128+W1128+Z1128+AD1128)</f>
        <v>6.937290105274993E-2</v>
      </c>
      <c r="AD1128" s="77">
        <f t="shared" ca="1" si="1479"/>
        <v>6.8142683200470108E-2</v>
      </c>
      <c r="AE1128" s="45">
        <f t="shared" ca="1" si="1492"/>
        <v>6.3847072090583081</v>
      </c>
      <c r="AF1128" s="45">
        <f t="shared" ca="1" si="1480"/>
        <v>0</v>
      </c>
      <c r="AG1128" s="76">
        <f t="shared" ca="1" si="1481"/>
        <v>65.678228963748836</v>
      </c>
      <c r="AH1128" s="45">
        <f t="shared" ca="1" si="1482"/>
        <v>0.58669328759460238</v>
      </c>
      <c r="AI1128" s="77">
        <f t="shared" ca="1" si="1483"/>
        <v>1.2544670965160376E-2</v>
      </c>
      <c r="AJ1128" s="384">
        <f t="shared" ca="1" si="1485"/>
        <v>3.5521912851878001E-2</v>
      </c>
      <c r="AU1128" s="1"/>
    </row>
    <row r="1129" spans="3:47" x14ac:dyDescent="0.25">
      <c r="C1129" s="10">
        <f t="shared" si="1510"/>
        <v>86</v>
      </c>
      <c r="D1129" s="91">
        <f t="shared" si="1493"/>
        <v>7</v>
      </c>
      <c r="E1129" s="278"/>
      <c r="F1129" s="76">
        <f t="shared" ref="F1129:Q1129" ca="1" si="1516">F1057</f>
        <v>22.99</v>
      </c>
      <c r="G1129" s="46">
        <f t="shared" ca="1" si="1516"/>
        <v>27.012600000000003</v>
      </c>
      <c r="H1129" s="46">
        <f t="shared" ca="1" si="1469"/>
        <v>28.517550000000004</v>
      </c>
      <c r="I1129" s="45">
        <f t="shared" ca="1" si="1470"/>
        <v>1.4752596357037575</v>
      </c>
      <c r="J1129" s="45">
        <f t="shared" ca="1" si="1471"/>
        <v>0.27952512346894071</v>
      </c>
      <c r="K1129" s="45">
        <f t="shared" ca="1" si="1487"/>
        <v>0.90345467800480783</v>
      </c>
      <c r="L1129" s="358">
        <f t="shared" ca="1" si="1472"/>
        <v>0.94206720469222516</v>
      </c>
      <c r="M1129" s="76">
        <f t="shared" ca="1" si="1516"/>
        <v>0.25347808785320641</v>
      </c>
      <c r="N1129" s="45">
        <f t="shared" ca="1" si="1516"/>
        <v>0.25</v>
      </c>
      <c r="O1129" s="45">
        <f t="shared" ca="1" si="1516"/>
        <v>0</v>
      </c>
      <c r="P1129" s="46" t="str">
        <f t="shared" ca="1" si="1516"/>
        <v/>
      </c>
      <c r="Q1129" s="243" t="str">
        <f t="shared" ca="1" si="1516"/>
        <v/>
      </c>
      <c r="R1129" s="45">
        <f t="shared" ca="1" si="1488"/>
        <v>0.12641144714174296</v>
      </c>
      <c r="S1129" s="45">
        <f t="shared" ca="1" si="1512"/>
        <v>5.0695617570641283E-2</v>
      </c>
      <c r="T1129" s="77">
        <f t="shared" ca="1" si="1473"/>
        <v>8.9439515862024505E-2</v>
      </c>
      <c r="U1129" s="45">
        <f t="shared" ca="1" si="1489"/>
        <v>18.498487906531459</v>
      </c>
      <c r="V1129" s="45">
        <f t="shared" ca="1" si="1474"/>
        <v>0.20278247028256513</v>
      </c>
      <c r="W1129" s="77">
        <f t="shared" ca="1" si="1475"/>
        <v>0.66982383709048321</v>
      </c>
      <c r="X1129" s="45">
        <f t="shared" ca="1" si="1490"/>
        <v>1.0640862771704174</v>
      </c>
      <c r="Y1129" s="45">
        <f t="shared" ca="1" si="1476"/>
        <v>7.7406678458486783E-2</v>
      </c>
      <c r="Z1129" s="77">
        <f t="shared" ca="1" si="1477"/>
        <v>8.2929290237739303E-2</v>
      </c>
      <c r="AA1129" s="45">
        <f t="shared" ca="1" si="1491"/>
        <v>39.271320924105517</v>
      </c>
      <c r="AB1129" s="45">
        <f t="shared" ca="1" si="1478"/>
        <v>0</v>
      </c>
      <c r="AC1129" s="45" cm="1">
        <f t="array" aca="1" ref="AC1129" ca="1">pHUM*(T1129+W1129+Z1129+AD1129)</f>
        <v>9.1066680539396219E-2</v>
      </c>
      <c r="AD1129" s="77">
        <f t="shared" ca="1" si="1479"/>
        <v>9.6440380247211591E-2</v>
      </c>
      <c r="AE1129" s="45">
        <f t="shared" ca="1" si="1492"/>
        <v>6.3847072090583081</v>
      </c>
      <c r="AF1129" s="45">
        <f t="shared" ca="1" si="1480"/>
        <v>0</v>
      </c>
      <c r="AG1129" s="76">
        <f t="shared" ca="1" si="1481"/>
        <v>65.345013764007447</v>
      </c>
      <c r="AH1129" s="45">
        <f t="shared" ca="1" si="1482"/>
        <v>0.77015966443957562</v>
      </c>
      <c r="AI1129" s="77">
        <f t="shared" ca="1" si="1483"/>
        <v>1.1733012555171089E-2</v>
      </c>
      <c r="AJ1129" s="384">
        <f t="shared" ca="1" si="1485"/>
        <v>3.5247916307395988E-2</v>
      </c>
      <c r="AU1129" s="1"/>
    </row>
    <row r="1130" spans="3:47" x14ac:dyDescent="0.25">
      <c r="C1130" s="10">
        <f t="shared" si="1510"/>
        <v>86</v>
      </c>
      <c r="D1130" s="91">
        <f t="shared" si="1493"/>
        <v>8</v>
      </c>
      <c r="E1130" s="278"/>
      <c r="F1130" s="76">
        <f t="shared" ref="F1130:Q1130" ca="1" si="1517">F1058</f>
        <v>21.76</v>
      </c>
      <c r="G1130" s="46">
        <f t="shared" ca="1" si="1517"/>
        <v>27.012600000000003</v>
      </c>
      <c r="H1130" s="46">
        <f t="shared" ca="1" si="1469"/>
        <v>28.517550000000004</v>
      </c>
      <c r="I1130" s="45">
        <f t="shared" ca="1" si="1470"/>
        <v>1.3706166748122235</v>
      </c>
      <c r="J1130" s="45">
        <f t="shared" ca="1" si="1471"/>
        <v>0.27952512346894071</v>
      </c>
      <c r="K1130" s="45">
        <f t="shared" ca="1" si="1487"/>
        <v>0.90345467800480783</v>
      </c>
      <c r="L1130" s="358">
        <f t="shared" ca="1" si="1472"/>
        <v>0.93252308258228611</v>
      </c>
      <c r="M1130" s="76">
        <f t="shared" ca="1" si="1517"/>
        <v>0.25347808785320641</v>
      </c>
      <c r="N1130" s="45">
        <f t="shared" ca="1" si="1517"/>
        <v>0.25</v>
      </c>
      <c r="O1130" s="45">
        <f t="shared" ca="1" si="1517"/>
        <v>0</v>
      </c>
      <c r="P1130" s="46" t="str">
        <f t="shared" ca="1" si="1517"/>
        <v/>
      </c>
      <c r="Q1130" s="243" t="str">
        <f t="shared" ca="1" si="1517"/>
        <v/>
      </c>
      <c r="R1130" s="45">
        <f t="shared" ca="1" si="1488"/>
        <v>8.7667548850359739E-2</v>
      </c>
      <c r="S1130" s="45">
        <f t="shared" ca="1" si="1512"/>
        <v>5.0695617570641283E-2</v>
      </c>
      <c r="T1130" s="77">
        <f t="shared" ca="1" si="1473"/>
        <v>5.9690870583984493E-2</v>
      </c>
      <c r="U1130" s="45">
        <f t="shared" ca="1" si="1489"/>
        <v>18.03144653972354</v>
      </c>
      <c r="V1130" s="45">
        <f t="shared" ca="1" si="1474"/>
        <v>0.20278247028256513</v>
      </c>
      <c r="W1130" s="77">
        <f t="shared" ca="1" si="1475"/>
        <v>0.60738937953454775</v>
      </c>
      <c r="X1130" s="45">
        <f t="shared" ca="1" si="1490"/>
        <v>1.058563665391165</v>
      </c>
      <c r="Y1130" s="45">
        <f t="shared" ca="1" si="1476"/>
        <v>6.8739970566383674E-2</v>
      </c>
      <c r="Z1130" s="77">
        <f t="shared" ca="1" si="1477"/>
        <v>7.686508320427532E-2</v>
      </c>
      <c r="AA1130" s="45">
        <f t="shared" ca="1" si="1491"/>
        <v>39.265947224397706</v>
      </c>
      <c r="AB1130" s="45">
        <f t="shared" ca="1" si="1478"/>
        <v>0</v>
      </c>
      <c r="AC1130" s="45" cm="1">
        <f t="array" aca="1" ref="AC1130" ca="1">pHUM*(T1130+W1130+Z1130+AD1130)</f>
        <v>8.0870553607510207E-2</v>
      </c>
      <c r="AD1130" s="77">
        <f t="shared" ca="1" si="1479"/>
        <v>8.9595230471433723E-2</v>
      </c>
      <c r="AE1130" s="45">
        <f t="shared" ca="1" si="1492"/>
        <v>6.3847072090583081</v>
      </c>
      <c r="AF1130" s="45">
        <f t="shared" ca="1" si="1480"/>
        <v>0</v>
      </c>
      <c r="AG1130" s="76">
        <f t="shared" ca="1" si="1481"/>
        <v>64.828332187421083</v>
      </c>
      <c r="AH1130" s="45">
        <f t="shared" ca="1" si="1482"/>
        <v>0.68393003962034737</v>
      </c>
      <c r="AI1130" s="77">
        <f t="shared" ca="1" si="1483"/>
        <v>1.107916734138162E-2</v>
      </c>
      <c r="AJ1130" s="384">
        <f t="shared" ca="1" si="1485"/>
        <v>3.2946530227974113E-2</v>
      </c>
      <c r="AU1130" s="1"/>
    </row>
    <row r="1131" spans="3:47" x14ac:dyDescent="0.25">
      <c r="C1131" s="10">
        <f t="shared" si="1510"/>
        <v>86</v>
      </c>
      <c r="D1131" s="91">
        <f t="shared" si="1493"/>
        <v>9</v>
      </c>
      <c r="E1131" s="278"/>
      <c r="F1131" s="76">
        <f t="shared" ref="F1131:Q1131" ca="1" si="1518">F1059</f>
        <v>16.16</v>
      </c>
      <c r="G1131" s="46">
        <f t="shared" ca="1" si="1518"/>
        <v>27.012600000000003</v>
      </c>
      <c r="H1131" s="46">
        <f t="shared" ca="1" si="1469"/>
        <v>28.517550000000004</v>
      </c>
      <c r="I1131" s="45">
        <f t="shared" ca="1" si="1470"/>
        <v>0.91183635166446475</v>
      </c>
      <c r="J1131" s="45">
        <f t="shared" ca="1" si="1471"/>
        <v>0.27952512346894071</v>
      </c>
      <c r="K1131" s="45">
        <f t="shared" ca="1" si="1487"/>
        <v>0.90345467800480783</v>
      </c>
      <c r="L1131" s="358">
        <f t="shared" ca="1" si="1472"/>
        <v>0.86198800670670384</v>
      </c>
      <c r="M1131" s="76">
        <f t="shared" ca="1" si="1518"/>
        <v>0.25347808785320641</v>
      </c>
      <c r="N1131" s="45">
        <f t="shared" ca="1" si="1518"/>
        <v>0.25</v>
      </c>
      <c r="O1131" s="45">
        <f t="shared" ca="1" si="1518"/>
        <v>0</v>
      </c>
      <c r="P1131" s="46" t="str">
        <f t="shared" ca="1" si="1518"/>
        <v/>
      </c>
      <c r="Q1131" s="243" t="str">
        <f t="shared" ca="1" si="1518"/>
        <v/>
      </c>
      <c r="R1131" s="45">
        <f t="shared" ca="1" si="1488"/>
        <v>7.8672295837016529E-2</v>
      </c>
      <c r="S1131" s="45">
        <f t="shared" ca="1" si="1512"/>
        <v>5.0695617570641283E-2</v>
      </c>
      <c r="T1131" s="77">
        <f t="shared" ca="1" si="1473"/>
        <v>4.1874886484751211E-2</v>
      </c>
      <c r="U1131" s="45">
        <f t="shared" ca="1" si="1489"/>
        <v>17.626839630471554</v>
      </c>
      <c r="V1131" s="45">
        <f t="shared" ca="1" si="1474"/>
        <v>0.20278247028256513</v>
      </c>
      <c r="W1131" s="77">
        <f t="shared" ca="1" si="1475"/>
        <v>0.3972745081669074</v>
      </c>
      <c r="X1131" s="45">
        <f t="shared" ca="1" si="1490"/>
        <v>1.0504385527532731</v>
      </c>
      <c r="Y1131" s="45">
        <f t="shared" ca="1" si="1476"/>
        <v>4.5369118156173123E-2</v>
      </c>
      <c r="Z1131" s="77">
        <f t="shared" ca="1" si="1477"/>
        <v>5.1381361112743759E-2</v>
      </c>
      <c r="AA1131" s="45">
        <f t="shared" ca="1" si="1491"/>
        <v>39.257222547533786</v>
      </c>
      <c r="AB1131" s="45">
        <f t="shared" ca="1" si="1478"/>
        <v>0</v>
      </c>
      <c r="AC1131" s="45" cm="1">
        <f t="array" aca="1" ref="AC1131" ca="1">pHUM*(T1131+W1131+Z1131+AD1131)</f>
        <v>5.3375433124909555E-2</v>
      </c>
      <c r="AD1131" s="77">
        <f t="shared" ca="1" si="1479"/>
        <v>5.9614960260066956E-2</v>
      </c>
      <c r="AE1131" s="45">
        <f t="shared" ca="1" si="1492"/>
        <v>6.3847072090583081</v>
      </c>
      <c r="AF1131" s="45">
        <f t="shared" ca="1" si="1480"/>
        <v>0</v>
      </c>
      <c r="AG1131" s="76">
        <f t="shared" ca="1" si="1481"/>
        <v>64.397880235653943</v>
      </c>
      <c r="AH1131" s="45">
        <f t="shared" ca="1" si="1482"/>
        <v>0.45140116474338665</v>
      </c>
      <c r="AI1131" s="77">
        <f t="shared" ca="1" si="1483"/>
        <v>1.0849847183007851E-2</v>
      </c>
      <c r="AJ1131" s="384">
        <f t="shared" ca="1" si="1485"/>
        <v>2.9824220030849613E-2</v>
      </c>
      <c r="AU1131" s="1"/>
    </row>
    <row r="1132" spans="3:47" x14ac:dyDescent="0.25">
      <c r="C1132" s="10">
        <f t="shared" si="1510"/>
        <v>86</v>
      </c>
      <c r="D1132" s="91">
        <f t="shared" si="1493"/>
        <v>10</v>
      </c>
      <c r="E1132" s="278"/>
      <c r="F1132" s="76">
        <f t="shared" ref="F1132:Q1132" ca="1" si="1519">F1060</f>
        <v>11.21</v>
      </c>
      <c r="G1132" s="46">
        <f t="shared" ca="1" si="1519"/>
        <v>27.012600000000003</v>
      </c>
      <c r="H1132" s="46">
        <f t="shared" ca="1" si="1469"/>
        <v>28.517550000000004</v>
      </c>
      <c r="I1132" s="45">
        <f t="shared" ca="1" si="1470"/>
        <v>0.55341948356365211</v>
      </c>
      <c r="J1132" s="45">
        <f t="shared" ca="1" si="1471"/>
        <v>0.27952512346894071</v>
      </c>
      <c r="K1132" s="45">
        <f t="shared" ca="1" si="1487"/>
        <v>0.90345467800480783</v>
      </c>
      <c r="L1132" s="358">
        <f t="shared" ca="1" si="1472"/>
        <v>0.75061725573145499</v>
      </c>
      <c r="M1132" s="76">
        <f t="shared" ca="1" si="1519"/>
        <v>0.25347808785320641</v>
      </c>
      <c r="N1132" s="45">
        <f t="shared" ca="1" si="1519"/>
        <v>0.25</v>
      </c>
      <c r="O1132" s="45">
        <f t="shared" ca="1" si="1519"/>
        <v>0</v>
      </c>
      <c r="P1132" s="46" t="str">
        <f t="shared" ca="1" si="1519"/>
        <v/>
      </c>
      <c r="Q1132" s="243" t="str">
        <f t="shared" ca="1" si="1519"/>
        <v/>
      </c>
      <c r="R1132" s="45">
        <f t="shared" ca="1" si="1488"/>
        <v>8.7493026922906586E-2</v>
      </c>
      <c r="S1132" s="45">
        <f t="shared" ca="1" si="1512"/>
        <v>5.0695617570641283E-2</v>
      </c>
      <c r="T1132" s="77">
        <f t="shared" ca="1" si="1473"/>
        <v>3.2325406484756646E-2</v>
      </c>
      <c r="U1132" s="45">
        <f t="shared" ca="1" si="1489"/>
        <v>17.43234759258721</v>
      </c>
      <c r="V1132" s="45">
        <f t="shared" ca="1" si="1474"/>
        <v>0.20278247028256513</v>
      </c>
      <c r="W1132" s="77">
        <f t="shared" ca="1" si="1475"/>
        <v>0.23952423202737225</v>
      </c>
      <c r="X1132" s="45">
        <f t="shared" ca="1" si="1490"/>
        <v>1.0444263097967024</v>
      </c>
      <c r="Y1132" s="45">
        <f t="shared" ca="1" si="1476"/>
        <v>2.7985173849588405E-2</v>
      </c>
      <c r="Z1132" s="77">
        <f t="shared" ca="1" si="1477"/>
        <v>3.1311376435712211E-2</v>
      </c>
      <c r="AA1132" s="45">
        <f t="shared" ca="1" si="1491"/>
        <v>39.250983020398628</v>
      </c>
      <c r="AB1132" s="45">
        <f t="shared" ca="1" si="1478"/>
        <v>0</v>
      </c>
      <c r="AC1132" s="45" cm="1">
        <f t="array" aca="1" ref="AC1132" ca="1">pHUM*(T1132+W1132+Z1132+AD1132)</f>
        <v>3.2923733940692243E-2</v>
      </c>
      <c r="AD1132" s="77">
        <f t="shared" ca="1" si="1479"/>
        <v>3.6187073162534202E-2</v>
      </c>
      <c r="AE1132" s="45">
        <f t="shared" ca="1" si="1492"/>
        <v>6.3847072090583081</v>
      </c>
      <c r="AF1132" s="45">
        <f t="shared" ca="1" si="1480"/>
        <v>0</v>
      </c>
      <c r="AG1132" s="76">
        <f t="shared" ca="1" si="1481"/>
        <v>64.199957158763752</v>
      </c>
      <c r="AH1132" s="45">
        <f t="shared" ca="1" si="1482"/>
        <v>0.27843918032009468</v>
      </c>
      <c r="AI1132" s="77">
        <f t="shared" ca="1" si="1483"/>
        <v>1.0924129848197657E-2</v>
      </c>
      <c r="AJ1132" s="384">
        <f t="shared" ca="1" si="1485"/>
        <v>2.6148763299055355E-2</v>
      </c>
      <c r="AU1132" s="1"/>
    </row>
    <row r="1133" spans="3:47" x14ac:dyDescent="0.25">
      <c r="C1133" s="10">
        <f t="shared" si="1510"/>
        <v>86</v>
      </c>
      <c r="D1133" s="91">
        <f t="shared" si="1493"/>
        <v>11</v>
      </c>
      <c r="E1133" s="278"/>
      <c r="F1133" s="76">
        <f t="shared" ref="F1133:Q1133" ca="1" si="1520">F1061</f>
        <v>1.8</v>
      </c>
      <c r="G1133" s="46">
        <f t="shared" ca="1" si="1520"/>
        <v>27.012600000000003</v>
      </c>
      <c r="H1133" s="46">
        <f t="shared" ca="1" si="1469"/>
        <v>28.517550000000004</v>
      </c>
      <c r="I1133" s="45">
        <f t="shared" ca="1" si="1470"/>
        <v>0.10471759589279002</v>
      </c>
      <c r="J1133" s="45">
        <f t="shared" ca="1" si="1471"/>
        <v>0.27952512346894071</v>
      </c>
      <c r="K1133" s="45">
        <f t="shared" ca="1" si="1487"/>
        <v>0.90345467800480783</v>
      </c>
      <c r="L1133" s="358">
        <f t="shared" ca="1" si="1472"/>
        <v>0.42572038710161686</v>
      </c>
      <c r="M1133" s="76">
        <f t="shared" ca="1" si="1520"/>
        <v>0.25347808785320641</v>
      </c>
      <c r="N1133" s="45">
        <f t="shared" ca="1" si="1520"/>
        <v>0.25</v>
      </c>
      <c r="O1133" s="45">
        <f t="shared" ca="1" si="1520"/>
        <v>0</v>
      </c>
      <c r="P1133" s="46" t="str">
        <f t="shared" ca="1" si="1520"/>
        <v/>
      </c>
      <c r="Q1133" s="243" t="str">
        <f t="shared" ca="1" si="1520"/>
        <v/>
      </c>
      <c r="R1133" s="45">
        <f t="shared" ca="1" si="1488"/>
        <v>0.10586323800879122</v>
      </c>
      <c r="S1133" s="45">
        <f t="shared" ca="1" si="1512"/>
        <v>5.0695617570641283E-2</v>
      </c>
      <c r="T1133" s="77">
        <f t="shared" ca="1" si="1473"/>
        <v>8.8465126159825002E-3</v>
      </c>
      <c r="U1133" s="45">
        <f t="shared" ca="1" si="1489"/>
        <v>17.395605830842403</v>
      </c>
      <c r="V1133" s="45">
        <f t="shared" ca="1" si="1474"/>
        <v>0.20278247028256513</v>
      </c>
      <c r="W1133" s="77">
        <f t="shared" ca="1" si="1475"/>
        <v>4.5481091185217752E-2</v>
      </c>
      <c r="X1133" s="45">
        <f t="shared" ca="1" si="1490"/>
        <v>1.0411001072105786</v>
      </c>
      <c r="Y1133" s="45">
        <f t="shared" ca="1" si="1476"/>
        <v>5.5381707158284194E-3</v>
      </c>
      <c r="Z1133" s="77">
        <f t="shared" ca="1" si="1477"/>
        <v>5.9789482097941235E-3</v>
      </c>
      <c r="AA1133" s="45">
        <f t="shared" ca="1" si="1491"/>
        <v>39.247719681176783</v>
      </c>
      <c r="AB1133" s="45">
        <f t="shared" ca="1" si="1478"/>
        <v>0</v>
      </c>
      <c r="AC1133" s="45" cm="1">
        <f t="array" aca="1" ref="AC1133" ca="1">pHUM*(T1133+W1133+Z1133+AD1133)</f>
        <v>6.5154949597981404E-3</v>
      </c>
      <c r="AD1133" s="77">
        <f t="shared" ca="1" si="1479"/>
        <v>6.8492803646148914E-3</v>
      </c>
      <c r="AE1133" s="45">
        <f t="shared" ca="1" si="1492"/>
        <v>6.3847072090583081</v>
      </c>
      <c r="AF1133" s="45">
        <f t="shared" ca="1" si="1480"/>
        <v>0</v>
      </c>
      <c r="AG1133" s="76">
        <f t="shared" ca="1" si="1481"/>
        <v>64.174996066296856</v>
      </c>
      <c r="AH1133" s="45">
        <f t="shared" ca="1" si="1482"/>
        <v>5.5102166699982712E-2</v>
      </c>
      <c r="AI1133" s="77">
        <f t="shared" ca="1" si="1483"/>
        <v>1.1174591710478613E-2</v>
      </c>
      <c r="AJ1133" s="384">
        <f t="shared" ca="1" si="1485"/>
        <v>1.5170726068903795E-2</v>
      </c>
      <c r="AU1133" s="1"/>
    </row>
    <row r="1134" spans="3:47" x14ac:dyDescent="0.25">
      <c r="C1134" s="10">
        <f t="shared" si="1510"/>
        <v>86</v>
      </c>
      <c r="D1134" s="91">
        <f t="shared" si="1493"/>
        <v>12</v>
      </c>
      <c r="E1134" s="278"/>
      <c r="F1134" s="76">
        <f t="shared" ref="F1134:Q1134" ca="1" si="1521">F1062</f>
        <v>-0.63</v>
      </c>
      <c r="G1134" s="46">
        <f t="shared" ca="1" si="1521"/>
        <v>27.012600000000003</v>
      </c>
      <c r="H1134" s="46">
        <f t="shared" ca="1" si="1469"/>
        <v>28.517550000000004</v>
      </c>
      <c r="I1134" s="45">
        <f t="shared" ca="1" si="1470"/>
        <v>5.069926650983797E-2</v>
      </c>
      <c r="J1134" s="45">
        <f t="shared" ca="1" si="1471"/>
        <v>0.27952512346894071</v>
      </c>
      <c r="K1134" s="45">
        <f t="shared" ca="1" si="1487"/>
        <v>0.90345467800480783</v>
      </c>
      <c r="L1134" s="358">
        <f t="shared" ca="1" si="1472"/>
        <v>0.3403279781726225</v>
      </c>
      <c r="M1134" s="76">
        <f t="shared" ca="1" si="1521"/>
        <v>0.25347808785320641</v>
      </c>
      <c r="N1134" s="45">
        <f t="shared" ca="1" si="1521"/>
        <v>0.25</v>
      </c>
      <c r="O1134" s="45">
        <f t="shared" ca="1" si="1521"/>
        <v>0</v>
      </c>
      <c r="P1134" s="46" t="str">
        <f t="shared" ca="1" si="1521"/>
        <v/>
      </c>
      <c r="Q1134" s="243" t="str">
        <f t="shared" ca="1" si="1521"/>
        <v/>
      </c>
      <c r="R1134" s="45">
        <f t="shared" ca="1" si="1488"/>
        <v>0.14771234296345001</v>
      </c>
      <c r="S1134" s="45">
        <f t="shared" ca="1" si="1512"/>
        <v>5.0695617570641283E-2</v>
      </c>
      <c r="T1134" s="77">
        <f t="shared" ca="1" si="1473"/>
        <v>6.1107593251454049E-3</v>
      </c>
      <c r="U1134" s="45">
        <f t="shared" ca="1" si="1489"/>
        <v>17.55290720993975</v>
      </c>
      <c r="V1134" s="45">
        <f t="shared" ca="1" si="1474"/>
        <v>0.20278247028256513</v>
      </c>
      <c r="W1134" s="77">
        <f t="shared" ca="1" si="1475"/>
        <v>2.223389451310627E-2</v>
      </c>
      <c r="X1134" s="45">
        <f t="shared" ca="1" si="1490"/>
        <v>1.0406593297166129</v>
      </c>
      <c r="Y1134" s="45">
        <f t="shared" ca="1" si="1476"/>
        <v>2.849965164484792E-3</v>
      </c>
      <c r="Z1134" s="77">
        <f t="shared" ca="1" si="1477"/>
        <v>2.8977944895115745E-3</v>
      </c>
      <c r="AA1134" s="45">
        <f t="shared" ca="1" si="1491"/>
        <v>39.24738589577197</v>
      </c>
      <c r="AB1134" s="45">
        <f t="shared" ca="1" si="1478"/>
        <v>0</v>
      </c>
      <c r="AC1134" s="45" cm="1">
        <f t="array" aca="1" ref="AC1134" ca="1">pHUM*(T1134+W1134+Z1134+AD1134)</f>
        <v>3.3529001935115204E-3</v>
      </c>
      <c r="AD1134" s="77">
        <f t="shared" ca="1" si="1479"/>
        <v>3.3162160188336112E-3</v>
      </c>
      <c r="AE1134" s="45">
        <f t="shared" ca="1" si="1492"/>
        <v>6.3847072090583081</v>
      </c>
      <c r="AF1134" s="45">
        <f t="shared" ca="1" si="1480"/>
        <v>0</v>
      </c>
      <c r="AG1134" s="76">
        <f t="shared" ca="1" si="1481"/>
        <v>64.373371987450099</v>
      </c>
      <c r="AH1134" s="45">
        <f t="shared" ca="1" si="1482"/>
        <v>2.835579898860055E-2</v>
      </c>
      <c r="AI1134" s="77">
        <f t="shared" ca="1" si="1483"/>
        <v>1.1805149764381033E-2</v>
      </c>
      <c r="AJ1134" s="384">
        <f t="shared" ca="1" si="1485"/>
        <v>1.2812101635141238E-2</v>
      </c>
      <c r="AU1134" s="1"/>
    </row>
    <row r="1135" spans="3:47" x14ac:dyDescent="0.25">
      <c r="C1135" s="10">
        <f t="shared" si="1510"/>
        <v>87</v>
      </c>
      <c r="D1135" s="91">
        <f t="shared" si="1493"/>
        <v>1</v>
      </c>
      <c r="E1135" s="278"/>
      <c r="F1135" s="76">
        <f t="shared" ref="F1135:Q1135" ca="1" si="1522">F1063</f>
        <v>-5.04</v>
      </c>
      <c r="G1135" s="46">
        <f t="shared" ca="1" si="1522"/>
        <v>27.012600000000003</v>
      </c>
      <c r="H1135" s="46">
        <f t="shared" ca="1" si="1469"/>
        <v>28.517550000000004</v>
      </c>
      <c r="I1135" s="45">
        <f t="shared" ca="1" si="1470"/>
        <v>6.847402527399577E-3</v>
      </c>
      <c r="J1135" s="45">
        <f t="shared" ca="1" si="1471"/>
        <v>0.27952512346894071</v>
      </c>
      <c r="K1135" s="45">
        <f t="shared" ca="1" si="1487"/>
        <v>0.90345467800480783</v>
      </c>
      <c r="L1135" s="358">
        <f t="shared" ca="1" si="1472"/>
        <v>0.21084054547214914</v>
      </c>
      <c r="M1135" s="76">
        <f t="shared" ca="1" si="1522"/>
        <v>0.25347808785320641</v>
      </c>
      <c r="N1135" s="45">
        <f t="shared" ca="1" si="1522"/>
        <v>0.25</v>
      </c>
      <c r="O1135" s="45">
        <f t="shared" ca="1" si="1522"/>
        <v>0</v>
      </c>
      <c r="P1135" s="46" t="str">
        <f t="shared" ca="1" si="1522"/>
        <v/>
      </c>
      <c r="Q1135" s="243" t="str">
        <f t="shared" ca="1" si="1522"/>
        <v/>
      </c>
      <c r="R1135" s="45">
        <f t="shared" ca="1" si="1488"/>
        <v>0.19229720120894589</v>
      </c>
      <c r="S1135" s="45">
        <f t="shared" ca="1" si="1512"/>
        <v>5.0695617570641283E-2</v>
      </c>
      <c r="T1135" s="77">
        <f t="shared" ca="1" si="1473"/>
        <v>1.0941555975497383E-3</v>
      </c>
      <c r="U1135" s="45">
        <f t="shared" ca="1" si="1489"/>
        <v>17.733455785709207</v>
      </c>
      <c r="V1135" s="45">
        <f t="shared" ca="1" si="1474"/>
        <v>0.20278247028256513</v>
      </c>
      <c r="W1135" s="77">
        <f t="shared" ca="1" si="1475"/>
        <v>3.0354429305072769E-3</v>
      </c>
      <c r="X1135" s="45">
        <f t="shared" ca="1" si="1490"/>
        <v>1.0406115003915861</v>
      </c>
      <c r="Y1135" s="45">
        <f t="shared" ca="1" si="1476"/>
        <v>4.0980790391006755E-4</v>
      </c>
      <c r="Z1135" s="77">
        <f t="shared" ca="1" si="1477"/>
        <v>3.9182793275064704E-4</v>
      </c>
      <c r="AA1135" s="45">
        <f t="shared" ca="1" si="1491"/>
        <v>39.247422579946651</v>
      </c>
      <c r="AB1135" s="45">
        <f t="shared" ca="1" si="1478"/>
        <v>0</v>
      </c>
      <c r="AC1135" s="45" cm="1">
        <f t="array" aca="1" ref="AC1135" ca="1">pHUM*(T1135+W1135+Z1135+AD1135)</f>
        <v>4.8212694577655005E-4</v>
      </c>
      <c r="AD1135" s="77">
        <f t="shared" ca="1" si="1479"/>
        <v>4.4790227846858843E-4</v>
      </c>
      <c r="AE1135" s="45">
        <f t="shared" ca="1" si="1492"/>
        <v>6.3847072090583081</v>
      </c>
      <c r="AF1135" s="45">
        <f t="shared" ca="1" si="1480"/>
        <v>0</v>
      </c>
      <c r="AG1135" s="76">
        <f t="shared" ca="1" si="1481"/>
        <v>64.598494276314696</v>
      </c>
      <c r="AH1135" s="45">
        <f t="shared" ca="1" si="1482"/>
        <v>4.0773938895896323E-3</v>
      </c>
      <c r="AI1135" s="77">
        <f t="shared" ca="1" si="1483"/>
        <v>1.2475224554037831E-2</v>
      </c>
      <c r="AJ1135" s="384">
        <f t="shared" ca="1" si="1485"/>
        <v>8.3879442611467514E-3</v>
      </c>
      <c r="AU1135" s="1"/>
    </row>
    <row r="1136" spans="3:47" x14ac:dyDescent="0.25">
      <c r="C1136" s="10">
        <f t="shared" si="1510"/>
        <v>87</v>
      </c>
      <c r="D1136" s="91">
        <f t="shared" si="1493"/>
        <v>2</v>
      </c>
      <c r="E1136" s="278"/>
      <c r="F1136" s="76">
        <f t="shared" ref="F1136:Q1136" ca="1" si="1523">F1064</f>
        <v>-4.4400000000000004</v>
      </c>
      <c r="G1136" s="46">
        <f t="shared" ca="1" si="1523"/>
        <v>27.012600000000003</v>
      </c>
      <c r="H1136" s="46">
        <f t="shared" ca="1" si="1469"/>
        <v>28.517550000000004</v>
      </c>
      <c r="I1136" s="45">
        <f t="shared" ca="1" si="1470"/>
        <v>9.6941753008840392E-3</v>
      </c>
      <c r="J1136" s="45">
        <f t="shared" ca="1" si="1471"/>
        <v>0.27952512346894071</v>
      </c>
      <c r="K1136" s="45">
        <f t="shared" ca="1" si="1487"/>
        <v>0.90345467800480783</v>
      </c>
      <c r="L1136" s="358">
        <f t="shared" ca="1" si="1472"/>
        <v>0.22612365929309886</v>
      </c>
      <c r="M1136" s="76">
        <f t="shared" ca="1" si="1523"/>
        <v>0.25347808785320641</v>
      </c>
      <c r="N1136" s="45">
        <f t="shared" ca="1" si="1523"/>
        <v>0.25</v>
      </c>
      <c r="O1136" s="45">
        <f t="shared" ca="1" si="1523"/>
        <v>0</v>
      </c>
      <c r="P1136" s="46" t="str">
        <f t="shared" ca="1" si="1523"/>
        <v/>
      </c>
      <c r="Q1136" s="243" t="str">
        <f t="shared" ca="1" si="1523"/>
        <v/>
      </c>
      <c r="R1136" s="45">
        <f t="shared" ca="1" si="1488"/>
        <v>0.24189866318203743</v>
      </c>
      <c r="S1136" s="45">
        <f t="shared" ca="1" si="1512"/>
        <v>5.0695617570641283E-2</v>
      </c>
      <c r="T1136" s="77">
        <f t="shared" ca="1" si="1473"/>
        <v>1.9463012095627269E-3</v>
      </c>
      <c r="U1136" s="45">
        <f t="shared" ca="1" si="1489"/>
        <v>17.933202813061264</v>
      </c>
      <c r="V1136" s="45">
        <f t="shared" ca="1" si="1474"/>
        <v>0.20278247028256513</v>
      </c>
      <c r="W1136" s="77">
        <f t="shared" ca="1" si="1475"/>
        <v>4.3456636778147484E-3</v>
      </c>
      <c r="X1136" s="45">
        <f t="shared" ca="1" si="1490"/>
        <v>1.0406294803627456</v>
      </c>
      <c r="Y1136" s="45">
        <f t="shared" ca="1" si="1476"/>
        <v>6.169203973666748E-4</v>
      </c>
      <c r="Z1136" s="77">
        <f t="shared" ca="1" si="1477"/>
        <v>5.5469456425958155E-4</v>
      </c>
      <c r="AA1136" s="45">
        <f t="shared" ca="1" si="1491"/>
        <v>39.247456804613961</v>
      </c>
      <c r="AB1136" s="45">
        <f t="shared" ca="1" si="1478"/>
        <v>0</v>
      </c>
      <c r="AC1136" s="45" cm="1">
        <f t="array" aca="1" ref="AC1136" ca="1">pHUM*(T1136+W1136+Z1136+AD1136)</f>
        <v>7.2578870278432336E-4</v>
      </c>
      <c r="AD1136" s="77">
        <f t="shared" ca="1" si="1479"/>
        <v>6.3411442126683367E-4</v>
      </c>
      <c r="AE1136" s="45">
        <f t="shared" ca="1" si="1492"/>
        <v>6.3847072090583081</v>
      </c>
      <c r="AF1136" s="45">
        <f t="shared" ca="1" si="1480"/>
        <v>0</v>
      </c>
      <c r="AG1136" s="76">
        <f t="shared" ca="1" si="1481"/>
        <v>64.847894970278318</v>
      </c>
      <c r="AH1136" s="45">
        <f t="shared" ca="1" si="1482"/>
        <v>6.1380647727528924E-3</v>
      </c>
      <c r="AI1136" s="77">
        <f t="shared" ca="1" si="1483"/>
        <v>1.3214457997533171E-2</v>
      </c>
      <c r="AJ1136" s="384">
        <f t="shared" ca="1" si="1485"/>
        <v>9.529013129433439E-3</v>
      </c>
      <c r="AU1136" s="1"/>
    </row>
    <row r="1137" spans="3:47" x14ac:dyDescent="0.25">
      <c r="C1137" s="10">
        <f t="shared" si="1510"/>
        <v>87</v>
      </c>
      <c r="D1137" s="91">
        <f t="shared" si="1493"/>
        <v>3</v>
      </c>
      <c r="E1137" s="278"/>
      <c r="F1137" s="76">
        <f t="shared" ref="F1137:Q1137" ca="1" si="1524">F1065</f>
        <v>-0.82</v>
      </c>
      <c r="G1137" s="46">
        <f t="shared" ca="1" si="1524"/>
        <v>27.012600000000003</v>
      </c>
      <c r="H1137" s="46">
        <f t="shared" ca="1" si="1469"/>
        <v>28.517550000000004</v>
      </c>
      <c r="I1137" s="45">
        <f t="shared" ca="1" si="1470"/>
        <v>4.749388171975074E-2</v>
      </c>
      <c r="J1137" s="45">
        <f t="shared" ca="1" si="1471"/>
        <v>0.27952512346894071</v>
      </c>
      <c r="K1137" s="45">
        <f t="shared" ca="1" si="1487"/>
        <v>0.90345467800480783</v>
      </c>
      <c r="L1137" s="358">
        <f t="shared" ca="1" si="1472"/>
        <v>0.33399301288143546</v>
      </c>
      <c r="M1137" s="76">
        <f t="shared" ca="1" si="1524"/>
        <v>0.25347808785320641</v>
      </c>
      <c r="N1137" s="45">
        <f t="shared" ca="1" si="1524"/>
        <v>0.25</v>
      </c>
      <c r="O1137" s="45">
        <f t="shared" ca="1" si="1524"/>
        <v>0</v>
      </c>
      <c r="P1137" s="46" t="str">
        <f t="shared" ca="1" si="1524"/>
        <v/>
      </c>
      <c r="Q1137" s="243" t="str">
        <f t="shared" ca="1" si="1524"/>
        <v/>
      </c>
      <c r="R1137" s="45">
        <f t="shared" ca="1" si="1488"/>
        <v>0.29064797954311594</v>
      </c>
      <c r="S1137" s="45">
        <f t="shared" ca="1" si="1512"/>
        <v>5.0695617570641283E-2</v>
      </c>
      <c r="T1137" s="77">
        <f t="shared" ca="1" si="1473"/>
        <v>1.1278666868164679E-2</v>
      </c>
      <c r="U1137" s="45">
        <f t="shared" ca="1" si="1489"/>
        <v>18.131639619666014</v>
      </c>
      <c r="V1137" s="45">
        <f t="shared" ca="1" si="1474"/>
        <v>0.20278247028256513</v>
      </c>
      <c r="W1137" s="77">
        <f t="shared" ca="1" si="1475"/>
        <v>2.1515772814692937E-2</v>
      </c>
      <c r="X1137" s="45">
        <f t="shared" ca="1" si="1490"/>
        <v>1.0406917061958527</v>
      </c>
      <c r="Y1137" s="45">
        <f t="shared" ca="1" si="1476"/>
        <v>3.1845570132484659E-3</v>
      </c>
      <c r="Z1137" s="77">
        <f t="shared" ca="1" si="1477"/>
        <v>2.7149094466275936E-3</v>
      </c>
      <c r="AA1137" s="45">
        <f t="shared" ca="1" si="1491"/>
        <v>39.247548478895482</v>
      </c>
      <c r="AB1137" s="45">
        <f t="shared" ca="1" si="1478"/>
        <v>0</v>
      </c>
      <c r="AC1137" s="45" cm="1">
        <f t="array" aca="1" ref="AC1137" ca="1">pHUM*(T1137+W1137+Z1137+AD1137)</f>
        <v>3.7465376626452541E-3</v>
      </c>
      <c r="AD1137" s="77">
        <f t="shared" ca="1" si="1479"/>
        <v>3.1065744210575477E-3</v>
      </c>
      <c r="AE1137" s="45">
        <f t="shared" ca="1" si="1492"/>
        <v>6.3847072090583081</v>
      </c>
      <c r="AF1137" s="45">
        <f t="shared" ca="1" si="1480"/>
        <v>0</v>
      </c>
      <c r="AG1137" s="76">
        <f t="shared" ca="1" si="1481"/>
        <v>65.095234993358773</v>
      </c>
      <c r="AH1137" s="45">
        <f t="shared" ca="1" si="1482"/>
        <v>3.1684828874649039E-2</v>
      </c>
      <c r="AI1137" s="77">
        <f t="shared" ca="1" si="1483"/>
        <v>1.3935290579496756E-2</v>
      </c>
      <c r="AJ1137" s="384">
        <f t="shared" ca="1" si="1485"/>
        <v>1.4842388638637294E-2</v>
      </c>
      <c r="AU1137" s="1"/>
    </row>
    <row r="1138" spans="3:47" x14ac:dyDescent="0.25">
      <c r="C1138" s="10">
        <f t="shared" si="1510"/>
        <v>87</v>
      </c>
      <c r="D1138" s="91">
        <f t="shared" si="1493"/>
        <v>4</v>
      </c>
      <c r="E1138" s="278"/>
      <c r="F1138" s="76">
        <f t="shared" ref="F1138:Q1138" ca="1" si="1525">F1066</f>
        <v>6.18</v>
      </c>
      <c r="G1138" s="46">
        <f t="shared" ca="1" si="1525"/>
        <v>27.012600000000003</v>
      </c>
      <c r="H1138" s="46">
        <f t="shared" ca="1" si="1469"/>
        <v>28.517550000000004</v>
      </c>
      <c r="I1138" s="45">
        <f t="shared" ca="1" si="1470"/>
        <v>0.26773980091806004</v>
      </c>
      <c r="J1138" s="45">
        <f t="shared" ca="1" si="1471"/>
        <v>0.27952512346894071</v>
      </c>
      <c r="K1138" s="45">
        <f t="shared" ca="1" si="1487"/>
        <v>0.90345467800480783</v>
      </c>
      <c r="L1138" s="358">
        <f t="shared" ca="1" si="1472"/>
        <v>0.58750950384279488</v>
      </c>
      <c r="M1138" s="76">
        <f t="shared" ca="1" si="1525"/>
        <v>0.25347808785320641</v>
      </c>
      <c r="N1138" s="45">
        <f t="shared" ca="1" si="1525"/>
        <v>0.25</v>
      </c>
      <c r="O1138" s="45">
        <f t="shared" ca="1" si="1525"/>
        <v>0</v>
      </c>
      <c r="P1138" s="46" t="str">
        <f t="shared" ca="1" si="1525"/>
        <v/>
      </c>
      <c r="Q1138" s="243" t="str">
        <f t="shared" ca="1" si="1525"/>
        <v/>
      </c>
      <c r="R1138" s="45">
        <f t="shared" ca="1" si="1488"/>
        <v>0.33006493024559252</v>
      </c>
      <c r="S1138" s="45">
        <f t="shared" ca="1" si="1512"/>
        <v>5.0695617570641283E-2</v>
      </c>
      <c r="T1138" s="77">
        <f t="shared" ca="1" si="1473"/>
        <v>6.6005843202412762E-2</v>
      </c>
      <c r="U1138" s="45">
        <f t="shared" ca="1" si="1489"/>
        <v>18.312906317133887</v>
      </c>
      <c r="V1138" s="45">
        <f t="shared" ca="1" si="1474"/>
        <v>0.20278247028256513</v>
      </c>
      <c r="W1138" s="77">
        <f t="shared" ca="1" si="1475"/>
        <v>0.12216802563085342</v>
      </c>
      <c r="X1138" s="45">
        <f t="shared" ca="1" si="1490"/>
        <v>1.0411613537624735</v>
      </c>
      <c r="Y1138" s="45">
        <f t="shared" ca="1" si="1476"/>
        <v>1.821733201100334E-2</v>
      </c>
      <c r="Z1138" s="77">
        <f t="shared" ca="1" si="1477"/>
        <v>1.5219484625247739E-2</v>
      </c>
      <c r="AA1138" s="45">
        <f t="shared" ca="1" si="1491"/>
        <v>39.248188442137064</v>
      </c>
      <c r="AB1138" s="45">
        <f t="shared" ca="1" si="1478"/>
        <v>0</v>
      </c>
      <c r="AC1138" s="45" cm="1">
        <f t="array" aca="1" ref="AC1138" ca="1">pHUM*(T1138+W1138+Z1138+AD1138)</f>
        <v>2.1432155307062752E-2</v>
      </c>
      <c r="AD1138" s="77">
        <f t="shared" ca="1" si="1479"/>
        <v>1.7509929888315959E-2</v>
      </c>
      <c r="AE1138" s="45">
        <f t="shared" ca="1" si="1492"/>
        <v>6.3847072090583081</v>
      </c>
      <c r="AF1138" s="45">
        <f t="shared" ca="1" si="1480"/>
        <v>0</v>
      </c>
      <c r="AG1138" s="76">
        <f t="shared" ca="1" si="1481"/>
        <v>65.317028252337323</v>
      </c>
      <c r="AH1138" s="45">
        <f t="shared" ca="1" si="1482"/>
        <v>0.18125379602876382</v>
      </c>
      <c r="AI1138" s="77">
        <f t="shared" ca="1" si="1483"/>
        <v>1.4517573263380081E-2</v>
      </c>
      <c r="AJ1138" s="384">
        <f t="shared" ca="1" si="1485"/>
        <v>2.7199082132944863E-2</v>
      </c>
      <c r="AU1138" s="1"/>
    </row>
    <row r="1139" spans="3:47" x14ac:dyDescent="0.25">
      <c r="C1139" s="10">
        <f t="shared" si="1510"/>
        <v>87</v>
      </c>
      <c r="D1139" s="91">
        <f t="shared" si="1493"/>
        <v>5</v>
      </c>
      <c r="E1139" s="278"/>
      <c r="F1139" s="76">
        <f t="shared" ref="F1139:Q1139" ca="1" si="1526">F1067</f>
        <v>13.58</v>
      </c>
      <c r="G1139" s="46">
        <f t="shared" ca="1" si="1526"/>
        <v>27.012600000000003</v>
      </c>
      <c r="H1139" s="46">
        <f t="shared" ca="1" si="1469"/>
        <v>28.517550000000004</v>
      </c>
      <c r="I1139" s="45">
        <f t="shared" ca="1" si="1470"/>
        <v>0.71743035359667851</v>
      </c>
      <c r="J1139" s="45">
        <f t="shared" ca="1" si="1471"/>
        <v>0.27952512346894071</v>
      </c>
      <c r="K1139" s="45">
        <f t="shared" ca="1" si="1487"/>
        <v>0.90345467800480783</v>
      </c>
      <c r="L1139" s="358">
        <f t="shared" ca="1" si="1472"/>
        <v>0.81042644426030708</v>
      </c>
      <c r="M1139" s="76">
        <f t="shared" ca="1" si="1526"/>
        <v>0.25347808785320641</v>
      </c>
      <c r="N1139" s="45">
        <f t="shared" ca="1" si="1526"/>
        <v>0.25</v>
      </c>
      <c r="O1139" s="45">
        <f t="shared" ca="1" si="1526"/>
        <v>0</v>
      </c>
      <c r="P1139" s="46" t="str">
        <f t="shared" ca="1" si="1526"/>
        <v/>
      </c>
      <c r="Q1139" s="243" t="str">
        <f t="shared" ca="1" si="1526"/>
        <v/>
      </c>
      <c r="R1139" s="45">
        <f t="shared" ca="1" si="1488"/>
        <v>0.31475470461382105</v>
      </c>
      <c r="S1139" s="45">
        <f t="shared" ca="1" si="1512"/>
        <v>5.0695617570641283E-2</v>
      </c>
      <c r="T1139" s="77">
        <f t="shared" ca="1" si="1473"/>
        <v>0.14164336103755834</v>
      </c>
      <c r="U1139" s="45">
        <f t="shared" ca="1" si="1489"/>
        <v>18.393520761785599</v>
      </c>
      <c r="V1139" s="45">
        <f t="shared" ca="1" si="1474"/>
        <v>0.20278247028256513</v>
      </c>
      <c r="W1139" s="77">
        <f t="shared" ca="1" si="1475"/>
        <v>0.32696084219735883</v>
      </c>
      <c r="X1139" s="45">
        <f t="shared" ca="1" si="1490"/>
        <v>1.044159201148229</v>
      </c>
      <c r="Y1139" s="45">
        <f t="shared" ca="1" si="1476"/>
        <v>4.5844436917188182E-2</v>
      </c>
      <c r="Z1139" s="77">
        <f t="shared" ca="1" si="1477"/>
        <v>4.0398848789296199E-2</v>
      </c>
      <c r="AA1139" s="45">
        <f t="shared" ca="1" si="1491"/>
        <v>39.252110667555812</v>
      </c>
      <c r="AB1139" s="45">
        <f t="shared" ca="1" si="1478"/>
        <v>0</v>
      </c>
      <c r="AC1139" s="45" cm="1">
        <f t="array" aca="1" ref="AC1139" ca="1">pHUM*(T1139+W1139+Z1139+AD1139)</f>
        <v>5.3934631667280221E-2</v>
      </c>
      <c r="AD1139" s="77">
        <f t="shared" ca="1" si="1479"/>
        <v>4.6906377088492636E-2</v>
      </c>
      <c r="AE1139" s="45">
        <f t="shared" ca="1" si="1492"/>
        <v>6.3847072090583081</v>
      </c>
      <c r="AF1139" s="45">
        <f t="shared" ca="1" si="1480"/>
        <v>0</v>
      </c>
      <c r="AG1139" s="76">
        <f t="shared" ca="1" si="1481"/>
        <v>65.389252544161764</v>
      </c>
      <c r="AH1139" s="45">
        <f t="shared" ca="1" si="1482"/>
        <v>0.45613036052823769</v>
      </c>
      <c r="AI1139" s="77">
        <f t="shared" ca="1" si="1483"/>
        <v>1.4320634824537819E-2</v>
      </c>
      <c r="AJ1139" s="384">
        <f t="shared" ca="1" si="1485"/>
        <v>3.7009837647525856E-2</v>
      </c>
      <c r="AU1139" s="1"/>
    </row>
    <row r="1140" spans="3:47" x14ac:dyDescent="0.25">
      <c r="C1140" s="10">
        <f t="shared" si="1510"/>
        <v>87</v>
      </c>
      <c r="D1140" s="91">
        <f t="shared" si="1493"/>
        <v>6</v>
      </c>
      <c r="E1140" s="278"/>
      <c r="F1140" s="76">
        <f t="shared" ref="F1140:Q1140" ca="1" si="1527">F1068</f>
        <v>18.37</v>
      </c>
      <c r="G1140" s="46">
        <f t="shared" ca="1" si="1527"/>
        <v>27.012600000000003</v>
      </c>
      <c r="H1140" s="46">
        <f t="shared" ca="1" si="1469"/>
        <v>28.517550000000004</v>
      </c>
      <c r="I1140" s="45">
        <f t="shared" ca="1" si="1470"/>
        <v>1.0882596087882719</v>
      </c>
      <c r="J1140" s="45">
        <f t="shared" ca="1" si="1471"/>
        <v>0.27952512346894071</v>
      </c>
      <c r="K1140" s="45">
        <f t="shared" ca="1" si="1487"/>
        <v>0.90345467800480783</v>
      </c>
      <c r="L1140" s="358">
        <f t="shared" ca="1" si="1472"/>
        <v>0.89586760620832129</v>
      </c>
      <c r="M1140" s="76">
        <f t="shared" ca="1" si="1527"/>
        <v>0.25347808785320641</v>
      </c>
      <c r="N1140" s="45">
        <f t="shared" ca="1" si="1527"/>
        <v>0.25</v>
      </c>
      <c r="O1140" s="45">
        <f t="shared" ca="1" si="1527"/>
        <v>0</v>
      </c>
      <c r="P1140" s="46" t="str">
        <f t="shared" ca="1" si="1527"/>
        <v/>
      </c>
      <c r="Q1140" s="243" t="str">
        <f t="shared" ca="1" si="1527"/>
        <v/>
      </c>
      <c r="R1140" s="45">
        <f t="shared" ca="1" si="1488"/>
        <v>0.22380696114690399</v>
      </c>
      <c r="S1140" s="45">
        <f t="shared" ca="1" si="1512"/>
        <v>5.0695617570641283E-2</v>
      </c>
      <c r="T1140" s="77">
        <f t="shared" ca="1" si="1473"/>
        <v>0.1334379969187959</v>
      </c>
      <c r="U1140" s="45">
        <f t="shared" ca="1" si="1489"/>
        <v>18.269342389870804</v>
      </c>
      <c r="V1140" s="45">
        <f t="shared" ca="1" si="1474"/>
        <v>0.20278247028256513</v>
      </c>
      <c r="W1140" s="77">
        <f t="shared" ca="1" si="1475"/>
        <v>0.49034416774044542</v>
      </c>
      <c r="X1140" s="45">
        <f t="shared" ca="1" si="1490"/>
        <v>1.0496047892761211</v>
      </c>
      <c r="Y1140" s="45">
        <f t="shared" ca="1" si="1476"/>
        <v>6.2337537517104566E-2</v>
      </c>
      <c r="Z1140" s="77">
        <f t="shared" ca="1" si="1477"/>
        <v>6.0980171073037673E-2</v>
      </c>
      <c r="AA1140" s="45">
        <f t="shared" ca="1" si="1491"/>
        <v>39.259138922134603</v>
      </c>
      <c r="AB1140" s="45">
        <f t="shared" ca="1" si="1478"/>
        <v>0</v>
      </c>
      <c r="AC1140" s="45" cm="1">
        <f t="array" aca="1" ref="AC1140" ca="1">pHUM*(T1140+W1140+Z1140+AD1140)</f>
        <v>7.3338279431887726E-2</v>
      </c>
      <c r="AD1140" s="77">
        <f t="shared" ca="1" si="1479"/>
        <v>7.1142354645385236E-2</v>
      </c>
      <c r="AE1140" s="45">
        <f t="shared" ca="1" si="1492"/>
        <v>6.3847072090583081</v>
      </c>
      <c r="AF1140" s="45">
        <f t="shared" ca="1" si="1480"/>
        <v>0</v>
      </c>
      <c r="AG1140" s="76">
        <f t="shared" ca="1" si="1481"/>
        <v>65.186600271486739</v>
      </c>
      <c r="AH1140" s="45">
        <f t="shared" ca="1" si="1482"/>
        <v>0.62022887342867195</v>
      </c>
      <c r="AI1140" s="77">
        <f t="shared" ca="1" si="1483"/>
        <v>1.3033585866063893E-2</v>
      </c>
      <c r="AJ1140" s="384">
        <f t="shared" ca="1" si="1485"/>
        <v>3.7234794763173484E-2</v>
      </c>
      <c r="AU1140" s="1"/>
    </row>
    <row r="1141" spans="3:47" x14ac:dyDescent="0.25">
      <c r="C1141" s="10">
        <f t="shared" si="1510"/>
        <v>87</v>
      </c>
      <c r="D1141" s="91">
        <f t="shared" si="1493"/>
        <v>7</v>
      </c>
      <c r="E1141" s="278"/>
      <c r="F1141" s="76">
        <f t="shared" ref="F1141:Q1141" ca="1" si="1528">F1069</f>
        <v>22.71</v>
      </c>
      <c r="G1141" s="46">
        <f t="shared" ca="1" si="1528"/>
        <v>27.012600000000003</v>
      </c>
      <c r="H1141" s="46">
        <f t="shared" ca="1" si="1469"/>
        <v>28.517550000000004</v>
      </c>
      <c r="I1141" s="45">
        <f t="shared" ca="1" si="1470"/>
        <v>1.4513708414333564</v>
      </c>
      <c r="J1141" s="45">
        <f t="shared" ca="1" si="1471"/>
        <v>0.27952512346894071</v>
      </c>
      <c r="K1141" s="45">
        <f t="shared" ca="1" si="1487"/>
        <v>0.90345467800480783</v>
      </c>
      <c r="L1141" s="358">
        <f t="shared" ca="1" si="1472"/>
        <v>0.94004721434733285</v>
      </c>
      <c r="M1141" s="76">
        <f t="shared" ca="1" si="1528"/>
        <v>0.25347808785320641</v>
      </c>
      <c r="N1141" s="45">
        <f t="shared" ca="1" si="1528"/>
        <v>0.25</v>
      </c>
      <c r="O1141" s="45">
        <f t="shared" ca="1" si="1528"/>
        <v>0</v>
      </c>
      <c r="P1141" s="46" t="str">
        <f t="shared" ca="1" si="1528"/>
        <v/>
      </c>
      <c r="Q1141" s="243" t="str">
        <f t="shared" ca="1" si="1528"/>
        <v/>
      </c>
      <c r="R1141" s="45">
        <f t="shared" ca="1" si="1488"/>
        <v>0.14106458179874934</v>
      </c>
      <c r="S1141" s="45">
        <f t="shared" ca="1" si="1512"/>
        <v>5.0695617570641283E-2</v>
      </c>
      <c r="T1141" s="77">
        <f t="shared" ca="1" si="1473"/>
        <v>9.8977446831495092E-2</v>
      </c>
      <c r="U1141" s="45">
        <f t="shared" ca="1" si="1489"/>
        <v>17.981780692412922</v>
      </c>
      <c r="V1141" s="45">
        <f t="shared" ca="1" si="1474"/>
        <v>0.20278247028256513</v>
      </c>
      <c r="W1141" s="77">
        <f t="shared" ca="1" si="1475"/>
        <v>0.64076073836981484</v>
      </c>
      <c r="X1141" s="45">
        <f t="shared" ca="1" si="1490"/>
        <v>1.0509621557201878</v>
      </c>
      <c r="Y1141" s="45">
        <f t="shared" ca="1" si="1476"/>
        <v>7.5476449434954032E-2</v>
      </c>
      <c r="Z1141" s="77">
        <f t="shared" ca="1" si="1477"/>
        <v>8.0632401945477467E-2</v>
      </c>
      <c r="AA1141" s="45">
        <f t="shared" ca="1" si="1491"/>
        <v>39.261334846921102</v>
      </c>
      <c r="AB1141" s="45">
        <f t="shared" ca="1" si="1478"/>
        <v>0</v>
      </c>
      <c r="AC1141" s="45" cm="1">
        <f t="array" aca="1" ref="AC1141" ca="1">pHUM*(T1141+W1141+Z1141+AD1141)</f>
        <v>8.8795822864651805E-2</v>
      </c>
      <c r="AD1141" s="77">
        <f t="shared" ca="1" si="1479"/>
        <v>9.4856488117130183E-2</v>
      </c>
      <c r="AE1141" s="45">
        <f t="shared" ca="1" si="1492"/>
        <v>6.3847072090583081</v>
      </c>
      <c r="AF1141" s="45">
        <f t="shared" ca="1" si="1480"/>
        <v>0</v>
      </c>
      <c r="AG1141" s="76">
        <f t="shared" ca="1" si="1481"/>
        <v>64.819849485911263</v>
      </c>
      <c r="AH1141" s="45">
        <f t="shared" ca="1" si="1482"/>
        <v>0.75095480296431194</v>
      </c>
      <c r="AI1141" s="77">
        <f t="shared" ca="1" si="1483"/>
        <v>1.1813726898243773E-2</v>
      </c>
      <c r="AJ1141" s="384">
        <f t="shared" ca="1" si="1485"/>
        <v>3.5414291149182819E-2</v>
      </c>
      <c r="AU1141" s="1"/>
    </row>
    <row r="1142" spans="3:47" x14ac:dyDescent="0.25">
      <c r="C1142" s="10">
        <f t="shared" si="1510"/>
        <v>87</v>
      </c>
      <c r="D1142" s="91">
        <f t="shared" si="1493"/>
        <v>8</v>
      </c>
      <c r="E1142" s="278"/>
      <c r="F1142" s="76">
        <f t="shared" ref="F1142:Q1142" ca="1" si="1529">F1070</f>
        <v>19.329999999999998</v>
      </c>
      <c r="G1142" s="46">
        <f t="shared" ca="1" si="1529"/>
        <v>27.012600000000003</v>
      </c>
      <c r="H1142" s="46">
        <f t="shared" ca="1" si="1469"/>
        <v>28.517550000000004</v>
      </c>
      <c r="I1142" s="45">
        <f t="shared" ca="1" si="1470"/>
        <v>1.1670427279291871</v>
      </c>
      <c r="J1142" s="45">
        <f t="shared" ca="1" si="1471"/>
        <v>0.27952512346894071</v>
      </c>
      <c r="K1142" s="45">
        <f t="shared" ca="1" si="1487"/>
        <v>0.90345467800480783</v>
      </c>
      <c r="L1142" s="358">
        <f t="shared" ca="1" si="1472"/>
        <v>0.9079689727892073</v>
      </c>
      <c r="M1142" s="76">
        <f t="shared" ca="1" si="1529"/>
        <v>0.25347808785320641</v>
      </c>
      <c r="N1142" s="45">
        <f t="shared" ca="1" si="1529"/>
        <v>0.25</v>
      </c>
      <c r="O1142" s="45">
        <f t="shared" ca="1" si="1529"/>
        <v>0</v>
      </c>
      <c r="P1142" s="46" t="str">
        <f t="shared" ca="1" si="1529"/>
        <v/>
      </c>
      <c r="Q1142" s="243" t="str">
        <f t="shared" ca="1" si="1529"/>
        <v/>
      </c>
      <c r="R1142" s="45">
        <f t="shared" ca="1" si="1488"/>
        <v>9.278275253789553E-2</v>
      </c>
      <c r="S1142" s="45">
        <f t="shared" ca="1" si="1512"/>
        <v>5.0695617570641283E-2</v>
      </c>
      <c r="T1142" s="77">
        <f t="shared" ca="1" si="1473"/>
        <v>5.7699455138857644E-2</v>
      </c>
      <c r="U1142" s="45">
        <f t="shared" ca="1" si="1489"/>
        <v>17.543802424325673</v>
      </c>
      <c r="V1142" s="45">
        <f t="shared" ca="1" si="1474"/>
        <v>0.20278247028256513</v>
      </c>
      <c r="W1142" s="77">
        <f t="shared" ca="1" si="1475"/>
        <v>0.50446424968334436</v>
      </c>
      <c r="X1142" s="45">
        <f t="shared" ca="1" si="1490"/>
        <v>1.0458062032096644</v>
      </c>
      <c r="Y1142" s="45">
        <f t="shared" ca="1" si="1476"/>
        <v>5.8012748869259917E-2</v>
      </c>
      <c r="Z1142" s="77">
        <f t="shared" ca="1" si="1477"/>
        <v>6.5018523879799658E-2</v>
      </c>
      <c r="AA1142" s="45">
        <f t="shared" ca="1" si="1491"/>
        <v>39.255274181668625</v>
      </c>
      <c r="AB1142" s="45">
        <f t="shared" ca="1" si="1478"/>
        <v>0</v>
      </c>
      <c r="AC1142" s="45" cm="1">
        <f t="array" aca="1" ref="AC1142" ca="1">pHUM*(T1142+W1142+Z1142+AD1142)</f>
        <v>6.8250292787364608E-2</v>
      </c>
      <c r="AD1142" s="77">
        <f t="shared" ca="1" si="1479"/>
        <v>7.6280094620325409E-2</v>
      </c>
      <c r="AE1142" s="45">
        <f t="shared" ca="1" si="1492"/>
        <v>6.3847072090583081</v>
      </c>
      <c r="AF1142" s="45">
        <f t="shared" ca="1" si="1480"/>
        <v>0</v>
      </c>
      <c r="AG1142" s="76">
        <f t="shared" ca="1" si="1481"/>
        <v>64.322372770800172</v>
      </c>
      <c r="AH1142" s="45">
        <f t="shared" ca="1" si="1482"/>
        <v>0.57719928166570256</v>
      </c>
      <c r="AI1142" s="77">
        <f t="shared" ca="1" si="1483"/>
        <v>1.1026657926380568E-2</v>
      </c>
      <c r="AJ1142" s="384">
        <f t="shared" ca="1" si="1485"/>
        <v>3.1927013689756478E-2</v>
      </c>
      <c r="AU1142" s="1"/>
    </row>
    <row r="1143" spans="3:47" x14ac:dyDescent="0.25">
      <c r="C1143" s="10">
        <f t="shared" si="1510"/>
        <v>87</v>
      </c>
      <c r="D1143" s="91">
        <f t="shared" si="1493"/>
        <v>9</v>
      </c>
      <c r="E1143" s="278"/>
      <c r="F1143" s="76">
        <f t="shared" ref="F1143:Q1143" ca="1" si="1530">F1071</f>
        <v>15.36</v>
      </c>
      <c r="G1143" s="46">
        <f t="shared" ca="1" si="1530"/>
        <v>27.012600000000003</v>
      </c>
      <c r="H1143" s="46">
        <f t="shared" ca="1" si="1469"/>
        <v>28.517550000000004</v>
      </c>
      <c r="I1143" s="45">
        <f t="shared" ca="1" si="1470"/>
        <v>0.85004563012661705</v>
      </c>
      <c r="J1143" s="45">
        <f t="shared" ca="1" si="1471"/>
        <v>0.27952512346894071</v>
      </c>
      <c r="K1143" s="45">
        <f t="shared" ca="1" si="1487"/>
        <v>0.90345467800480783</v>
      </c>
      <c r="L1143" s="358">
        <f t="shared" ca="1" si="1472"/>
        <v>0.84745728919304408</v>
      </c>
      <c r="M1143" s="76">
        <f t="shared" ca="1" si="1530"/>
        <v>0.25347808785320641</v>
      </c>
      <c r="N1143" s="45">
        <f t="shared" ca="1" si="1530"/>
        <v>0.25</v>
      </c>
      <c r="O1143" s="45">
        <f t="shared" ca="1" si="1530"/>
        <v>0</v>
      </c>
      <c r="P1143" s="46" t="str">
        <f t="shared" ca="1" si="1530"/>
        <v/>
      </c>
      <c r="Q1143" s="243" t="str">
        <f t="shared" ca="1" si="1530"/>
        <v/>
      </c>
      <c r="R1143" s="45">
        <f t="shared" ca="1" si="1488"/>
        <v>8.5778914969679168E-2</v>
      </c>
      <c r="S1143" s="45">
        <f t="shared" ca="1" si="1512"/>
        <v>5.0695617570641283E-2</v>
      </c>
      <c r="T1143" s="77">
        <f t="shared" ca="1" si="1473"/>
        <v>4.3537468977546526E-2</v>
      </c>
      <c r="U1143" s="45">
        <f t="shared" ca="1" si="1489"/>
        <v>17.242120644924892</v>
      </c>
      <c r="V1143" s="45">
        <f t="shared" ca="1" si="1474"/>
        <v>0.20278247028256513</v>
      </c>
      <c r="W1143" s="77">
        <f t="shared" ca="1" si="1475"/>
        <v>0.36254880076191304</v>
      </c>
      <c r="X1143" s="45">
        <f t="shared" ca="1" si="1490"/>
        <v>1.0388004281991248</v>
      </c>
      <c r="Y1143" s="45">
        <f t="shared" ca="1" si="1476"/>
        <v>4.1984088294326365E-2</v>
      </c>
      <c r="Z1143" s="77">
        <f t="shared" ca="1" si="1477"/>
        <v>4.7448711424775157E-2</v>
      </c>
      <c r="AA1143" s="45">
        <f t="shared" ca="1" si="1491"/>
        <v>39.247244379835664</v>
      </c>
      <c r="AB1143" s="45">
        <f t="shared" ca="1" si="1478"/>
        <v>0</v>
      </c>
      <c r="AC1143" s="45" cm="1">
        <f t="array" aca="1" ref="AC1143" ca="1">pHUM*(T1143+W1143+Z1143+AD1143)</f>
        <v>4.9393045052148664E-2</v>
      </c>
      <c r="AD1143" s="77">
        <f t="shared" ca="1" si="1479"/>
        <v>5.5563878478775294E-2</v>
      </c>
      <c r="AE1143" s="45">
        <f t="shared" ca="1" si="1492"/>
        <v>6.3847072090583081</v>
      </c>
      <c r="AF1143" s="45">
        <f t="shared" ca="1" si="1480"/>
        <v>0</v>
      </c>
      <c r="AG1143" s="76">
        <f t="shared" ca="1" si="1481"/>
        <v>63.998651576987669</v>
      </c>
      <c r="AH1143" s="45">
        <f t="shared" ca="1" si="1482"/>
        <v>0.41772172629653498</v>
      </c>
      <c r="AI1143" s="77">
        <f t="shared" ca="1" si="1483"/>
        <v>1.0849483569290493E-2</v>
      </c>
      <c r="AJ1143" s="384">
        <f t="shared" ca="1" si="1485"/>
        <v>2.9320498005421802E-2</v>
      </c>
      <c r="AU1143" s="1"/>
    </row>
    <row r="1144" spans="3:47" x14ac:dyDescent="0.25">
      <c r="C1144" s="10">
        <f t="shared" si="1510"/>
        <v>87</v>
      </c>
      <c r="D1144" s="91">
        <f t="shared" si="1493"/>
        <v>10</v>
      </c>
      <c r="E1144" s="278"/>
      <c r="F1144" s="76">
        <f t="shared" ref="F1144:Q1144" ca="1" si="1531">F1072</f>
        <v>10.24</v>
      </c>
      <c r="G1144" s="46">
        <f t="shared" ca="1" si="1531"/>
        <v>27.012600000000003</v>
      </c>
      <c r="H1144" s="46">
        <f t="shared" ca="1" si="1469"/>
        <v>28.517550000000004</v>
      </c>
      <c r="I1144" s="45">
        <f t="shared" ca="1" si="1470"/>
        <v>0.49116850915432075</v>
      </c>
      <c r="J1144" s="45">
        <f t="shared" ca="1" si="1471"/>
        <v>0.27952512346894071</v>
      </c>
      <c r="K1144" s="45">
        <f t="shared" ca="1" si="1487"/>
        <v>0.90345467800480783</v>
      </c>
      <c r="L1144" s="358">
        <f t="shared" ca="1" si="1472"/>
        <v>0.72269796343841763</v>
      </c>
      <c r="M1144" s="76">
        <f t="shared" ca="1" si="1531"/>
        <v>0.25347808785320641</v>
      </c>
      <c r="N1144" s="45">
        <f t="shared" ca="1" si="1531"/>
        <v>0.25</v>
      </c>
      <c r="O1144" s="45">
        <f t="shared" ca="1" si="1531"/>
        <v>0</v>
      </c>
      <c r="P1144" s="46" t="str">
        <f t="shared" ca="1" si="1531"/>
        <v/>
      </c>
      <c r="Q1144" s="243" t="str">
        <f t="shared" ca="1" si="1531"/>
        <v/>
      </c>
      <c r="R1144" s="45">
        <f t="shared" ca="1" si="1488"/>
        <v>9.2937063562773911E-2</v>
      </c>
      <c r="S1144" s="45">
        <f t="shared" ca="1" si="1512"/>
        <v>5.0695617570641283E-2</v>
      </c>
      <c r="T1144" s="77">
        <f t="shared" ca="1" si="1473"/>
        <v>3.1216606232968552E-2</v>
      </c>
      <c r="U1144" s="45">
        <f t="shared" ca="1" si="1489"/>
        <v>17.082354314445542</v>
      </c>
      <c r="V1144" s="45">
        <f t="shared" ca="1" si="1474"/>
        <v>0.20278247028256513</v>
      </c>
      <c r="W1144" s="77">
        <f t="shared" ca="1" si="1475"/>
        <v>0.20847528686955472</v>
      </c>
      <c r="X1144" s="45">
        <f t="shared" ca="1" si="1490"/>
        <v>1.0333358050686758</v>
      </c>
      <c r="Y1144" s="45">
        <f t="shared" ca="1" si="1476"/>
        <v>2.4686070930207655E-2</v>
      </c>
      <c r="Z1144" s="77">
        <f t="shared" ca="1" si="1477"/>
        <v>2.7541133719736346E-2</v>
      </c>
      <c r="AA1144" s="45">
        <f t="shared" ca="1" si="1491"/>
        <v>39.241073546409041</v>
      </c>
      <c r="AB1144" s="45">
        <f t="shared" ca="1" si="1478"/>
        <v>0</v>
      </c>
      <c r="AC1144" s="45" cm="1">
        <f t="array" aca="1" ref="AC1144" ca="1">pHUM*(T1144+W1144+Z1144+AD1144)</f>
        <v>2.9042436388479597E-2</v>
      </c>
      <c r="AD1144" s="77">
        <f t="shared" ca="1" si="1479"/>
        <v>3.2110154611872957E-2</v>
      </c>
      <c r="AE1144" s="45">
        <f t="shared" ca="1" si="1492"/>
        <v>6.3847072090583081</v>
      </c>
      <c r="AF1144" s="45">
        <f t="shared" ca="1" si="1480"/>
        <v>0</v>
      </c>
      <c r="AG1144" s="76">
        <f t="shared" ca="1" si="1481"/>
        <v>63.834407938544338</v>
      </c>
      <c r="AH1144" s="45">
        <f t="shared" ca="1" si="1482"/>
        <v>0.2456146741154453</v>
      </c>
      <c r="AI1144" s="77">
        <f t="shared" ca="1" si="1483"/>
        <v>1.0909398332709401E-2</v>
      </c>
      <c r="AJ1144" s="384">
        <f t="shared" ca="1" si="1485"/>
        <v>2.5142230215372541E-2</v>
      </c>
      <c r="AU1144" s="1"/>
    </row>
    <row r="1145" spans="3:47" x14ac:dyDescent="0.25">
      <c r="C1145" s="10">
        <f t="shared" si="1510"/>
        <v>87</v>
      </c>
      <c r="D1145" s="91">
        <f t="shared" si="1493"/>
        <v>11</v>
      </c>
      <c r="E1145" s="278"/>
      <c r="F1145" s="76">
        <f t="shared" ref="F1145:Q1145" ca="1" si="1532">F1073</f>
        <v>1.6</v>
      </c>
      <c r="G1145" s="46">
        <f t="shared" ca="1" si="1532"/>
        <v>27.012600000000003</v>
      </c>
      <c r="H1145" s="46">
        <f t="shared" ca="1" si="1469"/>
        <v>28.517550000000004</v>
      </c>
      <c r="I1145" s="45">
        <f t="shared" ca="1" si="1470"/>
        <v>9.9319080037688343E-2</v>
      </c>
      <c r="J1145" s="45">
        <f t="shared" ca="1" si="1471"/>
        <v>0.27952512346894071</v>
      </c>
      <c r="K1145" s="45">
        <f t="shared" ca="1" si="1487"/>
        <v>0.90345467800480783</v>
      </c>
      <c r="L1145" s="358">
        <f t="shared" ca="1" si="1472"/>
        <v>0.41844375967031366</v>
      </c>
      <c r="M1145" s="76">
        <f t="shared" ca="1" si="1532"/>
        <v>0.25347808785320641</v>
      </c>
      <c r="N1145" s="45">
        <f t="shared" ca="1" si="1532"/>
        <v>0.25</v>
      </c>
      <c r="O1145" s="45">
        <f t="shared" ca="1" si="1532"/>
        <v>0</v>
      </c>
      <c r="P1145" s="46" t="str">
        <f t="shared" ca="1" si="1532"/>
        <v/>
      </c>
      <c r="Q1145" s="243" t="str">
        <f t="shared" ca="1" si="1532"/>
        <v/>
      </c>
      <c r="R1145" s="45">
        <f t="shared" ca="1" si="1488"/>
        <v>0.11241607490044665</v>
      </c>
      <c r="S1145" s="45">
        <f t="shared" ca="1" si="1512"/>
        <v>5.0695617570641283E-2</v>
      </c>
      <c r="T1145" s="77">
        <f t="shared" ca="1" si="1473"/>
        <v>8.9295880519691829E-3</v>
      </c>
      <c r="U1145" s="45">
        <f t="shared" ca="1" si="1489"/>
        <v>17.076661497858552</v>
      </c>
      <c r="V1145" s="45">
        <f t="shared" ca="1" si="1474"/>
        <v>0.20278247028256513</v>
      </c>
      <c r="W1145" s="77">
        <f t="shared" ca="1" si="1475"/>
        <v>4.2348360991787973E-2</v>
      </c>
      <c r="X1145" s="45">
        <f t="shared" ca="1" si="1490"/>
        <v>1.0304807422791471</v>
      </c>
      <c r="Y1145" s="45">
        <f t="shared" ca="1" si="1476"/>
        <v>5.2273032282274022E-3</v>
      </c>
      <c r="Z1145" s="77">
        <f t="shared" ca="1" si="1477"/>
        <v>5.6137054318115397E-3</v>
      </c>
      <c r="AA1145" s="45">
        <f t="shared" ca="1" si="1491"/>
        <v>39.238005828185649</v>
      </c>
      <c r="AB1145" s="45">
        <f t="shared" ca="1" si="1478"/>
        <v>0</v>
      </c>
      <c r="AC1145" s="45" cm="1">
        <f t="array" aca="1" ref="AC1145" ca="1">pHUM*(T1145+W1145+Z1145+AD1145)</f>
        <v>6.1497685037969433E-3</v>
      </c>
      <c r="AD1145" s="77">
        <f t="shared" ca="1" si="1479"/>
        <v>6.4946001893545777E-3</v>
      </c>
      <c r="AE1145" s="45">
        <f t="shared" ca="1" si="1492"/>
        <v>6.3847072090583081</v>
      </c>
      <c r="AF1145" s="45">
        <f t="shared" ca="1" si="1480"/>
        <v>0</v>
      </c>
      <c r="AG1145" s="76">
        <f t="shared" ca="1" si="1481"/>
        <v>63.842271352282097</v>
      </c>
      <c r="AH1145" s="45">
        <f t="shared" ca="1" si="1482"/>
        <v>5.2009182932898933E-2</v>
      </c>
      <c r="AI1145" s="77">
        <f t="shared" ca="1" si="1483"/>
        <v>1.1185119429483468E-2</v>
      </c>
      <c r="AJ1145" s="384">
        <f t="shared" ca="1" si="1485"/>
        <v>1.4925472056701583E-2</v>
      </c>
      <c r="AU1145" s="1"/>
    </row>
    <row r="1146" spans="3:47" x14ac:dyDescent="0.25">
      <c r="C1146" s="10">
        <f t="shared" si="1510"/>
        <v>87</v>
      </c>
      <c r="D1146" s="91">
        <f t="shared" si="1493"/>
        <v>12</v>
      </c>
      <c r="E1146" s="278"/>
      <c r="F1146" s="76">
        <f t="shared" ref="F1146:Q1146" ca="1" si="1533">F1074</f>
        <v>-3.59</v>
      </c>
      <c r="G1146" s="46">
        <f t="shared" ca="1" si="1533"/>
        <v>27.012600000000003</v>
      </c>
      <c r="H1146" s="46">
        <f t="shared" ca="1" si="1469"/>
        <v>28.517550000000004</v>
      </c>
      <c r="I1146" s="45">
        <f t="shared" ca="1" si="1470"/>
        <v>1.5109209527995384E-2</v>
      </c>
      <c r="J1146" s="45">
        <f t="shared" ca="1" si="1471"/>
        <v>0.27952512346894071</v>
      </c>
      <c r="K1146" s="45">
        <f t="shared" ca="1" si="1487"/>
        <v>0.90345467800480783</v>
      </c>
      <c r="L1146" s="358">
        <f t="shared" ca="1" si="1472"/>
        <v>0.24908644075501707</v>
      </c>
      <c r="M1146" s="76">
        <f t="shared" ca="1" si="1533"/>
        <v>0.25347808785320641</v>
      </c>
      <c r="N1146" s="45">
        <f t="shared" ca="1" si="1533"/>
        <v>0.25</v>
      </c>
      <c r="O1146" s="45">
        <f t="shared" ca="1" si="1533"/>
        <v>0</v>
      </c>
      <c r="P1146" s="46" t="str">
        <f t="shared" ca="1" si="1533"/>
        <v/>
      </c>
      <c r="Q1146" s="243" t="str">
        <f t="shared" ca="1" si="1533"/>
        <v/>
      </c>
      <c r="R1146" s="45">
        <f t="shared" ca="1" si="1488"/>
        <v>0.15418210441911873</v>
      </c>
      <c r="S1146" s="45">
        <f t="shared" ca="1" si="1512"/>
        <v>5.0695617570641283E-2</v>
      </c>
      <c r="T1146" s="77">
        <f t="shared" ca="1" si="1473"/>
        <v>1.9291377207575763E-3</v>
      </c>
      <c r="U1146" s="45">
        <f t="shared" ca="1" si="1489"/>
        <v>17.237095607149328</v>
      </c>
      <c r="V1146" s="45">
        <f t="shared" ca="1" si="1474"/>
        <v>0.20278247028256513</v>
      </c>
      <c r="W1146" s="77">
        <f t="shared" ca="1" si="1475"/>
        <v>6.5097426888336904E-3</v>
      </c>
      <c r="X1146" s="45">
        <f t="shared" ca="1" si="1490"/>
        <v>1.0300943400755631</v>
      </c>
      <c r="Y1146" s="45">
        <f t="shared" ca="1" si="1476"/>
        <v>8.479807725775265E-4</v>
      </c>
      <c r="Z1146" s="77">
        <f t="shared" ca="1" si="1477"/>
        <v>8.5565953840861342E-4</v>
      </c>
      <c r="AA1146" s="45">
        <f t="shared" ca="1" si="1491"/>
        <v>39.23766099650009</v>
      </c>
      <c r="AB1146" s="45">
        <f t="shared" ca="1" si="1478"/>
        <v>0</v>
      </c>
      <c r="AC1146" s="45" cm="1">
        <f t="array" aca="1" ref="AC1146" ca="1">pHUM*(T1146+W1146+Z1146+AD1146)</f>
        <v>9.9762443832650174E-4</v>
      </c>
      <c r="AD1146" s="77">
        <f t="shared" ca="1" si="1479"/>
        <v>9.8807096144690469E-4</v>
      </c>
      <c r="AE1146" s="45">
        <f t="shared" ca="1" si="1492"/>
        <v>6.3847072090583081</v>
      </c>
      <c r="AF1146" s="45">
        <f t="shared" ca="1" si="1480"/>
        <v>0</v>
      </c>
      <c r="AG1146" s="76">
        <f t="shared" ca="1" si="1481"/>
        <v>64.043740257202401</v>
      </c>
      <c r="AH1146" s="45">
        <f t="shared" ca="1" si="1482"/>
        <v>8.4370056985427575E-3</v>
      </c>
      <c r="AI1146" s="77">
        <f t="shared" ca="1" si="1483"/>
        <v>1.1818855286571435E-2</v>
      </c>
      <c r="AJ1146" s="384">
        <f t="shared" ca="1" si="1485"/>
        <v>9.3881090435465886E-3</v>
      </c>
      <c r="AU1146" s="1"/>
    </row>
    <row r="1147" spans="3:47" x14ac:dyDescent="0.25">
      <c r="C1147" s="10">
        <f t="shared" si="1510"/>
        <v>88</v>
      </c>
      <c r="D1147" s="91">
        <f t="shared" si="1493"/>
        <v>1</v>
      </c>
      <c r="E1147" s="278"/>
      <c r="F1147" s="76">
        <f t="shared" ref="F1147:Q1147" ca="1" si="1534">F1075</f>
        <v>-7.32</v>
      </c>
      <c r="G1147" s="46">
        <f t="shared" ca="1" si="1534"/>
        <v>27.012600000000003</v>
      </c>
      <c r="H1147" s="46">
        <f t="shared" ca="1" si="1469"/>
        <v>28.517550000000004</v>
      </c>
      <c r="I1147" s="45">
        <f t="shared" ca="1" si="1470"/>
        <v>1.2903599790233234E-3</v>
      </c>
      <c r="J1147" s="45">
        <f t="shared" ca="1" si="1471"/>
        <v>0.27952512346894071</v>
      </c>
      <c r="K1147" s="45">
        <f t="shared" ca="1" si="1487"/>
        <v>0.90345467800480783</v>
      </c>
      <c r="L1147" s="358">
        <f t="shared" ca="1" si="1472"/>
        <v>0.15974615302556239</v>
      </c>
      <c r="M1147" s="76">
        <f t="shared" ca="1" si="1534"/>
        <v>0.25347808785320641</v>
      </c>
      <c r="N1147" s="45">
        <f t="shared" ca="1" si="1534"/>
        <v>0.25</v>
      </c>
      <c r="O1147" s="45">
        <f t="shared" ca="1" si="1534"/>
        <v>0</v>
      </c>
      <c r="P1147" s="46" t="str">
        <f t="shared" ca="1" si="1534"/>
        <v/>
      </c>
      <c r="Q1147" s="243" t="str">
        <f t="shared" ca="1" si="1534"/>
        <v/>
      </c>
      <c r="R1147" s="45">
        <f t="shared" ca="1" si="1488"/>
        <v>0.20294858426900242</v>
      </c>
      <c r="S1147" s="45">
        <f t="shared" ca="1" si="1512"/>
        <v>5.0695617570641283E-2</v>
      </c>
      <c r="T1147" s="77">
        <f t="shared" ca="1" si="1473"/>
        <v>2.1811331947600471E-4</v>
      </c>
      <c r="U1147" s="45">
        <f t="shared" ca="1" si="1489"/>
        <v>17.433368334743058</v>
      </c>
      <c r="V1147" s="45">
        <f t="shared" ca="1" si="1474"/>
        <v>0.20278247028256513</v>
      </c>
      <c r="W1147" s="77">
        <f t="shared" ca="1" si="1475"/>
        <v>5.6237394910904864E-4</v>
      </c>
      <c r="X1147" s="45">
        <f t="shared" ca="1" si="1490"/>
        <v>1.0300866613097319</v>
      </c>
      <c r="Y1147" s="45">
        <f t="shared" ca="1" si="1476"/>
        <v>7.7352343653429553E-5</v>
      </c>
      <c r="Z1147" s="77">
        <f t="shared" ca="1" si="1477"/>
        <v>7.3102449083642648E-5</v>
      </c>
      <c r="AA1147" s="45">
        <f t="shared" ca="1" si="1491"/>
        <v>39.237670549976968</v>
      </c>
      <c r="AB1147" s="45">
        <f t="shared" ca="1" si="1478"/>
        <v>0</v>
      </c>
      <c r="AC1147" s="45" cm="1">
        <f t="array" aca="1" ref="AC1147" ca="1">pHUM*(T1147+W1147+Z1147+AD1147)</f>
        <v>9.1002757239328879E-5</v>
      </c>
      <c r="AD1147" s="77">
        <f t="shared" ca="1" si="1479"/>
        <v>8.4384442175020906E-5</v>
      </c>
      <c r="AE1147" s="45">
        <f t="shared" ca="1" si="1492"/>
        <v>6.3847072090583081</v>
      </c>
      <c r="AF1147" s="45">
        <f t="shared" ca="1" si="1480"/>
        <v>0</v>
      </c>
      <c r="AG1147" s="76">
        <f t="shared" ca="1" si="1481"/>
        <v>64.288781339357072</v>
      </c>
      <c r="AH1147" s="45">
        <f t="shared" ca="1" si="1482"/>
        <v>7.6961905895095862E-4</v>
      </c>
      <c r="AI1147" s="77">
        <f t="shared" ca="1" si="1483"/>
        <v>1.2555401730664445E-2</v>
      </c>
      <c r="AJ1147" s="384">
        <f t="shared" ca="1" si="1485"/>
        <v>6.3960944868068914E-3</v>
      </c>
      <c r="AU1147" s="1"/>
    </row>
    <row r="1148" spans="3:47" x14ac:dyDescent="0.25">
      <c r="C1148" s="10">
        <f t="shared" si="1510"/>
        <v>88</v>
      </c>
      <c r="D1148" s="91">
        <f t="shared" si="1493"/>
        <v>2</v>
      </c>
      <c r="E1148" s="278"/>
      <c r="F1148" s="76">
        <f t="shared" ref="F1148:Q1148" ca="1" si="1535">F1076</f>
        <v>-7.56</v>
      </c>
      <c r="G1148" s="46">
        <f t="shared" ca="1" si="1535"/>
        <v>27.012600000000003</v>
      </c>
      <c r="H1148" s="46">
        <f t="shared" ca="1" si="1469"/>
        <v>28.517550000000004</v>
      </c>
      <c r="I1148" s="45">
        <f t="shared" ca="1" si="1470"/>
        <v>1.0386103497602255E-3</v>
      </c>
      <c r="J1148" s="45">
        <f t="shared" ca="1" si="1471"/>
        <v>0.27952512346894071</v>
      </c>
      <c r="K1148" s="45">
        <f t="shared" ca="1" si="1487"/>
        <v>0.90345467800480783</v>
      </c>
      <c r="L1148" s="358">
        <f t="shared" ca="1" si="1472"/>
        <v>0.15499691161362872</v>
      </c>
      <c r="M1148" s="76">
        <f t="shared" ca="1" si="1535"/>
        <v>0.25347808785320641</v>
      </c>
      <c r="N1148" s="45">
        <f t="shared" ca="1" si="1535"/>
        <v>0.25</v>
      </c>
      <c r="O1148" s="45">
        <f t="shared" ca="1" si="1535"/>
        <v>0</v>
      </c>
      <c r="P1148" s="46" t="str">
        <f t="shared" ca="1" si="1535"/>
        <v/>
      </c>
      <c r="Q1148" s="243" t="str">
        <f t="shared" ca="1" si="1535"/>
        <v/>
      </c>
      <c r="R1148" s="45">
        <f t="shared" ca="1" si="1488"/>
        <v>0.25342608852016768</v>
      </c>
      <c r="S1148" s="45">
        <f t="shared" ca="1" si="1512"/>
        <v>5.0695617570641283E-2</v>
      </c>
      <c r="T1148" s="77">
        <f t="shared" ca="1" si="1473"/>
        <v>2.1924757134496564E-4</v>
      </c>
      <c r="U1148" s="45">
        <f t="shared" ca="1" si="1489"/>
        <v>17.635588431076513</v>
      </c>
      <c r="V1148" s="45">
        <f t="shared" ca="1" si="1474"/>
        <v>0.20278247028256513</v>
      </c>
      <c r="W1148" s="77">
        <f t="shared" ca="1" si="1475"/>
        <v>4.5790667185810989E-4</v>
      </c>
      <c r="X1148" s="45">
        <f t="shared" ca="1" si="1490"/>
        <v>1.0300909112043017</v>
      </c>
      <c r="Y1148" s="45">
        <f t="shared" ca="1" si="1476"/>
        <v>6.6296913842010883E-5</v>
      </c>
      <c r="Z1148" s="77">
        <f t="shared" ca="1" si="1477"/>
        <v>5.8840788872439892E-5</v>
      </c>
      <c r="AA1148" s="45">
        <f t="shared" ca="1" si="1491"/>
        <v>39.237677168292031</v>
      </c>
      <c r="AB1148" s="45">
        <f t="shared" ca="1" si="1478"/>
        <v>0</v>
      </c>
      <c r="AC1148" s="45" cm="1">
        <f t="array" aca="1" ref="AC1148" ca="1">pHUM*(T1148+W1148+Z1148+AD1148)</f>
        <v>7.7996369225895155E-5</v>
      </c>
      <c r="AD1148" s="77">
        <f t="shared" ca="1" si="1479"/>
        <v>6.7921037226857694E-5</v>
      </c>
      <c r="AE1148" s="45">
        <f t="shared" ca="1" si="1492"/>
        <v>6.3847072090583081</v>
      </c>
      <c r="AF1148" s="45">
        <f t="shared" ca="1" si="1480"/>
        <v>0</v>
      </c>
      <c r="AG1148" s="76">
        <f t="shared" ca="1" si="1481"/>
        <v>64.541489808151326</v>
      </c>
      <c r="AH1148" s="45">
        <f t="shared" ca="1" si="1482"/>
        <v>6.5962278623446708E-4</v>
      </c>
      <c r="AI1148" s="77">
        <f t="shared" ca="1" si="1483"/>
        <v>1.3311074169002983E-2</v>
      </c>
      <c r="AJ1148" s="384">
        <f t="shared" ca="1" si="1485"/>
        <v>6.5794550178643885E-3</v>
      </c>
      <c r="AU1148" s="1"/>
    </row>
    <row r="1149" spans="3:47" x14ac:dyDescent="0.25">
      <c r="C1149" s="10">
        <f t="shared" si="1510"/>
        <v>88</v>
      </c>
      <c r="D1149" s="91">
        <f t="shared" si="1493"/>
        <v>3</v>
      </c>
      <c r="E1149" s="278"/>
      <c r="F1149" s="76">
        <f t="shared" ref="F1149:Q1149" ca="1" si="1536">F1077</f>
        <v>-3.72</v>
      </c>
      <c r="G1149" s="46">
        <f t="shared" ca="1" si="1536"/>
        <v>27.012600000000003</v>
      </c>
      <c r="H1149" s="46">
        <f t="shared" ca="1" si="1469"/>
        <v>28.517550000000004</v>
      </c>
      <c r="I1149" s="45">
        <f t="shared" ca="1" si="1470"/>
        <v>1.416534540335657E-2</v>
      </c>
      <c r="J1149" s="45">
        <f t="shared" ca="1" si="1471"/>
        <v>0.27952512346894071</v>
      </c>
      <c r="K1149" s="45">
        <f t="shared" ca="1" si="1487"/>
        <v>0.90345467800480783</v>
      </c>
      <c r="L1149" s="358">
        <f t="shared" ca="1" si="1472"/>
        <v>0.24547574864616473</v>
      </c>
      <c r="M1149" s="76">
        <f t="shared" ca="1" si="1536"/>
        <v>0.25347808785320641</v>
      </c>
      <c r="N1149" s="45">
        <f t="shared" ca="1" si="1536"/>
        <v>0.25</v>
      </c>
      <c r="O1149" s="45">
        <f t="shared" ca="1" si="1536"/>
        <v>0</v>
      </c>
      <c r="P1149" s="46" t="str">
        <f t="shared" ca="1" si="1536"/>
        <v/>
      </c>
      <c r="Q1149" s="243" t="str">
        <f t="shared" ca="1" si="1536"/>
        <v/>
      </c>
      <c r="R1149" s="45">
        <f t="shared" ca="1" si="1488"/>
        <v>0.30390245851946401</v>
      </c>
      <c r="S1149" s="45">
        <f t="shared" ca="1" si="1512"/>
        <v>5.0695617570641283E-2</v>
      </c>
      <c r="T1149" s="77">
        <f t="shared" ca="1" si="1473"/>
        <v>3.5663121478739478E-3</v>
      </c>
      <c r="U1149" s="45">
        <f t="shared" ca="1" si="1489"/>
        <v>17.837912994687219</v>
      </c>
      <c r="V1149" s="45">
        <f t="shared" ca="1" si="1474"/>
        <v>0.20278247028256513</v>
      </c>
      <c r="W1149" s="77">
        <f t="shared" ca="1" si="1475"/>
        <v>6.3158865711777671E-3</v>
      </c>
      <c r="X1149" s="45">
        <f t="shared" ca="1" si="1490"/>
        <v>1.0300983673292714</v>
      </c>
      <c r="Y1149" s="45">
        <f t="shared" ca="1" si="1476"/>
        <v>9.5751130847487377E-4</v>
      </c>
      <c r="Z1149" s="77">
        <f t="shared" ca="1" si="1477"/>
        <v>8.0223090727508559E-4</v>
      </c>
      <c r="AA1149" s="45">
        <f t="shared" ca="1" si="1491"/>
        <v>39.23768724362403</v>
      </c>
      <c r="AB1149" s="45">
        <f t="shared" ca="1" si="1478"/>
        <v>0</v>
      </c>
      <c r="AC1149" s="45" cm="1">
        <f t="array" aca="1" ref="AC1149" ca="1">pHUM*(T1149+W1149+Z1149+AD1149)</f>
        <v>1.1264838923233809E-3</v>
      </c>
      <c r="AD1149" s="77">
        <f t="shared" ca="1" si="1479"/>
        <v>9.2634805264735286E-4</v>
      </c>
      <c r="AE1149" s="45">
        <f t="shared" ca="1" si="1492"/>
        <v>6.3847072090583081</v>
      </c>
      <c r="AF1149" s="45">
        <f t="shared" ca="1" si="1480"/>
        <v>0</v>
      </c>
      <c r="AG1149" s="76">
        <f t="shared" ca="1" si="1481"/>
        <v>64.794308273218292</v>
      </c>
      <c r="AH1149" s="45">
        <f t="shared" ca="1" si="1482"/>
        <v>9.5267824781759009E-3</v>
      </c>
      <c r="AI1149" s="77">
        <f t="shared" ca="1" si="1483"/>
        <v>1.4060212949245232E-2</v>
      </c>
      <c r="AJ1149" s="384">
        <f t="shared" ca="1" si="1485"/>
        <v>1.1006581449021224E-2</v>
      </c>
      <c r="AU1149" s="1"/>
    </row>
    <row r="1150" spans="3:47" x14ac:dyDescent="0.25">
      <c r="C1150" s="10">
        <f t="shared" si="1510"/>
        <v>88</v>
      </c>
      <c r="D1150" s="91">
        <f t="shared" si="1493"/>
        <v>4</v>
      </c>
      <c r="E1150" s="278"/>
      <c r="F1150" s="76">
        <f t="shared" ref="F1150:Q1150" ca="1" si="1537">F1078</f>
        <v>5.88</v>
      </c>
      <c r="G1150" s="46">
        <f t="shared" ca="1" si="1537"/>
        <v>27.012600000000003</v>
      </c>
      <c r="H1150" s="46">
        <f t="shared" ca="1" si="1469"/>
        <v>28.517550000000004</v>
      </c>
      <c r="I1150" s="45">
        <f t="shared" ca="1" si="1470"/>
        <v>0.2538659245156123</v>
      </c>
      <c r="J1150" s="45">
        <f t="shared" ca="1" si="1471"/>
        <v>0.27952512346894071</v>
      </c>
      <c r="K1150" s="45">
        <f t="shared" ca="1" si="1487"/>
        <v>0.90345467800480783</v>
      </c>
      <c r="L1150" s="358">
        <f t="shared" ca="1" si="1472"/>
        <v>0.57663575359475594</v>
      </c>
      <c r="M1150" s="76">
        <f t="shared" ca="1" si="1537"/>
        <v>0.25347808785320641</v>
      </c>
      <c r="N1150" s="45">
        <f t="shared" ca="1" si="1537"/>
        <v>0.25</v>
      </c>
      <c r="O1150" s="45">
        <f t="shared" ca="1" si="1537"/>
        <v>0</v>
      </c>
      <c r="P1150" s="46" t="str">
        <f t="shared" ca="1" si="1537"/>
        <v/>
      </c>
      <c r="Q1150" s="243" t="str">
        <f t="shared" ca="1" si="1537"/>
        <v/>
      </c>
      <c r="R1150" s="45">
        <f t="shared" ca="1" si="1488"/>
        <v>0.35103176394223135</v>
      </c>
      <c r="S1150" s="45">
        <f t="shared" ca="1" si="1512"/>
        <v>5.0695617570641283E-2</v>
      </c>
      <c r="T1150" s="77">
        <f t="shared" ca="1" si="1473"/>
        <v>6.6933045521027232E-2</v>
      </c>
      <c r="U1150" s="45">
        <f t="shared" ca="1" si="1489"/>
        <v>18.034379578398607</v>
      </c>
      <c r="V1150" s="45">
        <f t="shared" ca="1" si="1474"/>
        <v>0.20278247028256513</v>
      </c>
      <c r="W1150" s="77">
        <f t="shared" ca="1" si="1475"/>
        <v>0.1140954164092944</v>
      </c>
      <c r="X1150" s="45">
        <f t="shared" ca="1" si="1490"/>
        <v>1.0302536477304711</v>
      </c>
      <c r="Y1150" s="45">
        <f t="shared" ca="1" si="1476"/>
        <v>1.7475841534960197E-2</v>
      </c>
      <c r="Z1150" s="77">
        <f t="shared" ca="1" si="1477"/>
        <v>1.4285085482047131E-2</v>
      </c>
      <c r="AA1150" s="45">
        <f t="shared" ca="1" si="1491"/>
        <v>39.237887379463707</v>
      </c>
      <c r="AB1150" s="45">
        <f t="shared" ca="1" si="1478"/>
        <v>0</v>
      </c>
      <c r="AC1150" s="45" cm="1">
        <f t="array" aca="1" ref="AC1150" ca="1">pHUM*(T1150+W1150+Z1150+AD1150)</f>
        <v>2.0559813570541409E-2</v>
      </c>
      <c r="AD1150" s="77">
        <f t="shared" ca="1" si="1479"/>
        <v>1.6598425866148212E-2</v>
      </c>
      <c r="AE1150" s="45">
        <f t="shared" ca="1" si="1492"/>
        <v>6.3847072090583081</v>
      </c>
      <c r="AF1150" s="45">
        <f t="shared" ca="1" si="1480"/>
        <v>0</v>
      </c>
      <c r="AG1150" s="76">
        <f t="shared" ca="1" si="1481"/>
        <v>65.038259578593326</v>
      </c>
      <c r="AH1150" s="45">
        <f t="shared" ca="1" si="1482"/>
        <v>0.17387631817301538</v>
      </c>
      <c r="AI1150" s="77">
        <f t="shared" ca="1" si="1483"/>
        <v>1.4755225455914433E-2</v>
      </c>
      <c r="AJ1150" s="384">
        <f t="shared" ca="1" si="1485"/>
        <v>2.71326847898401E-2</v>
      </c>
      <c r="AU1150" s="1"/>
    </row>
    <row r="1151" spans="3:47" x14ac:dyDescent="0.25">
      <c r="C1151" s="10">
        <f t="shared" si="1510"/>
        <v>88</v>
      </c>
      <c r="D1151" s="91">
        <f t="shared" si="1493"/>
        <v>5</v>
      </c>
      <c r="E1151" s="278"/>
      <c r="F1151" s="76">
        <f t="shared" ref="F1151:Q1151" ca="1" si="1538">F1079</f>
        <v>13.3</v>
      </c>
      <c r="G1151" s="46">
        <f t="shared" ca="1" si="1538"/>
        <v>27.012600000000003</v>
      </c>
      <c r="H1151" s="46">
        <f t="shared" ca="1" si="1469"/>
        <v>28.517550000000004</v>
      </c>
      <c r="I1151" s="45">
        <f t="shared" ca="1" si="1470"/>
        <v>0.69725265541392489</v>
      </c>
      <c r="J1151" s="45">
        <f t="shared" ca="1" si="1471"/>
        <v>0.27952512346894071</v>
      </c>
      <c r="K1151" s="45">
        <f t="shared" ca="1" si="1487"/>
        <v>0.90345467800480783</v>
      </c>
      <c r="L1151" s="358">
        <f t="shared" ca="1" si="1472"/>
        <v>0.80399103068855049</v>
      </c>
      <c r="M1151" s="76">
        <f t="shared" ca="1" si="1538"/>
        <v>0.25347808785320641</v>
      </c>
      <c r="N1151" s="45">
        <f t="shared" ca="1" si="1538"/>
        <v>0.25</v>
      </c>
      <c r="O1151" s="45">
        <f t="shared" ca="1" si="1538"/>
        <v>0</v>
      </c>
      <c r="P1151" s="46" t="str">
        <f t="shared" ca="1" si="1538"/>
        <v/>
      </c>
      <c r="Q1151" s="243" t="str">
        <f t="shared" ca="1" si="1538"/>
        <v/>
      </c>
      <c r="R1151" s="45">
        <f t="shared" ca="1" si="1488"/>
        <v>0.33479433599184538</v>
      </c>
      <c r="S1151" s="45">
        <f t="shared" ca="1" si="1512"/>
        <v>5.0695617570641283E-2</v>
      </c>
      <c r="T1151" s="77">
        <f t="shared" ca="1" si="1473"/>
        <v>0.14753910809057297</v>
      </c>
      <c r="U1151" s="45">
        <f t="shared" ca="1" si="1489"/>
        <v>18.123066632271875</v>
      </c>
      <c r="V1151" s="45">
        <f t="shared" ca="1" si="1474"/>
        <v>0.20278247028256513</v>
      </c>
      <c r="W1151" s="77">
        <f t="shared" ca="1" si="1475"/>
        <v>0.31317148299499087</v>
      </c>
      <c r="X1151" s="45">
        <f t="shared" ca="1" si="1490"/>
        <v>1.0334444037833843</v>
      </c>
      <c r="Y1151" s="45">
        <f t="shared" ca="1" si="1476"/>
        <v>4.495859702519768E-2</v>
      </c>
      <c r="Z1151" s="77">
        <f t="shared" ca="1" si="1477"/>
        <v>3.8881162294101525E-2</v>
      </c>
      <c r="AA1151" s="45">
        <f t="shared" ca="1" si="1491"/>
        <v>39.241848767168101</v>
      </c>
      <c r="AB1151" s="45">
        <f t="shared" ca="1" si="1478"/>
        <v>0</v>
      </c>
      <c r="AC1151" s="45" cm="1">
        <f t="array" aca="1" ref="AC1151" ca="1">pHUM*(T1151+W1151+Z1151+AD1151)</f>
        <v>5.2892467088467864E-2</v>
      </c>
      <c r="AD1151" s="77">
        <f t="shared" ca="1" si="1479"/>
        <v>4.5575985317445868E-2</v>
      </c>
      <c r="AE1151" s="45">
        <f t="shared" ca="1" si="1492"/>
        <v>6.3847072090583081</v>
      </c>
      <c r="AF1151" s="45">
        <f t="shared" ca="1" si="1480"/>
        <v>0</v>
      </c>
      <c r="AG1151" s="76">
        <f t="shared" ca="1" si="1481"/>
        <v>65.117861348273507</v>
      </c>
      <c r="AH1151" s="45">
        <f t="shared" ca="1" si="1482"/>
        <v>0.44731667458344571</v>
      </c>
      <c r="AI1151" s="77">
        <f t="shared" ca="1" si="1483"/>
        <v>1.4545693685404995E-2</v>
      </c>
      <c r="AJ1151" s="384">
        <f t="shared" ca="1" si="1485"/>
        <v>3.7292957937816729E-2</v>
      </c>
      <c r="AU1151" s="1"/>
    </row>
    <row r="1152" spans="3:47" x14ac:dyDescent="0.25">
      <c r="C1152" s="10">
        <f t="shared" si="1510"/>
        <v>88</v>
      </c>
      <c r="D1152" s="91">
        <f t="shared" si="1493"/>
        <v>6</v>
      </c>
      <c r="E1152" s="278"/>
      <c r="F1152" s="76">
        <f t="shared" ref="F1152:Q1152" ca="1" si="1539">F1080</f>
        <v>18.579999999999998</v>
      </c>
      <c r="G1152" s="46">
        <f t="shared" ca="1" si="1539"/>
        <v>27.012600000000003</v>
      </c>
      <c r="H1152" s="46">
        <f t="shared" ca="1" si="1469"/>
        <v>28.517550000000004</v>
      </c>
      <c r="I1152" s="45">
        <f t="shared" ca="1" si="1470"/>
        <v>1.1053966357180092</v>
      </c>
      <c r="J1152" s="45">
        <f t="shared" ca="1" si="1471"/>
        <v>0.27952512346894071</v>
      </c>
      <c r="K1152" s="45">
        <f t="shared" ca="1" si="1487"/>
        <v>0.90345467800480783</v>
      </c>
      <c r="L1152" s="358">
        <f t="shared" ca="1" si="1472"/>
        <v>0.89864190578209513</v>
      </c>
      <c r="M1152" s="76">
        <f t="shared" ca="1" si="1539"/>
        <v>0.25347808785320641</v>
      </c>
      <c r="N1152" s="45">
        <f t="shared" ca="1" si="1539"/>
        <v>0.25</v>
      </c>
      <c r="O1152" s="45">
        <f t="shared" ca="1" si="1539"/>
        <v>0</v>
      </c>
      <c r="P1152" s="46" t="str">
        <f t="shared" ca="1" si="1539"/>
        <v/>
      </c>
      <c r="Q1152" s="243" t="str">
        <f t="shared" ca="1" si="1539"/>
        <v/>
      </c>
      <c r="R1152" s="45">
        <f t="shared" ca="1" si="1488"/>
        <v>0.2379508454719137</v>
      </c>
      <c r="S1152" s="45">
        <f t="shared" ca="1" si="1512"/>
        <v>5.0695617570641283E-2</v>
      </c>
      <c r="T1152" s="77">
        <f t="shared" ca="1" si="1473"/>
        <v>0.14323320525148991</v>
      </c>
      <c r="U1152" s="45">
        <f t="shared" ca="1" si="1489"/>
        <v>18.012677619559447</v>
      </c>
      <c r="V1152" s="45">
        <f t="shared" ca="1" si="1474"/>
        <v>0.20278247028256513</v>
      </c>
      <c r="W1152" s="77">
        <f t="shared" ca="1" si="1475"/>
        <v>0.49096371564511204</v>
      </c>
      <c r="X1152" s="45">
        <f t="shared" ca="1" si="1490"/>
        <v>1.0395218385144807</v>
      </c>
      <c r="Y1152" s="45">
        <f t="shared" ca="1" si="1476"/>
        <v>6.3314965380042151E-2</v>
      </c>
      <c r="Z1152" s="77">
        <f t="shared" ca="1" si="1477"/>
        <v>6.1316798150329477E-2</v>
      </c>
      <c r="AA1152" s="45">
        <f t="shared" ca="1" si="1491"/>
        <v>39.249165248939121</v>
      </c>
      <c r="AB1152" s="45">
        <f t="shared" ca="1" si="1478"/>
        <v>0</v>
      </c>
      <c r="AC1152" s="45" cm="1">
        <f t="array" aca="1" ref="AC1152" ca="1">pHUM*(T1152+W1152+Z1152+AD1152)</f>
        <v>7.4488194564755472E-2</v>
      </c>
      <c r="AD1152" s="77">
        <f t="shared" ca="1" si="1479"/>
        <v>7.2243257056610374E-2</v>
      </c>
      <c r="AE1152" s="45">
        <f t="shared" ca="1" si="1492"/>
        <v>6.3847072090583081</v>
      </c>
      <c r="AF1152" s="45">
        <f t="shared" ca="1" si="1480"/>
        <v>0</v>
      </c>
      <c r="AG1152" s="76">
        <f t="shared" ca="1" si="1481"/>
        <v>64.92402276154327</v>
      </c>
      <c r="AH1152" s="45">
        <f t="shared" ca="1" si="1482"/>
        <v>0.62995381615874424</v>
      </c>
      <c r="AI1152" s="77">
        <f t="shared" ca="1" si="1483"/>
        <v>1.3174022978750713E-2</v>
      </c>
      <c r="AJ1152" s="384">
        <f t="shared" ca="1" si="1485"/>
        <v>3.7752532068818789E-2</v>
      </c>
      <c r="AU1152" s="1"/>
    </row>
    <row r="1153" spans="3:47" x14ac:dyDescent="0.25">
      <c r="C1153" s="10">
        <f t="shared" si="1510"/>
        <v>88</v>
      </c>
      <c r="D1153" s="91">
        <f t="shared" si="1493"/>
        <v>7</v>
      </c>
      <c r="E1153" s="278"/>
      <c r="F1153" s="76">
        <f t="shared" ref="F1153:Q1153" ca="1" si="1540">F1081</f>
        <v>20.88</v>
      </c>
      <c r="G1153" s="46">
        <f t="shared" ca="1" si="1540"/>
        <v>27.012600000000003</v>
      </c>
      <c r="H1153" s="46">
        <f t="shared" ca="1" si="1469"/>
        <v>28.517550000000004</v>
      </c>
      <c r="I1153" s="45">
        <f t="shared" ca="1" si="1470"/>
        <v>1.2963209464812457</v>
      </c>
      <c r="J1153" s="45">
        <f t="shared" ca="1" si="1471"/>
        <v>0.27952512346894071</v>
      </c>
      <c r="K1153" s="45">
        <f t="shared" ca="1" si="1487"/>
        <v>0.90345467800480783</v>
      </c>
      <c r="L1153" s="358">
        <f t="shared" ca="1" si="1472"/>
        <v>0.92456370800230281</v>
      </c>
      <c r="M1153" s="76">
        <f t="shared" ca="1" si="1540"/>
        <v>0.25347808785320641</v>
      </c>
      <c r="N1153" s="45">
        <f t="shared" ca="1" si="1540"/>
        <v>0.25</v>
      </c>
      <c r="O1153" s="45">
        <f t="shared" ca="1" si="1540"/>
        <v>0</v>
      </c>
      <c r="P1153" s="46" t="str">
        <f t="shared" ca="1" si="1540"/>
        <v/>
      </c>
      <c r="Q1153" s="243" t="str">
        <f t="shared" ca="1" si="1540"/>
        <v/>
      </c>
      <c r="R1153" s="45">
        <f t="shared" ca="1" si="1488"/>
        <v>0.14541325779106506</v>
      </c>
      <c r="S1153" s="45">
        <f t="shared" ca="1" si="1512"/>
        <v>5.0695617570641283E-2</v>
      </c>
      <c r="T1153" s="77">
        <f t="shared" ca="1" si="1473"/>
        <v>9.6044771709889135E-2</v>
      </c>
      <c r="U1153" s="45">
        <f t="shared" ca="1" si="1489"/>
        <v>17.724496374196899</v>
      </c>
      <c r="V1153" s="45">
        <f t="shared" ca="1" si="1474"/>
        <v>0.20278247028256513</v>
      </c>
      <c r="W1153" s="77">
        <f t="shared" ca="1" si="1475"/>
        <v>0.56520779607368243</v>
      </c>
      <c r="X1153" s="45">
        <f t="shared" ca="1" si="1490"/>
        <v>1.0415200057441933</v>
      </c>
      <c r="Y1153" s="45">
        <f t="shared" ca="1" si="1476"/>
        <v>6.7428493192555644E-2</v>
      </c>
      <c r="Z1153" s="77">
        <f t="shared" ca="1" si="1477"/>
        <v>7.1672530567342171E-2</v>
      </c>
      <c r="AA1153" s="45">
        <f t="shared" ca="1" si="1491"/>
        <v>39.251410186447266</v>
      </c>
      <c r="AB1153" s="45">
        <f t="shared" ca="1" si="1478"/>
        <v>0</v>
      </c>
      <c r="AC1153" s="45" cm="1">
        <f t="array" aca="1" ref="AC1153" ca="1">pHUM*(T1153+W1153+Z1153+AD1153)</f>
        <v>7.9327639050065471E-2</v>
      </c>
      <c r="AD1153" s="77">
        <f t="shared" ca="1" si="1479"/>
        <v>8.4712496900035697E-2</v>
      </c>
      <c r="AE1153" s="45">
        <f t="shared" ca="1" si="1492"/>
        <v>6.3847072090583081</v>
      </c>
      <c r="AF1153" s="45">
        <f t="shared" ca="1" si="1480"/>
        <v>0</v>
      </c>
      <c r="AG1153" s="76">
        <f t="shared" ca="1" si="1481"/>
        <v>64.547547033237734</v>
      </c>
      <c r="AH1153" s="45">
        <f t="shared" ca="1" si="1482"/>
        <v>0.67088146300832829</v>
      </c>
      <c r="AI1153" s="77">
        <f t="shared" ca="1" si="1483"/>
        <v>1.1811540556665813E-2</v>
      </c>
      <c r="AJ1153" s="384">
        <f t="shared" ca="1" si="1485"/>
        <v>3.4824556065369272E-2</v>
      </c>
      <c r="AU1153" s="1"/>
    </row>
    <row r="1154" spans="3:47" x14ac:dyDescent="0.25">
      <c r="C1154" s="10">
        <f t="shared" si="1510"/>
        <v>88</v>
      </c>
      <c r="D1154" s="91">
        <f t="shared" si="1493"/>
        <v>8</v>
      </c>
      <c r="E1154" s="278"/>
      <c r="F1154" s="76">
        <f t="shared" ref="F1154:Q1154" ca="1" si="1541">F1082</f>
        <v>19.38</v>
      </c>
      <c r="G1154" s="46">
        <f t="shared" ca="1" si="1541"/>
        <v>27.012600000000003</v>
      </c>
      <c r="H1154" s="46">
        <f t="shared" ca="1" si="1469"/>
        <v>28.517550000000004</v>
      </c>
      <c r="I1154" s="45">
        <f t="shared" ca="1" si="1470"/>
        <v>1.1711755949831784</v>
      </c>
      <c r="J1154" s="45">
        <f t="shared" ca="1" si="1471"/>
        <v>0.27952512346894071</v>
      </c>
      <c r="K1154" s="45">
        <f t="shared" ca="1" si="1487"/>
        <v>0.90345467800480783</v>
      </c>
      <c r="L1154" s="358">
        <f t="shared" ca="1" si="1472"/>
        <v>0.9085593811553081</v>
      </c>
      <c r="M1154" s="76">
        <f t="shared" ca="1" si="1541"/>
        <v>0.25347808785320641</v>
      </c>
      <c r="N1154" s="45">
        <f t="shared" ca="1" si="1541"/>
        <v>0.25</v>
      </c>
      <c r="O1154" s="45">
        <f t="shared" ca="1" si="1541"/>
        <v>0</v>
      </c>
      <c r="P1154" s="46" t="str">
        <f t="shared" ca="1" si="1541"/>
        <v/>
      </c>
      <c r="Q1154" s="243" t="str">
        <f t="shared" ca="1" si="1541"/>
        <v/>
      </c>
      <c r="R1154" s="45">
        <f t="shared" ca="1" si="1488"/>
        <v>0.10006410365181721</v>
      </c>
      <c r="S1154" s="45">
        <f t="shared" ca="1" si="1512"/>
        <v>5.0695617570641283E-2</v>
      </c>
      <c r="T1154" s="77">
        <f t="shared" ca="1" si="1473"/>
        <v>6.2357646589744672E-2</v>
      </c>
      <c r="U1154" s="45">
        <f t="shared" ca="1" si="1489"/>
        <v>17.362071048405781</v>
      </c>
      <c r="V1154" s="45">
        <f t="shared" ca="1" si="1474"/>
        <v>0.20278247028256513</v>
      </c>
      <c r="W1154" s="77">
        <f t="shared" ca="1" si="1475"/>
        <v>0.50098085075972965</v>
      </c>
      <c r="X1154" s="45">
        <f t="shared" ca="1" si="1490"/>
        <v>1.0372759683694068</v>
      </c>
      <c r="Y1154" s="45">
        <f t="shared" ca="1" si="1476"/>
        <v>5.810489728703172E-2</v>
      </c>
      <c r="Z1154" s="77">
        <f t="shared" ca="1" si="1477"/>
        <v>6.4709290054780599E-2</v>
      </c>
      <c r="AA1154" s="45">
        <f t="shared" ca="1" si="1491"/>
        <v>39.246025328597291</v>
      </c>
      <c r="AB1154" s="45">
        <f t="shared" ca="1" si="1478"/>
        <v>0</v>
      </c>
      <c r="AC1154" s="45" cm="1">
        <f t="array" aca="1" ref="AC1154" ca="1">pHUM*(T1154+W1154+Z1154+AD1154)</f>
        <v>6.835870269062555E-2</v>
      </c>
      <c r="AD1154" s="77">
        <f t="shared" ca="1" si="1479"/>
        <v>7.6531927203948164E-2</v>
      </c>
      <c r="AE1154" s="45">
        <f t="shared" ca="1" si="1492"/>
        <v>6.3847072090583081</v>
      </c>
      <c r="AF1154" s="45">
        <f t="shared" ca="1" si="1480"/>
        <v>0</v>
      </c>
      <c r="AG1154" s="76">
        <f t="shared" ca="1" si="1481"/>
        <v>64.130143658082602</v>
      </c>
      <c r="AH1154" s="45">
        <f t="shared" ca="1" si="1482"/>
        <v>0.57811611463054591</v>
      </c>
      <c r="AI1154" s="77">
        <f t="shared" ca="1" si="1483"/>
        <v>1.108137350893265E-2</v>
      </c>
      <c r="AJ1154" s="384">
        <f t="shared" ca="1" si="1485"/>
        <v>3.2106297493686986E-2</v>
      </c>
      <c r="AU1154" s="1"/>
    </row>
    <row r="1155" spans="3:47" x14ac:dyDescent="0.25">
      <c r="C1155" s="10">
        <f t="shared" si="1510"/>
        <v>88</v>
      </c>
      <c r="D1155" s="91">
        <f t="shared" si="1493"/>
        <v>9</v>
      </c>
      <c r="E1155" s="278"/>
      <c r="F1155" s="76">
        <f t="shared" ref="F1155:Q1155" ca="1" si="1542">F1083</f>
        <v>16.57</v>
      </c>
      <c r="G1155" s="46">
        <f t="shared" ca="1" si="1542"/>
        <v>27.012600000000003</v>
      </c>
      <c r="H1155" s="46">
        <f t="shared" ca="1" si="1469"/>
        <v>28.517550000000004</v>
      </c>
      <c r="I1155" s="45">
        <f t="shared" ca="1" si="1470"/>
        <v>0.9439672665218134</v>
      </c>
      <c r="J1155" s="45">
        <f t="shared" ca="1" si="1471"/>
        <v>0.27952512346894071</v>
      </c>
      <c r="K1155" s="45">
        <f t="shared" ca="1" si="1487"/>
        <v>0.90345467800480783</v>
      </c>
      <c r="L1155" s="358">
        <f t="shared" ca="1" si="1472"/>
        <v>0.86895066774150642</v>
      </c>
      <c r="M1155" s="76">
        <f t="shared" ca="1" si="1542"/>
        <v>0.25347808785320641</v>
      </c>
      <c r="N1155" s="45">
        <f t="shared" ca="1" si="1542"/>
        <v>0.25</v>
      </c>
      <c r="O1155" s="45">
        <f t="shared" ca="1" si="1542"/>
        <v>0</v>
      </c>
      <c r="P1155" s="46" t="str">
        <f t="shared" ca="1" si="1542"/>
        <v/>
      </c>
      <c r="Q1155" s="243" t="str">
        <f t="shared" ca="1" si="1542"/>
        <v/>
      </c>
      <c r="R1155" s="45">
        <f t="shared" ca="1" si="1488"/>
        <v>8.8402074632713837E-2</v>
      </c>
      <c r="S1155" s="45">
        <f t="shared" ca="1" si="1512"/>
        <v>5.0695617570641283E-2</v>
      </c>
      <c r="T1155" s="77">
        <f t="shared" ca="1" si="1473"/>
        <v>4.8146195874830794E-2</v>
      </c>
      <c r="U1155" s="45">
        <f t="shared" ca="1" si="1489"/>
        <v>17.063872667928614</v>
      </c>
      <c r="V1155" s="45">
        <f t="shared" ca="1" si="1474"/>
        <v>0.20278247028256513</v>
      </c>
      <c r="W1155" s="77">
        <f t="shared" ca="1" si="1475"/>
        <v>0.39797897185977382</v>
      </c>
      <c r="X1155" s="45">
        <f t="shared" ca="1" si="1490"/>
        <v>1.030671575601658</v>
      </c>
      <c r="Y1155" s="45">
        <f t="shared" ca="1" si="1476"/>
        <v>4.6177979789441534E-2</v>
      </c>
      <c r="Z1155" s="77">
        <f t="shared" ca="1" si="1477"/>
        <v>5.2145256135372041E-2</v>
      </c>
      <c r="AA1155" s="45">
        <f t="shared" ca="1" si="1491"/>
        <v>39.23785210408397</v>
      </c>
      <c r="AB1155" s="45">
        <f t="shared" ca="1" si="1478"/>
        <v>0</v>
      </c>
      <c r="AC1155" s="45" cm="1">
        <f t="array" aca="1" ref="AC1155" ca="1">pHUM*(T1155+W1155+Z1155+AD1155)</f>
        <v>5.4327035046401802E-2</v>
      </c>
      <c r="AD1155" s="77">
        <f t="shared" ca="1" si="1479"/>
        <v>6.1683544562383438E-2</v>
      </c>
      <c r="AE1155" s="45">
        <f t="shared" ca="1" si="1492"/>
        <v>6.3847072090583081</v>
      </c>
      <c r="AF1155" s="45">
        <f t="shared" ca="1" si="1480"/>
        <v>0</v>
      </c>
      <c r="AG1155" s="76">
        <f t="shared" ca="1" si="1481"/>
        <v>63.805505631305266</v>
      </c>
      <c r="AH1155" s="45">
        <f t="shared" ca="1" si="1482"/>
        <v>0.45944895359651683</v>
      </c>
      <c r="AI1155" s="77">
        <f t="shared" ca="1" si="1483"/>
        <v>1.0838382365925449E-2</v>
      </c>
      <c r="AJ1155" s="384">
        <f t="shared" ca="1" si="1485"/>
        <v>3.0033348397036086E-2</v>
      </c>
      <c r="AU1155" s="1"/>
    </row>
    <row r="1156" spans="3:47" x14ac:dyDescent="0.25">
      <c r="C1156" s="10">
        <f t="shared" si="1510"/>
        <v>88</v>
      </c>
      <c r="D1156" s="91">
        <f t="shared" si="1493"/>
        <v>10</v>
      </c>
      <c r="E1156" s="278"/>
      <c r="F1156" s="76">
        <f t="shared" ref="F1156:Q1156" ca="1" si="1543">F1084</f>
        <v>10.87</v>
      </c>
      <c r="G1156" s="46">
        <f t="shared" ca="1" si="1543"/>
        <v>27.012600000000003</v>
      </c>
      <c r="H1156" s="46">
        <f t="shared" ca="1" si="1469"/>
        <v>28.517550000000004</v>
      </c>
      <c r="I1156" s="45">
        <f t="shared" ca="1" si="1470"/>
        <v>0.53125146958099567</v>
      </c>
      <c r="J1156" s="45">
        <f t="shared" ca="1" si="1471"/>
        <v>0.27952512346894071</v>
      </c>
      <c r="K1156" s="45">
        <f t="shared" ca="1" si="1487"/>
        <v>0.90345467800480783</v>
      </c>
      <c r="L1156" s="358">
        <f t="shared" ca="1" si="1472"/>
        <v>0.74105246316705919</v>
      </c>
      <c r="M1156" s="76">
        <f t="shared" ca="1" si="1543"/>
        <v>0.25347808785320641</v>
      </c>
      <c r="N1156" s="45">
        <f t="shared" ca="1" si="1543"/>
        <v>0.25</v>
      </c>
      <c r="O1156" s="45">
        <f t="shared" ca="1" si="1543"/>
        <v>0</v>
      </c>
      <c r="P1156" s="46" t="str">
        <f t="shared" ca="1" si="1543"/>
        <v/>
      </c>
      <c r="Q1156" s="243" t="str">
        <f t="shared" ca="1" si="1543"/>
        <v/>
      </c>
      <c r="R1156" s="45">
        <f t="shared" ca="1" si="1488"/>
        <v>9.0951496328524312E-2</v>
      </c>
      <c r="S1156" s="45">
        <f t="shared" ca="1" si="1512"/>
        <v>5.0695617570641283E-2</v>
      </c>
      <c r="T1156" s="77">
        <f t="shared" ca="1" si="1473"/>
        <v>3.2533920585815154E-2</v>
      </c>
      <c r="U1156" s="45">
        <f t="shared" ca="1" si="1489"/>
        <v>16.868676166351403</v>
      </c>
      <c r="V1156" s="45">
        <f t="shared" ca="1" si="1474"/>
        <v>0.20278247028256513</v>
      </c>
      <c r="W1156" s="77">
        <f t="shared" ca="1" si="1475"/>
        <v>0.22255653506871487</v>
      </c>
      <c r="X1156" s="45">
        <f t="shared" ca="1" si="1490"/>
        <v>1.0247042992557274</v>
      </c>
      <c r="Y1156" s="45">
        <f t="shared" ca="1" si="1476"/>
        <v>2.6333342475133976E-2</v>
      </c>
      <c r="Z1156" s="77">
        <f t="shared" ca="1" si="1477"/>
        <v>2.9507475323161732E-2</v>
      </c>
      <c r="AA1156" s="45">
        <f t="shared" ca="1" si="1491"/>
        <v>39.230495594567984</v>
      </c>
      <c r="AB1156" s="45">
        <f t="shared" ca="1" si="1478"/>
        <v>0</v>
      </c>
      <c r="AC1156" s="45" cm="1">
        <f t="array" aca="1" ref="AC1156" ca="1">pHUM*(T1156+W1156+Z1156+AD1156)</f>
        <v>3.0980402911922323E-2</v>
      </c>
      <c r="AD1156" s="77">
        <f t="shared" ca="1" si="1479"/>
        <v>3.4720057558723316E-2</v>
      </c>
      <c r="AE1156" s="45">
        <f t="shared" ca="1" si="1492"/>
        <v>6.3847072090583081</v>
      </c>
      <c r="AF1156" s="45">
        <f t="shared" ca="1" si="1480"/>
        <v>0</v>
      </c>
      <c r="AG1156" s="76">
        <f t="shared" ca="1" si="1481"/>
        <v>63.599534765561941</v>
      </c>
      <c r="AH1156" s="45">
        <f t="shared" ca="1" si="1482"/>
        <v>0.26200424314935883</v>
      </c>
      <c r="AI1156" s="77">
        <f t="shared" ca="1" si="1483"/>
        <v>1.0823290744653182E-2</v>
      </c>
      <c r="AJ1156" s="384">
        <f t="shared" ca="1" si="1485"/>
        <v>2.5577274849887255E-2</v>
      </c>
      <c r="AU1156" s="1"/>
    </row>
    <row r="1157" spans="3:47" x14ac:dyDescent="0.25">
      <c r="C1157" s="10">
        <f t="shared" si="1510"/>
        <v>88</v>
      </c>
      <c r="D1157" s="91">
        <f t="shared" si="1493"/>
        <v>11</v>
      </c>
      <c r="E1157" s="278"/>
      <c r="F1157" s="76">
        <f t="shared" ref="F1157:Q1157" ca="1" si="1544">F1085</f>
        <v>1.4</v>
      </c>
      <c r="G1157" s="46">
        <f t="shared" ca="1" si="1544"/>
        <v>28.536243189942063</v>
      </c>
      <c r="H1157" s="46">
        <f t="shared" ca="1" si="1469"/>
        <v>26.993906810057943</v>
      </c>
      <c r="I1157" s="45">
        <f t="shared" ca="1" si="1470"/>
        <v>9.940372096718314E-2</v>
      </c>
      <c r="J1157" s="45">
        <f t="shared" ca="1" si="1471"/>
        <v>0.28648639837560558</v>
      </c>
      <c r="K1157" s="45">
        <f t="shared" ca="1" si="1487"/>
        <v>0.92595425264501963</v>
      </c>
      <c r="L1157" s="358">
        <f t="shared" ca="1" si="1472"/>
        <v>0.41120226021724715</v>
      </c>
      <c r="M1157" s="76">
        <f t="shared" ca="1" si="1544"/>
        <v>0.25347808785320641</v>
      </c>
      <c r="N1157" s="45">
        <f t="shared" ca="1" si="1544"/>
        <v>0.25</v>
      </c>
      <c r="O1157" s="45">
        <f t="shared" ca="1" si="1544"/>
        <v>0</v>
      </c>
      <c r="P1157" s="46" t="str">
        <f t="shared" ca="1" si="1544"/>
        <v/>
      </c>
      <c r="Q1157" s="243" t="str">
        <f t="shared" ca="1" si="1544"/>
        <v/>
      </c>
      <c r="R1157" s="45">
        <f t="shared" ca="1" si="1488"/>
        <v>0.10911319331335044</v>
      </c>
      <c r="S1157" s="45">
        <f t="shared" ca="1" si="1512"/>
        <v>5.0695617570641283E-2</v>
      </c>
      <c r="T1157" s="77">
        <f t="shared" ca="1" si="1473"/>
        <v>8.6743136422450483E-3</v>
      </c>
      <c r="U1157" s="45">
        <f t="shared" ca="1" si="1489"/>
        <v>16.848902101565251</v>
      </c>
      <c r="V1157" s="45">
        <f t="shared" ca="1" si="1474"/>
        <v>0.20278247028256513</v>
      </c>
      <c r="W1157" s="77">
        <f t="shared" ca="1" si="1475"/>
        <v>4.1819105372357716E-2</v>
      </c>
      <c r="X1157" s="45">
        <f t="shared" ca="1" si="1490"/>
        <v>1.0215301664076997</v>
      </c>
      <c r="Y1157" s="45">
        <f t="shared" ca="1" si="1476"/>
        <v>5.1592766921506484E-3</v>
      </c>
      <c r="Z1157" s="77">
        <f t="shared" ca="1" si="1477"/>
        <v>5.5696753284493385E-3</v>
      </c>
      <c r="AA1157" s="45">
        <f t="shared" ca="1" si="1491"/>
        <v>39.226755939921183</v>
      </c>
      <c r="AB1157" s="45">
        <f t="shared" ca="1" si="1478"/>
        <v>0</v>
      </c>
      <c r="AC1157" s="45" cm="1">
        <f t="array" aca="1" ref="AC1157" ca="1">pHUM*(T1157+W1157+Z1157+AD1157)</f>
        <v>6.0697372848831158E-3</v>
      </c>
      <c r="AD1157" s="77">
        <f t="shared" ca="1" si="1479"/>
        <v>6.4982708613843202E-3</v>
      </c>
      <c r="AE1157" s="45">
        <f t="shared" ca="1" si="1492"/>
        <v>6.3847072090583081</v>
      </c>
      <c r="AF1157" s="45">
        <f t="shared" ca="1" si="1480"/>
        <v>0</v>
      </c>
      <c r="AG1157" s="76">
        <f t="shared" ca="1" si="1481"/>
        <v>63.591008610265789</v>
      </c>
      <c r="AH1157" s="45">
        <f t="shared" ca="1" si="1482"/>
        <v>5.1332351227402657E-2</v>
      </c>
      <c r="AI1157" s="77">
        <f t="shared" ca="1" si="1483"/>
        <v>1.1077665988369116E-2</v>
      </c>
      <c r="AJ1157" s="384">
        <f t="shared" ca="1" si="1485"/>
        <v>1.4888031839406235E-2</v>
      </c>
      <c r="AU1157" s="1"/>
    </row>
    <row r="1158" spans="3:47" x14ac:dyDescent="0.25">
      <c r="C1158" s="10">
        <f t="shared" si="1510"/>
        <v>88</v>
      </c>
      <c r="D1158" s="91">
        <f t="shared" si="1493"/>
        <v>12</v>
      </c>
      <c r="E1158" s="278"/>
      <c r="F1158" s="76">
        <f t="shared" ref="F1158:Q1158" ca="1" si="1545">F1086</f>
        <v>-1.78</v>
      </c>
      <c r="G1158" s="46">
        <f t="shared" ca="1" si="1545"/>
        <v>32.216243189942062</v>
      </c>
      <c r="H1158" s="46">
        <f t="shared" ca="1" si="1469"/>
        <v>23.313906810057944</v>
      </c>
      <c r="I1158" s="45">
        <f t="shared" ca="1" si="1470"/>
        <v>3.9789790397057247E-2</v>
      </c>
      <c r="J1158" s="45">
        <f t="shared" ca="1" si="1471"/>
        <v>0.29882189650486002</v>
      </c>
      <c r="K1158" s="45">
        <f t="shared" ca="1" si="1487"/>
        <v>0.96582388351071458</v>
      </c>
      <c r="L1158" s="358">
        <f t="shared" ca="1" si="1472"/>
        <v>0.30292377267304249</v>
      </c>
      <c r="M1158" s="76">
        <f t="shared" ca="1" si="1545"/>
        <v>0.25347808785320641</v>
      </c>
      <c r="N1158" s="45">
        <f t="shared" ca="1" si="1545"/>
        <v>0.25</v>
      </c>
      <c r="O1158" s="45">
        <f t="shared" ca="1" si="1545"/>
        <v>0</v>
      </c>
      <c r="P1158" s="46" t="str">
        <f t="shared" ca="1" si="1545"/>
        <v/>
      </c>
      <c r="Q1158" s="243" t="str">
        <f t="shared" ca="1" si="1545"/>
        <v/>
      </c>
      <c r="R1158" s="45">
        <f t="shared" ca="1" si="1488"/>
        <v>0.15113449724174668</v>
      </c>
      <c r="S1158" s="45">
        <f t="shared" ca="1" si="1512"/>
        <v>5.0695617570641283E-2</v>
      </c>
      <c r="T1158" s="77">
        <f t="shared" ca="1" si="1473"/>
        <v>4.9291689443774654E-3</v>
      </c>
      <c r="U1158" s="45">
        <f t="shared" ca="1" si="1489"/>
        <v>17.009865466475457</v>
      </c>
      <c r="V1158" s="45">
        <f t="shared" ca="1" si="1474"/>
        <v>0.20278247028256513</v>
      </c>
      <c r="W1158" s="77">
        <f t="shared" ca="1" si="1475"/>
        <v>1.6912061552961329E-2</v>
      </c>
      <c r="X1158" s="45">
        <f t="shared" ca="1" si="1490"/>
        <v>1.021119767771401</v>
      </c>
      <c r="Y1158" s="45">
        <f t="shared" ca="1" si="1476"/>
        <v>2.1997950188541284E-3</v>
      </c>
      <c r="Z1158" s="77">
        <f t="shared" ca="1" si="1477"/>
        <v>2.2322143613640998E-3</v>
      </c>
      <c r="AA1158" s="45">
        <f t="shared" ca="1" si="1491"/>
        <v>39.22632740634468</v>
      </c>
      <c r="AB1158" s="45">
        <f t="shared" ca="1" si="1478"/>
        <v>0</v>
      </c>
      <c r="AC1158" s="45" cm="1">
        <f t="array" aca="1" ref="AC1158" ca="1">pHUM*(T1158+W1158+Z1158+AD1158)</f>
        <v>2.5879941398283864E-3</v>
      </c>
      <c r="AD1158" s="77">
        <f t="shared" ca="1" si="1479"/>
        <v>2.6012593219843648E-3</v>
      </c>
      <c r="AE1158" s="45">
        <f t="shared" ca="1" si="1492"/>
        <v>6.3847072090583081</v>
      </c>
      <c r="AF1158" s="45">
        <f t="shared" ca="1" si="1480"/>
        <v>0</v>
      </c>
      <c r="AG1158" s="76">
        <f t="shared" ca="1" si="1481"/>
        <v>63.79315434689159</v>
      </c>
      <c r="AH1158" s="45">
        <f t="shared" ca="1" si="1482"/>
        <v>2.1886915022004745E-2</v>
      </c>
      <c r="AI1158" s="77">
        <f t="shared" ca="1" si="1483"/>
        <v>1.171832516190811E-2</v>
      </c>
      <c r="AJ1158" s="384">
        <f t="shared" ca="1" si="1485"/>
        <v>1.2101577403492714E-2</v>
      </c>
      <c r="AU1158" s="1"/>
    </row>
    <row r="1159" spans="3:47" x14ac:dyDescent="0.25">
      <c r="C1159" s="10">
        <f t="shared" si="1510"/>
        <v>89</v>
      </c>
      <c r="D1159" s="91">
        <f t="shared" si="1493"/>
        <v>1</v>
      </c>
      <c r="E1159" s="278"/>
      <c r="F1159" s="76">
        <f t="shared" ref="F1159:Q1159" ca="1" si="1546">F1087</f>
        <v>-8.2799999999999994</v>
      </c>
      <c r="G1159" s="46">
        <f t="shared" ca="1" si="1546"/>
        <v>27.676243189942063</v>
      </c>
      <c r="H1159" s="46">
        <f t="shared" ca="1" si="1469"/>
        <v>27.853906810057943</v>
      </c>
      <c r="I1159" s="45">
        <f t="shared" ca="1" si="1470"/>
        <v>5.2124139735228647E-4</v>
      </c>
      <c r="J1159" s="45">
        <f t="shared" ca="1" si="1471"/>
        <v>0.28271042830183513</v>
      </c>
      <c r="K1159" s="45">
        <f t="shared" ca="1" si="1487"/>
        <v>0.91374991914963299</v>
      </c>
      <c r="L1159" s="358">
        <f t="shared" ca="1" si="1472"/>
        <v>0.14143923467074027</v>
      </c>
      <c r="M1159" s="76">
        <f t="shared" ca="1" si="1546"/>
        <v>0.25347808785320641</v>
      </c>
      <c r="N1159" s="45">
        <f t="shared" ca="1" si="1546"/>
        <v>0.25</v>
      </c>
      <c r="O1159" s="45">
        <f t="shared" ca="1" si="1546"/>
        <v>0</v>
      </c>
      <c r="P1159" s="46" t="str">
        <f t="shared" ca="1" si="1546"/>
        <v/>
      </c>
      <c r="Q1159" s="243" t="str">
        <f t="shared" ca="1" si="1546"/>
        <v/>
      </c>
      <c r="R1159" s="45">
        <f t="shared" ca="1" si="1488"/>
        <v>0.19690094586801049</v>
      </c>
      <c r="S1159" s="45">
        <f t="shared" ca="1" si="1512"/>
        <v>5.0695617570641283E-2</v>
      </c>
      <c r="T1159" s="77">
        <f t="shared" ca="1" si="1473"/>
        <v>8.5508864309104358E-5</v>
      </c>
      <c r="U1159" s="45">
        <f t="shared" ca="1" si="1489"/>
        <v>17.19573587520506</v>
      </c>
      <c r="V1159" s="45">
        <f t="shared" ca="1" si="1474"/>
        <v>0.20278247028256513</v>
      </c>
      <c r="W1159" s="77">
        <f t="shared" ca="1" si="1475"/>
        <v>2.2407677492310775E-4</v>
      </c>
      <c r="X1159" s="45">
        <f t="shared" ca="1" si="1490"/>
        <v>1.0210873484288912</v>
      </c>
      <c r="Y1159" s="45">
        <f t="shared" ca="1" si="1476"/>
        <v>3.0755027253892332E-5</v>
      </c>
      <c r="Z1159" s="77">
        <f t="shared" ca="1" si="1477"/>
        <v>2.9272395200696275E-5</v>
      </c>
      <c r="AA1159" s="45">
        <f t="shared" ca="1" si="1491"/>
        <v>39.226314141162526</v>
      </c>
      <c r="AB1159" s="45">
        <f t="shared" ca="1" si="1478"/>
        <v>0</v>
      </c>
      <c r="AC1159" s="45" cm="1">
        <f t="array" aca="1" ref="AC1159" ca="1">pHUM*(T1159+W1159+Z1159+AD1159)</f>
        <v>3.6182385004579209E-5</v>
      </c>
      <c r="AD1159" s="77">
        <f t="shared" ca="1" si="1479"/>
        <v>3.4077283192225732E-5</v>
      </c>
      <c r="AE1159" s="45">
        <f t="shared" ca="1" si="1492"/>
        <v>6.3847072090583081</v>
      </c>
      <c r="AF1159" s="45">
        <f t="shared" ca="1" si="1480"/>
        <v>0</v>
      </c>
      <c r="AG1159" s="76">
        <f t="shared" ca="1" si="1481"/>
        <v>64.024745519722799</v>
      </c>
      <c r="AH1159" s="45">
        <f t="shared" ca="1" si="1482"/>
        <v>3.0599790536666263E-4</v>
      </c>
      <c r="AI1159" s="77">
        <f t="shared" ca="1" si="1483"/>
        <v>1.2413498217666489E-2</v>
      </c>
      <c r="AJ1159" s="384">
        <f t="shared" ca="1" si="1485"/>
        <v>5.6629041919165068E-3</v>
      </c>
      <c r="AU1159" s="1"/>
    </row>
    <row r="1160" spans="3:47" x14ac:dyDescent="0.25">
      <c r="C1160" s="10">
        <f t="shared" si="1510"/>
        <v>89</v>
      </c>
      <c r="D1160" s="91">
        <f t="shared" si="1493"/>
        <v>2</v>
      </c>
      <c r="E1160" s="278"/>
      <c r="F1160" s="76">
        <f t="shared" ref="F1160:Q1160" ca="1" si="1547">F1088</f>
        <v>-13.02</v>
      </c>
      <c r="G1160" s="46">
        <f t="shared" ca="1" si="1547"/>
        <v>27.012600000000003</v>
      </c>
      <c r="H1160" s="46">
        <f t="shared" ca="1" si="1469"/>
        <v>28.517550000000004</v>
      </c>
      <c r="I1160" s="45">
        <f t="shared" ca="1" si="1470"/>
        <v>3.4968020066039631E-8</v>
      </c>
      <c r="J1160" s="45">
        <f t="shared" ca="1" si="1471"/>
        <v>0.27952512346894071</v>
      </c>
      <c r="K1160" s="45">
        <f t="shared" ca="1" si="1487"/>
        <v>0.90345467800480783</v>
      </c>
      <c r="L1160" s="358">
        <f t="shared" ca="1" si="1472"/>
        <v>7.5103934893711255E-2</v>
      </c>
      <c r="M1160" s="76">
        <f t="shared" ca="1" si="1547"/>
        <v>0.25347808785320641</v>
      </c>
      <c r="N1160" s="45">
        <f t="shared" ca="1" si="1547"/>
        <v>0.25</v>
      </c>
      <c r="O1160" s="45">
        <f t="shared" ca="1" si="1547"/>
        <v>0</v>
      </c>
      <c r="P1160" s="46" t="str">
        <f t="shared" ca="1" si="1547"/>
        <v/>
      </c>
      <c r="Q1160" s="243" t="str">
        <f t="shared" ca="1" si="1547"/>
        <v/>
      </c>
      <c r="R1160" s="45">
        <f t="shared" ca="1" si="1488"/>
        <v>0.24751105457434266</v>
      </c>
      <c r="S1160" s="45">
        <f t="shared" ca="1" si="1512"/>
        <v>5.0695617570641283E-2</v>
      </c>
      <c r="T1160" s="77">
        <f t="shared" ca="1" si="1473"/>
        <v>7.2124761619648606E-9</v>
      </c>
      <c r="U1160" s="45">
        <f t="shared" ca="1" si="1489"/>
        <v>17.3982942687127</v>
      </c>
      <c r="V1160" s="45">
        <f t="shared" ca="1" si="1474"/>
        <v>0.20278247028256513</v>
      </c>
      <c r="W1160" s="77">
        <f t="shared" ca="1" si="1475"/>
        <v>1.5209597370966737E-8</v>
      </c>
      <c r="X1160" s="45">
        <f t="shared" ca="1" si="1490"/>
        <v>1.0210888310609443</v>
      </c>
      <c r="Y1160" s="45">
        <f t="shared" ca="1" si="1476"/>
        <v>2.1995707860099596E-9</v>
      </c>
      <c r="Z1160" s="77">
        <f t="shared" ca="1" si="1477"/>
        <v>1.9638000290245242E-9</v>
      </c>
      <c r="AA1160" s="45">
        <f t="shared" ca="1" si="1491"/>
        <v>39.226316246264339</v>
      </c>
      <c r="AB1160" s="45">
        <f t="shared" ca="1" si="1478"/>
        <v>0</v>
      </c>
      <c r="AC1160" s="45" cm="1">
        <f t="array" aca="1" ref="AC1160" ca="1">pHUM*(T1160+W1160+Z1160+AD1160)</f>
        <v>2.5877303364823057E-9</v>
      </c>
      <c r="AD1160" s="77">
        <f t="shared" ca="1" si="1479"/>
        <v>2.2861115723042951E-9</v>
      </c>
      <c r="AE1160" s="45">
        <f t="shared" ca="1" si="1492"/>
        <v>6.3847072090583081</v>
      </c>
      <c r="AF1160" s="45">
        <f t="shared" ca="1" si="1480"/>
        <v>0</v>
      </c>
      <c r="AG1160" s="76">
        <f t="shared" ca="1" si="1481"/>
        <v>64.277917609670638</v>
      </c>
      <c r="AH1160" s="45">
        <f t="shared" ca="1" si="1482"/>
        <v>2.1884684011768155E-8</v>
      </c>
      <c r="AI1160" s="77">
        <f t="shared" ca="1" si="1483"/>
        <v>1.3175183117969934E-2</v>
      </c>
      <c r="AJ1160" s="384">
        <f t="shared" ca="1" si="1485"/>
        <v>3.155546093571715E-3</v>
      </c>
      <c r="AU1160" s="1"/>
    </row>
    <row r="1161" spans="3:47" x14ac:dyDescent="0.25">
      <c r="C1161" s="10">
        <f t="shared" si="1510"/>
        <v>89</v>
      </c>
      <c r="D1161" s="91">
        <f t="shared" si="1493"/>
        <v>3</v>
      </c>
      <c r="E1161" s="278"/>
      <c r="F1161" s="76">
        <f t="shared" ref="F1161:Q1161" ca="1" si="1548">F1089</f>
        <v>-3.52</v>
      </c>
      <c r="G1161" s="46">
        <f t="shared" ca="1" si="1548"/>
        <v>29.742600000000003</v>
      </c>
      <c r="H1161" s="46">
        <f t="shared" ca="1" si="1469"/>
        <v>25.787550000000003</v>
      </c>
      <c r="I1161" s="45">
        <f t="shared" ca="1" si="1470"/>
        <v>1.7216068766348798E-2</v>
      </c>
      <c r="J1161" s="45">
        <f t="shared" ca="1" si="1471"/>
        <v>0.2911707845539237</v>
      </c>
      <c r="K1161" s="45">
        <f t="shared" ca="1" si="1487"/>
        <v>0.94109468279262609</v>
      </c>
      <c r="L1161" s="358">
        <f t="shared" ca="1" si="1472"/>
        <v>0.2510452916114092</v>
      </c>
      <c r="M1161" s="76">
        <f t="shared" ca="1" si="1548"/>
        <v>0.25347808785320641</v>
      </c>
      <c r="N1161" s="45">
        <f t="shared" ca="1" si="1548"/>
        <v>0.25</v>
      </c>
      <c r="O1161" s="45">
        <f t="shared" ca="1" si="1548"/>
        <v>0</v>
      </c>
      <c r="P1161" s="46" t="str">
        <f t="shared" ca="1" si="1548"/>
        <v/>
      </c>
      <c r="Q1161" s="243" t="str">
        <f t="shared" ca="1" si="1548"/>
        <v/>
      </c>
      <c r="R1161" s="45">
        <f t="shared" ca="1" si="1488"/>
        <v>0.2982066649325078</v>
      </c>
      <c r="S1161" s="45">
        <f t="shared" ca="1" si="1512"/>
        <v>5.0695617570641283E-2</v>
      </c>
      <c r="T1161" s="77">
        <f t="shared" ca="1" si="1473"/>
        <v>4.2477452355207971E-3</v>
      </c>
      <c r="U1161" s="45">
        <f t="shared" ca="1" si="1489"/>
        <v>17.601076723785667</v>
      </c>
      <c r="V1161" s="45">
        <f t="shared" ca="1" si="1474"/>
        <v>0.20278247028256513</v>
      </c>
      <c r="W1161" s="77">
        <f t="shared" ca="1" si="1475"/>
        <v>7.5739036534661075E-3</v>
      </c>
      <c r="X1161" s="45">
        <f t="shared" ca="1" si="1490"/>
        <v>1.021088831296715</v>
      </c>
      <c r="Y1161" s="45">
        <f t="shared" ca="1" si="1476"/>
        <v>1.1474163932685974E-3</v>
      </c>
      <c r="Z1161" s="77">
        <f t="shared" ca="1" si="1477"/>
        <v>9.6639485047811163E-4</v>
      </c>
      <c r="AA1161" s="45">
        <f t="shared" ca="1" si="1491"/>
        <v>39.226316246565958</v>
      </c>
      <c r="AB1161" s="45">
        <f t="shared" ca="1" si="1478"/>
        <v>0</v>
      </c>
      <c r="AC1161" s="45" cm="1">
        <f t="array" aca="1" ref="AC1161" ca="1">pHUM*(T1161+W1161+Z1161+AD1161)</f>
        <v>1.3499016391395264E-3</v>
      </c>
      <c r="AD1161" s="77">
        <f t="shared" ca="1" si="1479"/>
        <v>1.1255221156182035E-3</v>
      </c>
      <c r="AE1161" s="45">
        <f t="shared" ca="1" si="1492"/>
        <v>6.3847072090583081</v>
      </c>
      <c r="AF1161" s="45">
        <f t="shared" ca="1" si="1480"/>
        <v>0</v>
      </c>
      <c r="AG1161" s="76">
        <f t="shared" ca="1" si="1481"/>
        <v>64.53139567563916</v>
      </c>
      <c r="AH1161" s="45">
        <f t="shared" ca="1" si="1482"/>
        <v>1.1416247822675097E-2</v>
      </c>
      <c r="AI1161" s="77">
        <f t="shared" ca="1" si="1483"/>
        <v>1.3931482136531972E-2</v>
      </c>
      <c r="AJ1161" s="384">
        <f t="shared" ca="1" si="1485"/>
        <v>1.1617911431518468E-2</v>
      </c>
      <c r="AU1161" s="1"/>
    </row>
    <row r="1162" spans="3:47" x14ac:dyDescent="0.25">
      <c r="C1162" s="10">
        <f t="shared" si="1510"/>
        <v>89</v>
      </c>
      <c r="D1162" s="91">
        <f t="shared" si="1493"/>
        <v>4</v>
      </c>
      <c r="E1162" s="278"/>
      <c r="F1162" s="76">
        <f t="shared" ref="F1162:Q1162" ca="1" si="1549">F1090</f>
        <v>6.08</v>
      </c>
      <c r="G1162" s="46">
        <f t="shared" ca="1" si="1549"/>
        <v>27.012600000000003</v>
      </c>
      <c r="H1162" s="46">
        <f t="shared" ca="1" si="1469"/>
        <v>28.517550000000004</v>
      </c>
      <c r="I1162" s="45">
        <f t="shared" ca="1" si="1470"/>
        <v>0.26307228538649535</v>
      </c>
      <c r="J1162" s="45">
        <f t="shared" ca="1" si="1471"/>
        <v>0.27952512346894071</v>
      </c>
      <c r="K1162" s="45">
        <f t="shared" ca="1" si="1487"/>
        <v>0.90345467800480783</v>
      </c>
      <c r="L1162" s="358">
        <f t="shared" ca="1" si="1472"/>
        <v>0.58389398806465831</v>
      </c>
      <c r="M1162" s="76">
        <f t="shared" ca="1" si="1549"/>
        <v>0.25347808785320641</v>
      </c>
      <c r="N1162" s="45">
        <f t="shared" ca="1" si="1549"/>
        <v>0.25</v>
      </c>
      <c r="O1162" s="45">
        <f t="shared" ca="1" si="1549"/>
        <v>0</v>
      </c>
      <c r="P1162" s="46" t="str">
        <f t="shared" ca="1" si="1549"/>
        <v/>
      </c>
      <c r="Q1162" s="243" t="str">
        <f t="shared" ca="1" si="1549"/>
        <v/>
      </c>
      <c r="R1162" s="45">
        <f t="shared" ca="1" si="1488"/>
        <v>0.34465453726762829</v>
      </c>
      <c r="S1162" s="45">
        <f t="shared" ca="1" si="1512"/>
        <v>5.0695617570641283E-2</v>
      </c>
      <c r="T1162" s="77">
        <f t="shared" ca="1" si="1473"/>
        <v>6.7848877793297319E-2</v>
      </c>
      <c r="U1162" s="45">
        <f t="shared" ca="1" si="1489"/>
        <v>17.796285290414765</v>
      </c>
      <c r="V1162" s="45">
        <f t="shared" ca="1" si="1474"/>
        <v>0.20278247028256513</v>
      </c>
      <c r="W1162" s="77">
        <f t="shared" ca="1" si="1475"/>
        <v>0.11665869470089794</v>
      </c>
      <c r="X1162" s="45">
        <f t="shared" ca="1" si="1490"/>
        <v>1.0212698528395054</v>
      </c>
      <c r="Y1162" s="45">
        <f t="shared" ca="1" si="1476"/>
        <v>1.7843745005270206E-2</v>
      </c>
      <c r="Z1162" s="77">
        <f t="shared" ca="1" si="1477"/>
        <v>1.4670340344150188E-2</v>
      </c>
      <c r="AA1162" s="45">
        <f t="shared" ca="1" si="1491"/>
        <v>39.226540626089481</v>
      </c>
      <c r="AB1162" s="45">
        <f t="shared" ca="1" si="1478"/>
        <v>0</v>
      </c>
      <c r="AC1162" s="45" cm="1">
        <f t="array" aca="1" ref="AC1162" ca="1">pHUM*(T1162+W1162+Z1162+AD1162)</f>
        <v>2.0992641182670829E-2</v>
      </c>
      <c r="AD1162" s="77">
        <f t="shared" ca="1" si="1479"/>
        <v>1.7195256212257461E-2</v>
      </c>
      <c r="AE1162" s="45">
        <f t="shared" ca="1" si="1492"/>
        <v>6.3847072090583081</v>
      </c>
      <c r="AF1162" s="45">
        <f t="shared" ca="1" si="1480"/>
        <v>0</v>
      </c>
      <c r="AG1162" s="76">
        <f t="shared" ca="1" si="1481"/>
        <v>64.773457515669691</v>
      </c>
      <c r="AH1162" s="45">
        <f t="shared" ca="1" si="1482"/>
        <v>0.17753678286266186</v>
      </c>
      <c r="AI1162" s="77">
        <f t="shared" ca="1" si="1483"/>
        <v>1.4620396082868728E-2</v>
      </c>
      <c r="AJ1162" s="384">
        <f t="shared" ca="1" si="1485"/>
        <v>2.7223155119820985E-2</v>
      </c>
      <c r="AU1162" s="1"/>
    </row>
    <row r="1163" spans="3:47" x14ac:dyDescent="0.25">
      <c r="C1163" s="10">
        <f t="shared" si="1510"/>
        <v>89</v>
      </c>
      <c r="D1163" s="91">
        <f t="shared" si="1493"/>
        <v>5</v>
      </c>
      <c r="E1163" s="278"/>
      <c r="F1163" s="76">
        <f t="shared" ref="F1163:Q1163" ca="1" si="1550">F1091</f>
        <v>16.079999999999998</v>
      </c>
      <c r="G1163" s="46">
        <f t="shared" ca="1" si="1550"/>
        <v>27.012600000000003</v>
      </c>
      <c r="H1163" s="46">
        <f t="shared" ca="1" si="1469"/>
        <v>28.517550000000004</v>
      </c>
      <c r="I1163" s="45">
        <f t="shared" ca="1" si="1470"/>
        <v>0.90560233354751607</v>
      </c>
      <c r="J1163" s="45">
        <f t="shared" ca="1" si="1471"/>
        <v>0.27952512346894071</v>
      </c>
      <c r="K1163" s="45">
        <f t="shared" ca="1" si="1487"/>
        <v>0.90345467800480783</v>
      </c>
      <c r="L1163" s="358">
        <f t="shared" ca="1" si="1472"/>
        <v>0.86059167822175908</v>
      </c>
      <c r="M1163" s="76">
        <f t="shared" ca="1" si="1550"/>
        <v>0.25347808785320641</v>
      </c>
      <c r="N1163" s="45">
        <f t="shared" ca="1" si="1550"/>
        <v>0.25</v>
      </c>
      <c r="O1163" s="45">
        <f t="shared" ca="1" si="1550"/>
        <v>0</v>
      </c>
      <c r="P1163" s="46" t="str">
        <f t="shared" ca="1" si="1550"/>
        <v/>
      </c>
      <c r="Q1163" s="243" t="str">
        <f t="shared" ca="1" si="1550"/>
        <v/>
      </c>
      <c r="R1163" s="45">
        <f t="shared" ca="1" si="1488"/>
        <v>0.32750127704497223</v>
      </c>
      <c r="S1163" s="45">
        <f t="shared" ca="1" si="1512"/>
        <v>5.0695617570641283E-2</v>
      </c>
      <c r="T1163" s="77">
        <f t="shared" ca="1" si="1473"/>
        <v>0.17352118168479536</v>
      </c>
      <c r="U1163" s="45">
        <f t="shared" ca="1" si="1489"/>
        <v>17.882409065996431</v>
      </c>
      <c r="V1163" s="45">
        <f t="shared" ca="1" si="1474"/>
        <v>0.20278247028256513</v>
      </c>
      <c r="W1163" s="77">
        <f t="shared" ca="1" si="1475"/>
        <v>0.40031016292561494</v>
      </c>
      <c r="X1163" s="45">
        <f t="shared" ca="1" si="1490"/>
        <v>1.0244432575006255</v>
      </c>
      <c r="Y1163" s="45">
        <f t="shared" ca="1" si="1476"/>
        <v>5.6306650737418376E-2</v>
      </c>
      <c r="Z1163" s="77">
        <f t="shared" ca="1" si="1477"/>
        <v>4.9775694096229117E-2</v>
      </c>
      <c r="AA1163" s="45">
        <f t="shared" ca="1" si="1491"/>
        <v>39.230338011059899</v>
      </c>
      <c r="AB1163" s="45">
        <f t="shared" ca="1" si="1478"/>
        <v>0</v>
      </c>
      <c r="AC1163" s="45" cm="1">
        <f t="array" aca="1" ref="AC1163" ca="1">pHUM*(T1163+W1163+Z1163+AD1163)</f>
        <v>6.6243118514609858E-2</v>
      </c>
      <c r="AD1163" s="77">
        <f t="shared" ca="1" si="1479"/>
        <v>5.9167146593717607E-2</v>
      </c>
      <c r="AE1163" s="45">
        <f t="shared" ca="1" si="1492"/>
        <v>6.3847072090583081</v>
      </c>
      <c r="AF1163" s="45">
        <f t="shared" ca="1" si="1480"/>
        <v>0</v>
      </c>
      <c r="AG1163" s="76">
        <f t="shared" ca="1" si="1481"/>
        <v>64.849398820660241</v>
      </c>
      <c r="AH1163" s="45">
        <f t="shared" ca="1" si="1482"/>
        <v>0.56022441604832884</v>
      </c>
      <c r="AI1163" s="77">
        <f t="shared" ca="1" si="1483"/>
        <v>1.4396830123727606E-2</v>
      </c>
      <c r="AJ1163" s="384">
        <f t="shared" ca="1" si="1485"/>
        <v>3.9509752034827539E-2</v>
      </c>
      <c r="AU1163" s="1"/>
    </row>
    <row r="1164" spans="3:47" x14ac:dyDescent="0.25">
      <c r="C1164" s="10">
        <f t="shared" si="1510"/>
        <v>89</v>
      </c>
      <c r="D1164" s="91">
        <f t="shared" si="1493"/>
        <v>6</v>
      </c>
      <c r="E1164" s="278"/>
      <c r="F1164" s="76">
        <f t="shared" ref="F1164:Q1164" ca="1" si="1551">F1092</f>
        <v>17.399999999999999</v>
      </c>
      <c r="G1164" s="46">
        <f t="shared" ca="1" si="1551"/>
        <v>27.012600000000003</v>
      </c>
      <c r="H1164" s="46">
        <f t="shared" ca="1" si="1469"/>
        <v>28.517550000000004</v>
      </c>
      <c r="I1164" s="45">
        <f t="shared" ca="1" si="1470"/>
        <v>1.0098878501236044</v>
      </c>
      <c r="J1164" s="45">
        <f t="shared" ca="1" si="1471"/>
        <v>0.27952512346894071</v>
      </c>
      <c r="K1164" s="45">
        <f t="shared" ca="1" si="1487"/>
        <v>0.90345467800480783</v>
      </c>
      <c r="L1164" s="358">
        <f t="shared" ca="1" si="1472"/>
        <v>0.88208077264421947</v>
      </c>
      <c r="M1164" s="76">
        <f t="shared" ca="1" si="1551"/>
        <v>0.25347808785320641</v>
      </c>
      <c r="N1164" s="45">
        <f t="shared" ca="1" si="1551"/>
        <v>0.25</v>
      </c>
      <c r="O1164" s="45">
        <f t="shared" ca="1" si="1551"/>
        <v>0</v>
      </c>
      <c r="P1164" s="46" t="str">
        <f t="shared" ca="1" si="1551"/>
        <v/>
      </c>
      <c r="Q1164" s="243" t="str">
        <f t="shared" ca="1" si="1551"/>
        <v/>
      </c>
      <c r="R1164" s="45">
        <f t="shared" ca="1" si="1488"/>
        <v>0.20467571293081815</v>
      </c>
      <c r="S1164" s="45">
        <f t="shared" ca="1" si="1512"/>
        <v>5.0695617570641283E-2</v>
      </c>
      <c r="T1164" s="77">
        <f t="shared" ca="1" si="1473"/>
        <v>0.11645395421434461</v>
      </c>
      <c r="U1164" s="45">
        <f t="shared" ca="1" si="1489"/>
        <v>17.684881373353381</v>
      </c>
      <c r="V1164" s="45">
        <f t="shared" ca="1" si="1474"/>
        <v>0.20278247028256513</v>
      </c>
      <c r="W1164" s="77">
        <f t="shared" ca="1" si="1475"/>
        <v>0.44090445025889147</v>
      </c>
      <c r="X1164" s="45">
        <f t="shared" ca="1" si="1490"/>
        <v>1.0309742141418148</v>
      </c>
      <c r="Y1164" s="45">
        <f t="shared" ca="1" si="1476"/>
        <v>5.5999372367451394E-2</v>
      </c>
      <c r="Z1164" s="77">
        <f t="shared" ca="1" si="1477"/>
        <v>5.5702960258763437E-2</v>
      </c>
      <c r="AA1164" s="45">
        <f t="shared" ca="1" si="1491"/>
        <v>39.237413982980797</v>
      </c>
      <c r="AB1164" s="45">
        <f t="shared" ca="1" si="1478"/>
        <v>0</v>
      </c>
      <c r="AC1164" s="45" cm="1">
        <f t="array" aca="1" ref="AC1164" ca="1">pHUM*(T1164+W1164+Z1164+AD1164)</f>
        <v>6.5881614549942819E-2</v>
      </c>
      <c r="AD1164" s="77">
        <f t="shared" ca="1" si="1479"/>
        <v>6.5986764481430663E-2</v>
      </c>
      <c r="AE1164" s="45">
        <f t="shared" ca="1" si="1492"/>
        <v>6.3847072090583081</v>
      </c>
      <c r="AF1164" s="45">
        <f t="shared" ca="1" si="1480"/>
        <v>0</v>
      </c>
      <c r="AG1164" s="76">
        <f t="shared" ca="1" si="1481"/>
        <v>64.542652492465123</v>
      </c>
      <c r="AH1164" s="45">
        <f t="shared" ca="1" si="1482"/>
        <v>0.55716714229603603</v>
      </c>
      <c r="AI1164" s="77">
        <f t="shared" ca="1" si="1483"/>
        <v>1.2634290922962288E-2</v>
      </c>
      <c r="AJ1164" s="384">
        <f t="shared" ca="1" si="1485"/>
        <v>3.5538667257136725E-2</v>
      </c>
      <c r="AU1164" s="1"/>
    </row>
    <row r="1165" spans="3:47" x14ac:dyDescent="0.25">
      <c r="C1165" s="10">
        <f t="shared" si="1510"/>
        <v>89</v>
      </c>
      <c r="D1165" s="91">
        <f t="shared" si="1493"/>
        <v>7</v>
      </c>
      <c r="E1165" s="278"/>
      <c r="F1165" s="76">
        <f t="shared" ref="F1165:Q1165" ca="1" si="1552">F1093</f>
        <v>21.29</v>
      </c>
      <c r="G1165" s="46">
        <f t="shared" ca="1" si="1552"/>
        <v>27.012600000000003</v>
      </c>
      <c r="H1165" s="46">
        <f t="shared" ca="1" si="1469"/>
        <v>28.517550000000004</v>
      </c>
      <c r="I1165" s="45">
        <f t="shared" ca="1" si="1470"/>
        <v>1.3308669995183955</v>
      </c>
      <c r="J1165" s="45">
        <f t="shared" ca="1" si="1471"/>
        <v>0.27952512346894071</v>
      </c>
      <c r="K1165" s="45">
        <f t="shared" ca="1" si="1487"/>
        <v>0.90345467800480783</v>
      </c>
      <c r="L1165" s="358">
        <f t="shared" ca="1" si="1472"/>
        <v>0.92839591561968593</v>
      </c>
      <c r="M1165" s="76">
        <f t="shared" ca="1" si="1552"/>
        <v>0.25347808785320641</v>
      </c>
      <c r="N1165" s="45">
        <f t="shared" ca="1" si="1552"/>
        <v>0.25</v>
      </c>
      <c r="O1165" s="45">
        <f t="shared" ca="1" si="1552"/>
        <v>0</v>
      </c>
      <c r="P1165" s="46" t="str">
        <f t="shared" ca="1" si="1552"/>
        <v/>
      </c>
      <c r="Q1165" s="243" t="str">
        <f t="shared" ca="1" si="1552"/>
        <v/>
      </c>
      <c r="R1165" s="45">
        <f t="shared" ca="1" si="1488"/>
        <v>0.13891737628711481</v>
      </c>
      <c r="S1165" s="45">
        <f t="shared" ca="1" si="1512"/>
        <v>5.0695617570641283E-2</v>
      </c>
      <c r="T1165" s="77">
        <f t="shared" ca="1" si="1473"/>
        <v>9.3092664317525969E-2</v>
      </c>
      <c r="U1165" s="45">
        <f t="shared" ca="1" si="1489"/>
        <v>17.446759393377054</v>
      </c>
      <c r="V1165" s="45">
        <f t="shared" ca="1" si="1474"/>
        <v>0.20278247028256513</v>
      </c>
      <c r="W1165" s="77">
        <f t="shared" ca="1" si="1475"/>
        <v>0.57093230337010548</v>
      </c>
      <c r="X1165" s="45">
        <f t="shared" ca="1" si="1490"/>
        <v>1.0312706262505027</v>
      </c>
      <c r="Y1165" s="45">
        <f t="shared" ca="1" si="1476"/>
        <v>6.7932678120951592E-2</v>
      </c>
      <c r="Z1165" s="77">
        <f t="shared" ca="1" si="1477"/>
        <v>7.2790092035465881E-2</v>
      </c>
      <c r="AA1165" s="45">
        <f t="shared" ca="1" si="1491"/>
        <v>39.237308833049312</v>
      </c>
      <c r="AB1165" s="45">
        <f t="shared" ca="1" si="1478"/>
        <v>0</v>
      </c>
      <c r="AC1165" s="45" cm="1">
        <f t="array" aca="1" ref="AC1165" ca="1">pHUM*(T1165+W1165+Z1165+AD1165)</f>
        <v>7.9920797789354805E-2</v>
      </c>
      <c r="AD1165" s="77">
        <f t="shared" ca="1" si="1479"/>
        <v>8.6936279627667423E-2</v>
      </c>
      <c r="AE1165" s="45">
        <f t="shared" ca="1" si="1492"/>
        <v>6.3847072090583081</v>
      </c>
      <c r="AF1165" s="45">
        <f t="shared" ca="1" si="1480"/>
        <v>0</v>
      </c>
      <c r="AG1165" s="76">
        <f t="shared" ca="1" si="1481"/>
        <v>64.238963438022296</v>
      </c>
      <c r="AH1165" s="45">
        <f t="shared" ca="1" si="1482"/>
        <v>0.67589786344045844</v>
      </c>
      <c r="AI1165" s="77">
        <f t="shared" ca="1" si="1483"/>
        <v>1.1650808569236455E-2</v>
      </c>
      <c r="AJ1165" s="384">
        <f t="shared" ca="1" si="1485"/>
        <v>3.4493052137448688E-2</v>
      </c>
      <c r="AU1165" s="1"/>
    </row>
    <row r="1166" spans="3:47" x14ac:dyDescent="0.25">
      <c r="C1166" s="10">
        <f t="shared" si="1510"/>
        <v>89</v>
      </c>
      <c r="D1166" s="91">
        <f t="shared" si="1493"/>
        <v>8</v>
      </c>
      <c r="E1166" s="278"/>
      <c r="F1166" s="76">
        <f t="shared" ref="F1166:Q1166" ca="1" si="1553">F1094</f>
        <v>21.81</v>
      </c>
      <c r="G1166" s="46">
        <f t="shared" ca="1" si="1553"/>
        <v>27.012600000000003</v>
      </c>
      <c r="H1166" s="46">
        <f t="shared" ca="1" si="1469"/>
        <v>28.517550000000004</v>
      </c>
      <c r="I1166" s="45">
        <f t="shared" ca="1" si="1470"/>
        <v>1.3748539373542934</v>
      </c>
      <c r="J1166" s="45">
        <f t="shared" ca="1" si="1471"/>
        <v>0.27952512346894071</v>
      </c>
      <c r="K1166" s="45">
        <f t="shared" ca="1" si="1487"/>
        <v>0.90345467800480783</v>
      </c>
      <c r="L1166" s="358">
        <f t="shared" ca="1" si="1472"/>
        <v>0.93294591915671865</v>
      </c>
      <c r="M1166" s="76">
        <f t="shared" ca="1" si="1553"/>
        <v>0.25347808785320641</v>
      </c>
      <c r="N1166" s="45">
        <f t="shared" ca="1" si="1553"/>
        <v>0.25</v>
      </c>
      <c r="O1166" s="45">
        <f t="shared" ca="1" si="1553"/>
        <v>0</v>
      </c>
      <c r="P1166" s="46" t="str">
        <f t="shared" ca="1" si="1553"/>
        <v/>
      </c>
      <c r="Q1166" s="243" t="str">
        <f t="shared" ca="1" si="1553"/>
        <v/>
      </c>
      <c r="R1166" s="45">
        <f t="shared" ca="1" si="1488"/>
        <v>9.6520329540230126E-2</v>
      </c>
      <c r="S1166" s="45">
        <f t="shared" ca="1" si="1512"/>
        <v>5.0695617570641283E-2</v>
      </c>
      <c r="T1166" s="77">
        <f t="shared" ca="1" si="1473"/>
        <v>6.5827101645662786E-2</v>
      </c>
      <c r="U1166" s="45">
        <f t="shared" ca="1" si="1489"/>
        <v>17.078609560289511</v>
      </c>
      <c r="V1166" s="45">
        <f t="shared" ca="1" si="1474"/>
        <v>0.20278247028256513</v>
      </c>
      <c r="W1166" s="77">
        <f t="shared" ca="1" si="1475"/>
        <v>0.57704118997565823</v>
      </c>
      <c r="X1166" s="45">
        <f t="shared" ca="1" si="1490"/>
        <v>1.0264132123359884</v>
      </c>
      <c r="Y1166" s="45">
        <f t="shared" ca="1" si="1476"/>
        <v>6.6585127633576685E-2</v>
      </c>
      <c r="Z1166" s="77">
        <f t="shared" ca="1" si="1477"/>
        <v>7.4752364385134176E-2</v>
      </c>
      <c r="AA1166" s="45">
        <f t="shared" ca="1" si="1491"/>
        <v>39.230293351211003</v>
      </c>
      <c r="AB1166" s="45">
        <f t="shared" ca="1" si="1478"/>
        <v>0</v>
      </c>
      <c r="AC1166" s="45" cm="1">
        <f t="array" aca="1" ref="AC1166" ca="1">pHUM*(T1166+W1166+Z1166+AD1166)</f>
        <v>7.8335444274796107E-2</v>
      </c>
      <c r="AD1166" s="77">
        <f t="shared" ca="1" si="1479"/>
        <v>8.97902923937062E-2</v>
      </c>
      <c r="AE1166" s="45">
        <f t="shared" ca="1" si="1492"/>
        <v>6.3847072090583081</v>
      </c>
      <c r="AF1166" s="45">
        <f t="shared" ca="1" si="1480"/>
        <v>0</v>
      </c>
      <c r="AG1166" s="76">
        <f t="shared" ca="1" si="1481"/>
        <v>63.816543662435038</v>
      </c>
      <c r="AH1166" s="45">
        <f t="shared" ca="1" si="1482"/>
        <v>0.66249037649178866</v>
      </c>
      <c r="AI1166" s="77">
        <f t="shared" ca="1" si="1483"/>
        <v>1.0956212350944787E-2</v>
      </c>
      <c r="AJ1166" s="384">
        <f t="shared" ca="1" si="1485"/>
        <v>3.2595678455804578E-2</v>
      </c>
      <c r="AU1166" s="1"/>
    </row>
    <row r="1167" spans="3:47" x14ac:dyDescent="0.25">
      <c r="C1167" s="10">
        <f t="shared" si="1510"/>
        <v>89</v>
      </c>
      <c r="D1167" s="91">
        <f t="shared" si="1493"/>
        <v>9</v>
      </c>
      <c r="E1167" s="278"/>
      <c r="F1167" s="76">
        <f t="shared" ref="F1167:Q1167" ca="1" si="1554">F1095</f>
        <v>19.09</v>
      </c>
      <c r="G1167" s="46">
        <f t="shared" ca="1" si="1554"/>
        <v>27.012600000000003</v>
      </c>
      <c r="H1167" s="46">
        <f t="shared" ca="1" si="1469"/>
        <v>28.517550000000004</v>
      </c>
      <c r="I1167" s="45">
        <f t="shared" ca="1" si="1470"/>
        <v>1.1472439462064867</v>
      </c>
      <c r="J1167" s="45">
        <f t="shared" ca="1" si="1471"/>
        <v>0.27952512346894071</v>
      </c>
      <c r="K1167" s="45">
        <f t="shared" ca="1" si="1487"/>
        <v>0.90345467800480783</v>
      </c>
      <c r="L1167" s="358">
        <f t="shared" ca="1" si="1472"/>
        <v>0.90508116523032656</v>
      </c>
      <c r="M1167" s="76">
        <f t="shared" ca="1" si="1554"/>
        <v>0.25347808785320641</v>
      </c>
      <c r="N1167" s="45">
        <f t="shared" ca="1" si="1554"/>
        <v>0.25</v>
      </c>
      <c r="O1167" s="45">
        <f t="shared" ca="1" si="1554"/>
        <v>0</v>
      </c>
      <c r="P1167" s="46" t="str">
        <f t="shared" ca="1" si="1554"/>
        <v/>
      </c>
      <c r="Q1167" s="243" t="str">
        <f t="shared" ca="1" si="1554"/>
        <v/>
      </c>
      <c r="R1167" s="45">
        <f t="shared" ca="1" si="1488"/>
        <v>8.1388845465208623E-2</v>
      </c>
      <c r="S1167" s="45">
        <f t="shared" ca="1" si="1512"/>
        <v>5.0695617570641283E-2</v>
      </c>
      <c r="T1167" s="77">
        <f t="shared" ca="1" si="1473"/>
        <v>5.0101878867953413E-2</v>
      </c>
      <c r="U1167" s="45">
        <f t="shared" ca="1" si="1489"/>
        <v>16.704350840596415</v>
      </c>
      <c r="V1167" s="45">
        <f t="shared" ca="1" si="1474"/>
        <v>0.20278247028256513</v>
      </c>
      <c r="W1167" s="77">
        <f t="shared" ca="1" si="1475"/>
        <v>0.47229380629344919</v>
      </c>
      <c r="X1167" s="45">
        <f t="shared" ca="1" si="1490"/>
        <v>1.0182459755844309</v>
      </c>
      <c r="Y1167" s="45">
        <f t="shared" ca="1" si="1476"/>
        <v>5.4393718820120743E-2</v>
      </c>
      <c r="Z1167" s="77">
        <f t="shared" ca="1" si="1477"/>
        <v>6.2264651682624107E-2</v>
      </c>
      <c r="AA1167" s="45">
        <f t="shared" ca="1" si="1491"/>
        <v>39.218838503092094</v>
      </c>
      <c r="AB1167" s="45">
        <f t="shared" ca="1" si="1478"/>
        <v>0</v>
      </c>
      <c r="AC1167" s="45" cm="1">
        <f t="array" aca="1" ref="AC1167" ca="1">pHUM*(T1167+W1167+Z1167+AD1167)</f>
        <v>6.3992610376612635E-2</v>
      </c>
      <c r="AD1167" s="77">
        <f t="shared" ca="1" si="1479"/>
        <v>7.4917644912652556E-2</v>
      </c>
      <c r="AE1167" s="45">
        <f t="shared" ca="1" si="1492"/>
        <v>6.3847072090583081</v>
      </c>
      <c r="AF1167" s="45">
        <f t="shared" ca="1" si="1480"/>
        <v>0</v>
      </c>
      <c r="AG1167" s="76">
        <f t="shared" ca="1" si="1481"/>
        <v>63.407531373796459</v>
      </c>
      <c r="AH1167" s="45">
        <f t="shared" ca="1" si="1482"/>
        <v>0.54119165255994583</v>
      </c>
      <c r="AI1167" s="77">
        <f t="shared" ca="1" si="1483"/>
        <v>1.0641371718895839E-2</v>
      </c>
      <c r="AJ1167" s="384">
        <f t="shared" ca="1" si="1485"/>
        <v>3.0713479998415449E-2</v>
      </c>
      <c r="AU1167" s="1"/>
    </row>
    <row r="1168" spans="3:47" x14ac:dyDescent="0.25">
      <c r="C1168" s="10">
        <f t="shared" si="1510"/>
        <v>89</v>
      </c>
      <c r="D1168" s="91">
        <f t="shared" si="1493"/>
        <v>10</v>
      </c>
      <c r="E1168" s="278"/>
      <c r="F1168" s="76">
        <f t="shared" ref="F1168:Q1168" ca="1" si="1555">F1096</f>
        <v>9.02</v>
      </c>
      <c r="G1168" s="46">
        <f t="shared" ca="1" si="1555"/>
        <v>27.012600000000003</v>
      </c>
      <c r="H1168" s="46">
        <f t="shared" ca="1" si="1469"/>
        <v>28.517550000000004</v>
      </c>
      <c r="I1168" s="45">
        <f t="shared" ca="1" si="1470"/>
        <v>0.41742778729268759</v>
      </c>
      <c r="J1168" s="45">
        <f t="shared" ca="1" si="1471"/>
        <v>0.27952512346894071</v>
      </c>
      <c r="K1168" s="45">
        <f t="shared" ca="1" si="1487"/>
        <v>0.90345467800480783</v>
      </c>
      <c r="L1168" s="358">
        <f t="shared" ca="1" si="1472"/>
        <v>0.68492882381082199</v>
      </c>
      <c r="M1168" s="76">
        <f t="shared" ca="1" si="1555"/>
        <v>0.25347808785320641</v>
      </c>
      <c r="N1168" s="45">
        <f t="shared" ca="1" si="1555"/>
        <v>0.25</v>
      </c>
      <c r="O1168" s="45">
        <f t="shared" ca="1" si="1555"/>
        <v>0</v>
      </c>
      <c r="P1168" s="46" t="str">
        <f t="shared" ca="1" si="1555"/>
        <v/>
      </c>
      <c r="Q1168" s="243" t="str">
        <f t="shared" ca="1" si="1555"/>
        <v/>
      </c>
      <c r="R1168" s="45">
        <f t="shared" ca="1" si="1488"/>
        <v>8.1982584167896499E-2</v>
      </c>
      <c r="S1168" s="45">
        <f t="shared" ca="1" si="1512"/>
        <v>5.0695617570641283E-2</v>
      </c>
      <c r="T1168" s="77">
        <f t="shared" ca="1" si="1473"/>
        <v>2.4086465507844296E-2</v>
      </c>
      <c r="U1168" s="45">
        <f t="shared" ca="1" si="1489"/>
        <v>16.434839504585529</v>
      </c>
      <c r="V1168" s="45">
        <f t="shared" ca="1" si="1474"/>
        <v>0.20278247028256513</v>
      </c>
      <c r="W1168" s="77">
        <f t="shared" ca="1" si="1475"/>
        <v>0.17061716450367892</v>
      </c>
      <c r="X1168" s="45">
        <f t="shared" ca="1" si="1490"/>
        <v>1.0103750427219274</v>
      </c>
      <c r="Y1168" s="45">
        <f t="shared" ca="1" si="1476"/>
        <v>2.0196615579247325E-2</v>
      </c>
      <c r="Z1168" s="77">
        <f t="shared" ca="1" si="1477"/>
        <v>2.2932468856999542E-2</v>
      </c>
      <c r="AA1168" s="45">
        <f t="shared" ca="1" si="1491"/>
        <v>39.207913468556058</v>
      </c>
      <c r="AB1168" s="45">
        <f t="shared" ca="1" si="1478"/>
        <v>0</v>
      </c>
      <c r="AC1168" s="45" cm="1">
        <f t="array" aca="1" ref="AC1168" ca="1">pHUM*(T1168+W1168+Z1168+AD1168)</f>
        <v>2.3760724210879207E-2</v>
      </c>
      <c r="AD1168" s="77">
        <f t="shared" ca="1" si="1479"/>
        <v>2.7267967833160479E-2</v>
      </c>
      <c r="AE1168" s="45">
        <f t="shared" ca="1" si="1492"/>
        <v>6.3847072090583081</v>
      </c>
      <c r="AF1168" s="45">
        <f t="shared" ca="1" si="1480"/>
        <v>0</v>
      </c>
      <c r="AG1168" s="76">
        <f t="shared" ca="1" si="1481"/>
        <v>63.119817809089717</v>
      </c>
      <c r="AH1168" s="45">
        <f t="shared" ca="1" si="1482"/>
        <v>0.20094672691155674</v>
      </c>
      <c r="AI1168" s="77">
        <f t="shared" ca="1" si="1483"/>
        <v>1.057734709961981E-2</v>
      </c>
      <c r="AJ1168" s="384">
        <f t="shared" ca="1" si="1485"/>
        <v>2.3103043885651653E-2</v>
      </c>
      <c r="AU1168" s="1"/>
    </row>
    <row r="1169" spans="3:47" x14ac:dyDescent="0.25">
      <c r="C1169" s="10">
        <f t="shared" si="1510"/>
        <v>89</v>
      </c>
      <c r="D1169" s="91">
        <f t="shared" si="1493"/>
        <v>11</v>
      </c>
      <c r="E1169" s="278"/>
      <c r="F1169" s="76">
        <f t="shared" ref="F1169:Q1169" ca="1" si="1556">F1097</f>
        <v>5.62</v>
      </c>
      <c r="G1169" s="46">
        <f t="shared" ca="1" si="1556"/>
        <v>27.012600000000003</v>
      </c>
      <c r="H1169" s="46">
        <f t="shared" ca="1" si="1469"/>
        <v>28.517550000000004</v>
      </c>
      <c r="I1169" s="45">
        <f t="shared" ca="1" si="1470"/>
        <v>0.24215575259059691</v>
      </c>
      <c r="J1169" s="45">
        <f t="shared" ca="1" si="1471"/>
        <v>0.27952512346894071</v>
      </c>
      <c r="K1169" s="45">
        <f t="shared" ca="1" si="1487"/>
        <v>0.90345467800480783</v>
      </c>
      <c r="L1169" s="358">
        <f t="shared" ca="1" si="1472"/>
        <v>0.5671500175141555</v>
      </c>
      <c r="M1169" s="76">
        <f t="shared" ca="1" si="1556"/>
        <v>0.25347808785320641</v>
      </c>
      <c r="N1169" s="45">
        <f t="shared" ca="1" si="1556"/>
        <v>0.25</v>
      </c>
      <c r="O1169" s="45">
        <f t="shared" ca="1" si="1556"/>
        <v>0</v>
      </c>
      <c r="P1169" s="46" t="str">
        <f t="shared" ca="1" si="1556"/>
        <v/>
      </c>
      <c r="Q1169" s="243" t="str">
        <f t="shared" ca="1" si="1556"/>
        <v/>
      </c>
      <c r="R1169" s="45">
        <f t="shared" ca="1" si="1488"/>
        <v>0.10859173623069349</v>
      </c>
      <c r="S1169" s="45">
        <f t="shared" ca="1" si="1512"/>
        <v>5.0695617570641283E-2</v>
      </c>
      <c r="T1169" s="77">
        <f t="shared" ca="1" si="1473"/>
        <v>1.9843917491017132E-2</v>
      </c>
      <c r="U1169" s="45">
        <f t="shared" ca="1" si="1489"/>
        <v>16.467004810364415</v>
      </c>
      <c r="V1169" s="45">
        <f t="shared" ca="1" si="1474"/>
        <v>0.20278247028256513</v>
      </c>
      <c r="W1169" s="77">
        <f t="shared" ca="1" si="1475"/>
        <v>9.9388351759835791E-2</v>
      </c>
      <c r="X1169" s="45">
        <f t="shared" ca="1" si="1490"/>
        <v>1.007639189444175</v>
      </c>
      <c r="Y1169" s="45">
        <f t="shared" ca="1" si="1476"/>
        <v>1.2236771370485467E-2</v>
      </c>
      <c r="Z1169" s="77">
        <f t="shared" ca="1" si="1477"/>
        <v>1.3331335244056559E-2</v>
      </c>
      <c r="AA1169" s="45">
        <f t="shared" ca="1" si="1491"/>
        <v>39.204406224933777</v>
      </c>
      <c r="AB1169" s="45">
        <f t="shared" ca="1" si="1478"/>
        <v>0</v>
      </c>
      <c r="AC1169" s="45" cm="1">
        <f t="array" aca="1" ref="AC1169" ca="1">pHUM*(T1169+W1169+Z1169+AD1169)</f>
        <v>1.4396201612335843E-2</v>
      </c>
      <c r="AD1169" s="77">
        <f t="shared" ca="1" si="1479"/>
        <v>1.5819428304405934E-2</v>
      </c>
      <c r="AE1169" s="45">
        <f t="shared" ca="1" si="1492"/>
        <v>6.3847072090583081</v>
      </c>
      <c r="AF1169" s="45">
        <f t="shared" ca="1" si="1480"/>
        <v>0</v>
      </c>
      <c r="AG1169" s="76">
        <f t="shared" ca="1" si="1481"/>
        <v>63.172349170031367</v>
      </c>
      <c r="AH1169" s="45">
        <f t="shared" ca="1" si="1482"/>
        <v>0.12175005981649412</v>
      </c>
      <c r="AI1169" s="77">
        <f t="shared" ca="1" si="1483"/>
        <v>1.0969447660351491E-2</v>
      </c>
      <c r="AJ1169" s="384">
        <f t="shared" ca="1" si="1485"/>
        <v>1.9839515006201403E-2</v>
      </c>
      <c r="AU1169" s="1"/>
    </row>
    <row r="1170" spans="3:47" x14ac:dyDescent="0.25">
      <c r="C1170" s="10">
        <f t="shared" si="1510"/>
        <v>89</v>
      </c>
      <c r="D1170" s="91">
        <f t="shared" si="1493"/>
        <v>12</v>
      </c>
      <c r="E1170" s="278"/>
      <c r="F1170" s="76">
        <f t="shared" ref="F1170:Q1170" ca="1" si="1557">F1098</f>
        <v>3.68</v>
      </c>
      <c r="G1170" s="46">
        <f t="shared" ca="1" si="1557"/>
        <v>27.012600000000003</v>
      </c>
      <c r="H1170" s="46">
        <f t="shared" ref="H1170:H1233" ca="1" si="1558">FC-G1170</f>
        <v>28.517550000000004</v>
      </c>
      <c r="I1170" s="45">
        <f t="shared" ref="I1170:I1233" ca="1" si="1559">PRODUCT(47.91/(1+EXP(106.06/(F1170+18.27))), IF(IF(H1170&lt;=0,1-((1-RM_PWP)*(G1170-FC)/(WSAT-FC)),IF(H1170&lt;=Wat1bar,1,1-((1-RM_PWP)*(H1170-Wat1bar)/(FC-Wat1bar))))&lt;=RM_PWP,RM_PWP,IF(H1170&lt;=0,1-((1-RM_PWP)*(G1170-FC)/(WSAT-FC)),IF(H1170&lt;=Wat1bar,1,1-((1-RM_PWP)*(H1170-Wat1bar)/(FC-Wat1bar))))),0.56+(ATAN(3.14*0.45*(SoilpH-5)))/3.14,EXP(-0.09*SoilSal))</f>
        <v>0.16418562454767627</v>
      </c>
      <c r="J1170" s="45">
        <f t="shared" ref="J1170:J1233" ca="1" si="1560">POWER(((G1170/150)-$J$9),$M$9)*POWER(($L$9-(G1170/150)),$N$9)</f>
        <v>0.27952512346894071</v>
      </c>
      <c r="K1170" s="45">
        <f t="shared" ca="1" si="1487"/>
        <v>0.90345467800480783</v>
      </c>
      <c r="L1170" s="358">
        <f t="shared" ref="L1170:L1233" ca="1" si="1561">1/(1+EXP(-(F1170-3.8)/6.7))+1/(1+EXP((F1170-62.2)/7.1))-1</f>
        <v>0.49525928680467546</v>
      </c>
      <c r="M1170" s="76">
        <f t="shared" ca="1" si="1557"/>
        <v>0.25347808785320641</v>
      </c>
      <c r="N1170" s="45">
        <f t="shared" ca="1" si="1557"/>
        <v>0.25</v>
      </c>
      <c r="O1170" s="45">
        <f t="shared" ca="1" si="1557"/>
        <v>0</v>
      </c>
      <c r="P1170" s="46" t="str">
        <f t="shared" ca="1" si="1557"/>
        <v/>
      </c>
      <c r="Q1170" s="243" t="str">
        <f t="shared" ca="1" si="1557"/>
        <v/>
      </c>
      <c r="R1170" s="45">
        <f t="shared" ca="1" si="1488"/>
        <v>0.13944343631031764</v>
      </c>
      <c r="S1170" s="45">
        <f t="shared" ca="1" si="1512"/>
        <v>5.0695617570641283E-2</v>
      </c>
      <c r="T1170" s="77">
        <f t="shared" ref="T1170:T1233" ca="1" si="1562">R1170*(1-EXP(-kDPM*I1170))</f>
        <v>1.7831187991366577E-2</v>
      </c>
      <c r="U1170" s="45">
        <f t="shared" ca="1" si="1489"/>
        <v>16.570398928887144</v>
      </c>
      <c r="V1170" s="45">
        <f t="shared" ref="V1170:V1233" ca="1" si="1563">M1170*1/(1+N1170)</f>
        <v>0.20278247028256513</v>
      </c>
      <c r="W1170" s="77">
        <f t="shared" ref="W1170:W1233" ca="1" si="1564">U1170*(1-EXP(-kRPM*I1170))</f>
        <v>6.7876133562839225E-2</v>
      </c>
      <c r="X1170" s="45">
        <f t="shared" ca="1" si="1490"/>
        <v>1.0065446255706039</v>
      </c>
      <c r="Y1170" s="45">
        <f t="shared" ref="Y1170:Y1233" ca="1" si="1565">pBIO*(T1170+W1170+Z1170+AD1170)</f>
        <v>8.6988205097910526E-3</v>
      </c>
      <c r="Z1170" s="77">
        <f t="shared" ref="Z1170:Z1233" ca="1" si="1566">X1170*(1-EXP(-kBIO*I1170))</f>
        <v>9.0483927614092765E-3</v>
      </c>
      <c r="AA1170" s="45">
        <f t="shared" ca="1" si="1491"/>
        <v>39.202982998241708</v>
      </c>
      <c r="AB1170" s="45">
        <f t="shared" ref="AB1170:AB1233" ca="1" si="1567">IF(O1170&gt;0,O1170*(1-Q1170)/(1+P1170),0)</f>
        <v>0</v>
      </c>
      <c r="AC1170" s="45" cm="1">
        <f t="array" aca="1" ref="AC1170" ca="1">pHUM*(T1170+W1170+Z1170+AD1170)</f>
        <v>1.0233906482107121E-2</v>
      </c>
      <c r="AD1170" s="77">
        <f t="shared" ref="AD1170:AD1233" ca="1" si="1568">AA1170*(1-EXP(-kHUM*I1170))</f>
        <v>1.0726142780524781E-2</v>
      </c>
      <c r="AE1170" s="45">
        <f t="shared" ca="1" si="1492"/>
        <v>6.3847072090583081</v>
      </c>
      <c r="AF1170" s="45">
        <f t="shared" ref="AF1170:AF1233" ca="1" si="1569">IF(O1170&gt;0,O1170*Q1170,0)</f>
        <v>0</v>
      </c>
      <c r="AG1170" s="76">
        <f t="shared" ref="AG1170:AG1233" ca="1" si="1570">R1170+U1170+X1170+AA1170+AE1170</f>
        <v>63.304077198068079</v>
      </c>
      <c r="AH1170" s="45">
        <f t="shared" ref="AH1170:AH1233" ca="1" si="1571">p_CO2*(T1170+W1170+Z1170+AD1170)</f>
        <v>8.6549130104241687E-2</v>
      </c>
      <c r="AI1170" s="77">
        <f t="shared" ref="AI1170:AI1233" ca="1" si="1572">((kRPM*U1170)+(kDPM*R1170)+(kBIO*X1170)+(kHUM*AA1170))/(U1170+R1170+AA1170+X1170)</f>
        <v>1.1440061552741913E-2</v>
      </c>
      <c r="AJ1170" s="384">
        <f t="shared" ca="1" si="1485"/>
        <v>1.8067998924795603E-2</v>
      </c>
      <c r="AU1170" s="1"/>
    </row>
    <row r="1171" spans="3:47" x14ac:dyDescent="0.25">
      <c r="C1171" s="10">
        <f t="shared" si="1510"/>
        <v>90</v>
      </c>
      <c r="D1171" s="91">
        <f t="shared" si="1493"/>
        <v>1</v>
      </c>
      <c r="E1171" s="278"/>
      <c r="F1171" s="76">
        <f t="shared" ref="F1171:Q1171" si="1573">F1099</f>
        <v>0.85587096774193583</v>
      </c>
      <c r="G1171" s="46">
        <f t="shared" si="1573"/>
        <v>78.439554282868485</v>
      </c>
      <c r="H1171" s="46">
        <f t="shared" si="1558"/>
        <v>-22.909404282868479</v>
      </c>
      <c r="I1171" s="45">
        <f t="shared" si="1559"/>
        <v>0</v>
      </c>
      <c r="J1171" s="45">
        <f t="shared" si="1560"/>
        <v>0.23072180944359474</v>
      </c>
      <c r="K1171" s="45">
        <f t="shared" ca="1" si="1487"/>
        <v>0.74571722023659515</v>
      </c>
      <c r="L1171" s="358">
        <f t="shared" si="1561"/>
        <v>0.39170179323548027</v>
      </c>
      <c r="M1171" s="76">
        <f t="shared" ca="1" si="1573"/>
        <v>0.25347808785320641</v>
      </c>
      <c r="N1171" s="45">
        <f t="shared" ca="1" si="1573"/>
        <v>0.25</v>
      </c>
      <c r="O1171" s="45">
        <f t="shared" ca="1" si="1573"/>
        <v>0</v>
      </c>
      <c r="P1171" s="46" t="str">
        <f t="shared" ca="1" si="1573"/>
        <v/>
      </c>
      <c r="Q1171" s="243" t="str">
        <f t="shared" ca="1" si="1573"/>
        <v/>
      </c>
      <c r="R1171" s="45">
        <f t="shared" ca="1" si="1488"/>
        <v>0.17230786588959235</v>
      </c>
      <c r="S1171" s="45">
        <f t="shared" ca="1" si="1512"/>
        <v>5.0695617570641283E-2</v>
      </c>
      <c r="T1171" s="77">
        <f t="shared" ca="1" si="1562"/>
        <v>0</v>
      </c>
      <c r="U1171" s="45">
        <f t="shared" ca="1" si="1489"/>
        <v>16.705305265606867</v>
      </c>
      <c r="V1171" s="45">
        <f t="shared" ca="1" si="1563"/>
        <v>0.20278247028256513</v>
      </c>
      <c r="W1171" s="77">
        <f t="shared" ca="1" si="1564"/>
        <v>0</v>
      </c>
      <c r="X1171" s="45">
        <f t="shared" ca="1" si="1490"/>
        <v>1.0061950533189856</v>
      </c>
      <c r="Y1171" s="45">
        <f t="shared" ca="1" si="1565"/>
        <v>0</v>
      </c>
      <c r="Z1171" s="77">
        <f t="shared" ca="1" si="1566"/>
        <v>0</v>
      </c>
      <c r="AA1171" s="45">
        <f t="shared" ca="1" si="1491"/>
        <v>39.202490761943288</v>
      </c>
      <c r="AB1171" s="45">
        <f t="shared" ca="1" si="1567"/>
        <v>0</v>
      </c>
      <c r="AC1171" s="45" cm="1">
        <f t="array" aca="1" ref="AC1171" ca="1">pHUM*(T1171+W1171+Z1171+AD1171)</f>
        <v>0</v>
      </c>
      <c r="AD1171" s="77">
        <f t="shared" ca="1" si="1568"/>
        <v>0</v>
      </c>
      <c r="AE1171" s="45">
        <f t="shared" ca="1" si="1492"/>
        <v>6.3847072090583081</v>
      </c>
      <c r="AF1171" s="45">
        <f t="shared" ca="1" si="1569"/>
        <v>0</v>
      </c>
      <c r="AG1171" s="76">
        <f t="shared" ca="1" si="1570"/>
        <v>63.471006155817037</v>
      </c>
      <c r="AH1171" s="45">
        <f t="shared" ca="1" si="1571"/>
        <v>0</v>
      </c>
      <c r="AI1171" s="77">
        <f t="shared" ca="1" si="1572"/>
        <v>1.1945085686028678E-2</v>
      </c>
      <c r="AJ1171" s="384">
        <f t="shared" ref="AJ1171:AJ1234" ca="1" si="1574">(530)*(1-EXP((-$AJ$9*L1171*K1171*AI1171)))</f>
        <v>1.2315840448904325E-2</v>
      </c>
      <c r="AU1171" s="1"/>
    </row>
    <row r="1172" spans="3:47" x14ac:dyDescent="0.25">
      <c r="C1172" s="10">
        <f t="shared" si="1510"/>
        <v>90</v>
      </c>
      <c r="D1172" s="91">
        <f t="shared" si="1493"/>
        <v>2</v>
      </c>
      <c r="E1172" s="278"/>
      <c r="F1172" s="76">
        <f t="shared" ref="F1172:Q1172" si="1575">F1100</f>
        <v>0.91042857142857181</v>
      </c>
      <c r="G1172" s="46">
        <f t="shared" si="1575"/>
        <v>77.312634079068317</v>
      </c>
      <c r="H1172" s="46">
        <f t="shared" si="1558"/>
        <v>-21.782484079068311</v>
      </c>
      <c r="I1172" s="45">
        <f t="shared" si="1559"/>
        <v>0</v>
      </c>
      <c r="J1172" s="45">
        <f t="shared" si="1560"/>
        <v>0.23463537609132465</v>
      </c>
      <c r="K1172" s="45">
        <f t="shared" ref="K1172:K1235" ca="1" si="1576">J1172/$I$15</f>
        <v>0.75836628037006848</v>
      </c>
      <c r="L1172" s="358">
        <f t="shared" si="1561"/>
        <v>0.39364266736760256</v>
      </c>
      <c r="M1172" s="76">
        <f t="shared" ca="1" si="1575"/>
        <v>0.25347808785320641</v>
      </c>
      <c r="N1172" s="45">
        <f t="shared" ca="1" si="1575"/>
        <v>0.25</v>
      </c>
      <c r="O1172" s="45">
        <f t="shared" ca="1" si="1575"/>
        <v>0</v>
      </c>
      <c r="P1172" s="46" t="str">
        <f t="shared" ca="1" si="1575"/>
        <v/>
      </c>
      <c r="Q1172" s="243" t="str">
        <f t="shared" ca="1" si="1575"/>
        <v/>
      </c>
      <c r="R1172" s="45">
        <f t="shared" ref="R1172:R1235" ca="1" si="1577">R1171+S1172-T1171</f>
        <v>0.22300348346023363</v>
      </c>
      <c r="S1172" s="45">
        <f t="shared" ca="1" si="1512"/>
        <v>5.0695617570641283E-2</v>
      </c>
      <c r="T1172" s="77">
        <f t="shared" ca="1" si="1562"/>
        <v>0</v>
      </c>
      <c r="U1172" s="45">
        <f t="shared" ref="U1172:U1235" ca="1" si="1578">U1171+V1172-W1171</f>
        <v>16.908087735889431</v>
      </c>
      <c r="V1172" s="45">
        <f t="shared" ca="1" si="1563"/>
        <v>0.20278247028256513</v>
      </c>
      <c r="W1172" s="77">
        <f t="shared" ca="1" si="1564"/>
        <v>0</v>
      </c>
      <c r="X1172" s="45">
        <f t="shared" ref="X1172:X1235" ca="1" si="1579">X1171+Y1171-Z1171</f>
        <v>1.0061950533189856</v>
      </c>
      <c r="Y1172" s="45">
        <f t="shared" ca="1" si="1565"/>
        <v>0</v>
      </c>
      <c r="Z1172" s="77">
        <f t="shared" ca="1" si="1566"/>
        <v>0</v>
      </c>
      <c r="AA1172" s="45">
        <f t="shared" ref="AA1172:AA1235" ca="1" si="1580">AA1171+AC1171+AB1172-AD1171</f>
        <v>39.202490761943288</v>
      </c>
      <c r="AB1172" s="45">
        <f t="shared" ca="1" si="1567"/>
        <v>0</v>
      </c>
      <c r="AC1172" s="45" cm="1">
        <f t="array" aca="1" ref="AC1172" ca="1">pHUM*(T1172+W1172+Z1172+AD1172)</f>
        <v>0</v>
      </c>
      <c r="AD1172" s="77">
        <f t="shared" ca="1" si="1568"/>
        <v>0</v>
      </c>
      <c r="AE1172" s="45">
        <f t="shared" ref="AE1172:AE1235" ca="1" si="1581">AE1171+AF1172</f>
        <v>6.3847072090583081</v>
      </c>
      <c r="AF1172" s="45">
        <f t="shared" ca="1" si="1569"/>
        <v>0</v>
      </c>
      <c r="AG1172" s="76">
        <f t="shared" ca="1" si="1570"/>
        <v>63.724484243670247</v>
      </c>
      <c r="AH1172" s="45">
        <f t="shared" ca="1" si="1571"/>
        <v>0</v>
      </c>
      <c r="AI1172" s="77">
        <f t="shared" ca="1" si="1572"/>
        <v>1.2717465603497274E-2</v>
      </c>
      <c r="AJ1172" s="384">
        <f t="shared" ca="1" si="1574"/>
        <v>1.3400665307234938E-2</v>
      </c>
      <c r="AU1172" s="1"/>
    </row>
    <row r="1173" spans="3:47" x14ac:dyDescent="0.25">
      <c r="C1173" s="10">
        <f t="shared" si="1510"/>
        <v>90</v>
      </c>
      <c r="D1173" s="91">
        <f t="shared" ref="D1173:D1236" si="1582">IF(D1172+1&lt;13,D1172+1,1)</f>
        <v>3</v>
      </c>
      <c r="E1173" s="278"/>
      <c r="F1173" s="76">
        <f t="shared" ref="F1173:Q1173" si="1583">F1101</f>
        <v>1.7499333333333336</v>
      </c>
      <c r="G1173" s="46">
        <f t="shared" si="1583"/>
        <v>89.127050621045186</v>
      </c>
      <c r="H1173" s="46">
        <f t="shared" si="1558"/>
        <v>-33.596900621045179</v>
      </c>
      <c r="I1173" s="45">
        <f t="shared" si="1559"/>
        <v>0</v>
      </c>
      <c r="J1173" s="45">
        <f t="shared" si="1560"/>
        <v>0.19161115755788954</v>
      </c>
      <c r="K1173" s="45">
        <f t="shared" ca="1" si="1576"/>
        <v>0.61930746869995335</v>
      </c>
      <c r="L1173" s="358">
        <f t="shared" si="1561"/>
        <v>0.42389567243620196</v>
      </c>
      <c r="M1173" s="76">
        <f t="shared" ca="1" si="1583"/>
        <v>0.25347808785320641</v>
      </c>
      <c r="N1173" s="45">
        <f t="shared" ca="1" si="1583"/>
        <v>0.25</v>
      </c>
      <c r="O1173" s="45">
        <f t="shared" ca="1" si="1583"/>
        <v>0</v>
      </c>
      <c r="P1173" s="46" t="str">
        <f t="shared" ca="1" si="1583"/>
        <v/>
      </c>
      <c r="Q1173" s="243" t="str">
        <f t="shared" ca="1" si="1583"/>
        <v/>
      </c>
      <c r="R1173" s="45">
        <f t="shared" ca="1" si="1577"/>
        <v>0.27369910103087491</v>
      </c>
      <c r="S1173" s="45">
        <f t="shared" ca="1" si="1512"/>
        <v>5.0695617570641283E-2</v>
      </c>
      <c r="T1173" s="77">
        <f t="shared" ca="1" si="1562"/>
        <v>0</v>
      </c>
      <c r="U1173" s="45">
        <f t="shared" ca="1" si="1578"/>
        <v>17.110870206171995</v>
      </c>
      <c r="V1173" s="45">
        <f t="shared" ca="1" si="1563"/>
        <v>0.20278247028256513</v>
      </c>
      <c r="W1173" s="77">
        <f t="shared" ca="1" si="1564"/>
        <v>0</v>
      </c>
      <c r="X1173" s="45">
        <f t="shared" ca="1" si="1579"/>
        <v>1.0061950533189856</v>
      </c>
      <c r="Y1173" s="45">
        <f t="shared" ca="1" si="1565"/>
        <v>0</v>
      </c>
      <c r="Z1173" s="77">
        <f t="shared" ca="1" si="1566"/>
        <v>0</v>
      </c>
      <c r="AA1173" s="45">
        <f t="shared" ca="1" si="1580"/>
        <v>39.202490761943288</v>
      </c>
      <c r="AB1173" s="45">
        <f t="shared" ca="1" si="1567"/>
        <v>0</v>
      </c>
      <c r="AC1173" s="45" cm="1">
        <f t="array" aca="1" ref="AC1173" ca="1">pHUM*(T1173+W1173+Z1173+AD1173)</f>
        <v>0</v>
      </c>
      <c r="AD1173" s="77">
        <f t="shared" ca="1" si="1568"/>
        <v>0</v>
      </c>
      <c r="AE1173" s="45">
        <f t="shared" ca="1" si="1581"/>
        <v>6.3847072090583081</v>
      </c>
      <c r="AF1173" s="45">
        <f t="shared" ca="1" si="1569"/>
        <v>0</v>
      </c>
      <c r="AG1173" s="76">
        <f t="shared" ca="1" si="1570"/>
        <v>63.97796233152345</v>
      </c>
      <c r="AH1173" s="45">
        <f t="shared" ca="1" si="1571"/>
        <v>0</v>
      </c>
      <c r="AI1173" s="77">
        <f t="shared" ca="1" si="1572"/>
        <v>1.3483046760098476E-2</v>
      </c>
      <c r="AJ1173" s="384">
        <f t="shared" ca="1" si="1574"/>
        <v>1.2493908496036266E-2</v>
      </c>
      <c r="AU1173" s="1"/>
    </row>
    <row r="1174" spans="3:47" x14ac:dyDescent="0.25">
      <c r="C1174" s="10">
        <f t="shared" si="1510"/>
        <v>90</v>
      </c>
      <c r="D1174" s="91">
        <f t="shared" si="1582"/>
        <v>4</v>
      </c>
      <c r="E1174" s="278"/>
      <c r="F1174" s="76">
        <f t="shared" ref="F1174:Q1174" si="1584">F1102</f>
        <v>5.3144</v>
      </c>
      <c r="G1174" s="46">
        <f t="shared" si="1584"/>
        <v>88.517400984298064</v>
      </c>
      <c r="H1174" s="46">
        <f t="shared" si="1558"/>
        <v>-32.987250984298058</v>
      </c>
      <c r="I1174" s="45">
        <f t="shared" si="1559"/>
        <v>0</v>
      </c>
      <c r="J1174" s="45">
        <f t="shared" si="1560"/>
        <v>0.19391725365845511</v>
      </c>
      <c r="K1174" s="45">
        <f t="shared" ca="1" si="1576"/>
        <v>0.62676101449980381</v>
      </c>
      <c r="L1174" s="358">
        <f t="shared" si="1561"/>
        <v>0.55593677468735669</v>
      </c>
      <c r="M1174" s="76">
        <f t="shared" ca="1" si="1584"/>
        <v>0.25347808785320641</v>
      </c>
      <c r="N1174" s="45">
        <f t="shared" ca="1" si="1584"/>
        <v>0.25</v>
      </c>
      <c r="O1174" s="45">
        <f t="shared" ca="1" si="1584"/>
        <v>0</v>
      </c>
      <c r="P1174" s="46" t="str">
        <f t="shared" ca="1" si="1584"/>
        <v/>
      </c>
      <c r="Q1174" s="243" t="str">
        <f t="shared" ca="1" si="1584"/>
        <v/>
      </c>
      <c r="R1174" s="45">
        <f t="shared" ca="1" si="1577"/>
        <v>0.3243947186015162</v>
      </c>
      <c r="S1174" s="45">
        <f t="shared" ca="1" si="1512"/>
        <v>5.0695617570641283E-2</v>
      </c>
      <c r="T1174" s="77">
        <f t="shared" ca="1" si="1562"/>
        <v>0</v>
      </c>
      <c r="U1174" s="45">
        <f t="shared" ca="1" si="1578"/>
        <v>17.313652676454559</v>
      </c>
      <c r="V1174" s="45">
        <f t="shared" ca="1" si="1563"/>
        <v>0.20278247028256513</v>
      </c>
      <c r="W1174" s="77">
        <f t="shared" ca="1" si="1564"/>
        <v>0</v>
      </c>
      <c r="X1174" s="45">
        <f t="shared" ca="1" si="1579"/>
        <v>1.0061950533189856</v>
      </c>
      <c r="Y1174" s="45">
        <f t="shared" ca="1" si="1565"/>
        <v>0</v>
      </c>
      <c r="Z1174" s="77">
        <f t="shared" ca="1" si="1566"/>
        <v>0</v>
      </c>
      <c r="AA1174" s="45">
        <f t="shared" ca="1" si="1580"/>
        <v>39.202490761943288</v>
      </c>
      <c r="AB1174" s="45">
        <f t="shared" ca="1" si="1567"/>
        <v>0</v>
      </c>
      <c r="AC1174" s="45" cm="1">
        <f t="array" aca="1" ref="AC1174" ca="1">pHUM*(T1174+W1174+Z1174+AD1174)</f>
        <v>0</v>
      </c>
      <c r="AD1174" s="77">
        <f t="shared" ca="1" si="1568"/>
        <v>0</v>
      </c>
      <c r="AE1174" s="45">
        <f t="shared" ca="1" si="1581"/>
        <v>6.3847072090583081</v>
      </c>
      <c r="AF1174" s="45">
        <f t="shared" ca="1" si="1569"/>
        <v>0</v>
      </c>
      <c r="AG1174" s="76">
        <f t="shared" ca="1" si="1570"/>
        <v>64.231440419376653</v>
      </c>
      <c r="AH1174" s="45">
        <f t="shared" ca="1" si="1571"/>
        <v>0</v>
      </c>
      <c r="AI1174" s="77">
        <f t="shared" ca="1" si="1572"/>
        <v>1.4241918530122357E-2</v>
      </c>
      <c r="AJ1174" s="384">
        <f t="shared" ca="1" si="1574"/>
        <v>1.7516155709672576E-2</v>
      </c>
      <c r="AU1174" s="1"/>
    </row>
    <row r="1175" spans="3:47" x14ac:dyDescent="0.25">
      <c r="C1175" s="10">
        <f t="shared" si="1510"/>
        <v>90</v>
      </c>
      <c r="D1175" s="91">
        <f t="shared" si="1582"/>
        <v>5</v>
      </c>
      <c r="E1175" s="278"/>
      <c r="F1175" s="76">
        <f t="shared" ref="F1175:Q1175" si="1585">F1103</f>
        <v>12.662516129032257</v>
      </c>
      <c r="G1175" s="46">
        <f t="shared" si="1585"/>
        <v>89.413014608233681</v>
      </c>
      <c r="H1175" s="46">
        <f t="shared" si="1558"/>
        <v>-33.882864608233675</v>
      </c>
      <c r="I1175" s="45">
        <f t="shared" si="1559"/>
        <v>0</v>
      </c>
      <c r="J1175" s="45">
        <f t="shared" si="1560"/>
        <v>0.19052718077467024</v>
      </c>
      <c r="K1175" s="45">
        <f t="shared" ca="1" si="1576"/>
        <v>0.6158039414194908</v>
      </c>
      <c r="L1175" s="358">
        <f t="shared" si="1561"/>
        <v>0.78870900469063665</v>
      </c>
      <c r="M1175" s="76">
        <f t="shared" ca="1" si="1585"/>
        <v>0.25347808785320641</v>
      </c>
      <c r="N1175" s="45">
        <f t="shared" ca="1" si="1585"/>
        <v>0.25</v>
      </c>
      <c r="O1175" s="45">
        <f t="shared" ca="1" si="1585"/>
        <v>0</v>
      </c>
      <c r="P1175" s="46" t="str">
        <f t="shared" ca="1" si="1585"/>
        <v/>
      </c>
      <c r="Q1175" s="243" t="str">
        <f t="shared" ca="1" si="1585"/>
        <v/>
      </c>
      <c r="R1175" s="45">
        <f t="shared" ca="1" si="1577"/>
        <v>0.37509033617215748</v>
      </c>
      <c r="S1175" s="45">
        <f t="shared" ca="1" si="1512"/>
        <v>5.0695617570641283E-2</v>
      </c>
      <c r="T1175" s="77">
        <f t="shared" ca="1" si="1562"/>
        <v>0</v>
      </c>
      <c r="U1175" s="45">
        <f t="shared" ca="1" si="1578"/>
        <v>17.516435146737123</v>
      </c>
      <c r="V1175" s="45">
        <f t="shared" ca="1" si="1563"/>
        <v>0.20278247028256513</v>
      </c>
      <c r="W1175" s="77">
        <f t="shared" ca="1" si="1564"/>
        <v>0</v>
      </c>
      <c r="X1175" s="45">
        <f t="shared" ca="1" si="1579"/>
        <v>1.0061950533189856</v>
      </c>
      <c r="Y1175" s="45">
        <f t="shared" ca="1" si="1565"/>
        <v>0</v>
      </c>
      <c r="Z1175" s="77">
        <f t="shared" ca="1" si="1566"/>
        <v>0</v>
      </c>
      <c r="AA1175" s="45">
        <f t="shared" ca="1" si="1580"/>
        <v>39.202490761943288</v>
      </c>
      <c r="AB1175" s="45">
        <f t="shared" ca="1" si="1567"/>
        <v>0</v>
      </c>
      <c r="AC1175" s="45" cm="1">
        <f t="array" aca="1" ref="AC1175" ca="1">pHUM*(T1175+W1175+Z1175+AD1175)</f>
        <v>0</v>
      </c>
      <c r="AD1175" s="77">
        <f t="shared" ca="1" si="1568"/>
        <v>0</v>
      </c>
      <c r="AE1175" s="45">
        <f t="shared" ca="1" si="1581"/>
        <v>6.3847072090583081</v>
      </c>
      <c r="AF1175" s="45">
        <f t="shared" ca="1" si="1569"/>
        <v>0</v>
      </c>
      <c r="AG1175" s="76">
        <f t="shared" ca="1" si="1570"/>
        <v>64.484918507229864</v>
      </c>
      <c r="AH1175" s="45">
        <f t="shared" ca="1" si="1571"/>
        <v>0</v>
      </c>
      <c r="AI1175" s="77">
        <f t="shared" ca="1" si="1572"/>
        <v>1.499416872817968E-2</v>
      </c>
      <c r="AJ1175" s="384">
        <f t="shared" ca="1" si="1574"/>
        <v>2.570521400635073E-2</v>
      </c>
      <c r="AU1175" s="1"/>
    </row>
    <row r="1176" spans="3:47" x14ac:dyDescent="0.25">
      <c r="C1176" s="10">
        <f t="shared" si="1510"/>
        <v>90</v>
      </c>
      <c r="D1176" s="91">
        <f t="shared" si="1582"/>
        <v>6</v>
      </c>
      <c r="E1176" s="278"/>
      <c r="F1176" s="76">
        <f t="shared" ref="F1176:Q1176" si="1586">F1104</f>
        <v>17.952400000000004</v>
      </c>
      <c r="G1176" s="46">
        <f t="shared" si="1586"/>
        <v>83.948488098886401</v>
      </c>
      <c r="H1176" s="46">
        <f t="shared" si="1558"/>
        <v>-28.418338098886395</v>
      </c>
      <c r="I1176" s="45">
        <f t="shared" si="1559"/>
        <v>0</v>
      </c>
      <c r="J1176" s="45">
        <f t="shared" si="1560"/>
        <v>0.21095121603234232</v>
      </c>
      <c r="K1176" s="45">
        <f t="shared" ca="1" si="1576"/>
        <v>0.68181657730811884</v>
      </c>
      <c r="L1176" s="358">
        <f t="shared" si="1561"/>
        <v>0.89013124354981255</v>
      </c>
      <c r="M1176" s="76">
        <f t="shared" ca="1" si="1586"/>
        <v>0.25347808785320641</v>
      </c>
      <c r="N1176" s="45">
        <f t="shared" ca="1" si="1586"/>
        <v>0.25</v>
      </c>
      <c r="O1176" s="45">
        <f t="shared" ca="1" si="1586"/>
        <v>0</v>
      </c>
      <c r="P1176" s="46" t="str">
        <f t="shared" ca="1" si="1586"/>
        <v/>
      </c>
      <c r="Q1176" s="243" t="str">
        <f t="shared" ca="1" si="1586"/>
        <v/>
      </c>
      <c r="R1176" s="45">
        <f t="shared" ca="1" si="1577"/>
        <v>0.42578595374279876</v>
      </c>
      <c r="S1176" s="45">
        <f t="shared" ca="1" si="1512"/>
        <v>5.0695617570641283E-2</v>
      </c>
      <c r="T1176" s="77">
        <f t="shared" ca="1" si="1562"/>
        <v>0</v>
      </c>
      <c r="U1176" s="45">
        <f t="shared" ca="1" si="1578"/>
        <v>17.719217617019687</v>
      </c>
      <c r="V1176" s="45">
        <f t="shared" ca="1" si="1563"/>
        <v>0.20278247028256513</v>
      </c>
      <c r="W1176" s="77">
        <f t="shared" ca="1" si="1564"/>
        <v>0</v>
      </c>
      <c r="X1176" s="45">
        <f t="shared" ca="1" si="1579"/>
        <v>1.0061950533189856</v>
      </c>
      <c r="Y1176" s="45">
        <f t="shared" ca="1" si="1565"/>
        <v>0</v>
      </c>
      <c r="Z1176" s="77">
        <f t="shared" ca="1" si="1566"/>
        <v>0</v>
      </c>
      <c r="AA1176" s="45">
        <f t="shared" ca="1" si="1580"/>
        <v>39.202490761943288</v>
      </c>
      <c r="AB1176" s="45">
        <f t="shared" ca="1" si="1567"/>
        <v>0</v>
      </c>
      <c r="AC1176" s="45" cm="1">
        <f t="array" aca="1" ref="AC1176" ca="1">pHUM*(T1176+W1176+Z1176+AD1176)</f>
        <v>0</v>
      </c>
      <c r="AD1176" s="77">
        <f t="shared" ca="1" si="1568"/>
        <v>0</v>
      </c>
      <c r="AE1176" s="45">
        <f t="shared" ca="1" si="1581"/>
        <v>6.3847072090583081</v>
      </c>
      <c r="AF1176" s="45">
        <f t="shared" ca="1" si="1569"/>
        <v>0</v>
      </c>
      <c r="AG1176" s="76">
        <f t="shared" ca="1" si="1570"/>
        <v>64.738396595083074</v>
      </c>
      <c r="AH1176" s="45">
        <f t="shared" ca="1" si="1571"/>
        <v>0</v>
      </c>
      <c r="AI1176" s="77">
        <f t="shared" ca="1" si="1572"/>
        <v>1.5739883643076779E-2</v>
      </c>
      <c r="AJ1176" s="384">
        <f t="shared" ca="1" si="1574"/>
        <v>3.3717813376207273E-2</v>
      </c>
      <c r="AU1176" s="1"/>
    </row>
    <row r="1177" spans="3:47" x14ac:dyDescent="0.25">
      <c r="C1177" s="10">
        <f t="shared" si="1510"/>
        <v>90</v>
      </c>
      <c r="D1177" s="91">
        <f t="shared" si="1582"/>
        <v>7</v>
      </c>
      <c r="E1177" s="278"/>
      <c r="F1177" s="76">
        <f t="shared" ref="F1177:Q1177" si="1587">F1105</f>
        <v>21.363032258064525</v>
      </c>
      <c r="G1177" s="46">
        <f t="shared" si="1587"/>
        <v>73.679575814389409</v>
      </c>
      <c r="H1177" s="46">
        <f t="shared" si="1558"/>
        <v>-18.149425814389403</v>
      </c>
      <c r="I1177" s="45">
        <f t="shared" si="1559"/>
        <v>0</v>
      </c>
      <c r="J1177" s="45">
        <f t="shared" si="1560"/>
        <v>0.2468878570948656</v>
      </c>
      <c r="K1177" s="45">
        <f t="shared" ca="1" si="1576"/>
        <v>0.79796759113040194</v>
      </c>
      <c r="L1177" s="358">
        <f t="shared" si="1561"/>
        <v>0.92905557700722019</v>
      </c>
      <c r="M1177" s="76">
        <f t="shared" ca="1" si="1587"/>
        <v>0.25347808785320641</v>
      </c>
      <c r="N1177" s="45">
        <f t="shared" ca="1" si="1587"/>
        <v>0.25</v>
      </c>
      <c r="O1177" s="45">
        <f t="shared" ca="1" si="1587"/>
        <v>0</v>
      </c>
      <c r="P1177" s="46" t="str">
        <f t="shared" ca="1" si="1587"/>
        <v/>
      </c>
      <c r="Q1177" s="243" t="str">
        <f t="shared" ca="1" si="1587"/>
        <v/>
      </c>
      <c r="R1177" s="45">
        <f t="shared" ca="1" si="1577"/>
        <v>0.47648157131344004</v>
      </c>
      <c r="S1177" s="45">
        <f t="shared" ca="1" si="1512"/>
        <v>5.0695617570641283E-2</v>
      </c>
      <c r="T1177" s="77">
        <f t="shared" ca="1" si="1562"/>
        <v>0</v>
      </c>
      <c r="U1177" s="45">
        <f t="shared" ca="1" si="1578"/>
        <v>17.922000087302251</v>
      </c>
      <c r="V1177" s="45">
        <f t="shared" ca="1" si="1563"/>
        <v>0.20278247028256513</v>
      </c>
      <c r="W1177" s="77">
        <f t="shared" ca="1" si="1564"/>
        <v>0</v>
      </c>
      <c r="X1177" s="45">
        <f t="shared" ca="1" si="1579"/>
        <v>1.0061950533189856</v>
      </c>
      <c r="Y1177" s="45">
        <f t="shared" ca="1" si="1565"/>
        <v>0</v>
      </c>
      <c r="Z1177" s="77">
        <f t="shared" ca="1" si="1566"/>
        <v>0</v>
      </c>
      <c r="AA1177" s="45">
        <f t="shared" ca="1" si="1580"/>
        <v>39.202490761943288</v>
      </c>
      <c r="AB1177" s="45">
        <f t="shared" ca="1" si="1567"/>
        <v>0</v>
      </c>
      <c r="AC1177" s="45" cm="1">
        <f t="array" aca="1" ref="AC1177" ca="1">pHUM*(T1177+W1177+Z1177+AD1177)</f>
        <v>0</v>
      </c>
      <c r="AD1177" s="77">
        <f t="shared" ca="1" si="1568"/>
        <v>0</v>
      </c>
      <c r="AE1177" s="45">
        <f t="shared" ca="1" si="1581"/>
        <v>6.3847072090583081</v>
      </c>
      <c r="AF1177" s="45">
        <f t="shared" ca="1" si="1569"/>
        <v>0</v>
      </c>
      <c r="AG1177" s="76">
        <f t="shared" ca="1" si="1570"/>
        <v>64.99187468293627</v>
      </c>
      <c r="AH1177" s="45">
        <f t="shared" ca="1" si="1571"/>
        <v>0</v>
      </c>
      <c r="AI1177" s="77">
        <f t="shared" ca="1" si="1572"/>
        <v>1.6479148070811335E-2</v>
      </c>
      <c r="AJ1177" s="384">
        <f t="shared" ca="1" si="1574"/>
        <v>4.3121527315042041E-2</v>
      </c>
      <c r="AU1177" s="1"/>
    </row>
    <row r="1178" spans="3:47" x14ac:dyDescent="0.25">
      <c r="C1178" s="10">
        <f t="shared" si="1510"/>
        <v>90</v>
      </c>
      <c r="D1178" s="91">
        <f t="shared" si="1582"/>
        <v>8</v>
      </c>
      <c r="E1178" s="278"/>
      <c r="F1178" s="76">
        <f t="shared" ref="F1178:Q1178" si="1588">F1106</f>
        <v>21.84690322580645</v>
      </c>
      <c r="G1178" s="46">
        <f t="shared" si="1588"/>
        <v>71.917724933598876</v>
      </c>
      <c r="H1178" s="46">
        <f t="shared" si="1558"/>
        <v>-16.38757493359887</v>
      </c>
      <c r="I1178" s="45">
        <f t="shared" si="1559"/>
        <v>0</v>
      </c>
      <c r="J1178" s="45">
        <f t="shared" si="1560"/>
        <v>0.25260629061506468</v>
      </c>
      <c r="K1178" s="45">
        <f t="shared" ca="1" si="1576"/>
        <v>0.81645017133846476</v>
      </c>
      <c r="L1178" s="358">
        <f t="shared" si="1561"/>
        <v>0.93325603418156189</v>
      </c>
      <c r="M1178" s="76">
        <f t="shared" ca="1" si="1588"/>
        <v>0.25347808785320641</v>
      </c>
      <c r="N1178" s="45">
        <f t="shared" ca="1" si="1588"/>
        <v>0.25</v>
      </c>
      <c r="O1178" s="45">
        <f t="shared" ca="1" si="1588"/>
        <v>0</v>
      </c>
      <c r="P1178" s="46" t="str">
        <f t="shared" ca="1" si="1588"/>
        <v/>
      </c>
      <c r="Q1178" s="243" t="str">
        <f t="shared" ca="1" si="1588"/>
        <v/>
      </c>
      <c r="R1178" s="45">
        <f t="shared" ca="1" si="1577"/>
        <v>0.52717718888408127</v>
      </c>
      <c r="S1178" s="45">
        <f t="shared" ca="1" si="1512"/>
        <v>5.0695617570641283E-2</v>
      </c>
      <c r="T1178" s="77">
        <f t="shared" ca="1" si="1562"/>
        <v>0</v>
      </c>
      <c r="U1178" s="45">
        <f t="shared" ca="1" si="1578"/>
        <v>18.124782557584815</v>
      </c>
      <c r="V1178" s="45">
        <f t="shared" ca="1" si="1563"/>
        <v>0.20278247028256513</v>
      </c>
      <c r="W1178" s="77">
        <f t="shared" ca="1" si="1564"/>
        <v>0</v>
      </c>
      <c r="X1178" s="45">
        <f t="shared" ca="1" si="1579"/>
        <v>1.0061950533189856</v>
      </c>
      <c r="Y1178" s="45">
        <f t="shared" ca="1" si="1565"/>
        <v>0</v>
      </c>
      <c r="Z1178" s="77">
        <f t="shared" ca="1" si="1566"/>
        <v>0</v>
      </c>
      <c r="AA1178" s="45">
        <f t="shared" ca="1" si="1580"/>
        <v>39.202490761943288</v>
      </c>
      <c r="AB1178" s="45">
        <f t="shared" ca="1" si="1567"/>
        <v>0</v>
      </c>
      <c r="AC1178" s="45" cm="1">
        <f t="array" aca="1" ref="AC1178" ca="1">pHUM*(T1178+W1178+Z1178+AD1178)</f>
        <v>0</v>
      </c>
      <c r="AD1178" s="77">
        <f t="shared" ca="1" si="1568"/>
        <v>0</v>
      </c>
      <c r="AE1178" s="45">
        <f t="shared" ca="1" si="1581"/>
        <v>6.3847072090583081</v>
      </c>
      <c r="AF1178" s="45">
        <f t="shared" ca="1" si="1569"/>
        <v>0</v>
      </c>
      <c r="AG1178" s="76">
        <f t="shared" ca="1" si="1570"/>
        <v>65.245352770789481</v>
      </c>
      <c r="AH1178" s="45">
        <f t="shared" ca="1" si="1571"/>
        <v>0</v>
      </c>
      <c r="AI1178" s="77">
        <f t="shared" ca="1" si="1572"/>
        <v>1.7212045346715599E-2</v>
      </c>
      <c r="AJ1178" s="384">
        <f t="shared" ca="1" si="1574"/>
        <v>4.6290738032124246E-2</v>
      </c>
      <c r="AU1178" s="1"/>
    </row>
    <row r="1179" spans="3:47" x14ac:dyDescent="0.25">
      <c r="C1179" s="10">
        <f t="shared" si="1510"/>
        <v>90</v>
      </c>
      <c r="D1179" s="91">
        <f t="shared" si="1582"/>
        <v>9</v>
      </c>
      <c r="E1179" s="278"/>
      <c r="F1179" s="76">
        <f t="shared" ref="F1179:Q1179" si="1589">F1107</f>
        <v>19.915099999999999</v>
      </c>
      <c r="G1179" s="46">
        <f t="shared" si="1589"/>
        <v>90.121120170480822</v>
      </c>
      <c r="H1179" s="46">
        <f t="shared" si="1558"/>
        <v>-34.590970170480816</v>
      </c>
      <c r="I1179" s="45">
        <f t="shared" si="1559"/>
        <v>0</v>
      </c>
      <c r="J1179" s="45">
        <f t="shared" si="1560"/>
        <v>0.18783711693191202</v>
      </c>
      <c r="K1179" s="45">
        <f t="shared" ca="1" si="1576"/>
        <v>0.60710937138331467</v>
      </c>
      <c r="L1179" s="358">
        <f t="shared" si="1561"/>
        <v>0.91464137695305081</v>
      </c>
      <c r="M1179" s="76">
        <f t="shared" ca="1" si="1589"/>
        <v>0.25347808785320641</v>
      </c>
      <c r="N1179" s="45">
        <f t="shared" ca="1" si="1589"/>
        <v>0.25</v>
      </c>
      <c r="O1179" s="45">
        <f t="shared" ca="1" si="1589"/>
        <v>0</v>
      </c>
      <c r="P1179" s="46" t="str">
        <f t="shared" ca="1" si="1589"/>
        <v/>
      </c>
      <c r="Q1179" s="243" t="str">
        <f t="shared" ca="1" si="1589"/>
        <v/>
      </c>
      <c r="R1179" s="45">
        <f t="shared" ca="1" si="1577"/>
        <v>0.5778728064547225</v>
      </c>
      <c r="S1179" s="45">
        <f t="shared" ca="1" si="1512"/>
        <v>5.0695617570641283E-2</v>
      </c>
      <c r="T1179" s="77">
        <f t="shared" ca="1" si="1562"/>
        <v>0</v>
      </c>
      <c r="U1179" s="45">
        <f t="shared" ca="1" si="1578"/>
        <v>18.327565027867379</v>
      </c>
      <c r="V1179" s="45">
        <f t="shared" ca="1" si="1563"/>
        <v>0.20278247028256513</v>
      </c>
      <c r="W1179" s="77">
        <f t="shared" ca="1" si="1564"/>
        <v>0</v>
      </c>
      <c r="X1179" s="45">
        <f t="shared" ca="1" si="1579"/>
        <v>1.0061950533189856</v>
      </c>
      <c r="Y1179" s="45">
        <f t="shared" ca="1" si="1565"/>
        <v>0</v>
      </c>
      <c r="Z1179" s="77">
        <f t="shared" ca="1" si="1566"/>
        <v>0</v>
      </c>
      <c r="AA1179" s="45">
        <f t="shared" ca="1" si="1580"/>
        <v>39.202490761943288</v>
      </c>
      <c r="AB1179" s="45">
        <f t="shared" ca="1" si="1567"/>
        <v>0</v>
      </c>
      <c r="AC1179" s="45" cm="1">
        <f t="array" aca="1" ref="AC1179" ca="1">pHUM*(T1179+W1179+Z1179+AD1179)</f>
        <v>0</v>
      </c>
      <c r="AD1179" s="77">
        <f t="shared" ca="1" si="1568"/>
        <v>0</v>
      </c>
      <c r="AE1179" s="45">
        <f t="shared" ca="1" si="1581"/>
        <v>6.3847072090583081</v>
      </c>
      <c r="AF1179" s="45">
        <f t="shared" ca="1" si="1569"/>
        <v>0</v>
      </c>
      <c r="AG1179" s="76">
        <f t="shared" ca="1" si="1570"/>
        <v>65.498830858642677</v>
      </c>
      <c r="AH1179" s="45">
        <f t="shared" ca="1" si="1571"/>
        <v>0</v>
      </c>
      <c r="AI1179" s="77">
        <f t="shared" ca="1" si="1572"/>
        <v>1.793865737677269E-2</v>
      </c>
      <c r="AJ1179" s="384">
        <f t="shared" ca="1" si="1574"/>
        <v>3.5159558190169804E-2</v>
      </c>
      <c r="AU1179" s="1"/>
    </row>
    <row r="1180" spans="3:47" x14ac:dyDescent="0.25">
      <c r="C1180" s="10">
        <f t="shared" si="1510"/>
        <v>90</v>
      </c>
      <c r="D1180" s="91">
        <f t="shared" si="1582"/>
        <v>10</v>
      </c>
      <c r="E1180" s="278"/>
      <c r="F1180" s="76">
        <f t="shared" ref="F1180:Q1180" si="1590">F1108</f>
        <v>16.404967741935486</v>
      </c>
      <c r="G1180" s="46">
        <f t="shared" si="1590"/>
        <v>93.270963763991602</v>
      </c>
      <c r="H1180" s="46">
        <f t="shared" si="1558"/>
        <v>-37.740813763991596</v>
      </c>
      <c r="I1180" s="45">
        <f t="shared" si="1559"/>
        <v>0</v>
      </c>
      <c r="J1180" s="45">
        <f t="shared" si="1560"/>
        <v>0.1757835150476853</v>
      </c>
      <c r="K1180" s="45">
        <f t="shared" ca="1" si="1576"/>
        <v>0.56815085891056294</v>
      </c>
      <c r="L1180" s="358">
        <f t="shared" si="1561"/>
        <v>0.86618676922472848</v>
      </c>
      <c r="M1180" s="76">
        <f t="shared" ca="1" si="1590"/>
        <v>0.25347808785320641</v>
      </c>
      <c r="N1180" s="45">
        <f t="shared" ca="1" si="1590"/>
        <v>0.25</v>
      </c>
      <c r="O1180" s="45">
        <f t="shared" ca="1" si="1590"/>
        <v>0</v>
      </c>
      <c r="P1180" s="46" t="str">
        <f t="shared" ca="1" si="1590"/>
        <v/>
      </c>
      <c r="Q1180" s="243" t="str">
        <f t="shared" ca="1" si="1590"/>
        <v/>
      </c>
      <c r="R1180" s="45">
        <f t="shared" ca="1" si="1577"/>
        <v>0.62856842402536373</v>
      </c>
      <c r="S1180" s="45">
        <f t="shared" ca="1" si="1512"/>
        <v>5.0695617570641283E-2</v>
      </c>
      <c r="T1180" s="77">
        <f t="shared" ca="1" si="1562"/>
        <v>0</v>
      </c>
      <c r="U1180" s="45">
        <f t="shared" ca="1" si="1578"/>
        <v>18.530347498149943</v>
      </c>
      <c r="V1180" s="45">
        <f t="shared" ca="1" si="1563"/>
        <v>0.20278247028256513</v>
      </c>
      <c r="W1180" s="77">
        <f t="shared" ca="1" si="1564"/>
        <v>0</v>
      </c>
      <c r="X1180" s="45">
        <f t="shared" ca="1" si="1579"/>
        <v>1.0061950533189856</v>
      </c>
      <c r="Y1180" s="45">
        <f t="shared" ca="1" si="1565"/>
        <v>0</v>
      </c>
      <c r="Z1180" s="77">
        <f t="shared" ca="1" si="1566"/>
        <v>0</v>
      </c>
      <c r="AA1180" s="45">
        <f t="shared" ca="1" si="1580"/>
        <v>39.202490761943288</v>
      </c>
      <c r="AB1180" s="45">
        <f t="shared" ca="1" si="1567"/>
        <v>0</v>
      </c>
      <c r="AC1180" s="45" cm="1">
        <f t="array" aca="1" ref="AC1180" ca="1">pHUM*(T1180+W1180+Z1180+AD1180)</f>
        <v>0</v>
      </c>
      <c r="AD1180" s="77">
        <f t="shared" ca="1" si="1568"/>
        <v>0</v>
      </c>
      <c r="AE1180" s="45">
        <f t="shared" ca="1" si="1581"/>
        <v>6.3847072090583081</v>
      </c>
      <c r="AF1180" s="45">
        <f t="shared" ca="1" si="1569"/>
        <v>0</v>
      </c>
      <c r="AG1180" s="76">
        <f t="shared" ca="1" si="1570"/>
        <v>65.752308946495887</v>
      </c>
      <c r="AH1180" s="45">
        <f t="shared" ca="1" si="1571"/>
        <v>0</v>
      </c>
      <c r="AI1180" s="77">
        <f t="shared" ca="1" si="1572"/>
        <v>1.8659064668130561E-2</v>
      </c>
      <c r="AJ1180" s="384">
        <f t="shared" ca="1" si="1574"/>
        <v>3.2411706840616006E-2</v>
      </c>
      <c r="AU1180" s="1"/>
    </row>
    <row r="1181" spans="3:47" x14ac:dyDescent="0.25">
      <c r="C1181" s="10">
        <f t="shared" si="1510"/>
        <v>90</v>
      </c>
      <c r="D1181" s="91">
        <f t="shared" si="1582"/>
        <v>11</v>
      </c>
      <c r="E1181" s="278"/>
      <c r="F1181" s="76">
        <f t="shared" ref="F1181:Q1181" si="1591">F1109</f>
        <v>8.5982333333333347</v>
      </c>
      <c r="G1181" s="46">
        <f t="shared" si="1591"/>
        <v>93.768190396309464</v>
      </c>
      <c r="H1181" s="46">
        <f t="shared" si="1558"/>
        <v>-38.238040396309458</v>
      </c>
      <c r="I1181" s="45">
        <f t="shared" si="1559"/>
        <v>0</v>
      </c>
      <c r="J1181" s="45">
        <f t="shared" si="1560"/>
        <v>0.17386998013358751</v>
      </c>
      <c r="K1181" s="45">
        <f t="shared" ca="1" si="1576"/>
        <v>0.56196611226520721</v>
      </c>
      <c r="L1181" s="358">
        <f t="shared" si="1561"/>
        <v>0.6712335176859634</v>
      </c>
      <c r="M1181" s="76">
        <f t="shared" ca="1" si="1591"/>
        <v>0.25347808785320641</v>
      </c>
      <c r="N1181" s="45">
        <f t="shared" ca="1" si="1591"/>
        <v>0.25</v>
      </c>
      <c r="O1181" s="45">
        <f t="shared" ca="1" si="1591"/>
        <v>0</v>
      </c>
      <c r="P1181" s="46" t="str">
        <f t="shared" ca="1" si="1591"/>
        <v/>
      </c>
      <c r="Q1181" s="243" t="str">
        <f t="shared" ca="1" si="1591"/>
        <v/>
      </c>
      <c r="R1181" s="45">
        <f t="shared" ca="1" si="1577"/>
        <v>0.67926404159600495</v>
      </c>
      <c r="S1181" s="45">
        <f t="shared" ca="1" si="1512"/>
        <v>5.0695617570641283E-2</v>
      </c>
      <c r="T1181" s="77">
        <f t="shared" ca="1" si="1562"/>
        <v>0</v>
      </c>
      <c r="U1181" s="45">
        <f t="shared" ca="1" si="1578"/>
        <v>18.733129968432507</v>
      </c>
      <c r="V1181" s="45">
        <f t="shared" ca="1" si="1563"/>
        <v>0.20278247028256513</v>
      </c>
      <c r="W1181" s="77">
        <f t="shared" ca="1" si="1564"/>
        <v>0</v>
      </c>
      <c r="X1181" s="45">
        <f t="shared" ca="1" si="1579"/>
        <v>1.0061950533189856</v>
      </c>
      <c r="Y1181" s="45">
        <f t="shared" ca="1" si="1565"/>
        <v>0</v>
      </c>
      <c r="Z1181" s="77">
        <f t="shared" ca="1" si="1566"/>
        <v>0</v>
      </c>
      <c r="AA1181" s="45">
        <f t="shared" ca="1" si="1580"/>
        <v>39.202490761943288</v>
      </c>
      <c r="AB1181" s="45">
        <f t="shared" ca="1" si="1567"/>
        <v>0</v>
      </c>
      <c r="AC1181" s="45" cm="1">
        <f t="array" aca="1" ref="AC1181" ca="1">pHUM*(T1181+W1181+Z1181+AD1181)</f>
        <v>0</v>
      </c>
      <c r="AD1181" s="77">
        <f t="shared" ca="1" si="1568"/>
        <v>0</v>
      </c>
      <c r="AE1181" s="45">
        <f t="shared" ca="1" si="1581"/>
        <v>6.3847072090583081</v>
      </c>
      <c r="AF1181" s="45">
        <f t="shared" ca="1" si="1569"/>
        <v>0</v>
      </c>
      <c r="AG1181" s="76">
        <f t="shared" ca="1" si="1570"/>
        <v>66.005787034349098</v>
      </c>
      <c r="AH1181" s="45">
        <f t="shared" ca="1" si="1571"/>
        <v>0</v>
      </c>
      <c r="AI1181" s="77">
        <f t="shared" ca="1" si="1572"/>
        <v>1.9373346358837657E-2</v>
      </c>
      <c r="AJ1181" s="384">
        <f t="shared" ca="1" si="1574"/>
        <v>2.5794548780698756E-2</v>
      </c>
      <c r="AU1181" s="1"/>
    </row>
    <row r="1182" spans="3:47" x14ac:dyDescent="0.25">
      <c r="C1182" s="10">
        <f t="shared" si="1510"/>
        <v>90</v>
      </c>
      <c r="D1182" s="91">
        <f t="shared" si="1582"/>
        <v>12</v>
      </c>
      <c r="E1182" s="278"/>
      <c r="F1182" s="76">
        <f t="shared" ref="F1182:Q1182" si="1592">F1110</f>
        <v>5.8543548387096775</v>
      </c>
      <c r="G1182" s="46">
        <f t="shared" si="1592"/>
        <v>92.353978821555827</v>
      </c>
      <c r="H1182" s="46">
        <f t="shared" si="1558"/>
        <v>-36.823828821555821</v>
      </c>
      <c r="I1182" s="45">
        <f t="shared" si="1559"/>
        <v>0</v>
      </c>
      <c r="J1182" s="45">
        <f t="shared" si="1560"/>
        <v>0.17930557122010893</v>
      </c>
      <c r="K1182" s="45">
        <f t="shared" ca="1" si="1576"/>
        <v>0.57953451589882432</v>
      </c>
      <c r="L1182" s="358">
        <f t="shared" si="1561"/>
        <v>0.57570255434605899</v>
      </c>
      <c r="M1182" s="76">
        <f t="shared" ca="1" si="1592"/>
        <v>0.25347808785320641</v>
      </c>
      <c r="N1182" s="45">
        <f t="shared" ca="1" si="1592"/>
        <v>0.25</v>
      </c>
      <c r="O1182" s="45">
        <f t="shared" ca="1" si="1592"/>
        <v>0</v>
      </c>
      <c r="P1182" s="46" t="str">
        <f t="shared" ca="1" si="1592"/>
        <v/>
      </c>
      <c r="Q1182" s="243" t="str">
        <f t="shared" ca="1" si="1592"/>
        <v/>
      </c>
      <c r="R1182" s="45">
        <f t="shared" ca="1" si="1577"/>
        <v>0.72995965916664618</v>
      </c>
      <c r="S1182" s="45">
        <f t="shared" ca="1" si="1512"/>
        <v>5.0695617570641283E-2</v>
      </c>
      <c r="T1182" s="77">
        <f t="shared" ca="1" si="1562"/>
        <v>0</v>
      </c>
      <c r="U1182" s="45">
        <f t="shared" ca="1" si="1578"/>
        <v>18.935912438715071</v>
      </c>
      <c r="V1182" s="45">
        <f t="shared" ca="1" si="1563"/>
        <v>0.20278247028256513</v>
      </c>
      <c r="W1182" s="77">
        <f t="shared" ca="1" si="1564"/>
        <v>0</v>
      </c>
      <c r="X1182" s="45">
        <f t="shared" ca="1" si="1579"/>
        <v>1.0061950533189856</v>
      </c>
      <c r="Y1182" s="45">
        <f t="shared" ca="1" si="1565"/>
        <v>0</v>
      </c>
      <c r="Z1182" s="77">
        <f t="shared" ca="1" si="1566"/>
        <v>0</v>
      </c>
      <c r="AA1182" s="45">
        <f t="shared" ca="1" si="1580"/>
        <v>39.202490761943288</v>
      </c>
      <c r="AB1182" s="45">
        <f t="shared" ca="1" si="1567"/>
        <v>0</v>
      </c>
      <c r="AC1182" s="45" cm="1">
        <f t="array" aca="1" ref="AC1182" ca="1">pHUM*(T1182+W1182+Z1182+AD1182)</f>
        <v>0</v>
      </c>
      <c r="AD1182" s="77">
        <f t="shared" ca="1" si="1568"/>
        <v>0</v>
      </c>
      <c r="AE1182" s="45">
        <f t="shared" ca="1" si="1581"/>
        <v>6.3847072090583081</v>
      </c>
      <c r="AF1182" s="45">
        <f t="shared" ca="1" si="1569"/>
        <v>0</v>
      </c>
      <c r="AG1182" s="76">
        <f t="shared" ca="1" si="1570"/>
        <v>66.259265122202294</v>
      </c>
      <c r="AH1182" s="45">
        <f t="shared" ca="1" si="1571"/>
        <v>0</v>
      </c>
      <c r="AI1182" s="77">
        <f t="shared" ca="1" si="1572"/>
        <v>2.0081580246823216E-2</v>
      </c>
      <c r="AJ1182" s="384">
        <f t="shared" ca="1" si="1574"/>
        <v>2.364916206415546E-2</v>
      </c>
      <c r="AU1182" s="1"/>
    </row>
    <row r="1183" spans="3:47" x14ac:dyDescent="0.25">
      <c r="C1183" s="10">
        <f t="shared" si="1510"/>
        <v>91</v>
      </c>
      <c r="D1183" s="91">
        <f t="shared" si="1582"/>
        <v>1</v>
      </c>
      <c r="E1183" s="278"/>
      <c r="F1183" s="76">
        <f t="shared" ref="F1183:Q1183" si="1593">F1111</f>
        <v>2.2624333333333326</v>
      </c>
      <c r="G1183" s="46">
        <f t="shared" si="1593"/>
        <v>87.461548542671366</v>
      </c>
      <c r="H1183" s="46">
        <f t="shared" si="1558"/>
        <v>-31.93139854267136</v>
      </c>
      <c r="I1183" s="45">
        <f t="shared" si="1559"/>
        <v>0</v>
      </c>
      <c r="J1183" s="45">
        <f t="shared" si="1560"/>
        <v>0.19789456043296222</v>
      </c>
      <c r="K1183" s="45">
        <f t="shared" ca="1" si="1576"/>
        <v>0.63961608944510806</v>
      </c>
      <c r="L1183" s="358">
        <f t="shared" si="1561"/>
        <v>0.44266298791276926</v>
      </c>
      <c r="M1183" s="76">
        <f t="shared" ca="1" si="1593"/>
        <v>0.25347808785320641</v>
      </c>
      <c r="N1183" s="45">
        <f t="shared" ca="1" si="1593"/>
        <v>0.25</v>
      </c>
      <c r="O1183" s="45">
        <f t="shared" ca="1" si="1593"/>
        <v>0</v>
      </c>
      <c r="P1183" s="46" t="str">
        <f t="shared" ca="1" si="1593"/>
        <v/>
      </c>
      <c r="Q1183" s="243" t="str">
        <f t="shared" ca="1" si="1593"/>
        <v/>
      </c>
      <c r="R1183" s="45">
        <f t="shared" ca="1" si="1577"/>
        <v>0.78065527673728741</v>
      </c>
      <c r="S1183" s="45">
        <f t="shared" ca="1" si="1512"/>
        <v>5.0695617570641283E-2</v>
      </c>
      <c r="T1183" s="77">
        <f t="shared" ca="1" si="1562"/>
        <v>0</v>
      </c>
      <c r="U1183" s="45">
        <f t="shared" ca="1" si="1578"/>
        <v>19.138694908997635</v>
      </c>
      <c r="V1183" s="45">
        <f t="shared" ca="1" si="1563"/>
        <v>0.20278247028256513</v>
      </c>
      <c r="W1183" s="77">
        <f t="shared" ca="1" si="1564"/>
        <v>0</v>
      </c>
      <c r="X1183" s="45">
        <f t="shared" ca="1" si="1579"/>
        <v>1.0061950533189856</v>
      </c>
      <c r="Y1183" s="45">
        <f t="shared" ca="1" si="1565"/>
        <v>0</v>
      </c>
      <c r="Z1183" s="77">
        <f t="shared" ca="1" si="1566"/>
        <v>0</v>
      </c>
      <c r="AA1183" s="45">
        <f t="shared" ca="1" si="1580"/>
        <v>39.202490761943288</v>
      </c>
      <c r="AB1183" s="45">
        <f t="shared" ca="1" si="1567"/>
        <v>0</v>
      </c>
      <c r="AC1183" s="45" cm="1">
        <f t="array" aca="1" ref="AC1183" ca="1">pHUM*(T1183+W1183+Z1183+AD1183)</f>
        <v>0</v>
      </c>
      <c r="AD1183" s="77">
        <f t="shared" ca="1" si="1568"/>
        <v>0</v>
      </c>
      <c r="AE1183" s="45">
        <f t="shared" ca="1" si="1581"/>
        <v>6.3847072090583081</v>
      </c>
      <c r="AF1183" s="45">
        <f t="shared" ca="1" si="1569"/>
        <v>0</v>
      </c>
      <c r="AG1183" s="76">
        <f t="shared" ca="1" si="1570"/>
        <v>66.512743210055504</v>
      </c>
      <c r="AH1183" s="45">
        <f t="shared" ca="1" si="1571"/>
        <v>0</v>
      </c>
      <c r="AI1183" s="77">
        <f t="shared" ca="1" si="1572"/>
        <v>2.0783842818144566E-2</v>
      </c>
      <c r="AJ1183" s="384">
        <f t="shared" ca="1" si="1574"/>
        <v>2.0771125449291494E-2</v>
      </c>
      <c r="AU1183" s="1"/>
    </row>
    <row r="1184" spans="3:47" x14ac:dyDescent="0.25">
      <c r="C1184" s="10">
        <f t="shared" si="1510"/>
        <v>91</v>
      </c>
      <c r="D1184" s="91">
        <f t="shared" si="1582"/>
        <v>2</v>
      </c>
      <c r="E1184" s="278"/>
      <c r="F1184" s="76">
        <f t="shared" ref="F1184:Q1184" si="1594">F1112</f>
        <v>1.5363448275862068</v>
      </c>
      <c r="G1184" s="46">
        <f t="shared" si="1594"/>
        <v>89.651029216467379</v>
      </c>
      <c r="H1184" s="46">
        <f t="shared" si="1558"/>
        <v>-34.120879216467372</v>
      </c>
      <c r="I1184" s="45">
        <f t="shared" si="1559"/>
        <v>0</v>
      </c>
      <c r="J1184" s="45">
        <f t="shared" si="1560"/>
        <v>0.18962389606700991</v>
      </c>
      <c r="K1184" s="45">
        <f t="shared" ca="1" si="1576"/>
        <v>0.61288442998317227</v>
      </c>
      <c r="L1184" s="358">
        <f t="shared" si="1561"/>
        <v>0.41613501220093307</v>
      </c>
      <c r="M1184" s="76">
        <f t="shared" ca="1" si="1594"/>
        <v>0.25347808785320641</v>
      </c>
      <c r="N1184" s="45">
        <f t="shared" ca="1" si="1594"/>
        <v>0.25</v>
      </c>
      <c r="O1184" s="45">
        <f t="shared" ca="1" si="1594"/>
        <v>0</v>
      </c>
      <c r="P1184" s="46" t="str">
        <f t="shared" ca="1" si="1594"/>
        <v/>
      </c>
      <c r="Q1184" s="243" t="str">
        <f t="shared" ca="1" si="1594"/>
        <v/>
      </c>
      <c r="R1184" s="45">
        <f t="shared" ca="1" si="1577"/>
        <v>0.83135089430792863</v>
      </c>
      <c r="S1184" s="45">
        <f t="shared" ca="1" si="1512"/>
        <v>5.0695617570641283E-2</v>
      </c>
      <c r="T1184" s="77">
        <f t="shared" ca="1" si="1562"/>
        <v>0</v>
      </c>
      <c r="U1184" s="45">
        <f t="shared" ca="1" si="1578"/>
        <v>19.3414773792802</v>
      </c>
      <c r="V1184" s="45">
        <f t="shared" ca="1" si="1563"/>
        <v>0.20278247028256513</v>
      </c>
      <c r="W1184" s="77">
        <f t="shared" ca="1" si="1564"/>
        <v>0</v>
      </c>
      <c r="X1184" s="45">
        <f t="shared" ca="1" si="1579"/>
        <v>1.0061950533189856</v>
      </c>
      <c r="Y1184" s="45">
        <f t="shared" ca="1" si="1565"/>
        <v>0</v>
      </c>
      <c r="Z1184" s="77">
        <f t="shared" ca="1" si="1566"/>
        <v>0</v>
      </c>
      <c r="AA1184" s="45">
        <f t="shared" ca="1" si="1580"/>
        <v>39.202490761943288</v>
      </c>
      <c r="AB1184" s="45">
        <f t="shared" ca="1" si="1567"/>
        <v>0</v>
      </c>
      <c r="AC1184" s="45" cm="1">
        <f t="array" aca="1" ref="AC1184" ca="1">pHUM*(T1184+W1184+Z1184+AD1184)</f>
        <v>0</v>
      </c>
      <c r="AD1184" s="77">
        <f t="shared" ca="1" si="1568"/>
        <v>0</v>
      </c>
      <c r="AE1184" s="45">
        <f t="shared" ca="1" si="1581"/>
        <v>6.3847072090583081</v>
      </c>
      <c r="AF1184" s="45">
        <f t="shared" ca="1" si="1569"/>
        <v>0</v>
      </c>
      <c r="AG1184" s="76">
        <f t="shared" ca="1" si="1570"/>
        <v>66.766221297908714</v>
      </c>
      <c r="AH1184" s="45">
        <f t="shared" ca="1" si="1571"/>
        <v>0</v>
      </c>
      <c r="AI1184" s="77">
        <f t="shared" ca="1" si="1572"/>
        <v>2.1480209274522939E-2</v>
      </c>
      <c r="AJ1184" s="384">
        <f t="shared" ca="1" si="1574"/>
        <v>1.9337197374033055E-2</v>
      </c>
      <c r="AU1184" s="1"/>
    </row>
    <row r="1185" spans="3:47" x14ac:dyDescent="0.25">
      <c r="C1185" s="10">
        <f t="shared" si="1510"/>
        <v>91</v>
      </c>
      <c r="D1185" s="91">
        <f t="shared" si="1582"/>
        <v>3</v>
      </c>
      <c r="E1185" s="278"/>
      <c r="F1185" s="76">
        <f t="shared" ref="F1185:Q1185" ca="1" si="1595">F1113</f>
        <v>-0.57999999999999996</v>
      </c>
      <c r="G1185" s="46">
        <f t="shared" ca="1" si="1595"/>
        <v>55.530150000000006</v>
      </c>
      <c r="H1185" s="46">
        <f t="shared" ca="1" si="1558"/>
        <v>0</v>
      </c>
      <c r="I1185" s="45">
        <f t="shared" ca="1" si="1559"/>
        <v>8.1834107856600266E-2</v>
      </c>
      <c r="J1185" s="45">
        <f t="shared" ca="1" si="1560"/>
        <v>0.29595601705647312</v>
      </c>
      <c r="K1185" s="45">
        <f t="shared" ca="1" si="1576"/>
        <v>0.95656105889548582</v>
      </c>
      <c r="L1185" s="358">
        <f t="shared" ca="1" si="1561"/>
        <v>0.34200470507454295</v>
      </c>
      <c r="M1185" s="76">
        <f t="shared" ca="1" si="1595"/>
        <v>0.25347808785320641</v>
      </c>
      <c r="N1185" s="45">
        <f t="shared" ca="1" si="1595"/>
        <v>0.25</v>
      </c>
      <c r="O1185" s="45">
        <f t="shared" ca="1" si="1595"/>
        <v>0</v>
      </c>
      <c r="P1185" s="46" t="str">
        <f t="shared" ca="1" si="1595"/>
        <v/>
      </c>
      <c r="Q1185" s="243" t="str">
        <f t="shared" ca="1" si="1595"/>
        <v/>
      </c>
      <c r="R1185" s="45">
        <f t="shared" ca="1" si="1577"/>
        <v>0.88204651187856986</v>
      </c>
      <c r="S1185" s="45">
        <f t="shared" ca="1" si="1512"/>
        <v>5.0695617570641283E-2</v>
      </c>
      <c r="T1185" s="77">
        <f t="shared" ca="1" si="1562"/>
        <v>5.8146070292331417E-2</v>
      </c>
      <c r="U1185" s="45">
        <f t="shared" ca="1" si="1578"/>
        <v>19.544259849562764</v>
      </c>
      <c r="V1185" s="45">
        <f t="shared" ca="1" si="1563"/>
        <v>0.20278247028256513</v>
      </c>
      <c r="W1185" s="77">
        <f t="shared" ca="1" si="1564"/>
        <v>3.9943803211800806E-2</v>
      </c>
      <c r="X1185" s="45">
        <f t="shared" ca="1" si="1579"/>
        <v>1.0061950533189856</v>
      </c>
      <c r="Y1185" s="45">
        <f t="shared" ca="1" si="1565"/>
        <v>8.9027682408255732E-3</v>
      </c>
      <c r="Z1185" s="77">
        <f t="shared" ca="1" si="1566"/>
        <v>4.5185826804033683E-3</v>
      </c>
      <c r="AA1185" s="45">
        <f t="shared" ca="1" si="1580"/>
        <v>39.202490761943288</v>
      </c>
      <c r="AB1185" s="45">
        <f t="shared" ca="1" si="1567"/>
        <v>0</v>
      </c>
      <c r="AC1185" s="45" cm="1">
        <f t="array" aca="1" ref="AC1185" ca="1">pHUM*(T1185+W1185+Z1185+AD1185)</f>
        <v>1.0473844989206556E-2</v>
      </c>
      <c r="AD1185" s="77">
        <f t="shared" ca="1" si="1568"/>
        <v>5.3464701508018344E-3</v>
      </c>
      <c r="AE1185" s="45">
        <f t="shared" ca="1" si="1581"/>
        <v>6.3847072090583081</v>
      </c>
      <c r="AF1185" s="45">
        <f t="shared" ca="1" si="1569"/>
        <v>0</v>
      </c>
      <c r="AG1185" s="76">
        <f t="shared" ca="1" si="1570"/>
        <v>67.019699385761911</v>
      </c>
      <c r="AH1185" s="45">
        <f t="shared" ca="1" si="1571"/>
        <v>8.8578313105305312E-2</v>
      </c>
      <c r="AI1185" s="77">
        <f t="shared" ca="1" si="1572"/>
        <v>2.2170753560188619E-2</v>
      </c>
      <c r="AJ1185" s="384">
        <f t="shared" ca="1" si="1574"/>
        <v>2.5601466412034091E-2</v>
      </c>
      <c r="AU1185" s="1"/>
    </row>
    <row r="1186" spans="3:47" x14ac:dyDescent="0.25">
      <c r="C1186" s="10">
        <f t="shared" si="1510"/>
        <v>91</v>
      </c>
      <c r="D1186" s="91">
        <f t="shared" si="1582"/>
        <v>4</v>
      </c>
      <c r="E1186" s="278"/>
      <c r="F1186" s="76">
        <f t="shared" ref="F1186:Q1186" ca="1" si="1596">F1114</f>
        <v>7.18</v>
      </c>
      <c r="G1186" s="46">
        <f t="shared" ca="1" si="1596"/>
        <v>29.828585295978598</v>
      </c>
      <c r="H1186" s="46">
        <f t="shared" ca="1" si="1558"/>
        <v>25.701564704021408</v>
      </c>
      <c r="I1186" s="45">
        <f t="shared" ca="1" si="1559"/>
        <v>0.34975431431902781</v>
      </c>
      <c r="J1186" s="45">
        <f t="shared" ca="1" si="1560"/>
        <v>0.29147915612483932</v>
      </c>
      <c r="K1186" s="45">
        <f t="shared" ca="1" si="1576"/>
        <v>0.94209137223094908</v>
      </c>
      <c r="L1186" s="358">
        <f t="shared" ca="1" si="1561"/>
        <v>0.62308014794471589</v>
      </c>
      <c r="M1186" s="76">
        <f t="shared" ca="1" si="1596"/>
        <v>0.25347808785320641</v>
      </c>
      <c r="N1186" s="45">
        <f t="shared" ca="1" si="1596"/>
        <v>0.25</v>
      </c>
      <c r="O1186" s="45">
        <f t="shared" ca="1" si="1596"/>
        <v>0</v>
      </c>
      <c r="P1186" s="46" t="str">
        <f t="shared" ca="1" si="1596"/>
        <v/>
      </c>
      <c r="Q1186" s="243" t="str">
        <f t="shared" ca="1" si="1596"/>
        <v/>
      </c>
      <c r="R1186" s="45">
        <f t="shared" ca="1" si="1577"/>
        <v>0.87459605915687966</v>
      </c>
      <c r="S1186" s="45">
        <f t="shared" ca="1" si="1512"/>
        <v>5.0695617570641283E-2</v>
      </c>
      <c r="T1186" s="77">
        <f t="shared" ca="1" si="1562"/>
        <v>0.22112372029543051</v>
      </c>
      <c r="U1186" s="45">
        <f t="shared" ca="1" si="1578"/>
        <v>19.707098516633526</v>
      </c>
      <c r="V1186" s="45">
        <f t="shared" ca="1" si="1563"/>
        <v>0.20278247028256513</v>
      </c>
      <c r="W1186" s="77">
        <f t="shared" ca="1" si="1564"/>
        <v>0.17156490556649132</v>
      </c>
      <c r="X1186" s="45">
        <f t="shared" ca="1" si="1579"/>
        <v>1.0105792388794079</v>
      </c>
      <c r="Y1186" s="45">
        <f t="shared" ca="1" si="1565"/>
        <v>3.5856127131214777E-2</v>
      </c>
      <c r="Z1186" s="77">
        <f t="shared" ca="1" si="1566"/>
        <v>1.9254209269944166E-2</v>
      </c>
      <c r="AA1186" s="45">
        <f t="shared" ca="1" si="1580"/>
        <v>39.20761813678169</v>
      </c>
      <c r="AB1186" s="45">
        <f t="shared" ca="1" si="1567"/>
        <v>0</v>
      </c>
      <c r="AC1186" s="45" cm="1">
        <f t="array" aca="1" ref="AC1186" ca="1">pHUM*(T1186+W1186+Z1186+AD1186)</f>
        <v>4.2183678977899736E-2</v>
      </c>
      <c r="AD1186" s="77">
        <f t="shared" ca="1" si="1568"/>
        <v>2.2848395911326164E-2</v>
      </c>
      <c r="AE1186" s="45">
        <f t="shared" ca="1" si="1581"/>
        <v>6.3847072090583081</v>
      </c>
      <c r="AF1186" s="45">
        <f t="shared" ca="1" si="1569"/>
        <v>0</v>
      </c>
      <c r="AG1186" s="76">
        <f t="shared" ca="1" si="1570"/>
        <v>67.184599160509805</v>
      </c>
      <c r="AH1186" s="45">
        <f t="shared" ca="1" si="1571"/>
        <v>0.35675142493407763</v>
      </c>
      <c r="AI1186" s="77">
        <f t="shared" ca="1" si="1572"/>
        <v>2.2079568852712839E-2</v>
      </c>
      <c r="AJ1186" s="384">
        <f t="shared" ca="1" si="1574"/>
        <v>4.5746606629500919E-2</v>
      </c>
      <c r="AU1186" s="1"/>
    </row>
    <row r="1187" spans="3:47" x14ac:dyDescent="0.25">
      <c r="C1187" s="10">
        <f t="shared" si="1510"/>
        <v>91</v>
      </c>
      <c r="D1187" s="91">
        <f t="shared" si="1582"/>
        <v>5</v>
      </c>
      <c r="E1187" s="278"/>
      <c r="F1187" s="76">
        <f t="shared" ref="F1187:Q1187" ca="1" si="1597">F1115</f>
        <v>14.05</v>
      </c>
      <c r="G1187" s="46">
        <f t="shared" ca="1" si="1597"/>
        <v>27.012600000000003</v>
      </c>
      <c r="H1187" s="46">
        <f t="shared" ca="1" si="1558"/>
        <v>28.517550000000004</v>
      </c>
      <c r="I1187" s="45">
        <f t="shared" ca="1" si="1559"/>
        <v>0.75173784437395219</v>
      </c>
      <c r="J1187" s="45">
        <f t="shared" ca="1" si="1560"/>
        <v>0.27952512346894071</v>
      </c>
      <c r="K1187" s="45">
        <f t="shared" ca="1" si="1576"/>
        <v>0.90345467800480783</v>
      </c>
      <c r="L1187" s="358">
        <f t="shared" ca="1" si="1561"/>
        <v>0.82085140481213359</v>
      </c>
      <c r="M1187" s="76">
        <f t="shared" ca="1" si="1597"/>
        <v>0.25347808785320641</v>
      </c>
      <c r="N1187" s="45">
        <f t="shared" ca="1" si="1597"/>
        <v>0.25</v>
      </c>
      <c r="O1187" s="45">
        <f t="shared" ca="1" si="1597"/>
        <v>0</v>
      </c>
      <c r="P1187" s="46" t="str">
        <f t="shared" ca="1" si="1597"/>
        <v/>
      </c>
      <c r="Q1187" s="243" t="str">
        <f t="shared" ca="1" si="1597"/>
        <v/>
      </c>
      <c r="R1187" s="45">
        <f t="shared" ca="1" si="1577"/>
        <v>0.70416795643209051</v>
      </c>
      <c r="S1187" s="45">
        <f t="shared" ca="1" si="1512"/>
        <v>5.0695617570641283E-2</v>
      </c>
      <c r="T1187" s="77">
        <f t="shared" ca="1" si="1562"/>
        <v>0.32779946324687731</v>
      </c>
      <c r="U1187" s="45">
        <f t="shared" ca="1" si="1578"/>
        <v>19.738316081349598</v>
      </c>
      <c r="V1187" s="45">
        <f t="shared" ca="1" si="1563"/>
        <v>0.20278247028256513</v>
      </c>
      <c r="W1187" s="77">
        <f t="shared" ca="1" si="1564"/>
        <v>0.36748698998513107</v>
      </c>
      <c r="X1187" s="45">
        <f t="shared" ca="1" si="1579"/>
        <v>1.0271811567406786</v>
      </c>
      <c r="Y1187" s="45">
        <f t="shared" ca="1" si="1565"/>
        <v>6.481994927743838E-2</v>
      </c>
      <c r="Z1187" s="77">
        <f t="shared" ca="1" si="1566"/>
        <v>4.1603417001435355E-2</v>
      </c>
      <c r="AA1187" s="45">
        <f t="shared" ca="1" si="1580"/>
        <v>39.226953419848265</v>
      </c>
      <c r="AB1187" s="45">
        <f t="shared" ca="1" si="1567"/>
        <v>0</v>
      </c>
      <c r="AC1187" s="45" cm="1">
        <f t="array" aca="1" ref="AC1187" ca="1">pHUM*(T1187+W1187+Z1187+AD1187)</f>
        <v>7.6258763855809861E-2</v>
      </c>
      <c r="AD1187" s="77">
        <f t="shared" ca="1" si="1568"/>
        <v>4.9116533619349707E-2</v>
      </c>
      <c r="AE1187" s="45">
        <f t="shared" ca="1" si="1581"/>
        <v>6.3847072090583081</v>
      </c>
      <c r="AF1187" s="45">
        <f t="shared" ca="1" si="1569"/>
        <v>0</v>
      </c>
      <c r="AG1187" s="76">
        <f t="shared" ca="1" si="1570"/>
        <v>67.081325823428941</v>
      </c>
      <c r="AH1187" s="45">
        <f t="shared" ca="1" si="1571"/>
        <v>0.64492769071954537</v>
      </c>
      <c r="AI1187" s="77">
        <f t="shared" ca="1" si="1572"/>
        <v>1.9805679116195109E-2</v>
      </c>
      <c r="AJ1187" s="384">
        <f t="shared" ca="1" si="1574"/>
        <v>5.1842926893695962E-2</v>
      </c>
      <c r="AU1187" s="1"/>
    </row>
    <row r="1188" spans="3:47" x14ac:dyDescent="0.25">
      <c r="C1188" s="10">
        <f t="shared" si="1510"/>
        <v>91</v>
      </c>
      <c r="D1188" s="91">
        <f t="shared" si="1582"/>
        <v>6</v>
      </c>
      <c r="E1188" s="278"/>
      <c r="F1188" s="76">
        <f t="shared" ref="F1188:Q1188" ca="1" si="1598">F1116</f>
        <v>17.96</v>
      </c>
      <c r="G1188" s="46">
        <f t="shared" ca="1" si="1598"/>
        <v>27.012600000000003</v>
      </c>
      <c r="H1188" s="46">
        <f t="shared" ca="1" si="1558"/>
        <v>28.517550000000004</v>
      </c>
      <c r="I1188" s="45">
        <f t="shared" ca="1" si="1559"/>
        <v>1.0549705763362276</v>
      </c>
      <c r="J1188" s="45">
        <f t="shared" ca="1" si="1560"/>
        <v>0.27952512346894071</v>
      </c>
      <c r="K1188" s="45">
        <f t="shared" ca="1" si="1576"/>
        <v>0.90345467800480783</v>
      </c>
      <c r="L1188" s="358">
        <f t="shared" ca="1" si="1561"/>
        <v>0.89023829243059249</v>
      </c>
      <c r="M1188" s="76">
        <f t="shared" ca="1" si="1598"/>
        <v>0.25347808785320641</v>
      </c>
      <c r="N1188" s="45">
        <f t="shared" ca="1" si="1598"/>
        <v>0.25</v>
      </c>
      <c r="O1188" s="45">
        <f t="shared" ca="1" si="1598"/>
        <v>0</v>
      </c>
      <c r="P1188" s="46" t="str">
        <f t="shared" ca="1" si="1598"/>
        <v/>
      </c>
      <c r="Q1188" s="243" t="str">
        <f t="shared" ca="1" si="1598"/>
        <v/>
      </c>
      <c r="R1188" s="45">
        <f t="shared" ca="1" si="1577"/>
        <v>0.42706411075585454</v>
      </c>
      <c r="S1188" s="45">
        <f t="shared" ca="1" si="1512"/>
        <v>5.0695617570641283E-2</v>
      </c>
      <c r="T1188" s="77">
        <f t="shared" ca="1" si="1562"/>
        <v>0.24977319108169391</v>
      </c>
      <c r="U1188" s="45">
        <f t="shared" ca="1" si="1578"/>
        <v>19.573611561647031</v>
      </c>
      <c r="V1188" s="45">
        <f t="shared" ca="1" si="1563"/>
        <v>0.20278247028256513</v>
      </c>
      <c r="W1188" s="77">
        <f t="shared" ca="1" si="1564"/>
        <v>0.50949134379684746</v>
      </c>
      <c r="X1188" s="45">
        <f t="shared" ca="1" si="1579"/>
        <v>1.0503976890166815</v>
      </c>
      <c r="Y1188" s="45">
        <f t="shared" ca="1" si="1565"/>
        <v>7.3184663762787747E-2</v>
      </c>
      <c r="Z1188" s="77">
        <f t="shared" ca="1" si="1566"/>
        <v>5.9213140837555682E-2</v>
      </c>
      <c r="AA1188" s="45">
        <f t="shared" ca="1" si="1580"/>
        <v>39.254095650084729</v>
      </c>
      <c r="AB1188" s="45">
        <f t="shared" ca="1" si="1567"/>
        <v>0</v>
      </c>
      <c r="AC1188" s="45" cm="1">
        <f t="array" aca="1" ref="AC1188" ca="1">pHUM*(T1188+W1188+Z1188+AD1188)</f>
        <v>8.6099604426809112E-2</v>
      </c>
      <c r="AD1188" s="77">
        <f t="shared" ca="1" si="1568"/>
        <v>6.8959217132362069E-2</v>
      </c>
      <c r="AE1188" s="45">
        <f t="shared" ca="1" si="1581"/>
        <v>6.3847072090583081</v>
      </c>
      <c r="AF1188" s="45">
        <f t="shared" ca="1" si="1569"/>
        <v>0</v>
      </c>
      <c r="AG1188" s="76">
        <f t="shared" ca="1" si="1570"/>
        <v>66.689876220562596</v>
      </c>
      <c r="AH1188" s="45">
        <f t="shared" ca="1" si="1571"/>
        <v>0.72815262465886244</v>
      </c>
      <c r="AI1188" s="77">
        <f t="shared" ca="1" si="1572"/>
        <v>1.6058696617958279E-2</v>
      </c>
      <c r="AJ1188" s="384">
        <f t="shared" ca="1" si="1574"/>
        <v>4.5588400544783747E-2</v>
      </c>
      <c r="AU1188" s="1"/>
    </row>
    <row r="1189" spans="3:47" x14ac:dyDescent="0.25">
      <c r="C1189" s="10">
        <f t="shared" ref="C1189:C1252" si="1599">IF(D1189=1,C1188+1,C1188)</f>
        <v>91</v>
      </c>
      <c r="D1189" s="91">
        <f t="shared" si="1582"/>
        <v>7</v>
      </c>
      <c r="E1189" s="278"/>
      <c r="F1189" s="76">
        <f t="shared" ref="F1189:Q1189" ca="1" si="1600">F1117</f>
        <v>21.89</v>
      </c>
      <c r="G1189" s="46">
        <f t="shared" ca="1" si="1600"/>
        <v>27.012600000000003</v>
      </c>
      <c r="H1189" s="46">
        <f t="shared" ca="1" si="1558"/>
        <v>28.517550000000004</v>
      </c>
      <c r="I1189" s="45">
        <f t="shared" ca="1" si="1559"/>
        <v>1.3816368002949853</v>
      </c>
      <c r="J1189" s="45">
        <f t="shared" ca="1" si="1560"/>
        <v>0.27952512346894071</v>
      </c>
      <c r="K1189" s="45">
        <f t="shared" ca="1" si="1576"/>
        <v>0.90345467800480783</v>
      </c>
      <c r="L1189" s="358">
        <f t="shared" ca="1" si="1561"/>
        <v>0.9336160920992449</v>
      </c>
      <c r="M1189" s="76">
        <f t="shared" ca="1" si="1600"/>
        <v>0.25347808785320641</v>
      </c>
      <c r="N1189" s="45">
        <f t="shared" ca="1" si="1600"/>
        <v>0.25</v>
      </c>
      <c r="O1189" s="45">
        <f t="shared" ca="1" si="1600"/>
        <v>0</v>
      </c>
      <c r="P1189" s="46" t="str">
        <f t="shared" ca="1" si="1600"/>
        <v/>
      </c>
      <c r="Q1189" s="243" t="str">
        <f t="shared" ca="1" si="1600"/>
        <v/>
      </c>
      <c r="R1189" s="45">
        <f t="shared" ca="1" si="1577"/>
        <v>0.22798653724480192</v>
      </c>
      <c r="S1189" s="45">
        <f t="shared" ref="S1189:S1252" ca="1" si="1601">M1189*N1189/(1+N1189) +   IF(O1189&gt;0,O1189*P1189*(1-Q1189)/(1+P1189),0)</f>
        <v>5.0695617570641283E-2</v>
      </c>
      <c r="T1189" s="77">
        <f t="shared" ca="1" si="1562"/>
        <v>0.15589601521205412</v>
      </c>
      <c r="U1189" s="45">
        <f t="shared" ca="1" si="1578"/>
        <v>19.266902688132749</v>
      </c>
      <c r="V1189" s="45">
        <f t="shared" ca="1" si="1563"/>
        <v>0.20278247028256513</v>
      </c>
      <c r="W1189" s="77">
        <f t="shared" ca="1" si="1564"/>
        <v>0.65413430945595652</v>
      </c>
      <c r="X1189" s="45">
        <f t="shared" ca="1" si="1579"/>
        <v>1.0643692119419137</v>
      </c>
      <c r="Y1189" s="45">
        <f t="shared" ca="1" si="1565"/>
        <v>8.0673129686575834E-2</v>
      </c>
      <c r="Z1189" s="77">
        <f t="shared" ca="1" si="1566"/>
        <v>7.7884735447264972E-2</v>
      </c>
      <c r="AA1189" s="45">
        <f t="shared" ca="1" si="1580"/>
        <v>39.271236037379175</v>
      </c>
      <c r="AB1189" s="45">
        <f t="shared" ca="1" si="1567"/>
        <v>0</v>
      </c>
      <c r="AC1189" s="45" cm="1">
        <f t="array" aca="1" ref="AC1189" ca="1">pHUM*(T1189+W1189+Z1189+AD1189)</f>
        <v>9.4909564337148034E-2</v>
      </c>
      <c r="AD1189" s="77">
        <f t="shared" ca="1" si="1568"/>
        <v>9.0326935741488146E-2</v>
      </c>
      <c r="AE1189" s="45">
        <f t="shared" ca="1" si="1581"/>
        <v>6.3847072090583081</v>
      </c>
      <c r="AF1189" s="45">
        <f t="shared" ca="1" si="1569"/>
        <v>0</v>
      </c>
      <c r="AG1189" s="76">
        <f t="shared" ca="1" si="1570"/>
        <v>66.215201683756945</v>
      </c>
      <c r="AH1189" s="45">
        <f t="shared" ca="1" si="1571"/>
        <v>0.8026593018330398</v>
      </c>
      <c r="AI1189" s="77">
        <f t="shared" ca="1" si="1572"/>
        <v>1.329846463656132E-2</v>
      </c>
      <c r="AJ1189" s="384">
        <f t="shared" ca="1" si="1574"/>
        <v>3.959224053743382E-2</v>
      </c>
      <c r="AU1189" s="1"/>
    </row>
    <row r="1190" spans="3:47" x14ac:dyDescent="0.25">
      <c r="C1190" s="10">
        <f t="shared" si="1599"/>
        <v>91</v>
      </c>
      <c r="D1190" s="91">
        <f t="shared" si="1582"/>
        <v>8</v>
      </c>
      <c r="E1190" s="278"/>
      <c r="F1190" s="76">
        <f t="shared" ref="F1190:Q1190" ca="1" si="1602">F1118</f>
        <v>20.350000000000001</v>
      </c>
      <c r="G1190" s="46">
        <f t="shared" ca="1" si="1602"/>
        <v>27.012600000000003</v>
      </c>
      <c r="H1190" s="46">
        <f t="shared" ca="1" si="1558"/>
        <v>28.517550000000004</v>
      </c>
      <c r="I1190" s="45">
        <f t="shared" ca="1" si="1559"/>
        <v>1.2518642054104028</v>
      </c>
      <c r="J1190" s="45">
        <f t="shared" ca="1" si="1560"/>
        <v>0.27952512346894071</v>
      </c>
      <c r="K1190" s="45">
        <f t="shared" ca="1" si="1576"/>
        <v>0.90345467800480783</v>
      </c>
      <c r="L1190" s="358">
        <f t="shared" ca="1" si="1561"/>
        <v>0.91927514332007565</v>
      </c>
      <c r="M1190" s="76">
        <f t="shared" ca="1" si="1602"/>
        <v>0.25347808785320641</v>
      </c>
      <c r="N1190" s="45">
        <f t="shared" ca="1" si="1602"/>
        <v>0.25</v>
      </c>
      <c r="O1190" s="45">
        <f t="shared" ca="1" si="1602"/>
        <v>0</v>
      </c>
      <c r="P1190" s="46" t="str">
        <f t="shared" ca="1" si="1602"/>
        <v/>
      </c>
      <c r="Q1190" s="243" t="str">
        <f t="shared" ca="1" si="1602"/>
        <v/>
      </c>
      <c r="R1190" s="45">
        <f t="shared" ca="1" si="1577"/>
        <v>0.12278613960338911</v>
      </c>
      <c r="S1190" s="45">
        <f t="shared" ca="1" si="1601"/>
        <v>5.0695617570641283E-2</v>
      </c>
      <c r="T1190" s="77">
        <f t="shared" ca="1" si="1562"/>
        <v>7.9526332198068456E-2</v>
      </c>
      <c r="U1190" s="45">
        <f t="shared" ca="1" si="1578"/>
        <v>18.815550848959358</v>
      </c>
      <c r="V1190" s="45">
        <f t="shared" ca="1" si="1563"/>
        <v>0.20278247028256513</v>
      </c>
      <c r="W1190" s="77">
        <f t="shared" ca="1" si="1564"/>
        <v>0.57974354323916311</v>
      </c>
      <c r="X1190" s="45">
        <f t="shared" ca="1" si="1579"/>
        <v>1.0671576061812247</v>
      </c>
      <c r="Y1190" s="45">
        <f t="shared" ca="1" si="1565"/>
        <v>6.6974720430584625E-2</v>
      </c>
      <c r="Z1190" s="77">
        <f t="shared" ca="1" si="1566"/>
        <v>7.1004049842681133E-2</v>
      </c>
      <c r="AA1190" s="45">
        <f t="shared" ca="1" si="1580"/>
        <v>39.275818665974839</v>
      </c>
      <c r="AB1190" s="45">
        <f t="shared" ca="1" si="1567"/>
        <v>0</v>
      </c>
      <c r="AC1190" s="45" cm="1">
        <f t="array" aca="1" ref="AC1190" ca="1">pHUM*(T1190+W1190+Z1190+AD1190)</f>
        <v>7.8793788741864268E-2</v>
      </c>
      <c r="AD1190" s="77">
        <f t="shared" ca="1" si="1568"/>
        <v>8.1861223567127731E-2</v>
      </c>
      <c r="AE1190" s="45">
        <f t="shared" ca="1" si="1581"/>
        <v>6.3847072090583081</v>
      </c>
      <c r="AF1190" s="45">
        <f t="shared" ca="1" si="1569"/>
        <v>0</v>
      </c>
      <c r="AG1190" s="76">
        <f t="shared" ca="1" si="1570"/>
        <v>65.666020469777123</v>
      </c>
      <c r="AH1190" s="45">
        <f t="shared" ca="1" si="1571"/>
        <v>0.66636663967459175</v>
      </c>
      <c r="AI1190" s="77">
        <f t="shared" ca="1" si="1572"/>
        <v>1.1755203824156147E-2</v>
      </c>
      <c r="AJ1190" s="384">
        <f t="shared" ca="1" si="1574"/>
        <v>3.4460218877219173E-2</v>
      </c>
      <c r="AU1190" s="1"/>
    </row>
    <row r="1191" spans="3:47" x14ac:dyDescent="0.25">
      <c r="C1191" s="10">
        <f t="shared" si="1599"/>
        <v>91</v>
      </c>
      <c r="D1191" s="91">
        <f t="shared" si="1582"/>
        <v>9</v>
      </c>
      <c r="E1191" s="278"/>
      <c r="F1191" s="76">
        <f t="shared" ref="F1191:Q1191" ca="1" si="1603">F1119</f>
        <v>17.38</v>
      </c>
      <c r="G1191" s="46">
        <f t="shared" ca="1" si="1603"/>
        <v>27.012600000000003</v>
      </c>
      <c r="H1191" s="46">
        <f t="shared" ca="1" si="1558"/>
        <v>28.517550000000004</v>
      </c>
      <c r="I1191" s="45">
        <f t="shared" ca="1" si="1559"/>
        <v>1.0082864185928893</v>
      </c>
      <c r="J1191" s="45">
        <f t="shared" ca="1" si="1560"/>
        <v>0.27952512346894071</v>
      </c>
      <c r="K1191" s="45">
        <f t="shared" ca="1" si="1576"/>
        <v>0.90345467800480783</v>
      </c>
      <c r="L1191" s="358">
        <f t="shared" ca="1" si="1561"/>
        <v>0.88177917719725518</v>
      </c>
      <c r="M1191" s="76">
        <f t="shared" ca="1" si="1603"/>
        <v>0.25347808785320641</v>
      </c>
      <c r="N1191" s="45">
        <f t="shared" ca="1" si="1603"/>
        <v>0.25</v>
      </c>
      <c r="O1191" s="45">
        <f t="shared" ca="1" si="1603"/>
        <v>0</v>
      </c>
      <c r="P1191" s="46" t="str">
        <f t="shared" ca="1" si="1603"/>
        <v/>
      </c>
      <c r="Q1191" s="243" t="str">
        <f t="shared" ca="1" si="1603"/>
        <v/>
      </c>
      <c r="R1191" s="45">
        <f t="shared" ca="1" si="1577"/>
        <v>9.3955424975961932E-2</v>
      </c>
      <c r="S1191" s="45">
        <f t="shared" ca="1" si="1601"/>
        <v>5.0695617570641283E-2</v>
      </c>
      <c r="T1191" s="77">
        <f t="shared" ca="1" si="1562"/>
        <v>5.340355944267039E-2</v>
      </c>
      <c r="U1191" s="45">
        <f t="shared" ca="1" si="1578"/>
        <v>18.438589776002758</v>
      </c>
      <c r="V1191" s="45">
        <f t="shared" ca="1" si="1563"/>
        <v>0.20278247028256513</v>
      </c>
      <c r="W1191" s="77">
        <f t="shared" ca="1" si="1564"/>
        <v>0.45897545473144757</v>
      </c>
      <c r="X1191" s="45">
        <f t="shared" ca="1" si="1579"/>
        <v>1.0631282767691281</v>
      </c>
      <c r="Y1191" s="45">
        <f t="shared" ca="1" si="1565"/>
        <v>5.2422270133966886E-2</v>
      </c>
      <c r="Z1191" s="77">
        <f t="shared" ca="1" si="1566"/>
        <v>5.7351642650050647E-2</v>
      </c>
      <c r="AA1191" s="45">
        <f t="shared" ca="1" si="1580"/>
        <v>39.27275123114957</v>
      </c>
      <c r="AB1191" s="45">
        <f t="shared" ca="1" si="1567"/>
        <v>0</v>
      </c>
      <c r="AC1191" s="45" cm="1">
        <f t="array" aca="1" ref="AC1191" ca="1">pHUM*(T1191+W1191+Z1191+AD1191)</f>
        <v>6.1673258981137513E-2</v>
      </c>
      <c r="AD1191" s="77">
        <f t="shared" ca="1" si="1568"/>
        <v>6.594154732148938E-2</v>
      </c>
      <c r="AE1191" s="45">
        <f t="shared" ca="1" si="1581"/>
        <v>6.3847072090583081</v>
      </c>
      <c r="AF1191" s="45">
        <f t="shared" ca="1" si="1569"/>
        <v>0</v>
      </c>
      <c r="AG1191" s="76">
        <f t="shared" ca="1" si="1570"/>
        <v>65.253131917955727</v>
      </c>
      <c r="AH1191" s="45">
        <f t="shared" ca="1" si="1571"/>
        <v>0.52157667503055372</v>
      </c>
      <c r="AI1191" s="77">
        <f t="shared" ca="1" si="1572"/>
        <v>1.1265590607648006E-2</v>
      </c>
      <c r="AJ1191" s="384">
        <f t="shared" ca="1" si="1574"/>
        <v>3.1677966443668382E-2</v>
      </c>
      <c r="AU1191" s="1"/>
    </row>
    <row r="1192" spans="3:47" x14ac:dyDescent="0.25">
      <c r="C1192" s="10">
        <f t="shared" si="1599"/>
        <v>91</v>
      </c>
      <c r="D1192" s="91">
        <f t="shared" si="1582"/>
        <v>10</v>
      </c>
      <c r="E1192" s="278"/>
      <c r="F1192" s="76">
        <f t="shared" ref="F1192:Q1192" ca="1" si="1604">F1120</f>
        <v>9.61</v>
      </c>
      <c r="G1192" s="46">
        <f t="shared" ca="1" si="1604"/>
        <v>27.012600000000003</v>
      </c>
      <c r="H1192" s="46">
        <f t="shared" ca="1" si="1558"/>
        <v>28.517550000000004</v>
      </c>
      <c r="I1192" s="45">
        <f t="shared" ca="1" si="1559"/>
        <v>0.45243046736638293</v>
      </c>
      <c r="J1192" s="45">
        <f t="shared" ca="1" si="1560"/>
        <v>0.27952512346894071</v>
      </c>
      <c r="K1192" s="45">
        <f t="shared" ca="1" si="1576"/>
        <v>0.90345467800480783</v>
      </c>
      <c r="L1192" s="358">
        <f t="shared" ca="1" si="1561"/>
        <v>0.70354868513849667</v>
      </c>
      <c r="M1192" s="76">
        <f t="shared" ca="1" si="1604"/>
        <v>0.25347808785320641</v>
      </c>
      <c r="N1192" s="45">
        <f t="shared" ca="1" si="1604"/>
        <v>0.25</v>
      </c>
      <c r="O1192" s="45">
        <f t="shared" ca="1" si="1604"/>
        <v>0</v>
      </c>
      <c r="P1192" s="46" t="str">
        <f t="shared" ca="1" si="1604"/>
        <v/>
      </c>
      <c r="Q1192" s="243" t="str">
        <f t="shared" ca="1" si="1604"/>
        <v/>
      </c>
      <c r="R1192" s="45">
        <f t="shared" ca="1" si="1577"/>
        <v>9.1247483103932825E-2</v>
      </c>
      <c r="S1192" s="45">
        <f t="shared" ca="1" si="1601"/>
        <v>5.0695617570641283E-2</v>
      </c>
      <c r="T1192" s="77">
        <f t="shared" ca="1" si="1562"/>
        <v>2.8660956799418685E-2</v>
      </c>
      <c r="U1192" s="45">
        <f t="shared" ca="1" si="1578"/>
        <v>18.182396791553874</v>
      </c>
      <c r="V1192" s="45">
        <f t="shared" ca="1" si="1563"/>
        <v>0.20278247028256513</v>
      </c>
      <c r="W1192" s="77">
        <f t="shared" ca="1" si="1564"/>
        <v>0.20449806236012227</v>
      </c>
      <c r="X1192" s="45">
        <f t="shared" ca="1" si="1579"/>
        <v>1.0581989042530444</v>
      </c>
      <c r="Y1192" s="45">
        <f t="shared" ca="1" si="1565"/>
        <v>2.3813735845834166E-2</v>
      </c>
      <c r="Z1192" s="77">
        <f t="shared" ca="1" si="1566"/>
        <v>2.6006962020900814E-2</v>
      </c>
      <c r="AA1192" s="45">
        <f t="shared" ca="1" si="1580"/>
        <v>39.268482942809221</v>
      </c>
      <c r="AB1192" s="45">
        <f t="shared" ca="1" si="1567"/>
        <v>0</v>
      </c>
      <c r="AC1192" s="45" cm="1">
        <f t="array" aca="1" ref="AC1192" ca="1">pHUM*(T1192+W1192+Z1192+AD1192)</f>
        <v>2.8016159818628431E-2</v>
      </c>
      <c r="AD1192" s="77">
        <f t="shared" ca="1" si="1568"/>
        <v>2.9599269072530677E-2</v>
      </c>
      <c r="AE1192" s="45">
        <f t="shared" ca="1" si="1581"/>
        <v>6.3847072090583081</v>
      </c>
      <c r="AF1192" s="45">
        <f t="shared" ca="1" si="1569"/>
        <v>0</v>
      </c>
      <c r="AG1192" s="76">
        <f t="shared" ca="1" si="1570"/>
        <v>64.985033330778379</v>
      </c>
      <c r="AH1192" s="45">
        <f t="shared" ca="1" si="1571"/>
        <v>0.23693535458850987</v>
      </c>
      <c r="AI1192" s="77">
        <f t="shared" ca="1" si="1572"/>
        <v>1.1164577804369845E-2</v>
      </c>
      <c r="AJ1192" s="384">
        <f t="shared" ca="1" si="1574"/>
        <v>2.5048554411974955E-2</v>
      </c>
      <c r="AU1192" s="1"/>
    </row>
    <row r="1193" spans="3:47" x14ac:dyDescent="0.25">
      <c r="C1193" s="10">
        <f t="shared" si="1599"/>
        <v>91</v>
      </c>
      <c r="D1193" s="91">
        <f t="shared" si="1582"/>
        <v>11</v>
      </c>
      <c r="E1193" s="278"/>
      <c r="F1193" s="76">
        <f t="shared" ref="F1193:Q1193" ca="1" si="1605">F1121</f>
        <v>5.71</v>
      </c>
      <c r="G1193" s="46">
        <f t="shared" ca="1" si="1605"/>
        <v>27.012600000000003</v>
      </c>
      <c r="H1193" s="46">
        <f t="shared" ca="1" si="1558"/>
        <v>28.517550000000004</v>
      </c>
      <c r="I1193" s="45">
        <f t="shared" ca="1" si="1559"/>
        <v>0.24617612464957264</v>
      </c>
      <c r="J1193" s="45">
        <f t="shared" ca="1" si="1560"/>
        <v>0.27952512346894071</v>
      </c>
      <c r="K1193" s="45">
        <f t="shared" ca="1" si="1576"/>
        <v>0.90345467800480783</v>
      </c>
      <c r="L1193" s="358">
        <f t="shared" ca="1" si="1561"/>
        <v>0.57043958344737544</v>
      </c>
      <c r="M1193" s="76">
        <f t="shared" ca="1" si="1605"/>
        <v>0.25347808785320641</v>
      </c>
      <c r="N1193" s="45">
        <f t="shared" ca="1" si="1605"/>
        <v>0.25</v>
      </c>
      <c r="O1193" s="45">
        <f t="shared" ca="1" si="1605"/>
        <v>0</v>
      </c>
      <c r="P1193" s="46" t="str">
        <f t="shared" ca="1" si="1605"/>
        <v/>
      </c>
      <c r="Q1193" s="243" t="str">
        <f t="shared" ca="1" si="1605"/>
        <v/>
      </c>
      <c r="R1193" s="45">
        <f t="shared" ca="1" si="1577"/>
        <v>0.11328214387515542</v>
      </c>
      <c r="S1193" s="45">
        <f t="shared" ca="1" si="1601"/>
        <v>5.0695617570641283E-2</v>
      </c>
      <c r="T1193" s="77">
        <f t="shared" ca="1" si="1562"/>
        <v>2.1010693094592452E-2</v>
      </c>
      <c r="U1193" s="45">
        <f t="shared" ca="1" si="1578"/>
        <v>18.180681199476314</v>
      </c>
      <c r="V1193" s="45">
        <f t="shared" ca="1" si="1563"/>
        <v>0.20278247028256513</v>
      </c>
      <c r="W1193" s="77">
        <f t="shared" ca="1" si="1564"/>
        <v>0.11154763438747445</v>
      </c>
      <c r="X1193" s="45">
        <f t="shared" ca="1" si="1579"/>
        <v>1.0560056780779776</v>
      </c>
      <c r="Y1193" s="45">
        <f t="shared" ca="1" si="1565"/>
        <v>1.3431277176827796E-2</v>
      </c>
      <c r="Z1193" s="77">
        <f t="shared" ca="1" si="1566"/>
        <v>1.4201626454980571E-2</v>
      </c>
      <c r="AA1193" s="45">
        <f t="shared" ca="1" si="1580"/>
        <v>39.266899833555314</v>
      </c>
      <c r="AB1193" s="45">
        <f t="shared" ca="1" si="1567"/>
        <v>0</v>
      </c>
      <c r="AC1193" s="45" cm="1">
        <f t="array" aca="1" ref="AC1193" ca="1">pHUM*(T1193+W1193+Z1193+AD1193)</f>
        <v>1.5801502560973877E-2</v>
      </c>
      <c r="AD1193" s="77">
        <f t="shared" ca="1" si="1568"/>
        <v>1.6107650721555268E-2</v>
      </c>
      <c r="AE1193" s="45">
        <f t="shared" ca="1" si="1581"/>
        <v>6.3847072090583081</v>
      </c>
      <c r="AF1193" s="45">
        <f t="shared" ca="1" si="1569"/>
        <v>0</v>
      </c>
      <c r="AG1193" s="76">
        <f t="shared" ca="1" si="1570"/>
        <v>65.001576064043064</v>
      </c>
      <c r="AH1193" s="45">
        <f t="shared" ca="1" si="1571"/>
        <v>0.13363482492080106</v>
      </c>
      <c r="AI1193" s="77">
        <f t="shared" ca="1" si="1572"/>
        <v>1.1471850595830098E-2</v>
      </c>
      <c r="AJ1193" s="384">
        <f t="shared" ca="1" si="1574"/>
        <v>2.0868491458136962E-2</v>
      </c>
      <c r="AU1193" s="1"/>
    </row>
    <row r="1194" spans="3:47" x14ac:dyDescent="0.25">
      <c r="C1194" s="10">
        <f t="shared" si="1599"/>
        <v>91</v>
      </c>
      <c r="D1194" s="91">
        <f t="shared" si="1582"/>
        <v>12</v>
      </c>
      <c r="E1194" s="278"/>
      <c r="F1194" s="76">
        <f t="shared" ref="F1194:Q1194" ca="1" si="1606">F1122</f>
        <v>-0.46</v>
      </c>
      <c r="G1194" s="46">
        <f t="shared" ca="1" si="1606"/>
        <v>27.012600000000003</v>
      </c>
      <c r="H1194" s="46">
        <f t="shared" ca="1" si="1558"/>
        <v>28.517550000000004</v>
      </c>
      <c r="I1194" s="45">
        <f t="shared" ca="1" si="1559"/>
        <v>5.3686278337302371E-2</v>
      </c>
      <c r="J1194" s="45">
        <f t="shared" ca="1" si="1560"/>
        <v>0.27952512346894071</v>
      </c>
      <c r="K1194" s="45">
        <f t="shared" ca="1" si="1576"/>
        <v>0.90345467800480783</v>
      </c>
      <c r="L1194" s="358">
        <f t="shared" ca="1" si="1561"/>
        <v>0.34604490353891793</v>
      </c>
      <c r="M1194" s="76">
        <f t="shared" ca="1" si="1606"/>
        <v>0.25347808785320641</v>
      </c>
      <c r="N1194" s="45">
        <f t="shared" ca="1" si="1606"/>
        <v>0.25</v>
      </c>
      <c r="O1194" s="45">
        <f t="shared" ca="1" si="1606"/>
        <v>0</v>
      </c>
      <c r="P1194" s="46" t="str">
        <f t="shared" ca="1" si="1606"/>
        <v/>
      </c>
      <c r="Q1194" s="243" t="str">
        <f t="shared" ca="1" si="1606"/>
        <v/>
      </c>
      <c r="R1194" s="45">
        <f t="shared" ca="1" si="1577"/>
        <v>0.14296706835120426</v>
      </c>
      <c r="S1194" s="45">
        <f t="shared" ca="1" si="1601"/>
        <v>5.0695617570641283E-2</v>
      </c>
      <c r="T1194" s="77">
        <f t="shared" ca="1" si="1562"/>
        <v>6.255174458432983E-3</v>
      </c>
      <c r="U1194" s="45">
        <f t="shared" ca="1" si="1578"/>
        <v>18.271916035371405</v>
      </c>
      <c r="V1194" s="45">
        <f t="shared" ca="1" si="1563"/>
        <v>0.20278247028256513</v>
      </c>
      <c r="W1194" s="77">
        <f t="shared" ca="1" si="1564"/>
        <v>2.4507329230611552E-2</v>
      </c>
      <c r="X1194" s="45">
        <f t="shared" ca="1" si="1579"/>
        <v>1.0552353287998251</v>
      </c>
      <c r="Y1194" s="45">
        <f t="shared" ca="1" si="1565"/>
        <v>3.0832152817053472E-3</v>
      </c>
      <c r="Z1194" s="77">
        <f t="shared" ca="1" si="1566"/>
        <v>3.1112455481811874E-3</v>
      </c>
      <c r="AA1194" s="45">
        <f t="shared" ca="1" si="1580"/>
        <v>39.266593685394731</v>
      </c>
      <c r="AB1194" s="45">
        <f t="shared" ca="1" si="1567"/>
        <v>0</v>
      </c>
      <c r="AC1194" s="45" cm="1">
        <f t="array" aca="1" ref="AC1194" ca="1">pHUM*(T1194+W1194+Z1194+AD1194)</f>
        <v>3.627312096123938E-3</v>
      </c>
      <c r="AD1194" s="77">
        <f t="shared" ca="1" si="1568"/>
        <v>3.5133049473524557E-3</v>
      </c>
      <c r="AE1194" s="45">
        <f t="shared" ca="1" si="1581"/>
        <v>6.3847072090583081</v>
      </c>
      <c r="AF1194" s="45">
        <f t="shared" ca="1" si="1569"/>
        <v>0</v>
      </c>
      <c r="AG1194" s="76">
        <f t="shared" ca="1" si="1570"/>
        <v>65.12141932697547</v>
      </c>
      <c r="AH1194" s="45">
        <f t="shared" ca="1" si="1571"/>
        <v>3.0676526806748892E-2</v>
      </c>
      <c r="AI1194" s="77">
        <f t="shared" ca="1" si="1572"/>
        <v>1.1907704145903631E-2</v>
      </c>
      <c r="AJ1194" s="384">
        <f t="shared" ca="1" si="1574"/>
        <v>1.3140490576184494E-2</v>
      </c>
      <c r="AU1194" s="1"/>
    </row>
    <row r="1195" spans="3:47" x14ac:dyDescent="0.25">
      <c r="C1195" s="10">
        <f t="shared" si="1599"/>
        <v>92</v>
      </c>
      <c r="D1195" s="91">
        <f t="shared" si="1582"/>
        <v>1</v>
      </c>
      <c r="E1195" s="278"/>
      <c r="F1195" s="76">
        <f t="shared" ref="F1195:Q1195" ca="1" si="1607">F1123</f>
        <v>-3.44</v>
      </c>
      <c r="G1195" s="46">
        <f t="shared" ca="1" si="1607"/>
        <v>27.012600000000003</v>
      </c>
      <c r="H1195" s="46">
        <f t="shared" ca="1" si="1558"/>
        <v>28.517550000000004</v>
      </c>
      <c r="I1195" s="45">
        <f t="shared" ca="1" si="1559"/>
        <v>1.6253779081695344E-2</v>
      </c>
      <c r="J1195" s="45">
        <f t="shared" ca="1" si="1560"/>
        <v>0.27952512346894071</v>
      </c>
      <c r="K1195" s="45">
        <f t="shared" ca="1" si="1576"/>
        <v>0.90345467800480783</v>
      </c>
      <c r="L1195" s="358">
        <f t="shared" ca="1" si="1561"/>
        <v>0.25329647647379749</v>
      </c>
      <c r="M1195" s="76">
        <f t="shared" ca="1" si="1607"/>
        <v>0.25347808785320641</v>
      </c>
      <c r="N1195" s="45">
        <f t="shared" ca="1" si="1607"/>
        <v>0.25</v>
      </c>
      <c r="O1195" s="45">
        <f t="shared" ca="1" si="1607"/>
        <v>0</v>
      </c>
      <c r="P1195" s="46" t="str">
        <f t="shared" ca="1" si="1607"/>
        <v/>
      </c>
      <c r="Q1195" s="243" t="str">
        <f t="shared" ca="1" si="1607"/>
        <v/>
      </c>
      <c r="R1195" s="45">
        <f t="shared" ca="1" si="1577"/>
        <v>0.18740751146341256</v>
      </c>
      <c r="S1195" s="45">
        <f t="shared" ca="1" si="1601"/>
        <v>5.0695617570641283E-2</v>
      </c>
      <c r="T1195" s="77">
        <f t="shared" ca="1" si="1562"/>
        <v>2.5212865139021302E-3</v>
      </c>
      <c r="U1195" s="45">
        <f t="shared" ca="1" si="1578"/>
        <v>18.450191176423356</v>
      </c>
      <c r="V1195" s="45">
        <f t="shared" ca="1" si="1563"/>
        <v>0.20278247028256513</v>
      </c>
      <c r="W1195" s="77">
        <f t="shared" ca="1" si="1564"/>
        <v>7.4956102818590515E-3</v>
      </c>
      <c r="X1195" s="45">
        <f t="shared" ca="1" si="1579"/>
        <v>1.0552072985333492</v>
      </c>
      <c r="Y1195" s="45">
        <f t="shared" ca="1" si="1565"/>
        <v>9.9154683985556362E-4</v>
      </c>
      <c r="Z1195" s="77">
        <f t="shared" ca="1" si="1566"/>
        <v>9.4288933291289227E-4</v>
      </c>
      <c r="AA1195" s="45">
        <f t="shared" ca="1" si="1580"/>
        <v>39.266707692543498</v>
      </c>
      <c r="AB1195" s="45">
        <f t="shared" ca="1" si="1567"/>
        <v>0</v>
      </c>
      <c r="AC1195" s="45" cm="1">
        <f t="array" aca="1" ref="AC1195" ca="1">pHUM*(T1195+W1195+Z1195+AD1195)</f>
        <v>1.1665256939477221E-3</v>
      </c>
      <c r="AD1195" s="77">
        <f t="shared" ca="1" si="1568"/>
        <v>1.0637062457289834E-3</v>
      </c>
      <c r="AE1195" s="45">
        <f t="shared" ca="1" si="1581"/>
        <v>6.3847072090583081</v>
      </c>
      <c r="AF1195" s="45">
        <f t="shared" ca="1" si="1569"/>
        <v>0</v>
      </c>
      <c r="AG1195" s="76">
        <f t="shared" ca="1" si="1570"/>
        <v>65.344220888021923</v>
      </c>
      <c r="AH1195" s="45">
        <f t="shared" ca="1" si="1571"/>
        <v>9.8654198405997724E-3</v>
      </c>
      <c r="AI1195" s="77">
        <f t="shared" ca="1" si="1572"/>
        <v>1.2566396390319716E-2</v>
      </c>
      <c r="AJ1195" s="384">
        <f t="shared" ca="1" si="1574"/>
        <v>1.0150611689844213E-2</v>
      </c>
      <c r="AU1195" s="1"/>
    </row>
    <row r="1196" spans="3:47" x14ac:dyDescent="0.25">
      <c r="C1196" s="10">
        <f t="shared" si="1599"/>
        <v>92</v>
      </c>
      <c r="D1196" s="91">
        <f t="shared" si="1582"/>
        <v>2</v>
      </c>
      <c r="E1196" s="278"/>
      <c r="F1196" s="76">
        <f t="shared" ref="F1196:Q1196" ca="1" si="1608">F1124</f>
        <v>-1.65</v>
      </c>
      <c r="G1196" s="46">
        <f t="shared" ca="1" si="1608"/>
        <v>27.012600000000003</v>
      </c>
      <c r="H1196" s="46">
        <f t="shared" ca="1" si="1558"/>
        <v>28.517550000000004</v>
      </c>
      <c r="I1196" s="45">
        <f t="shared" ca="1" si="1559"/>
        <v>3.508132091145684E-2</v>
      </c>
      <c r="J1196" s="45">
        <f t="shared" ca="1" si="1560"/>
        <v>0.27952512346894071</v>
      </c>
      <c r="K1196" s="45">
        <f t="shared" ca="1" si="1576"/>
        <v>0.90345467800480783</v>
      </c>
      <c r="L1196" s="358">
        <f t="shared" ca="1" si="1561"/>
        <v>0.30703519550320224</v>
      </c>
      <c r="M1196" s="76">
        <f t="shared" ca="1" si="1608"/>
        <v>0.25347808785320641</v>
      </c>
      <c r="N1196" s="45">
        <f t="shared" ca="1" si="1608"/>
        <v>0.25</v>
      </c>
      <c r="O1196" s="45">
        <f t="shared" ca="1" si="1608"/>
        <v>0</v>
      </c>
      <c r="P1196" s="46" t="str">
        <f t="shared" ca="1" si="1608"/>
        <v/>
      </c>
      <c r="Q1196" s="243" t="str">
        <f t="shared" ca="1" si="1608"/>
        <v/>
      </c>
      <c r="R1196" s="45">
        <f t="shared" ca="1" si="1577"/>
        <v>0.23558184252015171</v>
      </c>
      <c r="S1196" s="45">
        <f t="shared" ca="1" si="1601"/>
        <v>5.0695617570641283E-2</v>
      </c>
      <c r="T1196" s="77">
        <f t="shared" ca="1" si="1562"/>
        <v>6.7874054706907241E-3</v>
      </c>
      <c r="U1196" s="45">
        <f t="shared" ca="1" si="1578"/>
        <v>18.645478036424063</v>
      </c>
      <c r="V1196" s="45">
        <f t="shared" ca="1" si="1563"/>
        <v>0.20278247028256513</v>
      </c>
      <c r="W1196" s="77">
        <f t="shared" ca="1" si="1564"/>
        <v>1.6345531130563938E-2</v>
      </c>
      <c r="X1196" s="45">
        <f t="shared" ca="1" si="1579"/>
        <v>1.0552559560402919</v>
      </c>
      <c r="Y1196" s="45">
        <f t="shared" ca="1" si="1565"/>
        <v>2.2647938687626406E-3</v>
      </c>
      <c r="Z1196" s="77">
        <f t="shared" ca="1" si="1566"/>
        <v>2.0341244812257585E-3</v>
      </c>
      <c r="AA1196" s="45">
        <f t="shared" ca="1" si="1580"/>
        <v>39.266810511991714</v>
      </c>
      <c r="AB1196" s="45">
        <f t="shared" ca="1" si="1567"/>
        <v>0</v>
      </c>
      <c r="AC1196" s="45" cm="1">
        <f t="array" aca="1" ref="AC1196" ca="1">pHUM*(T1196+W1196+Z1196+AD1196)</f>
        <v>2.6644633750148713E-3</v>
      </c>
      <c r="AD1196" s="77">
        <f t="shared" ca="1" si="1568"/>
        <v>2.2958188502810446E-3</v>
      </c>
      <c r="AE1196" s="45">
        <f t="shared" ca="1" si="1581"/>
        <v>6.3847072090583081</v>
      </c>
      <c r="AF1196" s="45">
        <f t="shared" ca="1" si="1569"/>
        <v>0</v>
      </c>
      <c r="AG1196" s="76">
        <f t="shared" ca="1" si="1570"/>
        <v>65.587833556034525</v>
      </c>
      <c r="AH1196" s="45">
        <f t="shared" ca="1" si="1571"/>
        <v>2.2533622688983956E-2</v>
      </c>
      <c r="AI1196" s="77">
        <f t="shared" ca="1" si="1572"/>
        <v>1.3275294114932132E-2</v>
      </c>
      <c r="AJ1196" s="384">
        <f t="shared" ca="1" si="1574"/>
        <v>1.2998207254211191E-2</v>
      </c>
      <c r="AU1196" s="1"/>
    </row>
    <row r="1197" spans="3:47" x14ac:dyDescent="0.25">
      <c r="C1197" s="10">
        <f t="shared" si="1599"/>
        <v>92</v>
      </c>
      <c r="D1197" s="91">
        <f t="shared" si="1582"/>
        <v>3</v>
      </c>
      <c r="E1197" s="278"/>
      <c r="F1197" s="76">
        <f t="shared" ref="F1197:Q1197" ca="1" si="1609">F1125</f>
        <v>4.68</v>
      </c>
      <c r="G1197" s="46">
        <f t="shared" ca="1" si="1609"/>
        <v>27.012600000000003</v>
      </c>
      <c r="H1197" s="46">
        <f t="shared" ca="1" si="1558"/>
        <v>28.517550000000004</v>
      </c>
      <c r="I1197" s="45">
        <f t="shared" ca="1" si="1559"/>
        <v>0.20228669449817699</v>
      </c>
      <c r="J1197" s="45">
        <f t="shared" ca="1" si="1560"/>
        <v>0.27952512346894071</v>
      </c>
      <c r="K1197" s="45">
        <f t="shared" ca="1" si="1576"/>
        <v>0.90345467800480783</v>
      </c>
      <c r="L1197" s="358">
        <f t="shared" ca="1" si="1561"/>
        <v>0.53248567772813127</v>
      </c>
      <c r="M1197" s="76">
        <f t="shared" ca="1" si="1609"/>
        <v>0.25347808785320641</v>
      </c>
      <c r="N1197" s="45">
        <f t="shared" ca="1" si="1609"/>
        <v>0.25</v>
      </c>
      <c r="O1197" s="45">
        <f t="shared" ca="1" si="1609"/>
        <v>0</v>
      </c>
      <c r="P1197" s="46" t="str">
        <f t="shared" ca="1" si="1609"/>
        <v/>
      </c>
      <c r="Q1197" s="243" t="str">
        <f t="shared" ca="1" si="1609"/>
        <v/>
      </c>
      <c r="R1197" s="45">
        <f t="shared" ca="1" si="1577"/>
        <v>0.27949005462010229</v>
      </c>
      <c r="S1197" s="45">
        <f t="shared" ca="1" si="1601"/>
        <v>5.0695617570641283E-2</v>
      </c>
      <c r="T1197" s="77">
        <f t="shared" ca="1" si="1562"/>
        <v>4.3357229787122406E-2</v>
      </c>
      <c r="U1197" s="45">
        <f t="shared" ca="1" si="1578"/>
        <v>18.831914975576062</v>
      </c>
      <c r="V1197" s="45">
        <f t="shared" ca="1" si="1563"/>
        <v>0.20278247028256513</v>
      </c>
      <c r="W1197" s="77">
        <f t="shared" ca="1" si="1564"/>
        <v>9.4995738653334577E-2</v>
      </c>
      <c r="X1197" s="45">
        <f t="shared" ca="1" si="1579"/>
        <v>1.0554866254278286</v>
      </c>
      <c r="Y1197" s="45">
        <f t="shared" ca="1" si="1565"/>
        <v>1.3464252704677179E-2</v>
      </c>
      <c r="Z1197" s="77">
        <f t="shared" ca="1" si="1566"/>
        <v>1.167801562143316E-2</v>
      </c>
      <c r="AA1197" s="45">
        <f t="shared" ca="1" si="1580"/>
        <v>39.267179156516448</v>
      </c>
      <c r="AB1197" s="45">
        <f t="shared" ca="1" si="1567"/>
        <v>0</v>
      </c>
      <c r="AC1197" s="45" cm="1">
        <f t="array" aca="1" ref="AC1197" ca="1">pHUM*(T1197+W1197+Z1197+AD1197)</f>
        <v>1.584029729962021E-2</v>
      </c>
      <c r="AD1197" s="77">
        <f t="shared" ca="1" si="1568"/>
        <v>1.3236481694244533E-2</v>
      </c>
      <c r="AE1197" s="45">
        <f t="shared" ca="1" si="1581"/>
        <v>6.3847072090583081</v>
      </c>
      <c r="AF1197" s="45">
        <f t="shared" ca="1" si="1569"/>
        <v>0</v>
      </c>
      <c r="AG1197" s="76">
        <f t="shared" ca="1" si="1570"/>
        <v>65.818778021198753</v>
      </c>
      <c r="AH1197" s="45">
        <f t="shared" ca="1" si="1571"/>
        <v>0.1339629157518373</v>
      </c>
      <c r="AI1197" s="77">
        <f t="shared" ca="1" si="1572"/>
        <v>1.3917998631573471E-2</v>
      </c>
      <c r="AJ1197" s="384">
        <f t="shared" ca="1" si="1574"/>
        <v>2.3633688498985173E-2</v>
      </c>
      <c r="AU1197" s="1"/>
    </row>
    <row r="1198" spans="3:47" x14ac:dyDescent="0.25">
      <c r="C1198" s="10">
        <f t="shared" si="1599"/>
        <v>92</v>
      </c>
      <c r="D1198" s="91">
        <f t="shared" si="1582"/>
        <v>4</v>
      </c>
      <c r="E1198" s="278"/>
      <c r="F1198" s="76">
        <f t="shared" ref="F1198:Q1198" ca="1" si="1610">F1126</f>
        <v>7.69</v>
      </c>
      <c r="G1198" s="46">
        <f t="shared" ca="1" si="1610"/>
        <v>27.012600000000003</v>
      </c>
      <c r="H1198" s="46">
        <f t="shared" ca="1" si="1558"/>
        <v>28.517550000000004</v>
      </c>
      <c r="I1198" s="45">
        <f t="shared" ca="1" si="1559"/>
        <v>0.3433111911106958</v>
      </c>
      <c r="J1198" s="45">
        <f t="shared" ca="1" si="1560"/>
        <v>0.27952512346894071</v>
      </c>
      <c r="K1198" s="45">
        <f t="shared" ca="1" si="1576"/>
        <v>0.90345467800480783</v>
      </c>
      <c r="L1198" s="358">
        <f t="shared" ca="1" si="1561"/>
        <v>0.64074183470648283</v>
      </c>
      <c r="M1198" s="76">
        <f t="shared" ca="1" si="1610"/>
        <v>0.25347808785320641</v>
      </c>
      <c r="N1198" s="45">
        <f t="shared" ca="1" si="1610"/>
        <v>0.25</v>
      </c>
      <c r="O1198" s="45">
        <f t="shared" ca="1" si="1610"/>
        <v>0</v>
      </c>
      <c r="P1198" s="46" t="str">
        <f t="shared" ca="1" si="1610"/>
        <v/>
      </c>
      <c r="Q1198" s="243" t="str">
        <f t="shared" ca="1" si="1610"/>
        <v/>
      </c>
      <c r="R1198" s="45">
        <f t="shared" ca="1" si="1577"/>
        <v>0.28682844240362115</v>
      </c>
      <c r="S1198" s="45">
        <f t="shared" ca="1" si="1601"/>
        <v>5.0695617570641283E-2</v>
      </c>
      <c r="T1198" s="77">
        <f t="shared" ca="1" si="1562"/>
        <v>7.1364922050609986E-2</v>
      </c>
      <c r="U1198" s="45">
        <f t="shared" ca="1" si="1578"/>
        <v>18.939701707205291</v>
      </c>
      <c r="V1198" s="45">
        <f t="shared" ca="1" si="1563"/>
        <v>0.20278247028256513</v>
      </c>
      <c r="W1198" s="77">
        <f t="shared" ca="1" si="1564"/>
        <v>0.16185969216025115</v>
      </c>
      <c r="X1198" s="45">
        <f t="shared" ca="1" si="1579"/>
        <v>1.0572728625110726</v>
      </c>
      <c r="Y1198" s="45">
        <f t="shared" ca="1" si="1565"/>
        <v>2.2716818229784989E-2</v>
      </c>
      <c r="Z1198" s="77">
        <f t="shared" ca="1" si="1566"/>
        <v>1.9776252006789161E-2</v>
      </c>
      <c r="AA1198" s="45">
        <f t="shared" ca="1" si="1580"/>
        <v>39.269782972121824</v>
      </c>
      <c r="AB1198" s="45">
        <f t="shared" ca="1" si="1567"/>
        <v>0</v>
      </c>
      <c r="AC1198" s="45" cm="1">
        <f t="array" aca="1" ref="AC1198" ca="1">pHUM*(T1198+W1198+Z1198+AD1198)</f>
        <v>2.67256685056294E-2</v>
      </c>
      <c r="AD1198" s="77">
        <f t="shared" ca="1" si="1568"/>
        <v>2.2463166118237329E-2</v>
      </c>
      <c r="AE1198" s="45">
        <f t="shared" ca="1" si="1581"/>
        <v>6.3847072090583081</v>
      </c>
      <c r="AF1198" s="45">
        <f t="shared" ca="1" si="1569"/>
        <v>0</v>
      </c>
      <c r="AG1198" s="76">
        <f t="shared" ca="1" si="1570"/>
        <v>65.938293193300112</v>
      </c>
      <c r="AH1198" s="45">
        <f t="shared" ca="1" si="1571"/>
        <v>0.22602154560047324</v>
      </c>
      <c r="AI1198" s="77">
        <f t="shared" ca="1" si="1572"/>
        <v>1.4039723663817141E-2</v>
      </c>
      <c r="AJ1198" s="384">
        <f t="shared" ca="1" si="1574"/>
        <v>2.8687080783491581E-2</v>
      </c>
      <c r="AU1198" s="1"/>
    </row>
    <row r="1199" spans="3:47" x14ac:dyDescent="0.25">
      <c r="C1199" s="10">
        <f t="shared" si="1599"/>
        <v>92</v>
      </c>
      <c r="D1199" s="91">
        <f t="shared" si="1582"/>
        <v>5</v>
      </c>
      <c r="E1199" s="278"/>
      <c r="F1199" s="76">
        <f t="shared" ref="F1199:Q1199" ca="1" si="1611">F1127</f>
        <v>15.52</v>
      </c>
      <c r="G1199" s="46">
        <f t="shared" ca="1" si="1611"/>
        <v>27.012600000000003</v>
      </c>
      <c r="H1199" s="46">
        <f t="shared" ca="1" si="1558"/>
        <v>28.517550000000004</v>
      </c>
      <c r="I1199" s="45">
        <f t="shared" ca="1" si="1559"/>
        <v>0.86230369296737164</v>
      </c>
      <c r="J1199" s="45">
        <f t="shared" ca="1" si="1560"/>
        <v>0.27952512346894071</v>
      </c>
      <c r="K1199" s="45">
        <f t="shared" ca="1" si="1576"/>
        <v>0.90345467800480783</v>
      </c>
      <c r="L1199" s="358">
        <f t="shared" ca="1" si="1561"/>
        <v>0.85046529796407655</v>
      </c>
      <c r="M1199" s="76">
        <f t="shared" ca="1" si="1611"/>
        <v>0.25347808785320641</v>
      </c>
      <c r="N1199" s="45">
        <f t="shared" ca="1" si="1611"/>
        <v>0.25</v>
      </c>
      <c r="O1199" s="45">
        <f t="shared" ca="1" si="1611"/>
        <v>0</v>
      </c>
      <c r="P1199" s="46" t="str">
        <f t="shared" ca="1" si="1611"/>
        <v/>
      </c>
      <c r="Q1199" s="243" t="str">
        <f t="shared" ca="1" si="1611"/>
        <v/>
      </c>
      <c r="R1199" s="45">
        <f t="shared" ca="1" si="1577"/>
        <v>0.26615913792365242</v>
      </c>
      <c r="S1199" s="45">
        <f t="shared" ca="1" si="1601"/>
        <v>5.0695617570641283E-2</v>
      </c>
      <c r="T1199" s="77">
        <f t="shared" ca="1" si="1562"/>
        <v>0.13642231208113587</v>
      </c>
      <c r="U1199" s="45">
        <f t="shared" ca="1" si="1578"/>
        <v>18.980624485327603</v>
      </c>
      <c r="V1199" s="45">
        <f t="shared" ca="1" si="1563"/>
        <v>0.20278247028256513</v>
      </c>
      <c r="W1199" s="77">
        <f t="shared" ca="1" si="1564"/>
        <v>0.40479765661296635</v>
      </c>
      <c r="X1199" s="45">
        <f t="shared" ca="1" si="1579"/>
        <v>1.0602134287340683</v>
      </c>
      <c r="Y1199" s="45">
        <f t="shared" ca="1" si="1565"/>
        <v>5.3334319497781738E-2</v>
      </c>
      <c r="Z1199" s="77">
        <f t="shared" ca="1" si="1566"/>
        <v>4.9108691223906882E-2</v>
      </c>
      <c r="AA1199" s="45">
        <f t="shared" ca="1" si="1580"/>
        <v>39.274045474509215</v>
      </c>
      <c r="AB1199" s="45">
        <f t="shared" ca="1" si="1567"/>
        <v>0</v>
      </c>
      <c r="AC1199" s="45" cm="1">
        <f t="array" aca="1" ref="AC1199" ca="1">pHUM*(T1199+W1199+Z1199+AD1199)</f>
        <v>6.2746258232684399E-2</v>
      </c>
      <c r="AD1199" s="77">
        <f t="shared" ca="1" si="1568"/>
        <v>5.640305057684411E-2</v>
      </c>
      <c r="AE1199" s="45">
        <f t="shared" ca="1" si="1581"/>
        <v>6.3847072090583081</v>
      </c>
      <c r="AF1199" s="45">
        <f t="shared" ca="1" si="1569"/>
        <v>0</v>
      </c>
      <c r="AG1199" s="76">
        <f t="shared" ca="1" si="1570"/>
        <v>65.965749735552848</v>
      </c>
      <c r="AH1199" s="45">
        <f t="shared" ca="1" si="1571"/>
        <v>0.53065113276438713</v>
      </c>
      <c r="AI1199" s="77">
        <f t="shared" ca="1" si="1572"/>
        <v>1.3764166251529548E-2</v>
      </c>
      <c r="AJ1199" s="384">
        <f t="shared" ca="1" si="1574"/>
        <v>3.7329114012467635E-2</v>
      </c>
      <c r="AU1199" s="1"/>
    </row>
    <row r="1200" spans="3:47" x14ac:dyDescent="0.25">
      <c r="C1200" s="10">
        <f t="shared" si="1599"/>
        <v>92</v>
      </c>
      <c r="D1200" s="91">
        <f t="shared" si="1582"/>
        <v>6</v>
      </c>
      <c r="E1200" s="278"/>
      <c r="F1200" s="76">
        <f t="shared" ref="F1200:Q1200" ca="1" si="1612">F1128</f>
        <v>17.8</v>
      </c>
      <c r="G1200" s="46">
        <f t="shared" ca="1" si="1612"/>
        <v>27.012600000000003</v>
      </c>
      <c r="H1200" s="46">
        <f t="shared" ca="1" si="1558"/>
        <v>28.517550000000004</v>
      </c>
      <c r="I1200" s="45">
        <f t="shared" ca="1" si="1559"/>
        <v>1.0420430221807615</v>
      </c>
      <c r="J1200" s="45">
        <f t="shared" ca="1" si="1560"/>
        <v>0.27952512346894071</v>
      </c>
      <c r="K1200" s="45">
        <f t="shared" ca="1" si="1576"/>
        <v>0.90345467800480783</v>
      </c>
      <c r="L1200" s="358">
        <f t="shared" ca="1" si="1561"/>
        <v>0.88796358149435028</v>
      </c>
      <c r="M1200" s="76">
        <f t="shared" ca="1" si="1612"/>
        <v>0.25347808785320641</v>
      </c>
      <c r="N1200" s="45">
        <f t="shared" ca="1" si="1612"/>
        <v>0.25</v>
      </c>
      <c r="O1200" s="45">
        <f t="shared" ca="1" si="1612"/>
        <v>0</v>
      </c>
      <c r="P1200" s="46" t="str">
        <f t="shared" ca="1" si="1612"/>
        <v/>
      </c>
      <c r="Q1200" s="243" t="str">
        <f t="shared" ca="1" si="1612"/>
        <v/>
      </c>
      <c r="R1200" s="45">
        <f t="shared" ca="1" si="1577"/>
        <v>0.18043244341315784</v>
      </c>
      <c r="S1200" s="45">
        <f t="shared" ca="1" si="1601"/>
        <v>5.0695617570641283E-2</v>
      </c>
      <c r="T1200" s="77">
        <f t="shared" ca="1" si="1562"/>
        <v>0.10471661384205616</v>
      </c>
      <c r="U1200" s="45">
        <f t="shared" ca="1" si="1578"/>
        <v>18.7786092989972</v>
      </c>
      <c r="V1200" s="45">
        <f t="shared" ca="1" si="1563"/>
        <v>0.20278247028256513</v>
      </c>
      <c r="W1200" s="77">
        <f t="shared" ca="1" si="1564"/>
        <v>0.48288581301798905</v>
      </c>
      <c r="X1200" s="45">
        <f t="shared" ca="1" si="1579"/>
        <v>1.0644390570079432</v>
      </c>
      <c r="Y1200" s="45">
        <f t="shared" ca="1" si="1565"/>
        <v>5.8968622254985226E-2</v>
      </c>
      <c r="Z1200" s="77">
        <f t="shared" ca="1" si="1566"/>
        <v>5.9290260128930461E-2</v>
      </c>
      <c r="AA1200" s="45">
        <f t="shared" ca="1" si="1580"/>
        <v>39.280388682165054</v>
      </c>
      <c r="AB1200" s="45">
        <f t="shared" ca="1" si="1567"/>
        <v>0</v>
      </c>
      <c r="AC1200" s="45" cm="1">
        <f t="array" aca="1" ref="AC1200" ca="1">pHUM*(T1200+W1200+Z1200+AD1200)</f>
        <v>6.937484971174733E-2</v>
      </c>
      <c r="AD1200" s="77">
        <f t="shared" ca="1" si="1568"/>
        <v>6.8160552568672345E-2</v>
      </c>
      <c r="AE1200" s="45">
        <f t="shared" ca="1" si="1581"/>
        <v>6.3847072090583081</v>
      </c>
      <c r="AF1200" s="45">
        <f t="shared" ca="1" si="1569"/>
        <v>0</v>
      </c>
      <c r="AG1200" s="76">
        <f t="shared" ca="1" si="1570"/>
        <v>65.688576690641653</v>
      </c>
      <c r="AH1200" s="45">
        <f t="shared" ca="1" si="1571"/>
        <v>0.58670976759091564</v>
      </c>
      <c r="AI1200" s="77">
        <f t="shared" ca="1" si="1572"/>
        <v>1.2542808270252975E-2</v>
      </c>
      <c r="AJ1200" s="384">
        <f t="shared" ca="1" si="1574"/>
        <v>3.5516638558960034E-2</v>
      </c>
      <c r="AU1200" s="1"/>
    </row>
    <row r="1201" spans="3:47" x14ac:dyDescent="0.25">
      <c r="C1201" s="10">
        <f t="shared" si="1599"/>
        <v>92</v>
      </c>
      <c r="D1201" s="91">
        <f t="shared" si="1582"/>
        <v>7</v>
      </c>
      <c r="E1201" s="278"/>
      <c r="F1201" s="76">
        <f t="shared" ref="F1201:Q1201" ca="1" si="1613">F1129</f>
        <v>22.99</v>
      </c>
      <c r="G1201" s="46">
        <f t="shared" ca="1" si="1613"/>
        <v>27.012600000000003</v>
      </c>
      <c r="H1201" s="46">
        <f t="shared" ca="1" si="1558"/>
        <v>28.517550000000004</v>
      </c>
      <c r="I1201" s="45">
        <f t="shared" ca="1" si="1559"/>
        <v>1.4752596357037575</v>
      </c>
      <c r="J1201" s="45">
        <f t="shared" ca="1" si="1560"/>
        <v>0.27952512346894071</v>
      </c>
      <c r="K1201" s="45">
        <f t="shared" ca="1" si="1576"/>
        <v>0.90345467800480783</v>
      </c>
      <c r="L1201" s="358">
        <f t="shared" ca="1" si="1561"/>
        <v>0.94206720469222516</v>
      </c>
      <c r="M1201" s="76">
        <f t="shared" ca="1" si="1613"/>
        <v>0.25347808785320641</v>
      </c>
      <c r="N1201" s="45">
        <f t="shared" ca="1" si="1613"/>
        <v>0.25</v>
      </c>
      <c r="O1201" s="45">
        <f t="shared" ca="1" si="1613"/>
        <v>0</v>
      </c>
      <c r="P1201" s="46" t="str">
        <f t="shared" ca="1" si="1613"/>
        <v/>
      </c>
      <c r="Q1201" s="243" t="str">
        <f t="shared" ca="1" si="1613"/>
        <v/>
      </c>
      <c r="R1201" s="45">
        <f t="shared" ca="1" si="1577"/>
        <v>0.12641144714174296</v>
      </c>
      <c r="S1201" s="45">
        <f t="shared" ca="1" si="1601"/>
        <v>5.0695617570641283E-2</v>
      </c>
      <c r="T1201" s="77">
        <f t="shared" ca="1" si="1562"/>
        <v>8.9439515862024505E-2</v>
      </c>
      <c r="U1201" s="45">
        <f t="shared" ca="1" si="1578"/>
        <v>18.498505956261774</v>
      </c>
      <c r="V1201" s="45">
        <f t="shared" ca="1" si="1563"/>
        <v>0.20278247028256513</v>
      </c>
      <c r="W1201" s="77">
        <f t="shared" ca="1" si="1564"/>
        <v>0.66982449066496341</v>
      </c>
      <c r="X1201" s="45">
        <f t="shared" ca="1" si="1579"/>
        <v>1.0641174191339979</v>
      </c>
      <c r="Y1201" s="45">
        <f t="shared" ca="1" si="1565"/>
        <v>7.7409014821658809E-2</v>
      </c>
      <c r="Z1201" s="77">
        <f t="shared" ca="1" si="1566"/>
        <v>8.2931717278658598E-2</v>
      </c>
      <c r="AA1201" s="45">
        <f t="shared" ca="1" si="1580"/>
        <v>39.281602979308133</v>
      </c>
      <c r="AB1201" s="45">
        <f t="shared" ca="1" si="1567"/>
        <v>0</v>
      </c>
      <c r="AC1201" s="45" cm="1">
        <f t="array" aca="1" ref="AC1201" ca="1">pHUM*(T1201+W1201+Z1201+AD1201)</f>
        <v>9.1069429201951532E-2</v>
      </c>
      <c r="AD1201" s="77">
        <f t="shared" ca="1" si="1568"/>
        <v>9.6465630360783761E-2</v>
      </c>
      <c r="AE1201" s="45">
        <f t="shared" ca="1" si="1581"/>
        <v>6.3847072090583081</v>
      </c>
      <c r="AF1201" s="45">
        <f t="shared" ca="1" si="1569"/>
        <v>0</v>
      </c>
      <c r="AG1201" s="76">
        <f t="shared" ca="1" si="1570"/>
        <v>65.355345010903946</v>
      </c>
      <c r="AH1201" s="45">
        <f t="shared" ca="1" si="1571"/>
        <v>0.77018291014281992</v>
      </c>
      <c r="AI1201" s="77">
        <f t="shared" ca="1" si="1572"/>
        <v>1.1731284307971797E-2</v>
      </c>
      <c r="AJ1201" s="384">
        <f t="shared" ca="1" si="1574"/>
        <v>3.5242724538718795E-2</v>
      </c>
      <c r="AU1201" s="1"/>
    </row>
    <row r="1202" spans="3:47" x14ac:dyDescent="0.25">
      <c r="C1202" s="10">
        <f t="shared" si="1599"/>
        <v>92</v>
      </c>
      <c r="D1202" s="91">
        <f t="shared" si="1582"/>
        <v>8</v>
      </c>
      <c r="E1202" s="278"/>
      <c r="F1202" s="76">
        <f t="shared" ref="F1202:Q1202" ca="1" si="1614">F1130</f>
        <v>21.76</v>
      </c>
      <c r="G1202" s="46">
        <f t="shared" ca="1" si="1614"/>
        <v>27.012600000000003</v>
      </c>
      <c r="H1202" s="46">
        <f t="shared" ca="1" si="1558"/>
        <v>28.517550000000004</v>
      </c>
      <c r="I1202" s="45">
        <f t="shared" ca="1" si="1559"/>
        <v>1.3706166748122235</v>
      </c>
      <c r="J1202" s="45">
        <f t="shared" ca="1" si="1560"/>
        <v>0.27952512346894071</v>
      </c>
      <c r="K1202" s="45">
        <f t="shared" ca="1" si="1576"/>
        <v>0.90345467800480783</v>
      </c>
      <c r="L1202" s="358">
        <f t="shared" ca="1" si="1561"/>
        <v>0.93252308258228611</v>
      </c>
      <c r="M1202" s="76">
        <f t="shared" ca="1" si="1614"/>
        <v>0.25347808785320641</v>
      </c>
      <c r="N1202" s="45">
        <f t="shared" ca="1" si="1614"/>
        <v>0.25</v>
      </c>
      <c r="O1202" s="45">
        <f t="shared" ca="1" si="1614"/>
        <v>0</v>
      </c>
      <c r="P1202" s="46" t="str">
        <f t="shared" ca="1" si="1614"/>
        <v/>
      </c>
      <c r="Q1202" s="243" t="str">
        <f t="shared" ca="1" si="1614"/>
        <v/>
      </c>
      <c r="R1202" s="45">
        <f t="shared" ca="1" si="1577"/>
        <v>8.7667548850359739E-2</v>
      </c>
      <c r="S1202" s="45">
        <f t="shared" ca="1" si="1601"/>
        <v>5.0695617570641283E-2</v>
      </c>
      <c r="T1202" s="77">
        <f t="shared" ca="1" si="1562"/>
        <v>5.9690870583984493E-2</v>
      </c>
      <c r="U1202" s="45">
        <f t="shared" ca="1" si="1578"/>
        <v>18.031463935879373</v>
      </c>
      <c r="V1202" s="45">
        <f t="shared" ca="1" si="1563"/>
        <v>0.20278247028256513</v>
      </c>
      <c r="W1202" s="77">
        <f t="shared" ca="1" si="1564"/>
        <v>0.60738996552415625</v>
      </c>
      <c r="X1202" s="45">
        <f t="shared" ca="1" si="1579"/>
        <v>1.0585947166769982</v>
      </c>
      <c r="Y1202" s="45">
        <f t="shared" ca="1" si="1565"/>
        <v>6.8742135376899605E-2</v>
      </c>
      <c r="Z1202" s="77">
        <f t="shared" ca="1" si="1566"/>
        <v>7.68673379195534E-2</v>
      </c>
      <c r="AA1202" s="45">
        <f t="shared" ca="1" si="1580"/>
        <v>39.276206778149302</v>
      </c>
      <c r="AB1202" s="45">
        <f t="shared" ca="1" si="1567"/>
        <v>0</v>
      </c>
      <c r="AC1202" s="45" cm="1">
        <f t="array" aca="1" ref="AC1202" ca="1">pHUM*(T1202+W1202+Z1202+AD1202)</f>
        <v>8.0873100443411297E-2</v>
      </c>
      <c r="AD1202" s="77">
        <f t="shared" ca="1" si="1568"/>
        <v>8.9618640248807876E-2</v>
      </c>
      <c r="AE1202" s="45">
        <f t="shared" ca="1" si="1581"/>
        <v>6.3847072090583081</v>
      </c>
      <c r="AF1202" s="45">
        <f t="shared" ca="1" si="1569"/>
        <v>0</v>
      </c>
      <c r="AG1202" s="76">
        <f t="shared" ca="1" si="1570"/>
        <v>64.838640188614335</v>
      </c>
      <c r="AH1202" s="45">
        <f t="shared" ca="1" si="1571"/>
        <v>0.68395157845619103</v>
      </c>
      <c r="AI1202" s="77">
        <f t="shared" ca="1" si="1572"/>
        <v>1.1077542778508507E-2</v>
      </c>
      <c r="AJ1202" s="384">
        <f t="shared" ca="1" si="1574"/>
        <v>3.2941699355304443E-2</v>
      </c>
      <c r="AU1202" s="1"/>
    </row>
    <row r="1203" spans="3:47" x14ac:dyDescent="0.25">
      <c r="C1203" s="10">
        <f t="shared" si="1599"/>
        <v>92</v>
      </c>
      <c r="D1203" s="91">
        <f t="shared" si="1582"/>
        <v>9</v>
      </c>
      <c r="E1203" s="278"/>
      <c r="F1203" s="76">
        <f t="shared" ref="F1203:Q1203" ca="1" si="1615">F1131</f>
        <v>16.16</v>
      </c>
      <c r="G1203" s="46">
        <f t="shared" ca="1" si="1615"/>
        <v>27.012600000000003</v>
      </c>
      <c r="H1203" s="46">
        <f t="shared" ca="1" si="1558"/>
        <v>28.517550000000004</v>
      </c>
      <c r="I1203" s="45">
        <f t="shared" ca="1" si="1559"/>
        <v>0.91183635166446475</v>
      </c>
      <c r="J1203" s="45">
        <f t="shared" ca="1" si="1560"/>
        <v>0.27952512346894071</v>
      </c>
      <c r="K1203" s="45">
        <f t="shared" ca="1" si="1576"/>
        <v>0.90345467800480783</v>
      </c>
      <c r="L1203" s="358">
        <f t="shared" ca="1" si="1561"/>
        <v>0.86198800670670384</v>
      </c>
      <c r="M1203" s="76">
        <f t="shared" ca="1" si="1615"/>
        <v>0.25347808785320641</v>
      </c>
      <c r="N1203" s="45">
        <f t="shared" ca="1" si="1615"/>
        <v>0.25</v>
      </c>
      <c r="O1203" s="45">
        <f t="shared" ca="1" si="1615"/>
        <v>0</v>
      </c>
      <c r="P1203" s="46" t="str">
        <f t="shared" ca="1" si="1615"/>
        <v/>
      </c>
      <c r="Q1203" s="243" t="str">
        <f t="shared" ca="1" si="1615"/>
        <v/>
      </c>
      <c r="R1203" s="45">
        <f t="shared" ca="1" si="1577"/>
        <v>7.8672295837016529E-2</v>
      </c>
      <c r="S1203" s="45">
        <f t="shared" ca="1" si="1601"/>
        <v>5.0695617570641283E-2</v>
      </c>
      <c r="T1203" s="77">
        <f t="shared" ca="1" si="1562"/>
        <v>4.1874886484751211E-2</v>
      </c>
      <c r="U1203" s="45">
        <f t="shared" ca="1" si="1578"/>
        <v>17.626856440637781</v>
      </c>
      <c r="V1203" s="45">
        <f t="shared" ca="1" si="1563"/>
        <v>0.20278247028256513</v>
      </c>
      <c r="W1203" s="77">
        <f t="shared" ca="1" si="1564"/>
        <v>0.39727488703519348</v>
      </c>
      <c r="X1203" s="45">
        <f t="shared" ca="1" si="1579"/>
        <v>1.0504695141343443</v>
      </c>
      <c r="Y1203" s="45">
        <f t="shared" ca="1" si="1565"/>
        <v>4.5370556513924722E-2</v>
      </c>
      <c r="Z1203" s="77">
        <f t="shared" ca="1" si="1566"/>
        <v>5.13828755639196E-2</v>
      </c>
      <c r="AA1203" s="45">
        <f t="shared" ca="1" si="1580"/>
        <v>39.267461238343905</v>
      </c>
      <c r="AB1203" s="45">
        <f t="shared" ca="1" si="1567"/>
        <v>0</v>
      </c>
      <c r="AC1203" s="45" cm="1">
        <f t="array" aca="1" ref="AC1203" ca="1">pHUM*(T1203+W1203+Z1203+AD1203)</f>
        <v>5.3377125310499672E-2</v>
      </c>
      <c r="AD1203" s="77">
        <f t="shared" ca="1" si="1568"/>
        <v>5.963050846001975E-2</v>
      </c>
      <c r="AE1203" s="45">
        <f t="shared" ca="1" si="1581"/>
        <v>6.3847072090583081</v>
      </c>
      <c r="AF1203" s="45">
        <f t="shared" ca="1" si="1569"/>
        <v>0</v>
      </c>
      <c r="AG1203" s="76">
        <f t="shared" ca="1" si="1570"/>
        <v>64.408166698011357</v>
      </c>
      <c r="AH1203" s="45">
        <f t="shared" ca="1" si="1571"/>
        <v>0.45141547571945967</v>
      </c>
      <c r="AI1203" s="77">
        <f t="shared" ca="1" si="1572"/>
        <v>1.0848254397423405E-2</v>
      </c>
      <c r="AJ1203" s="384">
        <f t="shared" ca="1" si="1574"/>
        <v>2.9819841881496556E-2</v>
      </c>
      <c r="AU1203" s="1"/>
    </row>
    <row r="1204" spans="3:47" x14ac:dyDescent="0.25">
      <c r="C1204" s="10">
        <f t="shared" si="1599"/>
        <v>92</v>
      </c>
      <c r="D1204" s="91">
        <f t="shared" si="1582"/>
        <v>10</v>
      </c>
      <c r="E1204" s="278"/>
      <c r="F1204" s="76">
        <f t="shared" ref="F1204:Q1204" ca="1" si="1616">F1132</f>
        <v>11.21</v>
      </c>
      <c r="G1204" s="46">
        <f t="shared" ca="1" si="1616"/>
        <v>27.012600000000003</v>
      </c>
      <c r="H1204" s="46">
        <f t="shared" ca="1" si="1558"/>
        <v>28.517550000000004</v>
      </c>
      <c r="I1204" s="45">
        <f t="shared" ca="1" si="1559"/>
        <v>0.55341948356365211</v>
      </c>
      <c r="J1204" s="45">
        <f t="shared" ca="1" si="1560"/>
        <v>0.27952512346894071</v>
      </c>
      <c r="K1204" s="45">
        <f t="shared" ca="1" si="1576"/>
        <v>0.90345467800480783</v>
      </c>
      <c r="L1204" s="358">
        <f t="shared" ca="1" si="1561"/>
        <v>0.75061725573145499</v>
      </c>
      <c r="M1204" s="76">
        <f t="shared" ca="1" si="1616"/>
        <v>0.25347808785320641</v>
      </c>
      <c r="N1204" s="45">
        <f t="shared" ca="1" si="1616"/>
        <v>0.25</v>
      </c>
      <c r="O1204" s="45">
        <f t="shared" ca="1" si="1616"/>
        <v>0</v>
      </c>
      <c r="P1204" s="46" t="str">
        <f t="shared" ca="1" si="1616"/>
        <v/>
      </c>
      <c r="Q1204" s="243" t="str">
        <f t="shared" ca="1" si="1616"/>
        <v/>
      </c>
      <c r="R1204" s="45">
        <f t="shared" ca="1" si="1577"/>
        <v>8.7493026922906586E-2</v>
      </c>
      <c r="S1204" s="45">
        <f t="shared" ca="1" si="1601"/>
        <v>5.0695617570641283E-2</v>
      </c>
      <c r="T1204" s="77">
        <f t="shared" ca="1" si="1562"/>
        <v>3.2325406484756646E-2</v>
      </c>
      <c r="U1204" s="45">
        <f t="shared" ca="1" si="1578"/>
        <v>17.43236402388515</v>
      </c>
      <c r="V1204" s="45">
        <f t="shared" ca="1" si="1563"/>
        <v>0.20278247028256513</v>
      </c>
      <c r="W1204" s="77">
        <f t="shared" ca="1" si="1564"/>
        <v>0.23952445779696521</v>
      </c>
      <c r="X1204" s="45">
        <f t="shared" ca="1" si="1579"/>
        <v>1.0444571950843493</v>
      </c>
      <c r="Y1204" s="45">
        <f t="shared" ca="1" si="1565"/>
        <v>2.7986046222089965E-2</v>
      </c>
      <c r="Z1204" s="77">
        <f t="shared" ca="1" si="1566"/>
        <v>3.131230236113057E-2</v>
      </c>
      <c r="AA1204" s="45">
        <f t="shared" ca="1" si="1580"/>
        <v>39.261207855194385</v>
      </c>
      <c r="AB1204" s="45">
        <f t="shared" ca="1" si="1567"/>
        <v>0</v>
      </c>
      <c r="AC1204" s="45" cm="1">
        <f t="array" aca="1" ref="AC1204" ca="1">pHUM*(T1204+W1204+Z1204+AD1204)</f>
        <v>3.2924760261282313E-2</v>
      </c>
      <c r="AD1204" s="77">
        <f t="shared" ca="1" si="1568"/>
        <v>3.6196499852424659E-2</v>
      </c>
      <c r="AE1204" s="45">
        <f t="shared" ca="1" si="1581"/>
        <v>6.3847072090583081</v>
      </c>
      <c r="AF1204" s="45">
        <f t="shared" ca="1" si="1569"/>
        <v>0</v>
      </c>
      <c r="AG1204" s="76">
        <f t="shared" ca="1" si="1570"/>
        <v>64.210229310145095</v>
      </c>
      <c r="AH1204" s="45">
        <f t="shared" ca="1" si="1571"/>
        <v>0.27844786001190486</v>
      </c>
      <c r="AI1204" s="77">
        <f t="shared" ca="1" si="1572"/>
        <v>1.0922520464528762E-2</v>
      </c>
      <c r="AJ1204" s="384">
        <f t="shared" ca="1" si="1574"/>
        <v>2.6144911060475007E-2</v>
      </c>
      <c r="AU1204" s="1"/>
    </row>
    <row r="1205" spans="3:47" x14ac:dyDescent="0.25">
      <c r="C1205" s="10">
        <f t="shared" si="1599"/>
        <v>92</v>
      </c>
      <c r="D1205" s="91">
        <f t="shared" si="1582"/>
        <v>11</v>
      </c>
      <c r="E1205" s="278"/>
      <c r="F1205" s="76">
        <f t="shared" ref="F1205:Q1205" ca="1" si="1617">F1133</f>
        <v>1.8</v>
      </c>
      <c r="G1205" s="46">
        <f t="shared" ca="1" si="1617"/>
        <v>27.012600000000003</v>
      </c>
      <c r="H1205" s="46">
        <f t="shared" ca="1" si="1558"/>
        <v>28.517550000000004</v>
      </c>
      <c r="I1205" s="45">
        <f t="shared" ca="1" si="1559"/>
        <v>0.10471759589279002</v>
      </c>
      <c r="J1205" s="45">
        <f t="shared" ca="1" si="1560"/>
        <v>0.27952512346894071</v>
      </c>
      <c r="K1205" s="45">
        <f t="shared" ca="1" si="1576"/>
        <v>0.90345467800480783</v>
      </c>
      <c r="L1205" s="358">
        <f t="shared" ca="1" si="1561"/>
        <v>0.42572038710161686</v>
      </c>
      <c r="M1205" s="76">
        <f t="shared" ca="1" si="1617"/>
        <v>0.25347808785320641</v>
      </c>
      <c r="N1205" s="45">
        <f t="shared" ca="1" si="1617"/>
        <v>0.25</v>
      </c>
      <c r="O1205" s="45">
        <f t="shared" ca="1" si="1617"/>
        <v>0</v>
      </c>
      <c r="P1205" s="46" t="str">
        <f t="shared" ca="1" si="1617"/>
        <v/>
      </c>
      <c r="Q1205" s="243" t="str">
        <f t="shared" ca="1" si="1617"/>
        <v/>
      </c>
      <c r="R1205" s="45">
        <f t="shared" ca="1" si="1577"/>
        <v>0.10586323800879122</v>
      </c>
      <c r="S1205" s="45">
        <f t="shared" ca="1" si="1601"/>
        <v>5.0695617570641283E-2</v>
      </c>
      <c r="T1205" s="77">
        <f t="shared" ca="1" si="1562"/>
        <v>8.8465126159825002E-3</v>
      </c>
      <c r="U1205" s="45">
        <f t="shared" ca="1" si="1578"/>
        <v>17.395622036370749</v>
      </c>
      <c r="V1205" s="45">
        <f t="shared" ca="1" si="1563"/>
        <v>0.20278247028256513</v>
      </c>
      <c r="W1205" s="77">
        <f t="shared" ca="1" si="1564"/>
        <v>4.5481133554832215E-2</v>
      </c>
      <c r="X1205" s="45">
        <f t="shared" ca="1" si="1579"/>
        <v>1.0411309389453087</v>
      </c>
      <c r="Y1205" s="45">
        <f t="shared" ca="1" si="1565"/>
        <v>5.538335844164825E-3</v>
      </c>
      <c r="Z1205" s="77">
        <f t="shared" ca="1" si="1566"/>
        <v>5.9791252737900766E-3</v>
      </c>
      <c r="AA1205" s="45">
        <f t="shared" ca="1" si="1580"/>
        <v>39.257936115603243</v>
      </c>
      <c r="AB1205" s="45">
        <f t="shared" ca="1" si="1567"/>
        <v>0</v>
      </c>
      <c r="AC1205" s="45" cm="1">
        <f t="array" aca="1" ref="AC1205" ca="1">pHUM*(T1205+W1205+Z1205+AD1205)</f>
        <v>6.515689228429206E-3</v>
      </c>
      <c r="AD1205" s="77">
        <f t="shared" ca="1" si="1568"/>
        <v>6.851063276444724E-3</v>
      </c>
      <c r="AE1205" s="45">
        <f t="shared" ca="1" si="1581"/>
        <v>6.3847072090583081</v>
      </c>
      <c r="AF1205" s="45">
        <f t="shared" ca="1" si="1569"/>
        <v>0</v>
      </c>
      <c r="AG1205" s="76">
        <f t="shared" ca="1" si="1570"/>
        <v>64.185259537986397</v>
      </c>
      <c r="AH1205" s="45">
        <f t="shared" ca="1" si="1571"/>
        <v>5.5103809648455487E-2</v>
      </c>
      <c r="AI1205" s="77">
        <f t="shared" ca="1" si="1572"/>
        <v>1.1172938407396159E-2</v>
      </c>
      <c r="AJ1205" s="384">
        <f t="shared" ca="1" si="1574"/>
        <v>1.5168481561907976E-2</v>
      </c>
      <c r="AU1205" s="1"/>
    </row>
    <row r="1206" spans="3:47" x14ac:dyDescent="0.25">
      <c r="C1206" s="10">
        <f t="shared" si="1599"/>
        <v>92</v>
      </c>
      <c r="D1206" s="91">
        <f t="shared" si="1582"/>
        <v>12</v>
      </c>
      <c r="E1206" s="278"/>
      <c r="F1206" s="76">
        <f t="shared" ref="F1206:Q1206" ca="1" si="1618">F1134</f>
        <v>-0.63</v>
      </c>
      <c r="G1206" s="46">
        <f t="shared" ca="1" si="1618"/>
        <v>27.012600000000003</v>
      </c>
      <c r="H1206" s="46">
        <f t="shared" ca="1" si="1558"/>
        <v>28.517550000000004</v>
      </c>
      <c r="I1206" s="45">
        <f t="shared" ca="1" si="1559"/>
        <v>5.069926650983797E-2</v>
      </c>
      <c r="J1206" s="45">
        <f t="shared" ca="1" si="1560"/>
        <v>0.27952512346894071</v>
      </c>
      <c r="K1206" s="45">
        <f t="shared" ca="1" si="1576"/>
        <v>0.90345467800480783</v>
      </c>
      <c r="L1206" s="358">
        <f t="shared" ca="1" si="1561"/>
        <v>0.3403279781726225</v>
      </c>
      <c r="M1206" s="76">
        <f t="shared" ca="1" si="1618"/>
        <v>0.25347808785320641</v>
      </c>
      <c r="N1206" s="45">
        <f t="shared" ca="1" si="1618"/>
        <v>0.25</v>
      </c>
      <c r="O1206" s="45">
        <f t="shared" ca="1" si="1618"/>
        <v>0</v>
      </c>
      <c r="P1206" s="46" t="str">
        <f t="shared" ca="1" si="1618"/>
        <v/>
      </c>
      <c r="Q1206" s="243" t="str">
        <f t="shared" ca="1" si="1618"/>
        <v/>
      </c>
      <c r="R1206" s="45">
        <f t="shared" ca="1" si="1577"/>
        <v>0.14771234296345001</v>
      </c>
      <c r="S1206" s="45">
        <f t="shared" ca="1" si="1601"/>
        <v>5.0695617570641283E-2</v>
      </c>
      <c r="T1206" s="77">
        <f t="shared" ca="1" si="1562"/>
        <v>6.1107593251454049E-3</v>
      </c>
      <c r="U1206" s="45">
        <f t="shared" ca="1" si="1578"/>
        <v>17.55292337309848</v>
      </c>
      <c r="V1206" s="45">
        <f t="shared" ca="1" si="1563"/>
        <v>0.20278247028256513</v>
      </c>
      <c r="W1206" s="77">
        <f t="shared" ca="1" si="1564"/>
        <v>2.2233914986635919E-2</v>
      </c>
      <c r="X1206" s="45">
        <f t="shared" ca="1" si="1579"/>
        <v>1.0406901495156833</v>
      </c>
      <c r="Y1206" s="45">
        <f t="shared" ca="1" si="1565"/>
        <v>2.8500451083635554E-3</v>
      </c>
      <c r="Z1206" s="77">
        <f t="shared" ca="1" si="1566"/>
        <v>2.8978803095694584E-3</v>
      </c>
      <c r="AA1206" s="45">
        <f t="shared" ca="1" si="1580"/>
        <v>39.25760074155523</v>
      </c>
      <c r="AB1206" s="45">
        <f t="shared" ca="1" si="1567"/>
        <v>0</v>
      </c>
      <c r="AC1206" s="45" cm="1">
        <f t="array" aca="1" ref="AC1206" ca="1">pHUM*(T1206+W1206+Z1206+AD1206)</f>
        <v>3.3529942451335946E-3</v>
      </c>
      <c r="AD1206" s="77">
        <f t="shared" ca="1" si="1568"/>
        <v>3.3170791243486214E-3</v>
      </c>
      <c r="AE1206" s="45">
        <f t="shared" ca="1" si="1581"/>
        <v>6.3847072090583081</v>
      </c>
      <c r="AF1206" s="45">
        <f t="shared" ca="1" si="1569"/>
        <v>0</v>
      </c>
      <c r="AG1206" s="76">
        <f t="shared" ca="1" si="1570"/>
        <v>64.38363381619115</v>
      </c>
      <c r="AH1206" s="45">
        <f t="shared" ca="1" si="1571"/>
        <v>2.8356594392202259E-2</v>
      </c>
      <c r="AI1206" s="77">
        <f t="shared" ca="1" si="1572"/>
        <v>1.1803390791927172E-2</v>
      </c>
      <c r="AJ1206" s="384">
        <f t="shared" ca="1" si="1574"/>
        <v>1.2810192649500562E-2</v>
      </c>
      <c r="AU1206" s="1"/>
    </row>
    <row r="1207" spans="3:47" x14ac:dyDescent="0.25">
      <c r="C1207" s="10">
        <f t="shared" si="1599"/>
        <v>93</v>
      </c>
      <c r="D1207" s="91">
        <f t="shared" si="1582"/>
        <v>1</v>
      </c>
      <c r="E1207" s="278"/>
      <c r="F1207" s="76">
        <f t="shared" ref="F1207:Q1207" ca="1" si="1619">F1135</f>
        <v>-5.04</v>
      </c>
      <c r="G1207" s="46">
        <f t="shared" ca="1" si="1619"/>
        <v>27.012600000000003</v>
      </c>
      <c r="H1207" s="46">
        <f t="shared" ca="1" si="1558"/>
        <v>28.517550000000004</v>
      </c>
      <c r="I1207" s="45">
        <f t="shared" ca="1" si="1559"/>
        <v>6.847402527399577E-3</v>
      </c>
      <c r="J1207" s="45">
        <f t="shared" ca="1" si="1560"/>
        <v>0.27952512346894071</v>
      </c>
      <c r="K1207" s="45">
        <f t="shared" ca="1" si="1576"/>
        <v>0.90345467800480783</v>
      </c>
      <c r="L1207" s="358">
        <f t="shared" ca="1" si="1561"/>
        <v>0.21084054547214914</v>
      </c>
      <c r="M1207" s="76">
        <f t="shared" ca="1" si="1619"/>
        <v>0.25347808785320641</v>
      </c>
      <c r="N1207" s="45">
        <f t="shared" ca="1" si="1619"/>
        <v>0.25</v>
      </c>
      <c r="O1207" s="45">
        <f t="shared" ca="1" si="1619"/>
        <v>0</v>
      </c>
      <c r="P1207" s="46" t="str">
        <f t="shared" ca="1" si="1619"/>
        <v/>
      </c>
      <c r="Q1207" s="243" t="str">
        <f t="shared" ca="1" si="1619"/>
        <v/>
      </c>
      <c r="R1207" s="45">
        <f t="shared" ca="1" si="1577"/>
        <v>0.19229720120894589</v>
      </c>
      <c r="S1207" s="45">
        <f t="shared" ca="1" si="1601"/>
        <v>5.0695617570641283E-2</v>
      </c>
      <c r="T1207" s="77">
        <f t="shared" ca="1" si="1562"/>
        <v>1.0941555975497383E-3</v>
      </c>
      <c r="U1207" s="45">
        <f t="shared" ca="1" si="1578"/>
        <v>17.733471928394408</v>
      </c>
      <c r="V1207" s="45">
        <f t="shared" ca="1" si="1563"/>
        <v>0.20278247028256513</v>
      </c>
      <c r="W1207" s="77">
        <f t="shared" ca="1" si="1564"/>
        <v>3.0354456936573515E-3</v>
      </c>
      <c r="X1207" s="45">
        <f t="shared" ca="1" si="1579"/>
        <v>1.0406423143144774</v>
      </c>
      <c r="Y1207" s="45">
        <f t="shared" ca="1" si="1565"/>
        <v>4.0981870150076833E-4</v>
      </c>
      <c r="Z1207" s="77">
        <f t="shared" ca="1" si="1566"/>
        <v>3.9183953530904844E-4</v>
      </c>
      <c r="AA1207" s="45">
        <f t="shared" ca="1" si="1580"/>
        <v>39.257636656676013</v>
      </c>
      <c r="AB1207" s="45">
        <f t="shared" ca="1" si="1567"/>
        <v>0</v>
      </c>
      <c r="AC1207" s="45" cm="1">
        <f t="array" aca="1" ref="AC1207" ca="1">pHUM*(T1207+W1207+Z1207+AD1207)</f>
        <v>4.8213964882443333E-4</v>
      </c>
      <c r="AD1207" s="77">
        <f t="shared" ca="1" si="1568"/>
        <v>4.4801884429479565E-4</v>
      </c>
      <c r="AE1207" s="45">
        <f t="shared" ca="1" si="1581"/>
        <v>6.3847072090583081</v>
      </c>
      <c r="AF1207" s="45">
        <f t="shared" ca="1" si="1569"/>
        <v>0</v>
      </c>
      <c r="AG1207" s="76">
        <f t="shared" ca="1" si="1570"/>
        <v>64.608755309652153</v>
      </c>
      <c r="AH1207" s="45">
        <f t="shared" ca="1" si="1571"/>
        <v>4.0775013204857324E-3</v>
      </c>
      <c r="AI1207" s="77">
        <f t="shared" ca="1" si="1572"/>
        <v>1.2473354417822834E-2</v>
      </c>
      <c r="AJ1207" s="384">
        <f t="shared" ca="1" si="1574"/>
        <v>8.3866868509296921E-3</v>
      </c>
      <c r="AU1207" s="1"/>
    </row>
    <row r="1208" spans="3:47" x14ac:dyDescent="0.25">
      <c r="C1208" s="10">
        <f t="shared" si="1599"/>
        <v>93</v>
      </c>
      <c r="D1208" s="91">
        <f t="shared" si="1582"/>
        <v>2</v>
      </c>
      <c r="E1208" s="278"/>
      <c r="F1208" s="76">
        <f t="shared" ref="F1208:Q1208" ca="1" si="1620">F1136</f>
        <v>-4.4400000000000004</v>
      </c>
      <c r="G1208" s="46">
        <f t="shared" ca="1" si="1620"/>
        <v>27.012600000000003</v>
      </c>
      <c r="H1208" s="46">
        <f t="shared" ca="1" si="1558"/>
        <v>28.517550000000004</v>
      </c>
      <c r="I1208" s="45">
        <f t="shared" ca="1" si="1559"/>
        <v>9.6941753008840392E-3</v>
      </c>
      <c r="J1208" s="45">
        <f t="shared" ca="1" si="1560"/>
        <v>0.27952512346894071</v>
      </c>
      <c r="K1208" s="45">
        <f t="shared" ca="1" si="1576"/>
        <v>0.90345467800480783</v>
      </c>
      <c r="L1208" s="358">
        <f t="shared" ca="1" si="1561"/>
        <v>0.22612365929309886</v>
      </c>
      <c r="M1208" s="76">
        <f t="shared" ca="1" si="1620"/>
        <v>0.25347808785320641</v>
      </c>
      <c r="N1208" s="45">
        <f t="shared" ca="1" si="1620"/>
        <v>0.25</v>
      </c>
      <c r="O1208" s="45">
        <f t="shared" ca="1" si="1620"/>
        <v>0</v>
      </c>
      <c r="P1208" s="46" t="str">
        <f t="shared" ca="1" si="1620"/>
        <v/>
      </c>
      <c r="Q1208" s="243" t="str">
        <f t="shared" ca="1" si="1620"/>
        <v/>
      </c>
      <c r="R1208" s="45">
        <f t="shared" ca="1" si="1577"/>
        <v>0.24189866318203743</v>
      </c>
      <c r="S1208" s="45">
        <f t="shared" ca="1" si="1601"/>
        <v>5.0695617570641283E-2</v>
      </c>
      <c r="T1208" s="77">
        <f t="shared" ca="1" si="1562"/>
        <v>1.9463012095627269E-3</v>
      </c>
      <c r="U1208" s="45">
        <f t="shared" ca="1" si="1578"/>
        <v>17.933218952983314</v>
      </c>
      <c r="V1208" s="45">
        <f t="shared" ca="1" si="1563"/>
        <v>0.20278247028256513</v>
      </c>
      <c r="W1208" s="77">
        <f t="shared" ca="1" si="1564"/>
        <v>4.3456675889216347E-3</v>
      </c>
      <c r="X1208" s="45">
        <f t="shared" ca="1" si="1579"/>
        <v>1.040660293480669</v>
      </c>
      <c r="Y1208" s="45">
        <f t="shared" ca="1" si="1565"/>
        <v>6.1693568362199721E-4</v>
      </c>
      <c r="Z1208" s="77">
        <f t="shared" ca="1" si="1566"/>
        <v>5.5471098880774449E-4</v>
      </c>
      <c r="AA1208" s="45">
        <f t="shared" ca="1" si="1580"/>
        <v>39.257670777480541</v>
      </c>
      <c r="AB1208" s="45">
        <f t="shared" ca="1" si="1567"/>
        <v>0</v>
      </c>
      <c r="AC1208" s="45" cm="1">
        <f t="array" aca="1" ref="AC1208" ca="1">pHUM*(T1208+W1208+Z1208+AD1208)</f>
        <v>7.2580668661411437E-4</v>
      </c>
      <c r="AD1208" s="77">
        <f t="shared" ca="1" si="1568"/>
        <v>6.3427944667282033E-4</v>
      </c>
      <c r="AE1208" s="45">
        <f t="shared" ca="1" si="1581"/>
        <v>6.3847072090583081</v>
      </c>
      <c r="AF1208" s="45">
        <f t="shared" ca="1" si="1569"/>
        <v>0</v>
      </c>
      <c r="AG1208" s="76">
        <f t="shared" ca="1" si="1570"/>
        <v>64.858155896184869</v>
      </c>
      <c r="AH1208" s="45">
        <f t="shared" ca="1" si="1571"/>
        <v>6.1382168637288152E-3</v>
      </c>
      <c r="AI1208" s="77">
        <f t="shared" ca="1" si="1572"/>
        <v>1.3212466135083201E-2</v>
      </c>
      <c r="AJ1208" s="384">
        <f t="shared" ca="1" si="1574"/>
        <v>9.5275768001290562E-3</v>
      </c>
      <c r="AU1208" s="1"/>
    </row>
    <row r="1209" spans="3:47" x14ac:dyDescent="0.25">
      <c r="C1209" s="10">
        <f t="shared" si="1599"/>
        <v>93</v>
      </c>
      <c r="D1209" s="91">
        <f t="shared" si="1582"/>
        <v>3</v>
      </c>
      <c r="E1209" s="278"/>
      <c r="F1209" s="76">
        <f t="shared" ref="F1209:Q1209" ca="1" si="1621">F1137</f>
        <v>-0.82</v>
      </c>
      <c r="G1209" s="46">
        <f t="shared" ca="1" si="1621"/>
        <v>27.012600000000003</v>
      </c>
      <c r="H1209" s="46">
        <f t="shared" ca="1" si="1558"/>
        <v>28.517550000000004</v>
      </c>
      <c r="I1209" s="45">
        <f t="shared" ca="1" si="1559"/>
        <v>4.749388171975074E-2</v>
      </c>
      <c r="J1209" s="45">
        <f t="shared" ca="1" si="1560"/>
        <v>0.27952512346894071</v>
      </c>
      <c r="K1209" s="45">
        <f t="shared" ca="1" si="1576"/>
        <v>0.90345467800480783</v>
      </c>
      <c r="L1209" s="358">
        <f t="shared" ca="1" si="1561"/>
        <v>0.33399301288143546</v>
      </c>
      <c r="M1209" s="76">
        <f t="shared" ca="1" si="1621"/>
        <v>0.25347808785320641</v>
      </c>
      <c r="N1209" s="45">
        <f t="shared" ca="1" si="1621"/>
        <v>0.25</v>
      </c>
      <c r="O1209" s="45">
        <f t="shared" ca="1" si="1621"/>
        <v>0</v>
      </c>
      <c r="P1209" s="46" t="str">
        <f t="shared" ca="1" si="1621"/>
        <v/>
      </c>
      <c r="Q1209" s="243" t="str">
        <f t="shared" ca="1" si="1621"/>
        <v/>
      </c>
      <c r="R1209" s="45">
        <f t="shared" ca="1" si="1577"/>
        <v>0.29064797954311594</v>
      </c>
      <c r="S1209" s="45">
        <f t="shared" ca="1" si="1601"/>
        <v>5.0695617570641283E-2</v>
      </c>
      <c r="T1209" s="77">
        <f t="shared" ca="1" si="1562"/>
        <v>1.1278666868164679E-2</v>
      </c>
      <c r="U1209" s="45">
        <f t="shared" ca="1" si="1578"/>
        <v>18.131655755676956</v>
      </c>
      <c r="V1209" s="45">
        <f t="shared" ca="1" si="1563"/>
        <v>0.20278247028256513</v>
      </c>
      <c r="W1209" s="77">
        <f t="shared" ca="1" si="1564"/>
        <v>2.1515791962368098E-2</v>
      </c>
      <c r="X1209" s="45">
        <f t="shared" ca="1" si="1579"/>
        <v>1.0407225181754833</v>
      </c>
      <c r="Y1209" s="45">
        <f t="shared" ca="1" si="1565"/>
        <v>3.1846318926247309E-3</v>
      </c>
      <c r="Z1209" s="77">
        <f t="shared" ca="1" si="1566"/>
        <v>2.7149898275262503E-3</v>
      </c>
      <c r="AA1209" s="45">
        <f t="shared" ca="1" si="1580"/>
        <v>39.257762304720487</v>
      </c>
      <c r="AB1209" s="45">
        <f t="shared" ca="1" si="1567"/>
        <v>0</v>
      </c>
      <c r="AC1209" s="45" cm="1">
        <f t="array" aca="1" ref="AC1209" ca="1">pHUM*(T1209+W1209+Z1209+AD1209)</f>
        <v>3.7466257560290952E-3</v>
      </c>
      <c r="AD1209" s="77">
        <f t="shared" ca="1" si="1568"/>
        <v>3.107382879452501E-3</v>
      </c>
      <c r="AE1209" s="45">
        <f t="shared" ca="1" si="1581"/>
        <v>6.3847072090583081</v>
      </c>
      <c r="AF1209" s="45">
        <f t="shared" ca="1" si="1569"/>
        <v>0</v>
      </c>
      <c r="AG1209" s="76">
        <f t="shared" ca="1" si="1570"/>
        <v>65.105495767174347</v>
      </c>
      <c r="AH1209" s="45">
        <f t="shared" ca="1" si="1571"/>
        <v>3.1685573888857711E-2</v>
      </c>
      <c r="AI1209" s="77">
        <f t="shared" ca="1" si="1572"/>
        <v>1.3933181177263963E-2</v>
      </c>
      <c r="AJ1209" s="384">
        <f t="shared" ca="1" si="1574"/>
        <v>1.4840141959319153E-2</v>
      </c>
      <c r="AU1209" s="1"/>
    </row>
    <row r="1210" spans="3:47" x14ac:dyDescent="0.25">
      <c r="C1210" s="10">
        <f t="shared" si="1599"/>
        <v>93</v>
      </c>
      <c r="D1210" s="91">
        <f t="shared" si="1582"/>
        <v>4</v>
      </c>
      <c r="E1210" s="278"/>
      <c r="F1210" s="76">
        <f t="shared" ref="F1210:Q1210" ca="1" si="1622">F1138</f>
        <v>6.18</v>
      </c>
      <c r="G1210" s="46">
        <f t="shared" ca="1" si="1622"/>
        <v>27.012600000000003</v>
      </c>
      <c r="H1210" s="46">
        <f t="shared" ca="1" si="1558"/>
        <v>28.517550000000004</v>
      </c>
      <c r="I1210" s="45">
        <f t="shared" ca="1" si="1559"/>
        <v>0.26773980091806004</v>
      </c>
      <c r="J1210" s="45">
        <f t="shared" ca="1" si="1560"/>
        <v>0.27952512346894071</v>
      </c>
      <c r="K1210" s="45">
        <f t="shared" ca="1" si="1576"/>
        <v>0.90345467800480783</v>
      </c>
      <c r="L1210" s="358">
        <f t="shared" ca="1" si="1561"/>
        <v>0.58750950384279488</v>
      </c>
      <c r="M1210" s="76">
        <f t="shared" ca="1" si="1622"/>
        <v>0.25347808785320641</v>
      </c>
      <c r="N1210" s="45">
        <f t="shared" ca="1" si="1622"/>
        <v>0.25</v>
      </c>
      <c r="O1210" s="45">
        <f t="shared" ca="1" si="1622"/>
        <v>0</v>
      </c>
      <c r="P1210" s="46" t="str">
        <f t="shared" ca="1" si="1622"/>
        <v/>
      </c>
      <c r="Q1210" s="243" t="str">
        <f t="shared" ca="1" si="1622"/>
        <v/>
      </c>
      <c r="R1210" s="45">
        <f t="shared" ca="1" si="1577"/>
        <v>0.33006493024559252</v>
      </c>
      <c r="S1210" s="45">
        <f t="shared" ca="1" si="1601"/>
        <v>5.0695617570641283E-2</v>
      </c>
      <c r="T1210" s="77">
        <f t="shared" ca="1" si="1562"/>
        <v>6.6005843202412762E-2</v>
      </c>
      <c r="U1210" s="45">
        <f t="shared" ca="1" si="1578"/>
        <v>18.312922433997151</v>
      </c>
      <c r="V1210" s="45">
        <f t="shared" ca="1" si="1563"/>
        <v>0.20278247028256513</v>
      </c>
      <c r="W1210" s="77">
        <f t="shared" ca="1" si="1564"/>
        <v>0.12216813314876075</v>
      </c>
      <c r="X1210" s="45">
        <f t="shared" ca="1" si="1579"/>
        <v>1.0411921602405818</v>
      </c>
      <c r="Y1210" s="45">
        <f t="shared" ca="1" si="1565"/>
        <v>1.8217753770091924E-2</v>
      </c>
      <c r="Z1210" s="77">
        <f t="shared" ca="1" si="1566"/>
        <v>1.5219934948070645E-2</v>
      </c>
      <c r="AA1210" s="45">
        <f t="shared" ca="1" si="1580"/>
        <v>39.258401547597067</v>
      </c>
      <c r="AB1210" s="45">
        <f t="shared" ca="1" si="1567"/>
        <v>0</v>
      </c>
      <c r="AC1210" s="45" cm="1">
        <f t="array" aca="1" ref="AC1210" ca="1">pHUM*(T1210+W1210+Z1210+AD1210)</f>
        <v>2.1432651494225793E-2</v>
      </c>
      <c r="AD1210" s="77">
        <f t="shared" ca="1" si="1568"/>
        <v>1.75144862963349E-2</v>
      </c>
      <c r="AE1210" s="45">
        <f t="shared" ca="1" si="1581"/>
        <v>6.3847072090583081</v>
      </c>
      <c r="AF1210" s="45">
        <f t="shared" ca="1" si="1569"/>
        <v>0</v>
      </c>
      <c r="AG1210" s="76">
        <f t="shared" ca="1" si="1570"/>
        <v>65.327288281138692</v>
      </c>
      <c r="AH1210" s="45">
        <f t="shared" ca="1" si="1571"/>
        <v>0.18125799233126133</v>
      </c>
      <c r="AI1210" s="77">
        <f t="shared" ca="1" si="1572"/>
        <v>1.4515370584143169E-2</v>
      </c>
      <c r="AJ1210" s="384">
        <f t="shared" ca="1" si="1574"/>
        <v>2.7194955457232606E-2</v>
      </c>
      <c r="AU1210" s="1"/>
    </row>
    <row r="1211" spans="3:47" x14ac:dyDescent="0.25">
      <c r="C1211" s="10">
        <f t="shared" si="1599"/>
        <v>93</v>
      </c>
      <c r="D1211" s="91">
        <f t="shared" si="1582"/>
        <v>5</v>
      </c>
      <c r="E1211" s="278"/>
      <c r="F1211" s="76">
        <f t="shared" ref="F1211:Q1211" ca="1" si="1623">F1139</f>
        <v>13.58</v>
      </c>
      <c r="G1211" s="46">
        <f t="shared" ca="1" si="1623"/>
        <v>27.012600000000003</v>
      </c>
      <c r="H1211" s="46">
        <f t="shared" ca="1" si="1558"/>
        <v>28.517550000000004</v>
      </c>
      <c r="I1211" s="45">
        <f t="shared" ca="1" si="1559"/>
        <v>0.71743035359667851</v>
      </c>
      <c r="J1211" s="45">
        <f t="shared" ca="1" si="1560"/>
        <v>0.27952512346894071</v>
      </c>
      <c r="K1211" s="45">
        <f t="shared" ca="1" si="1576"/>
        <v>0.90345467800480783</v>
      </c>
      <c r="L1211" s="358">
        <f t="shared" ca="1" si="1561"/>
        <v>0.81042644426030708</v>
      </c>
      <c r="M1211" s="76">
        <f t="shared" ca="1" si="1623"/>
        <v>0.25347808785320641</v>
      </c>
      <c r="N1211" s="45">
        <f t="shared" ca="1" si="1623"/>
        <v>0.25</v>
      </c>
      <c r="O1211" s="45">
        <f t="shared" ca="1" si="1623"/>
        <v>0</v>
      </c>
      <c r="P1211" s="46" t="str">
        <f t="shared" ca="1" si="1623"/>
        <v/>
      </c>
      <c r="Q1211" s="243" t="str">
        <f t="shared" ca="1" si="1623"/>
        <v/>
      </c>
      <c r="R1211" s="45">
        <f t="shared" ca="1" si="1577"/>
        <v>0.31475470461382105</v>
      </c>
      <c r="S1211" s="45">
        <f t="shared" ca="1" si="1601"/>
        <v>5.0695617570641283E-2</v>
      </c>
      <c r="T1211" s="77">
        <f t="shared" ca="1" si="1562"/>
        <v>0.14164336103755834</v>
      </c>
      <c r="U1211" s="45">
        <f t="shared" ca="1" si="1578"/>
        <v>18.393536771130954</v>
      </c>
      <c r="V1211" s="45">
        <f t="shared" ca="1" si="1563"/>
        <v>0.20278247028256513</v>
      </c>
      <c r="W1211" s="77">
        <f t="shared" ca="1" si="1564"/>
        <v>0.32696112677740785</v>
      </c>
      <c r="X1211" s="45">
        <f t="shared" ca="1" si="1579"/>
        <v>1.044189979062603</v>
      </c>
      <c r="Y1211" s="45">
        <f t="shared" ca="1" si="1565"/>
        <v>4.5845564678101074E-2</v>
      </c>
      <c r="Z1211" s="77">
        <f t="shared" ca="1" si="1566"/>
        <v>4.0400039596509771E-2</v>
      </c>
      <c r="AA1211" s="45">
        <f t="shared" ca="1" si="1580"/>
        <v>39.262319712794955</v>
      </c>
      <c r="AB1211" s="45">
        <f t="shared" ca="1" si="1567"/>
        <v>0</v>
      </c>
      <c r="AC1211" s="45" cm="1">
        <f t="array" aca="1" ref="AC1211" ca="1">pHUM*(T1211+W1211+Z1211+AD1211)</f>
        <v>5.3935958444824794E-2</v>
      </c>
      <c r="AD1211" s="77">
        <f t="shared" ca="1" si="1568"/>
        <v>4.6918576924821348E-2</v>
      </c>
      <c r="AE1211" s="45">
        <f t="shared" ca="1" si="1581"/>
        <v>6.3847072090583081</v>
      </c>
      <c r="AF1211" s="45">
        <f t="shared" ca="1" si="1569"/>
        <v>0</v>
      </c>
      <c r="AG1211" s="76">
        <f t="shared" ca="1" si="1570"/>
        <v>65.399508376660648</v>
      </c>
      <c r="AH1211" s="45">
        <f t="shared" ca="1" si="1571"/>
        <v>0.45614158121337151</v>
      </c>
      <c r="AI1211" s="77">
        <f t="shared" ca="1" si="1572"/>
        <v>1.4318469911072261E-2</v>
      </c>
      <c r="AJ1211" s="384">
        <f t="shared" ca="1" si="1574"/>
        <v>3.7004242902584084E-2</v>
      </c>
      <c r="AU1211" s="1"/>
    </row>
    <row r="1212" spans="3:47" x14ac:dyDescent="0.25">
      <c r="C1212" s="10">
        <f t="shared" si="1599"/>
        <v>93</v>
      </c>
      <c r="D1212" s="91">
        <f t="shared" si="1582"/>
        <v>6</v>
      </c>
      <c r="E1212" s="278"/>
      <c r="F1212" s="76">
        <f t="shared" ref="F1212:Q1212" ca="1" si="1624">F1140</f>
        <v>18.37</v>
      </c>
      <c r="G1212" s="46">
        <f t="shared" ca="1" si="1624"/>
        <v>27.012600000000003</v>
      </c>
      <c r="H1212" s="46">
        <f t="shared" ca="1" si="1558"/>
        <v>28.517550000000004</v>
      </c>
      <c r="I1212" s="45">
        <f t="shared" ca="1" si="1559"/>
        <v>1.0882596087882719</v>
      </c>
      <c r="J1212" s="45">
        <f t="shared" ca="1" si="1560"/>
        <v>0.27952512346894071</v>
      </c>
      <c r="K1212" s="45">
        <f t="shared" ca="1" si="1576"/>
        <v>0.90345467800480783</v>
      </c>
      <c r="L1212" s="358">
        <f t="shared" ca="1" si="1561"/>
        <v>0.89586760620832129</v>
      </c>
      <c r="M1212" s="76">
        <f t="shared" ca="1" si="1624"/>
        <v>0.25347808785320641</v>
      </c>
      <c r="N1212" s="45">
        <f t="shared" ca="1" si="1624"/>
        <v>0.25</v>
      </c>
      <c r="O1212" s="45">
        <f t="shared" ca="1" si="1624"/>
        <v>0</v>
      </c>
      <c r="P1212" s="46" t="str">
        <f t="shared" ca="1" si="1624"/>
        <v/>
      </c>
      <c r="Q1212" s="243" t="str">
        <f t="shared" ca="1" si="1624"/>
        <v/>
      </c>
      <c r="R1212" s="45">
        <f t="shared" ca="1" si="1577"/>
        <v>0.22380696114690399</v>
      </c>
      <c r="S1212" s="45">
        <f t="shared" ca="1" si="1601"/>
        <v>5.0695617570641283E-2</v>
      </c>
      <c r="T1212" s="77">
        <f t="shared" ca="1" si="1562"/>
        <v>0.1334379969187959</v>
      </c>
      <c r="U1212" s="45">
        <f t="shared" ca="1" si="1578"/>
        <v>18.269358114636109</v>
      </c>
      <c r="V1212" s="45">
        <f t="shared" ca="1" si="1563"/>
        <v>0.20278247028256513</v>
      </c>
      <c r="W1212" s="77">
        <f t="shared" ca="1" si="1564"/>
        <v>0.49034458978885809</v>
      </c>
      <c r="X1212" s="45">
        <f t="shared" ca="1" si="1579"/>
        <v>1.0496355041441943</v>
      </c>
      <c r="Y1212" s="45">
        <f t="shared" ca="1" si="1565"/>
        <v>6.2339243509936297E-2</v>
      </c>
      <c r="Z1212" s="77">
        <f t="shared" ca="1" si="1566"/>
        <v>6.0981955552232819E-2</v>
      </c>
      <c r="AA1212" s="45">
        <f t="shared" ca="1" si="1580"/>
        <v>39.269337094314956</v>
      </c>
      <c r="AB1212" s="45">
        <f t="shared" ca="1" si="1567"/>
        <v>0</v>
      </c>
      <c r="AC1212" s="45" cm="1">
        <f t="array" aca="1" ref="AC1212" ca="1">pHUM*(T1212+W1212+Z1212+AD1212)</f>
        <v>7.3340286482278E-2</v>
      </c>
      <c r="AD1212" s="77">
        <f t="shared" ca="1" si="1568"/>
        <v>7.1160834978930707E-2</v>
      </c>
      <c r="AE1212" s="45">
        <f t="shared" ca="1" si="1581"/>
        <v>6.3847072090583081</v>
      </c>
      <c r="AF1212" s="45">
        <f t="shared" ca="1" si="1569"/>
        <v>0</v>
      </c>
      <c r="AG1212" s="76">
        <f t="shared" ca="1" si="1570"/>
        <v>65.196844883300471</v>
      </c>
      <c r="AH1212" s="45">
        <f t="shared" ca="1" si="1571"/>
        <v>0.62024584724660325</v>
      </c>
      <c r="AI1212" s="77">
        <f t="shared" ca="1" si="1572"/>
        <v>1.3031639930382009E-2</v>
      </c>
      <c r="AJ1212" s="384">
        <f t="shared" ca="1" si="1574"/>
        <v>3.7229235742689548E-2</v>
      </c>
      <c r="AU1212" s="1"/>
    </row>
    <row r="1213" spans="3:47" x14ac:dyDescent="0.25">
      <c r="C1213" s="10">
        <f t="shared" si="1599"/>
        <v>93</v>
      </c>
      <c r="D1213" s="91">
        <f t="shared" si="1582"/>
        <v>7</v>
      </c>
      <c r="E1213" s="278"/>
      <c r="F1213" s="76">
        <f t="shared" ref="F1213:Q1213" ca="1" si="1625">F1141</f>
        <v>22.71</v>
      </c>
      <c r="G1213" s="46">
        <f t="shared" ca="1" si="1625"/>
        <v>27.012600000000003</v>
      </c>
      <c r="H1213" s="46">
        <f t="shared" ca="1" si="1558"/>
        <v>28.517550000000004</v>
      </c>
      <c r="I1213" s="45">
        <f t="shared" ca="1" si="1559"/>
        <v>1.4513708414333564</v>
      </c>
      <c r="J1213" s="45">
        <f t="shared" ca="1" si="1560"/>
        <v>0.27952512346894071</v>
      </c>
      <c r="K1213" s="45">
        <f t="shared" ca="1" si="1576"/>
        <v>0.90345467800480783</v>
      </c>
      <c r="L1213" s="358">
        <f t="shared" ca="1" si="1561"/>
        <v>0.94004721434733285</v>
      </c>
      <c r="M1213" s="76">
        <f t="shared" ca="1" si="1625"/>
        <v>0.25347808785320641</v>
      </c>
      <c r="N1213" s="45">
        <f t="shared" ca="1" si="1625"/>
        <v>0.25</v>
      </c>
      <c r="O1213" s="45">
        <f t="shared" ca="1" si="1625"/>
        <v>0</v>
      </c>
      <c r="P1213" s="46" t="str">
        <f t="shared" ca="1" si="1625"/>
        <v/>
      </c>
      <c r="Q1213" s="243" t="str">
        <f t="shared" ca="1" si="1625"/>
        <v/>
      </c>
      <c r="R1213" s="45">
        <f t="shared" ca="1" si="1577"/>
        <v>0.14106458179874934</v>
      </c>
      <c r="S1213" s="45">
        <f t="shared" ca="1" si="1601"/>
        <v>5.0695617570641283E-2</v>
      </c>
      <c r="T1213" s="77">
        <f t="shared" ca="1" si="1562"/>
        <v>9.8977446831495092E-2</v>
      </c>
      <c r="U1213" s="45">
        <f t="shared" ca="1" si="1578"/>
        <v>17.981795995129815</v>
      </c>
      <c r="V1213" s="45">
        <f t="shared" ca="1" si="1563"/>
        <v>0.20278247028256513</v>
      </c>
      <c r="W1213" s="77">
        <f t="shared" ca="1" si="1564"/>
        <v>0.64076128366509699</v>
      </c>
      <c r="X1213" s="45">
        <f t="shared" ca="1" si="1579"/>
        <v>1.0509927921018978</v>
      </c>
      <c r="Y1213" s="45">
        <f t="shared" ca="1" si="1565"/>
        <v>7.5478716882999175E-2</v>
      </c>
      <c r="Z1213" s="77">
        <f t="shared" ca="1" si="1566"/>
        <v>8.0634752444047511E-2</v>
      </c>
      <c r="AA1213" s="45">
        <f t="shared" ca="1" si="1580"/>
        <v>39.271516545818301</v>
      </c>
      <c r="AB1213" s="45">
        <f t="shared" ca="1" si="1567"/>
        <v>0</v>
      </c>
      <c r="AC1213" s="45" cm="1">
        <f t="array" aca="1" ref="AC1213" ca="1">pHUM*(T1213+W1213+Z1213+AD1213)</f>
        <v>8.879849045058727E-2</v>
      </c>
      <c r="AD1213" s="77">
        <f t="shared" ca="1" si="1568"/>
        <v>9.4881087387741328E-2</v>
      </c>
      <c r="AE1213" s="45">
        <f t="shared" ca="1" si="1581"/>
        <v>6.3847072090583081</v>
      </c>
      <c r="AF1213" s="45">
        <f t="shared" ca="1" si="1569"/>
        <v>0</v>
      </c>
      <c r="AG1213" s="76">
        <f t="shared" ca="1" si="1570"/>
        <v>64.830077123907074</v>
      </c>
      <c r="AH1213" s="45">
        <f t="shared" ca="1" si="1571"/>
        <v>0.75097736299479456</v>
      </c>
      <c r="AI1213" s="77">
        <f t="shared" ca="1" si="1572"/>
        <v>1.1811985281154748E-2</v>
      </c>
      <c r="AJ1213" s="384">
        <f t="shared" ca="1" si="1574"/>
        <v>3.5409070436449586E-2</v>
      </c>
      <c r="AU1213" s="1"/>
    </row>
    <row r="1214" spans="3:47" x14ac:dyDescent="0.25">
      <c r="C1214" s="10">
        <f t="shared" si="1599"/>
        <v>93</v>
      </c>
      <c r="D1214" s="91">
        <f t="shared" si="1582"/>
        <v>8</v>
      </c>
      <c r="E1214" s="278"/>
      <c r="F1214" s="76">
        <f t="shared" ref="F1214:Q1214" ca="1" si="1626">F1142</f>
        <v>19.329999999999998</v>
      </c>
      <c r="G1214" s="46">
        <f t="shared" ca="1" si="1626"/>
        <v>27.012600000000003</v>
      </c>
      <c r="H1214" s="46">
        <f t="shared" ca="1" si="1558"/>
        <v>28.517550000000004</v>
      </c>
      <c r="I1214" s="45">
        <f t="shared" ca="1" si="1559"/>
        <v>1.1670427279291871</v>
      </c>
      <c r="J1214" s="45">
        <f t="shared" ca="1" si="1560"/>
        <v>0.27952512346894071</v>
      </c>
      <c r="K1214" s="45">
        <f t="shared" ca="1" si="1576"/>
        <v>0.90345467800480783</v>
      </c>
      <c r="L1214" s="358">
        <f t="shared" ca="1" si="1561"/>
        <v>0.9079689727892073</v>
      </c>
      <c r="M1214" s="76">
        <f t="shared" ca="1" si="1626"/>
        <v>0.25347808785320641</v>
      </c>
      <c r="N1214" s="45">
        <f t="shared" ca="1" si="1626"/>
        <v>0.25</v>
      </c>
      <c r="O1214" s="45">
        <f t="shared" ca="1" si="1626"/>
        <v>0</v>
      </c>
      <c r="P1214" s="46" t="str">
        <f t="shared" ca="1" si="1626"/>
        <v/>
      </c>
      <c r="Q1214" s="243" t="str">
        <f t="shared" ca="1" si="1626"/>
        <v/>
      </c>
      <c r="R1214" s="45">
        <f t="shared" ca="1" si="1577"/>
        <v>9.278275253789553E-2</v>
      </c>
      <c r="S1214" s="45">
        <f t="shared" ca="1" si="1601"/>
        <v>5.0695617570641283E-2</v>
      </c>
      <c r="T1214" s="77">
        <f t="shared" ca="1" si="1562"/>
        <v>5.7699455138857644E-2</v>
      </c>
      <c r="U1214" s="45">
        <f t="shared" ca="1" si="1578"/>
        <v>17.543817181747283</v>
      </c>
      <c r="V1214" s="45">
        <f t="shared" ca="1" si="1563"/>
        <v>0.20278247028256513</v>
      </c>
      <c r="W1214" s="77">
        <f t="shared" ca="1" si="1564"/>
        <v>0.50446467402645079</v>
      </c>
      <c r="X1214" s="45">
        <f t="shared" ca="1" si="1579"/>
        <v>1.0458367565408493</v>
      </c>
      <c r="Y1214" s="45">
        <f t="shared" ca="1" si="1565"/>
        <v>5.8014568606897542E-2</v>
      </c>
      <c r="Z1214" s="77">
        <f t="shared" ca="1" si="1566"/>
        <v>6.5020423402375779E-2</v>
      </c>
      <c r="AA1214" s="45">
        <f t="shared" ca="1" si="1580"/>
        <v>39.265433948881146</v>
      </c>
      <c r="AB1214" s="45">
        <f t="shared" ca="1" si="1567"/>
        <v>0</v>
      </c>
      <c r="AC1214" s="45" cm="1">
        <f t="array" aca="1" ref="AC1214" ca="1">pHUM*(T1214+W1214+Z1214+AD1214)</f>
        <v>6.8252433655173569E-2</v>
      </c>
      <c r="AD1214" s="77">
        <f t="shared" ca="1" si="1568"/>
        <v>7.6299836884784075E-2</v>
      </c>
      <c r="AE1214" s="45">
        <f t="shared" ca="1" si="1581"/>
        <v>6.3847072090583081</v>
      </c>
      <c r="AF1214" s="45">
        <f t="shared" ca="1" si="1569"/>
        <v>0</v>
      </c>
      <c r="AG1214" s="76">
        <f t="shared" ca="1" si="1570"/>
        <v>64.332577848765482</v>
      </c>
      <c r="AH1214" s="45">
        <f t="shared" ca="1" si="1571"/>
        <v>0.57721738719039717</v>
      </c>
      <c r="AI1214" s="77">
        <f t="shared" ca="1" si="1572"/>
        <v>1.1025043620476082E-2</v>
      </c>
      <c r="AJ1214" s="384">
        <f t="shared" ca="1" si="1574"/>
        <v>3.1922339706502711E-2</v>
      </c>
      <c r="AU1214" s="1"/>
    </row>
    <row r="1215" spans="3:47" x14ac:dyDescent="0.25">
      <c r="C1215" s="10">
        <f t="shared" si="1599"/>
        <v>93</v>
      </c>
      <c r="D1215" s="91">
        <f t="shared" si="1582"/>
        <v>9</v>
      </c>
      <c r="E1215" s="278"/>
      <c r="F1215" s="76">
        <f t="shared" ref="F1215:Q1215" ca="1" si="1627">F1143</f>
        <v>15.36</v>
      </c>
      <c r="G1215" s="46">
        <f t="shared" ca="1" si="1627"/>
        <v>27.012600000000003</v>
      </c>
      <c r="H1215" s="46">
        <f t="shared" ca="1" si="1558"/>
        <v>28.517550000000004</v>
      </c>
      <c r="I1215" s="45">
        <f t="shared" ca="1" si="1559"/>
        <v>0.85004563012661705</v>
      </c>
      <c r="J1215" s="45">
        <f t="shared" ca="1" si="1560"/>
        <v>0.27952512346894071</v>
      </c>
      <c r="K1215" s="45">
        <f t="shared" ca="1" si="1576"/>
        <v>0.90345467800480783</v>
      </c>
      <c r="L1215" s="358">
        <f t="shared" ca="1" si="1561"/>
        <v>0.84745728919304408</v>
      </c>
      <c r="M1215" s="76">
        <f t="shared" ca="1" si="1627"/>
        <v>0.25347808785320641</v>
      </c>
      <c r="N1215" s="45">
        <f t="shared" ca="1" si="1627"/>
        <v>0.25</v>
      </c>
      <c r="O1215" s="45">
        <f t="shared" ca="1" si="1627"/>
        <v>0</v>
      </c>
      <c r="P1215" s="46" t="str">
        <f t="shared" ca="1" si="1627"/>
        <v/>
      </c>
      <c r="Q1215" s="243" t="str">
        <f t="shared" ca="1" si="1627"/>
        <v/>
      </c>
      <c r="R1215" s="45">
        <f t="shared" ca="1" si="1577"/>
        <v>8.5778914969679168E-2</v>
      </c>
      <c r="S1215" s="45">
        <f t="shared" ca="1" si="1601"/>
        <v>5.0695617570641283E-2</v>
      </c>
      <c r="T1215" s="77">
        <f t="shared" ca="1" si="1562"/>
        <v>4.3537468977546526E-2</v>
      </c>
      <c r="U1215" s="45">
        <f t="shared" ca="1" si="1578"/>
        <v>17.242134978003396</v>
      </c>
      <c r="V1215" s="45">
        <f t="shared" ca="1" si="1563"/>
        <v>0.20278247028256513</v>
      </c>
      <c r="W1215" s="77">
        <f t="shared" ca="1" si="1564"/>
        <v>0.36254910214249897</v>
      </c>
      <c r="X1215" s="45">
        <f t="shared" ca="1" si="1579"/>
        <v>1.0388309017453712</v>
      </c>
      <c r="Y1215" s="45">
        <f t="shared" ca="1" si="1565"/>
        <v>4.1985412059450972E-2</v>
      </c>
      <c r="Z1215" s="77">
        <f t="shared" ca="1" si="1566"/>
        <v>4.7450103348057708E-2</v>
      </c>
      <c r="AA1215" s="45">
        <f t="shared" ca="1" si="1580"/>
        <v>39.257386545651535</v>
      </c>
      <c r="AB1215" s="45">
        <f t="shared" ca="1" si="1567"/>
        <v>0</v>
      </c>
      <c r="AC1215" s="45" cm="1">
        <f t="array" aca="1" ref="AC1215" ca="1">pHUM*(T1215+W1215+Z1215+AD1215)</f>
        <v>4.9394602422883495E-2</v>
      </c>
      <c r="AD1215" s="77">
        <f t="shared" ca="1" si="1568"/>
        <v>5.5578237144658954E-2</v>
      </c>
      <c r="AE1215" s="45">
        <f t="shared" ca="1" si="1581"/>
        <v>6.3847072090583081</v>
      </c>
      <c r="AF1215" s="45">
        <f t="shared" ca="1" si="1569"/>
        <v>0</v>
      </c>
      <c r="AG1215" s="76">
        <f t="shared" ca="1" si="1570"/>
        <v>64.00883854942829</v>
      </c>
      <c r="AH1215" s="45">
        <f t="shared" ca="1" si="1571"/>
        <v>0.41773489713042772</v>
      </c>
      <c r="AI1215" s="77">
        <f t="shared" ca="1" si="1572"/>
        <v>1.0847894210695654E-2</v>
      </c>
      <c r="AJ1215" s="384">
        <f t="shared" ca="1" si="1574"/>
        <v>2.9316202916476186E-2</v>
      </c>
      <c r="AU1215" s="1"/>
    </row>
    <row r="1216" spans="3:47" x14ac:dyDescent="0.25">
      <c r="C1216" s="10">
        <f t="shared" si="1599"/>
        <v>93</v>
      </c>
      <c r="D1216" s="91">
        <f t="shared" si="1582"/>
        <v>10</v>
      </c>
      <c r="E1216" s="278"/>
      <c r="F1216" s="76">
        <f t="shared" ref="F1216:Q1216" ca="1" si="1628">F1144</f>
        <v>10.24</v>
      </c>
      <c r="G1216" s="46">
        <f t="shared" ca="1" si="1628"/>
        <v>27.012600000000003</v>
      </c>
      <c r="H1216" s="46">
        <f t="shared" ca="1" si="1558"/>
        <v>28.517550000000004</v>
      </c>
      <c r="I1216" s="45">
        <f t="shared" ca="1" si="1559"/>
        <v>0.49116850915432075</v>
      </c>
      <c r="J1216" s="45">
        <f t="shared" ca="1" si="1560"/>
        <v>0.27952512346894071</v>
      </c>
      <c r="K1216" s="45">
        <f t="shared" ca="1" si="1576"/>
        <v>0.90345467800480783</v>
      </c>
      <c r="L1216" s="358">
        <f t="shared" ca="1" si="1561"/>
        <v>0.72269796343841763</v>
      </c>
      <c r="M1216" s="76">
        <f t="shared" ca="1" si="1628"/>
        <v>0.25347808785320641</v>
      </c>
      <c r="N1216" s="45">
        <f t="shared" ca="1" si="1628"/>
        <v>0.25</v>
      </c>
      <c r="O1216" s="45">
        <f t="shared" ca="1" si="1628"/>
        <v>0</v>
      </c>
      <c r="P1216" s="46" t="str">
        <f t="shared" ca="1" si="1628"/>
        <v/>
      </c>
      <c r="Q1216" s="243" t="str">
        <f t="shared" ca="1" si="1628"/>
        <v/>
      </c>
      <c r="R1216" s="45">
        <f t="shared" ca="1" si="1577"/>
        <v>9.2937063562773911E-2</v>
      </c>
      <c r="S1216" s="45">
        <f t="shared" ca="1" si="1601"/>
        <v>5.0695617570641283E-2</v>
      </c>
      <c r="T1216" s="77">
        <f t="shared" ca="1" si="1562"/>
        <v>3.1216606232968552E-2</v>
      </c>
      <c r="U1216" s="45">
        <f t="shared" ca="1" si="1578"/>
        <v>17.082368346143461</v>
      </c>
      <c r="V1216" s="45">
        <f t="shared" ca="1" si="1563"/>
        <v>0.20278247028256513</v>
      </c>
      <c r="W1216" s="77">
        <f t="shared" ca="1" si="1564"/>
        <v>0.20847545811423185</v>
      </c>
      <c r="X1216" s="45">
        <f t="shared" ca="1" si="1579"/>
        <v>1.0333662104567645</v>
      </c>
      <c r="Y1216" s="45">
        <f t="shared" ca="1" si="1565"/>
        <v>2.4686835426386746E-2</v>
      </c>
      <c r="Z1216" s="77">
        <f t="shared" ca="1" si="1566"/>
        <v>2.7541944103790631E-2</v>
      </c>
      <c r="AA1216" s="45">
        <f t="shared" ca="1" si="1580"/>
        <v>39.251202910929763</v>
      </c>
      <c r="AB1216" s="45">
        <f t="shared" ca="1" si="1567"/>
        <v>0</v>
      </c>
      <c r="AC1216" s="45" cm="1">
        <f t="array" aca="1" ref="AC1216" ca="1">pHUM*(T1216+W1216+Z1216+AD1216)</f>
        <v>2.9043335795749116E-2</v>
      </c>
      <c r="AD1216" s="77">
        <f t="shared" ca="1" si="1568"/>
        <v>3.2118443260258069E-2</v>
      </c>
      <c r="AE1216" s="45">
        <f t="shared" ca="1" si="1581"/>
        <v>6.3847072090583081</v>
      </c>
      <c r="AF1216" s="45">
        <f t="shared" ca="1" si="1569"/>
        <v>0</v>
      </c>
      <c r="AG1216" s="76">
        <f t="shared" ca="1" si="1570"/>
        <v>63.844581740151071</v>
      </c>
      <c r="AH1216" s="45">
        <f t="shared" ca="1" si="1571"/>
        <v>0.2456222804891133</v>
      </c>
      <c r="AI1216" s="77">
        <f t="shared" ca="1" si="1572"/>
        <v>1.0907795741474329E-2</v>
      </c>
      <c r="AJ1216" s="384">
        <f t="shared" ca="1" si="1574"/>
        <v>2.5138536907901576E-2</v>
      </c>
      <c r="AU1216" s="1"/>
    </row>
    <row r="1217" spans="3:47" x14ac:dyDescent="0.25">
      <c r="C1217" s="10">
        <f t="shared" si="1599"/>
        <v>93</v>
      </c>
      <c r="D1217" s="91">
        <f t="shared" si="1582"/>
        <v>11</v>
      </c>
      <c r="E1217" s="278"/>
      <c r="F1217" s="76">
        <f t="shared" ref="F1217:Q1217" ca="1" si="1629">F1145</f>
        <v>1.6</v>
      </c>
      <c r="G1217" s="46">
        <f t="shared" ca="1" si="1629"/>
        <v>27.012600000000003</v>
      </c>
      <c r="H1217" s="46">
        <f t="shared" ca="1" si="1558"/>
        <v>28.517550000000004</v>
      </c>
      <c r="I1217" s="45">
        <f t="shared" ca="1" si="1559"/>
        <v>9.9319080037688343E-2</v>
      </c>
      <c r="J1217" s="45">
        <f t="shared" ca="1" si="1560"/>
        <v>0.27952512346894071</v>
      </c>
      <c r="K1217" s="45">
        <f t="shared" ca="1" si="1576"/>
        <v>0.90345467800480783</v>
      </c>
      <c r="L1217" s="358">
        <f t="shared" ca="1" si="1561"/>
        <v>0.41844375967031366</v>
      </c>
      <c r="M1217" s="76">
        <f t="shared" ca="1" si="1629"/>
        <v>0.25347808785320641</v>
      </c>
      <c r="N1217" s="45">
        <f t="shared" ca="1" si="1629"/>
        <v>0.25</v>
      </c>
      <c r="O1217" s="45">
        <f t="shared" ca="1" si="1629"/>
        <v>0</v>
      </c>
      <c r="P1217" s="46" t="str">
        <f t="shared" ca="1" si="1629"/>
        <v/>
      </c>
      <c r="Q1217" s="243" t="str">
        <f t="shared" ca="1" si="1629"/>
        <v/>
      </c>
      <c r="R1217" s="45">
        <f t="shared" ca="1" si="1577"/>
        <v>0.11241607490044665</v>
      </c>
      <c r="S1217" s="45">
        <f t="shared" ca="1" si="1601"/>
        <v>5.0695617570641283E-2</v>
      </c>
      <c r="T1217" s="77">
        <f t="shared" ca="1" si="1562"/>
        <v>8.9295880519691829E-3</v>
      </c>
      <c r="U1217" s="45">
        <f t="shared" ca="1" si="1578"/>
        <v>17.076675358311793</v>
      </c>
      <c r="V1217" s="45">
        <f t="shared" ca="1" si="1563"/>
        <v>0.20278247028256513</v>
      </c>
      <c r="W1217" s="77">
        <f t="shared" ca="1" si="1564"/>
        <v>4.2348395364283871E-2</v>
      </c>
      <c r="X1217" s="45">
        <f t="shared" ca="1" si="1579"/>
        <v>1.0305111017793604</v>
      </c>
      <c r="Y1217" s="45">
        <f t="shared" ca="1" si="1565"/>
        <v>5.2274578654922139E-3</v>
      </c>
      <c r="Z1217" s="77">
        <f t="shared" ca="1" si="1566"/>
        <v>5.613870819949583E-3</v>
      </c>
      <c r="AA1217" s="45">
        <f t="shared" ca="1" si="1580"/>
        <v>39.248127803465252</v>
      </c>
      <c r="AB1217" s="45">
        <f t="shared" ca="1" si="1567"/>
        <v>0</v>
      </c>
      <c r="AC1217" s="45" cm="1">
        <f t="array" aca="1" ref="AC1217" ca="1">pHUM*(T1217+W1217+Z1217+AD1217)</f>
        <v>6.1499504299908393E-3</v>
      </c>
      <c r="AD1217" s="77">
        <f t="shared" ca="1" si="1568"/>
        <v>6.49627555947546E-3</v>
      </c>
      <c r="AE1217" s="45">
        <f t="shared" ca="1" si="1581"/>
        <v>6.3847072090583081</v>
      </c>
      <c r="AF1217" s="45">
        <f t="shared" ca="1" si="1569"/>
        <v>0</v>
      </c>
      <c r="AG1217" s="76">
        <f t="shared" ca="1" si="1570"/>
        <v>63.852437547515159</v>
      </c>
      <c r="AH1217" s="45">
        <f t="shared" ca="1" si="1571"/>
        <v>5.2010721500195048E-2</v>
      </c>
      <c r="AI1217" s="77">
        <f t="shared" ca="1" si="1572"/>
        <v>1.1183469392765044E-2</v>
      </c>
      <c r="AJ1217" s="384">
        <f t="shared" ca="1" si="1574"/>
        <v>1.4923270271515188E-2</v>
      </c>
      <c r="AU1217" s="1"/>
    </row>
    <row r="1218" spans="3:47" x14ac:dyDescent="0.25">
      <c r="C1218" s="10">
        <f t="shared" si="1599"/>
        <v>93</v>
      </c>
      <c r="D1218" s="91">
        <f t="shared" si="1582"/>
        <v>12</v>
      </c>
      <c r="E1218" s="278"/>
      <c r="F1218" s="76">
        <f t="shared" ref="F1218:Q1218" ca="1" si="1630">F1146</f>
        <v>-3.59</v>
      </c>
      <c r="G1218" s="46">
        <f t="shared" ca="1" si="1630"/>
        <v>27.012600000000003</v>
      </c>
      <c r="H1218" s="46">
        <f t="shared" ca="1" si="1558"/>
        <v>28.517550000000004</v>
      </c>
      <c r="I1218" s="45">
        <f t="shared" ca="1" si="1559"/>
        <v>1.5109209527995384E-2</v>
      </c>
      <c r="J1218" s="45">
        <f t="shared" ca="1" si="1560"/>
        <v>0.27952512346894071</v>
      </c>
      <c r="K1218" s="45">
        <f t="shared" ca="1" si="1576"/>
        <v>0.90345467800480783</v>
      </c>
      <c r="L1218" s="358">
        <f t="shared" ca="1" si="1561"/>
        <v>0.24908644075501707</v>
      </c>
      <c r="M1218" s="76">
        <f t="shared" ca="1" si="1630"/>
        <v>0.25347808785320641</v>
      </c>
      <c r="N1218" s="45">
        <f t="shared" ca="1" si="1630"/>
        <v>0.25</v>
      </c>
      <c r="O1218" s="45">
        <f t="shared" ca="1" si="1630"/>
        <v>0</v>
      </c>
      <c r="P1218" s="46" t="str">
        <f t="shared" ca="1" si="1630"/>
        <v/>
      </c>
      <c r="Q1218" s="243" t="str">
        <f t="shared" ca="1" si="1630"/>
        <v/>
      </c>
      <c r="R1218" s="45">
        <f t="shared" ca="1" si="1577"/>
        <v>0.15418210441911873</v>
      </c>
      <c r="S1218" s="45">
        <f t="shared" ca="1" si="1601"/>
        <v>5.0695617570641283E-2</v>
      </c>
      <c r="T1218" s="77">
        <f t="shared" ca="1" si="1562"/>
        <v>1.9291377207575763E-3</v>
      </c>
      <c r="U1218" s="45">
        <f t="shared" ca="1" si="1578"/>
        <v>17.237109433230074</v>
      </c>
      <c r="V1218" s="45">
        <f t="shared" ca="1" si="1563"/>
        <v>0.20278247028256513</v>
      </c>
      <c r="W1218" s="77">
        <f t="shared" ca="1" si="1564"/>
        <v>6.5097479103762351E-3</v>
      </c>
      <c r="X1218" s="45">
        <f t="shared" ca="1" si="1579"/>
        <v>1.0301246888249032</v>
      </c>
      <c r="Y1218" s="45">
        <f t="shared" ca="1" si="1565"/>
        <v>8.4800429905863199E-4</v>
      </c>
      <c r="Z1218" s="77">
        <f t="shared" ca="1" si="1566"/>
        <v>8.5568474794121764E-4</v>
      </c>
      <c r="AA1218" s="45">
        <f t="shared" ca="1" si="1580"/>
        <v>39.247781478335767</v>
      </c>
      <c r="AB1218" s="45">
        <f t="shared" ca="1" si="1567"/>
        <v>0</v>
      </c>
      <c r="AC1218" s="45" cm="1">
        <f t="array" aca="1" ref="AC1218" ca="1">pHUM*(T1218+W1218+Z1218+AD1218)</f>
        <v>9.9765211653956697E-4</v>
      </c>
      <c r="AD1218" s="77">
        <f t="shared" ca="1" si="1568"/>
        <v>9.8832581237236054E-4</v>
      </c>
      <c r="AE1218" s="45">
        <f t="shared" ca="1" si="1581"/>
        <v>6.3847072090583081</v>
      </c>
      <c r="AF1218" s="45">
        <f t="shared" ca="1" si="1569"/>
        <v>0</v>
      </c>
      <c r="AG1218" s="76">
        <f t="shared" ca="1" si="1570"/>
        <v>64.053904913868166</v>
      </c>
      <c r="AH1218" s="45">
        <f t="shared" ca="1" si="1571"/>
        <v>8.4372397758491931E-3</v>
      </c>
      <c r="AI1218" s="77">
        <f t="shared" ca="1" si="1572"/>
        <v>1.1817099543345559E-2</v>
      </c>
      <c r="AJ1218" s="384">
        <f t="shared" ca="1" si="1574"/>
        <v>9.3867144107917522E-3</v>
      </c>
      <c r="AU1218" s="1"/>
    </row>
    <row r="1219" spans="3:47" x14ac:dyDescent="0.25">
      <c r="C1219" s="10">
        <f t="shared" si="1599"/>
        <v>94</v>
      </c>
      <c r="D1219" s="91">
        <f t="shared" si="1582"/>
        <v>1</v>
      </c>
      <c r="E1219" s="278"/>
      <c r="F1219" s="76">
        <f t="shared" ref="F1219:Q1219" ca="1" si="1631">F1147</f>
        <v>-7.32</v>
      </c>
      <c r="G1219" s="46">
        <f t="shared" ca="1" si="1631"/>
        <v>27.012600000000003</v>
      </c>
      <c r="H1219" s="46">
        <f t="shared" ca="1" si="1558"/>
        <v>28.517550000000004</v>
      </c>
      <c r="I1219" s="45">
        <f t="shared" ca="1" si="1559"/>
        <v>1.2903599790233234E-3</v>
      </c>
      <c r="J1219" s="45">
        <f t="shared" ca="1" si="1560"/>
        <v>0.27952512346894071</v>
      </c>
      <c r="K1219" s="45">
        <f t="shared" ca="1" si="1576"/>
        <v>0.90345467800480783</v>
      </c>
      <c r="L1219" s="358">
        <f t="shared" ca="1" si="1561"/>
        <v>0.15974615302556239</v>
      </c>
      <c r="M1219" s="76">
        <f t="shared" ca="1" si="1631"/>
        <v>0.25347808785320641</v>
      </c>
      <c r="N1219" s="45">
        <f t="shared" ca="1" si="1631"/>
        <v>0.25</v>
      </c>
      <c r="O1219" s="45">
        <f t="shared" ca="1" si="1631"/>
        <v>0</v>
      </c>
      <c r="P1219" s="46" t="str">
        <f t="shared" ca="1" si="1631"/>
        <v/>
      </c>
      <c r="Q1219" s="243" t="str">
        <f t="shared" ca="1" si="1631"/>
        <v/>
      </c>
      <c r="R1219" s="45">
        <f t="shared" ca="1" si="1577"/>
        <v>0.20294858426900242</v>
      </c>
      <c r="S1219" s="45">
        <f t="shared" ca="1" si="1601"/>
        <v>5.0695617570641283E-2</v>
      </c>
      <c r="T1219" s="77">
        <f t="shared" ca="1" si="1562"/>
        <v>2.1811331947600471E-4</v>
      </c>
      <c r="U1219" s="45">
        <f t="shared" ca="1" si="1578"/>
        <v>17.433382155602263</v>
      </c>
      <c r="V1219" s="45">
        <f t="shared" ca="1" si="1563"/>
        <v>0.20278247028256513</v>
      </c>
      <c r="W1219" s="77">
        <f t="shared" ca="1" si="1564"/>
        <v>5.6237439494894728E-4</v>
      </c>
      <c r="X1219" s="45">
        <f t="shared" ca="1" si="1579"/>
        <v>1.0301170083760205</v>
      </c>
      <c r="Y1219" s="45">
        <f t="shared" ca="1" si="1565"/>
        <v>7.73543528975265E-5</v>
      </c>
      <c r="Z1219" s="77">
        <f t="shared" ca="1" si="1566"/>
        <v>7.310460273240981E-5</v>
      </c>
      <c r="AA1219" s="45">
        <f t="shared" ca="1" si="1580"/>
        <v>39.247790804639934</v>
      </c>
      <c r="AB1219" s="45">
        <f t="shared" ca="1" si="1567"/>
        <v>0</v>
      </c>
      <c r="AC1219" s="45" cm="1">
        <f t="array" aca="1" ref="AC1219" ca="1">pHUM*(T1219+W1219+Z1219+AD1219)</f>
        <v>9.100512105591353E-5</v>
      </c>
      <c r="AD1219" s="77">
        <f t="shared" ca="1" si="1568"/>
        <v>8.4406206770941953E-5</v>
      </c>
      <c r="AE1219" s="45">
        <f t="shared" ca="1" si="1581"/>
        <v>6.3847072090583081</v>
      </c>
      <c r="AF1219" s="45">
        <f t="shared" ca="1" si="1569"/>
        <v>0</v>
      </c>
      <c r="AG1219" s="76">
        <f t="shared" ca="1" si="1570"/>
        <v>64.298945761945532</v>
      </c>
      <c r="AH1219" s="45">
        <f t="shared" ca="1" si="1571"/>
        <v>7.6963904997486379E-4</v>
      </c>
      <c r="AI1219" s="77">
        <f t="shared" ca="1" si="1572"/>
        <v>1.2553524183614799E-2</v>
      </c>
      <c r="AJ1219" s="384">
        <f t="shared" ca="1" si="1574"/>
        <v>6.3951380143711933E-3</v>
      </c>
      <c r="AU1219" s="1"/>
    </row>
    <row r="1220" spans="3:47" x14ac:dyDescent="0.25">
      <c r="C1220" s="10">
        <f t="shared" si="1599"/>
        <v>94</v>
      </c>
      <c r="D1220" s="91">
        <f t="shared" si="1582"/>
        <v>2</v>
      </c>
      <c r="E1220" s="278"/>
      <c r="F1220" s="76">
        <f t="shared" ref="F1220:Q1220" ca="1" si="1632">F1148</f>
        <v>-7.56</v>
      </c>
      <c r="G1220" s="46">
        <f t="shared" ca="1" si="1632"/>
        <v>27.012600000000003</v>
      </c>
      <c r="H1220" s="46">
        <f t="shared" ca="1" si="1558"/>
        <v>28.517550000000004</v>
      </c>
      <c r="I1220" s="45">
        <f t="shared" ca="1" si="1559"/>
        <v>1.0386103497602255E-3</v>
      </c>
      <c r="J1220" s="45">
        <f t="shared" ca="1" si="1560"/>
        <v>0.27952512346894071</v>
      </c>
      <c r="K1220" s="45">
        <f t="shared" ca="1" si="1576"/>
        <v>0.90345467800480783</v>
      </c>
      <c r="L1220" s="358">
        <f t="shared" ca="1" si="1561"/>
        <v>0.15499691161362872</v>
      </c>
      <c r="M1220" s="76">
        <f t="shared" ca="1" si="1632"/>
        <v>0.25347808785320641</v>
      </c>
      <c r="N1220" s="45">
        <f t="shared" ca="1" si="1632"/>
        <v>0.25</v>
      </c>
      <c r="O1220" s="45">
        <f t="shared" ca="1" si="1632"/>
        <v>0</v>
      </c>
      <c r="P1220" s="46" t="str">
        <f t="shared" ca="1" si="1632"/>
        <v/>
      </c>
      <c r="Q1220" s="243" t="str">
        <f t="shared" ca="1" si="1632"/>
        <v/>
      </c>
      <c r="R1220" s="45">
        <f t="shared" ca="1" si="1577"/>
        <v>0.25342608852016768</v>
      </c>
      <c r="S1220" s="45">
        <f t="shared" ca="1" si="1601"/>
        <v>5.0695617570641283E-2</v>
      </c>
      <c r="T1220" s="77">
        <f t="shared" ca="1" si="1562"/>
        <v>2.1924757134496564E-4</v>
      </c>
      <c r="U1220" s="45">
        <f t="shared" ca="1" si="1578"/>
        <v>17.635602251489878</v>
      </c>
      <c r="V1220" s="45">
        <f t="shared" ca="1" si="1563"/>
        <v>0.20278247028256513</v>
      </c>
      <c r="W1220" s="77">
        <f t="shared" ca="1" si="1564"/>
        <v>4.5790703070406008E-4</v>
      </c>
      <c r="X1220" s="45">
        <f t="shared" ca="1" si="1579"/>
        <v>1.0301212581261856</v>
      </c>
      <c r="Y1220" s="45">
        <f t="shared" ca="1" si="1565"/>
        <v>6.6298531078947279E-5</v>
      </c>
      <c r="Z1220" s="77">
        <f t="shared" ca="1" si="1566"/>
        <v>5.884252234742164E-5</v>
      </c>
      <c r="AA1220" s="45">
        <f t="shared" ca="1" si="1580"/>
        <v>39.247797403554216</v>
      </c>
      <c r="AB1220" s="45">
        <f t="shared" ca="1" si="1567"/>
        <v>0</v>
      </c>
      <c r="AC1220" s="45" cm="1">
        <f t="array" aca="1" ref="AC1220" ca="1">pHUM*(T1220+W1220+Z1220+AD1220)</f>
        <v>7.7998271857585035E-5</v>
      </c>
      <c r="AD1220" s="77">
        <f t="shared" ca="1" si="1568"/>
        <v>6.7938555513504458E-5</v>
      </c>
      <c r="AE1220" s="45">
        <f t="shared" ca="1" si="1581"/>
        <v>6.3847072090583081</v>
      </c>
      <c r="AF1220" s="45">
        <f t="shared" ca="1" si="1569"/>
        <v>0</v>
      </c>
      <c r="AG1220" s="76">
        <f t="shared" ca="1" si="1570"/>
        <v>64.551654210748751</v>
      </c>
      <c r="AH1220" s="45">
        <f t="shared" ca="1" si="1571"/>
        <v>6.596388769734196E-4</v>
      </c>
      <c r="AI1220" s="77">
        <f t="shared" ca="1" si="1572"/>
        <v>1.3309072732224007E-2</v>
      </c>
      <c r="AJ1220" s="384">
        <f t="shared" ca="1" si="1574"/>
        <v>6.5784657451739559E-3</v>
      </c>
      <c r="AU1220" s="1"/>
    </row>
    <row r="1221" spans="3:47" x14ac:dyDescent="0.25">
      <c r="C1221" s="10">
        <f t="shared" si="1599"/>
        <v>94</v>
      </c>
      <c r="D1221" s="91">
        <f t="shared" si="1582"/>
        <v>3</v>
      </c>
      <c r="E1221" s="278"/>
      <c r="F1221" s="76">
        <f t="shared" ref="F1221:Q1221" ca="1" si="1633">F1149</f>
        <v>-3.72</v>
      </c>
      <c r="G1221" s="46">
        <f t="shared" ca="1" si="1633"/>
        <v>27.012600000000003</v>
      </c>
      <c r="H1221" s="46">
        <f t="shared" ca="1" si="1558"/>
        <v>28.517550000000004</v>
      </c>
      <c r="I1221" s="45">
        <f t="shared" ca="1" si="1559"/>
        <v>1.416534540335657E-2</v>
      </c>
      <c r="J1221" s="45">
        <f t="shared" ca="1" si="1560"/>
        <v>0.27952512346894071</v>
      </c>
      <c r="K1221" s="45">
        <f t="shared" ca="1" si="1576"/>
        <v>0.90345467800480783</v>
      </c>
      <c r="L1221" s="358">
        <f t="shared" ca="1" si="1561"/>
        <v>0.24547574864616473</v>
      </c>
      <c r="M1221" s="76">
        <f t="shared" ca="1" si="1633"/>
        <v>0.25347808785320641</v>
      </c>
      <c r="N1221" s="45">
        <f t="shared" ca="1" si="1633"/>
        <v>0.25</v>
      </c>
      <c r="O1221" s="45">
        <f t="shared" ca="1" si="1633"/>
        <v>0</v>
      </c>
      <c r="P1221" s="46" t="str">
        <f t="shared" ca="1" si="1633"/>
        <v/>
      </c>
      <c r="Q1221" s="243" t="str">
        <f t="shared" ca="1" si="1633"/>
        <v/>
      </c>
      <c r="R1221" s="45">
        <f t="shared" ca="1" si="1577"/>
        <v>0.30390245851946401</v>
      </c>
      <c r="S1221" s="45">
        <f t="shared" ca="1" si="1601"/>
        <v>5.0695617570641283E-2</v>
      </c>
      <c r="T1221" s="77">
        <f t="shared" ca="1" si="1562"/>
        <v>3.5663121478739478E-3</v>
      </c>
      <c r="U1221" s="45">
        <f t="shared" ca="1" si="1578"/>
        <v>17.837926814741738</v>
      </c>
      <c r="V1221" s="45">
        <f t="shared" ca="1" si="1563"/>
        <v>0.20278247028256513</v>
      </c>
      <c r="W1221" s="77">
        <f t="shared" ca="1" si="1564"/>
        <v>6.3158914644574227E-3</v>
      </c>
      <c r="X1221" s="45">
        <f t="shared" ca="1" si="1579"/>
        <v>1.0301287141349171</v>
      </c>
      <c r="Y1221" s="45">
        <f t="shared" ca="1" si="1565"/>
        <v>9.5753336452904735E-4</v>
      </c>
      <c r="Z1221" s="77">
        <f t="shared" ca="1" si="1566"/>
        <v>8.0225454108152406E-4</v>
      </c>
      <c r="AA1221" s="45">
        <f t="shared" ca="1" si="1580"/>
        <v>39.247807463270561</v>
      </c>
      <c r="AB1221" s="45">
        <f t="shared" ca="1" si="1567"/>
        <v>0</v>
      </c>
      <c r="AC1221" s="45" cm="1">
        <f t="array" aca="1" ref="AC1221" ca="1">pHUM*(T1221+W1221+Z1221+AD1221)</f>
        <v>1.1265098406224086E-3</v>
      </c>
      <c r="AD1221" s="77">
        <f t="shared" ca="1" si="1568"/>
        <v>9.2658697717171948E-4</v>
      </c>
      <c r="AE1221" s="45">
        <f t="shared" ca="1" si="1581"/>
        <v>6.3847072090583081</v>
      </c>
      <c r="AF1221" s="45">
        <f t="shared" ca="1" si="1569"/>
        <v>0</v>
      </c>
      <c r="AG1221" s="76">
        <f t="shared" ca="1" si="1570"/>
        <v>64.804472659724993</v>
      </c>
      <c r="AH1221" s="45">
        <f t="shared" ca="1" si="1571"/>
        <v>9.5270019254331574E-3</v>
      </c>
      <c r="AI1221" s="77">
        <f t="shared" ca="1" si="1572"/>
        <v>1.4058089835100424E-2</v>
      </c>
      <c r="AJ1221" s="384">
        <f t="shared" ca="1" si="1574"/>
        <v>1.1004919455275264E-2</v>
      </c>
      <c r="AU1221" s="1"/>
    </row>
    <row r="1222" spans="3:47" x14ac:dyDescent="0.25">
      <c r="C1222" s="10">
        <f t="shared" si="1599"/>
        <v>94</v>
      </c>
      <c r="D1222" s="91">
        <f t="shared" si="1582"/>
        <v>4</v>
      </c>
      <c r="E1222" s="278"/>
      <c r="F1222" s="76">
        <f t="shared" ref="F1222:Q1222" ca="1" si="1634">F1150</f>
        <v>5.88</v>
      </c>
      <c r="G1222" s="46">
        <f t="shared" ca="1" si="1634"/>
        <v>27.012600000000003</v>
      </c>
      <c r="H1222" s="46">
        <f t="shared" ca="1" si="1558"/>
        <v>28.517550000000004</v>
      </c>
      <c r="I1222" s="45">
        <f t="shared" ca="1" si="1559"/>
        <v>0.2538659245156123</v>
      </c>
      <c r="J1222" s="45">
        <f t="shared" ca="1" si="1560"/>
        <v>0.27952512346894071</v>
      </c>
      <c r="K1222" s="45">
        <f t="shared" ca="1" si="1576"/>
        <v>0.90345467800480783</v>
      </c>
      <c r="L1222" s="358">
        <f t="shared" ca="1" si="1561"/>
        <v>0.57663575359475594</v>
      </c>
      <c r="M1222" s="76">
        <f t="shared" ca="1" si="1634"/>
        <v>0.25347808785320641</v>
      </c>
      <c r="N1222" s="45">
        <f t="shared" ca="1" si="1634"/>
        <v>0.25</v>
      </c>
      <c r="O1222" s="45">
        <f t="shared" ca="1" si="1634"/>
        <v>0</v>
      </c>
      <c r="P1222" s="46" t="str">
        <f t="shared" ca="1" si="1634"/>
        <v/>
      </c>
      <c r="Q1222" s="243" t="str">
        <f t="shared" ca="1" si="1634"/>
        <v/>
      </c>
      <c r="R1222" s="45">
        <f t="shared" ca="1" si="1577"/>
        <v>0.35103176394223135</v>
      </c>
      <c r="S1222" s="45">
        <f t="shared" ca="1" si="1601"/>
        <v>5.0695617570641283E-2</v>
      </c>
      <c r="T1222" s="77">
        <f t="shared" ca="1" si="1562"/>
        <v>6.6933045521027232E-2</v>
      </c>
      <c r="U1222" s="45">
        <f t="shared" ca="1" si="1578"/>
        <v>18.034393393559846</v>
      </c>
      <c r="V1222" s="45">
        <f t="shared" ca="1" si="1563"/>
        <v>0.20278247028256513</v>
      </c>
      <c r="W1222" s="77">
        <f t="shared" ca="1" si="1564"/>
        <v>0.11409550381161214</v>
      </c>
      <c r="X1222" s="45">
        <f t="shared" ca="1" si="1579"/>
        <v>1.0302839929583647</v>
      </c>
      <c r="Y1222" s="45">
        <f t="shared" ca="1" si="1565"/>
        <v>1.7476236482014795E-2</v>
      </c>
      <c r="Z1222" s="77">
        <f t="shared" ca="1" si="1566"/>
        <v>1.4285506236853859E-2</v>
      </c>
      <c r="AA1222" s="45">
        <f t="shared" ca="1" si="1580"/>
        <v>39.248007386134013</v>
      </c>
      <c r="AB1222" s="45">
        <f t="shared" ca="1" si="1567"/>
        <v>0</v>
      </c>
      <c r="AC1222" s="45" cm="1">
        <f t="array" aca="1" ref="AC1222" ca="1">pHUM*(T1222+W1222+Z1222+AD1222)</f>
        <v>2.0560278214135055E-2</v>
      </c>
      <c r="AD1222" s="77">
        <f t="shared" ca="1" si="1568"/>
        <v>1.6602706835173314E-2</v>
      </c>
      <c r="AE1222" s="45">
        <f t="shared" ca="1" si="1581"/>
        <v>6.3847072090583081</v>
      </c>
      <c r="AF1222" s="45">
        <f t="shared" ca="1" si="1569"/>
        <v>0</v>
      </c>
      <c r="AG1222" s="76">
        <f t="shared" ca="1" si="1570"/>
        <v>65.048423745652755</v>
      </c>
      <c r="AH1222" s="45">
        <f t="shared" ca="1" si="1571"/>
        <v>0.17388024770851671</v>
      </c>
      <c r="AI1222" s="77">
        <f t="shared" ca="1" si="1572"/>
        <v>1.4752990794697515E-2</v>
      </c>
      <c r="AJ1222" s="384">
        <f t="shared" ca="1" si="1574"/>
        <v>2.7128575682412448E-2</v>
      </c>
      <c r="AU1222" s="1"/>
    </row>
    <row r="1223" spans="3:47" x14ac:dyDescent="0.25">
      <c r="C1223" s="10">
        <f t="shared" si="1599"/>
        <v>94</v>
      </c>
      <c r="D1223" s="91">
        <f t="shared" si="1582"/>
        <v>5</v>
      </c>
      <c r="E1223" s="278"/>
      <c r="F1223" s="76">
        <f t="shared" ref="F1223:Q1223" ca="1" si="1635">F1151</f>
        <v>13.3</v>
      </c>
      <c r="G1223" s="46">
        <f t="shared" ca="1" si="1635"/>
        <v>27.012600000000003</v>
      </c>
      <c r="H1223" s="46">
        <f t="shared" ca="1" si="1558"/>
        <v>28.517550000000004</v>
      </c>
      <c r="I1223" s="45">
        <f t="shared" ca="1" si="1559"/>
        <v>0.69725265541392489</v>
      </c>
      <c r="J1223" s="45">
        <f t="shared" ca="1" si="1560"/>
        <v>0.27952512346894071</v>
      </c>
      <c r="K1223" s="45">
        <f t="shared" ca="1" si="1576"/>
        <v>0.90345467800480783</v>
      </c>
      <c r="L1223" s="358">
        <f t="shared" ca="1" si="1561"/>
        <v>0.80399103068855049</v>
      </c>
      <c r="M1223" s="76">
        <f t="shared" ca="1" si="1635"/>
        <v>0.25347808785320641</v>
      </c>
      <c r="N1223" s="45">
        <f t="shared" ca="1" si="1635"/>
        <v>0.25</v>
      </c>
      <c r="O1223" s="45">
        <f t="shared" ca="1" si="1635"/>
        <v>0</v>
      </c>
      <c r="P1223" s="46" t="str">
        <f t="shared" ca="1" si="1635"/>
        <v/>
      </c>
      <c r="Q1223" s="243" t="str">
        <f t="shared" ca="1" si="1635"/>
        <v/>
      </c>
      <c r="R1223" s="45">
        <f t="shared" ca="1" si="1577"/>
        <v>0.33479433599184538</v>
      </c>
      <c r="S1223" s="45">
        <f t="shared" ca="1" si="1601"/>
        <v>5.0695617570641283E-2</v>
      </c>
      <c r="T1223" s="77">
        <f t="shared" ca="1" si="1562"/>
        <v>0.14753910809057297</v>
      </c>
      <c r="U1223" s="45">
        <f t="shared" ca="1" si="1578"/>
        <v>18.123080360030798</v>
      </c>
      <c r="V1223" s="45">
        <f t="shared" ca="1" si="1563"/>
        <v>0.20278247028256513</v>
      </c>
      <c r="W1223" s="77">
        <f t="shared" ca="1" si="1564"/>
        <v>0.31317172021437034</v>
      </c>
      <c r="X1223" s="45">
        <f t="shared" ca="1" si="1579"/>
        <v>1.0334747232035255</v>
      </c>
      <c r="Y1223" s="45">
        <f t="shared" ca="1" si="1565"/>
        <v>4.4959679575210236E-2</v>
      </c>
      <c r="Z1223" s="77">
        <f t="shared" ca="1" si="1566"/>
        <v>3.8882302998227321E-2</v>
      </c>
      <c r="AA1223" s="45">
        <f t="shared" ca="1" si="1580"/>
        <v>39.251964957512975</v>
      </c>
      <c r="AB1223" s="45">
        <f t="shared" ca="1" si="1567"/>
        <v>0</v>
      </c>
      <c r="AC1223" s="45" cm="1">
        <f t="array" aca="1" ref="AC1223" ca="1">pHUM*(T1223+W1223+Z1223+AD1223)</f>
        <v>5.2893740676717926E-2</v>
      </c>
      <c r="AD1223" s="77">
        <f t="shared" ca="1" si="1568"/>
        <v>4.5587734390364475E-2</v>
      </c>
      <c r="AE1223" s="45">
        <f t="shared" ca="1" si="1581"/>
        <v>6.3847072090583081</v>
      </c>
      <c r="AF1223" s="45">
        <f t="shared" ca="1" si="1569"/>
        <v>0</v>
      </c>
      <c r="AG1223" s="76">
        <f t="shared" ca="1" si="1570"/>
        <v>65.128021585797455</v>
      </c>
      <c r="AH1223" s="45">
        <f t="shared" ca="1" si="1571"/>
        <v>0.44732744544160696</v>
      </c>
      <c r="AI1223" s="77">
        <f t="shared" ca="1" si="1572"/>
        <v>1.4543499110161165E-2</v>
      </c>
      <c r="AJ1223" s="384">
        <f t="shared" ca="1" si="1574"/>
        <v>3.7287331576811855E-2</v>
      </c>
      <c r="AU1223" s="1"/>
    </row>
    <row r="1224" spans="3:47" x14ac:dyDescent="0.25">
      <c r="C1224" s="10">
        <f t="shared" si="1599"/>
        <v>94</v>
      </c>
      <c r="D1224" s="91">
        <f t="shared" si="1582"/>
        <v>6</v>
      </c>
      <c r="E1224" s="278"/>
      <c r="F1224" s="76">
        <f t="shared" ref="F1224:Q1224" ca="1" si="1636">F1152</f>
        <v>18.579999999999998</v>
      </c>
      <c r="G1224" s="46">
        <f t="shared" ca="1" si="1636"/>
        <v>27.012600000000003</v>
      </c>
      <c r="H1224" s="46">
        <f t="shared" ca="1" si="1558"/>
        <v>28.517550000000004</v>
      </c>
      <c r="I1224" s="45">
        <f t="shared" ca="1" si="1559"/>
        <v>1.1053966357180092</v>
      </c>
      <c r="J1224" s="45">
        <f t="shared" ca="1" si="1560"/>
        <v>0.27952512346894071</v>
      </c>
      <c r="K1224" s="45">
        <f t="shared" ca="1" si="1576"/>
        <v>0.90345467800480783</v>
      </c>
      <c r="L1224" s="358">
        <f t="shared" ca="1" si="1561"/>
        <v>0.89864190578209513</v>
      </c>
      <c r="M1224" s="76">
        <f t="shared" ca="1" si="1636"/>
        <v>0.25347808785320641</v>
      </c>
      <c r="N1224" s="45">
        <f t="shared" ca="1" si="1636"/>
        <v>0.25</v>
      </c>
      <c r="O1224" s="45">
        <f t="shared" ca="1" si="1636"/>
        <v>0</v>
      </c>
      <c r="P1224" s="46" t="str">
        <f t="shared" ca="1" si="1636"/>
        <v/>
      </c>
      <c r="Q1224" s="243" t="str">
        <f t="shared" ca="1" si="1636"/>
        <v/>
      </c>
      <c r="R1224" s="45">
        <f t="shared" ca="1" si="1577"/>
        <v>0.2379508454719137</v>
      </c>
      <c r="S1224" s="45">
        <f t="shared" ca="1" si="1601"/>
        <v>5.0695617570641283E-2</v>
      </c>
      <c r="T1224" s="77">
        <f t="shared" ca="1" si="1562"/>
        <v>0.14323320525148991</v>
      </c>
      <c r="U1224" s="45">
        <f t="shared" ca="1" si="1578"/>
        <v>18.012691110098991</v>
      </c>
      <c r="V1224" s="45">
        <f t="shared" ca="1" si="1563"/>
        <v>0.20278247028256513</v>
      </c>
      <c r="W1224" s="77">
        <f t="shared" ca="1" si="1564"/>
        <v>0.49096408335087799</v>
      </c>
      <c r="X1224" s="45">
        <f t="shared" ca="1" si="1579"/>
        <v>1.0395520997805086</v>
      </c>
      <c r="Y1224" s="45">
        <f t="shared" ca="1" si="1565"/>
        <v>6.3316676875256953E-2</v>
      </c>
      <c r="Z1224" s="77">
        <f t="shared" ca="1" si="1566"/>
        <v>6.1318583128645528E-2</v>
      </c>
      <c r="AA1224" s="45">
        <f t="shared" ca="1" si="1580"/>
        <v>39.259270963799324</v>
      </c>
      <c r="AB1224" s="45">
        <f t="shared" ca="1" si="1567"/>
        <v>0</v>
      </c>
      <c r="AC1224" s="45" cm="1">
        <f t="array" aca="1" ref="AC1224" ca="1">pHUM*(T1224+W1224+Z1224+AD1224)</f>
        <v>7.4490208088537596E-2</v>
      </c>
      <c r="AD1224" s="77">
        <f t="shared" ca="1" si="1568"/>
        <v>7.2261857955553219E-2</v>
      </c>
      <c r="AE1224" s="45">
        <f t="shared" ca="1" si="1581"/>
        <v>6.3847072090583081</v>
      </c>
      <c r="AF1224" s="45">
        <f t="shared" ca="1" si="1569"/>
        <v>0</v>
      </c>
      <c r="AG1224" s="76">
        <f t="shared" ca="1" si="1570"/>
        <v>64.93417222820905</v>
      </c>
      <c r="AH1224" s="45">
        <f t="shared" ca="1" si="1571"/>
        <v>0.62997084472277221</v>
      </c>
      <c r="AI1224" s="77">
        <f t="shared" ca="1" si="1572"/>
        <v>1.3172061136472242E-2</v>
      </c>
      <c r="AJ1224" s="384">
        <f t="shared" ca="1" si="1574"/>
        <v>3.7746910257169253E-2</v>
      </c>
      <c r="AU1224" s="1"/>
    </row>
    <row r="1225" spans="3:47" x14ac:dyDescent="0.25">
      <c r="C1225" s="10">
        <f t="shared" si="1599"/>
        <v>94</v>
      </c>
      <c r="D1225" s="91">
        <f t="shared" si="1582"/>
        <v>7</v>
      </c>
      <c r="E1225" s="278"/>
      <c r="F1225" s="76">
        <f t="shared" ref="F1225:Q1225" ca="1" si="1637">F1153</f>
        <v>20.88</v>
      </c>
      <c r="G1225" s="46">
        <f t="shared" ca="1" si="1637"/>
        <v>27.012600000000003</v>
      </c>
      <c r="H1225" s="46">
        <f t="shared" ca="1" si="1558"/>
        <v>28.517550000000004</v>
      </c>
      <c r="I1225" s="45">
        <f t="shared" ca="1" si="1559"/>
        <v>1.2963209464812457</v>
      </c>
      <c r="J1225" s="45">
        <f t="shared" ca="1" si="1560"/>
        <v>0.27952512346894071</v>
      </c>
      <c r="K1225" s="45">
        <f t="shared" ca="1" si="1576"/>
        <v>0.90345467800480783</v>
      </c>
      <c r="L1225" s="358">
        <f t="shared" ca="1" si="1561"/>
        <v>0.92456370800230281</v>
      </c>
      <c r="M1225" s="76">
        <f t="shared" ca="1" si="1637"/>
        <v>0.25347808785320641</v>
      </c>
      <c r="N1225" s="45">
        <f t="shared" ca="1" si="1637"/>
        <v>0.25</v>
      </c>
      <c r="O1225" s="45">
        <f t="shared" ca="1" si="1637"/>
        <v>0</v>
      </c>
      <c r="P1225" s="46" t="str">
        <f t="shared" ca="1" si="1637"/>
        <v/>
      </c>
      <c r="Q1225" s="243" t="str">
        <f t="shared" ca="1" si="1637"/>
        <v/>
      </c>
      <c r="R1225" s="45">
        <f t="shared" ca="1" si="1577"/>
        <v>0.14541325779106506</v>
      </c>
      <c r="S1225" s="45">
        <f t="shared" ca="1" si="1601"/>
        <v>5.0695617570641283E-2</v>
      </c>
      <c r="T1225" s="77">
        <f t="shared" ca="1" si="1562"/>
        <v>9.6044771709889135E-2</v>
      </c>
      <c r="U1225" s="45">
        <f t="shared" ca="1" si="1578"/>
        <v>17.724509497030677</v>
      </c>
      <c r="V1225" s="45">
        <f t="shared" ca="1" si="1563"/>
        <v>0.20278247028256513</v>
      </c>
      <c r="W1225" s="77">
        <f t="shared" ca="1" si="1564"/>
        <v>0.56520821454131065</v>
      </c>
      <c r="X1225" s="45">
        <f t="shared" ca="1" si="1579"/>
        <v>1.0415501935271199</v>
      </c>
      <c r="Y1225" s="45">
        <f t="shared" ca="1" si="1565"/>
        <v>6.7430494696789273E-2</v>
      </c>
      <c r="Z1225" s="77">
        <f t="shared" ca="1" si="1566"/>
        <v>7.1674607949228863E-2</v>
      </c>
      <c r="AA1225" s="45">
        <f t="shared" ca="1" si="1580"/>
        <v>39.261499313932312</v>
      </c>
      <c r="AB1225" s="45">
        <f t="shared" ca="1" si="1567"/>
        <v>0</v>
      </c>
      <c r="AC1225" s="45" cm="1">
        <f t="array" aca="1" ref="AC1225" ca="1">pHUM*(T1225+W1225+Z1225+AD1225)</f>
        <v>7.9329993760928572E-2</v>
      </c>
      <c r="AD1225" s="77">
        <f t="shared" ca="1" si="1568"/>
        <v>8.4734271281560872E-2</v>
      </c>
      <c r="AE1225" s="45">
        <f t="shared" ca="1" si="1581"/>
        <v>6.3847072090583081</v>
      </c>
      <c r="AF1225" s="45">
        <f t="shared" ca="1" si="1569"/>
        <v>0</v>
      </c>
      <c r="AG1225" s="76">
        <f t="shared" ca="1" si="1570"/>
        <v>64.557679471339483</v>
      </c>
      <c r="AH1225" s="45">
        <f t="shared" ca="1" si="1571"/>
        <v>0.67090137702427166</v>
      </c>
      <c r="AI1225" s="77">
        <f t="shared" ca="1" si="1572"/>
        <v>1.1809806485184276E-2</v>
      </c>
      <c r="AJ1225" s="384">
        <f t="shared" ca="1" si="1574"/>
        <v>3.4819443583573584E-2</v>
      </c>
      <c r="AU1225" s="1"/>
    </row>
    <row r="1226" spans="3:47" x14ac:dyDescent="0.25">
      <c r="C1226" s="10">
        <f t="shared" si="1599"/>
        <v>94</v>
      </c>
      <c r="D1226" s="91">
        <f t="shared" si="1582"/>
        <v>8</v>
      </c>
      <c r="E1226" s="278"/>
      <c r="F1226" s="76">
        <f t="shared" ref="F1226:Q1226" ca="1" si="1638">F1154</f>
        <v>19.38</v>
      </c>
      <c r="G1226" s="46">
        <f t="shared" ca="1" si="1638"/>
        <v>27.012600000000003</v>
      </c>
      <c r="H1226" s="46">
        <f t="shared" ca="1" si="1558"/>
        <v>28.517550000000004</v>
      </c>
      <c r="I1226" s="45">
        <f t="shared" ca="1" si="1559"/>
        <v>1.1711755949831784</v>
      </c>
      <c r="J1226" s="45">
        <f t="shared" ca="1" si="1560"/>
        <v>0.27952512346894071</v>
      </c>
      <c r="K1226" s="45">
        <f t="shared" ca="1" si="1576"/>
        <v>0.90345467800480783</v>
      </c>
      <c r="L1226" s="358">
        <f t="shared" ca="1" si="1561"/>
        <v>0.9085593811553081</v>
      </c>
      <c r="M1226" s="76">
        <f t="shared" ca="1" si="1638"/>
        <v>0.25347808785320641</v>
      </c>
      <c r="N1226" s="45">
        <f t="shared" ca="1" si="1638"/>
        <v>0.25</v>
      </c>
      <c r="O1226" s="45">
        <f t="shared" ca="1" si="1638"/>
        <v>0</v>
      </c>
      <c r="P1226" s="46" t="str">
        <f t="shared" ca="1" si="1638"/>
        <v/>
      </c>
      <c r="Q1226" s="243" t="str">
        <f t="shared" ca="1" si="1638"/>
        <v/>
      </c>
      <c r="R1226" s="45">
        <f t="shared" ca="1" si="1577"/>
        <v>0.10006410365181721</v>
      </c>
      <c r="S1226" s="45">
        <f t="shared" ca="1" si="1601"/>
        <v>5.0695617570641283E-2</v>
      </c>
      <c r="T1226" s="77">
        <f t="shared" ca="1" si="1562"/>
        <v>6.2357646589744672E-2</v>
      </c>
      <c r="U1226" s="45">
        <f t="shared" ca="1" si="1578"/>
        <v>17.36208375277193</v>
      </c>
      <c r="V1226" s="45">
        <f t="shared" ca="1" si="1563"/>
        <v>0.20278247028256513</v>
      </c>
      <c r="W1226" s="77">
        <f t="shared" ca="1" si="1564"/>
        <v>0.50098121734296419</v>
      </c>
      <c r="X1226" s="45">
        <f t="shared" ca="1" si="1579"/>
        <v>1.0373060802746803</v>
      </c>
      <c r="Y1226" s="45">
        <f t="shared" ca="1" si="1565"/>
        <v>5.8106701804419604E-2</v>
      </c>
      <c r="Z1226" s="77">
        <f t="shared" ca="1" si="1566"/>
        <v>6.4711168551990467E-2</v>
      </c>
      <c r="AA1226" s="45">
        <f t="shared" ca="1" si="1580"/>
        <v>39.256095036411679</v>
      </c>
      <c r="AB1226" s="45">
        <f t="shared" ca="1" si="1567"/>
        <v>0</v>
      </c>
      <c r="AC1226" s="45" cm="1">
        <f t="array" aca="1" ref="AC1226" ca="1">pHUM*(T1226+W1226+Z1226+AD1226)</f>
        <v>6.8360825652258358E-2</v>
      </c>
      <c r="AD1226" s="77">
        <f t="shared" ca="1" si="1568"/>
        <v>7.655156369296745E-2</v>
      </c>
      <c r="AE1226" s="45">
        <f t="shared" ca="1" si="1581"/>
        <v>6.3847072090583081</v>
      </c>
      <c r="AF1226" s="45">
        <f t="shared" ca="1" si="1569"/>
        <v>0</v>
      </c>
      <c r="AG1226" s="76">
        <f t="shared" ca="1" si="1570"/>
        <v>64.140256182168415</v>
      </c>
      <c r="AH1226" s="45">
        <f t="shared" ca="1" si="1571"/>
        <v>0.57813406872098883</v>
      </c>
      <c r="AI1226" s="77">
        <f t="shared" ca="1" si="1572"/>
        <v>1.1079758009679835E-2</v>
      </c>
      <c r="AJ1226" s="384">
        <f t="shared" ca="1" si="1574"/>
        <v>3.210161701535541E-2</v>
      </c>
      <c r="AU1226" s="1"/>
    </row>
    <row r="1227" spans="3:47" x14ac:dyDescent="0.25">
      <c r="C1227" s="10">
        <f t="shared" si="1599"/>
        <v>94</v>
      </c>
      <c r="D1227" s="91">
        <f t="shared" si="1582"/>
        <v>9</v>
      </c>
      <c r="E1227" s="278"/>
      <c r="F1227" s="76">
        <f t="shared" ref="F1227:Q1227" ca="1" si="1639">F1155</f>
        <v>16.57</v>
      </c>
      <c r="G1227" s="46">
        <f t="shared" ca="1" si="1639"/>
        <v>27.012600000000003</v>
      </c>
      <c r="H1227" s="46">
        <f t="shared" ca="1" si="1558"/>
        <v>28.517550000000004</v>
      </c>
      <c r="I1227" s="45">
        <f t="shared" ca="1" si="1559"/>
        <v>0.9439672665218134</v>
      </c>
      <c r="J1227" s="45">
        <f t="shared" ca="1" si="1560"/>
        <v>0.27952512346894071</v>
      </c>
      <c r="K1227" s="45">
        <f t="shared" ca="1" si="1576"/>
        <v>0.90345467800480783</v>
      </c>
      <c r="L1227" s="358">
        <f t="shared" ca="1" si="1561"/>
        <v>0.86895066774150642</v>
      </c>
      <c r="M1227" s="76">
        <f t="shared" ca="1" si="1639"/>
        <v>0.25347808785320641</v>
      </c>
      <c r="N1227" s="45">
        <f t="shared" ca="1" si="1639"/>
        <v>0.25</v>
      </c>
      <c r="O1227" s="45">
        <f t="shared" ca="1" si="1639"/>
        <v>0</v>
      </c>
      <c r="P1227" s="46" t="str">
        <f t="shared" ca="1" si="1639"/>
        <v/>
      </c>
      <c r="Q1227" s="243" t="str">
        <f t="shared" ca="1" si="1639"/>
        <v/>
      </c>
      <c r="R1227" s="45">
        <f t="shared" ca="1" si="1577"/>
        <v>8.8402074632713837E-2</v>
      </c>
      <c r="S1227" s="45">
        <f t="shared" ca="1" si="1601"/>
        <v>5.0695617570641283E-2</v>
      </c>
      <c r="T1227" s="77">
        <f t="shared" ca="1" si="1562"/>
        <v>4.8146195874830794E-2</v>
      </c>
      <c r="U1227" s="45">
        <f t="shared" ca="1" si="1578"/>
        <v>17.06388500571153</v>
      </c>
      <c r="V1227" s="45">
        <f t="shared" ca="1" si="1563"/>
        <v>0.20278247028256513</v>
      </c>
      <c r="W1227" s="77">
        <f t="shared" ca="1" si="1564"/>
        <v>0.39797925961263364</v>
      </c>
      <c r="X1227" s="45">
        <f t="shared" ca="1" si="1579"/>
        <v>1.0307016135271094</v>
      </c>
      <c r="Y1227" s="45">
        <f t="shared" ca="1" si="1565"/>
        <v>4.6179432036881497E-2</v>
      </c>
      <c r="Z1227" s="77">
        <f t="shared" ca="1" si="1566"/>
        <v>5.2146775858389074E-2</v>
      </c>
      <c r="AA1227" s="45">
        <f t="shared" ca="1" si="1580"/>
        <v>39.247904298370969</v>
      </c>
      <c r="AB1227" s="45">
        <f t="shared" ca="1" si="1567"/>
        <v>0</v>
      </c>
      <c r="AC1227" s="45" cm="1">
        <f t="array" aca="1" ref="AC1227" ca="1">pHUM*(T1227+W1227+Z1227+AD1227)</f>
        <v>5.4328743572801763E-2</v>
      </c>
      <c r="AD1227" s="77">
        <f t="shared" ca="1" si="1568"/>
        <v>6.1699347032218105E-2</v>
      </c>
      <c r="AE1227" s="45">
        <f t="shared" ca="1" si="1581"/>
        <v>6.3847072090583081</v>
      </c>
      <c r="AF1227" s="45">
        <f t="shared" ca="1" si="1569"/>
        <v>0</v>
      </c>
      <c r="AG1227" s="76">
        <f t="shared" ca="1" si="1570"/>
        <v>63.815600201300626</v>
      </c>
      <c r="AH1227" s="45">
        <f t="shared" ca="1" si="1571"/>
        <v>0.45946340276838832</v>
      </c>
      <c r="AI1227" s="77">
        <f t="shared" ca="1" si="1572"/>
        <v>1.0836803170181028E-2</v>
      </c>
      <c r="AJ1227" s="384">
        <f t="shared" ca="1" si="1574"/>
        <v>3.0028972541749077E-2</v>
      </c>
      <c r="AU1227" s="1"/>
    </row>
    <row r="1228" spans="3:47" x14ac:dyDescent="0.25">
      <c r="C1228" s="10">
        <f t="shared" si="1599"/>
        <v>94</v>
      </c>
      <c r="D1228" s="91">
        <f t="shared" si="1582"/>
        <v>10</v>
      </c>
      <c r="E1228" s="278"/>
      <c r="F1228" s="76">
        <f t="shared" ref="F1228:Q1228" ca="1" si="1640">F1156</f>
        <v>10.87</v>
      </c>
      <c r="G1228" s="46">
        <f t="shared" ca="1" si="1640"/>
        <v>27.012600000000003</v>
      </c>
      <c r="H1228" s="46">
        <f t="shared" ca="1" si="1558"/>
        <v>28.517550000000004</v>
      </c>
      <c r="I1228" s="45">
        <f t="shared" ca="1" si="1559"/>
        <v>0.53125146958099567</v>
      </c>
      <c r="J1228" s="45">
        <f t="shared" ca="1" si="1560"/>
        <v>0.27952512346894071</v>
      </c>
      <c r="K1228" s="45">
        <f t="shared" ca="1" si="1576"/>
        <v>0.90345467800480783</v>
      </c>
      <c r="L1228" s="358">
        <f t="shared" ca="1" si="1561"/>
        <v>0.74105246316705919</v>
      </c>
      <c r="M1228" s="76">
        <f t="shared" ca="1" si="1640"/>
        <v>0.25347808785320641</v>
      </c>
      <c r="N1228" s="45">
        <f t="shared" ca="1" si="1640"/>
        <v>0.25</v>
      </c>
      <c r="O1228" s="45">
        <f t="shared" ca="1" si="1640"/>
        <v>0</v>
      </c>
      <c r="P1228" s="46" t="str">
        <f t="shared" ca="1" si="1640"/>
        <v/>
      </c>
      <c r="Q1228" s="243" t="str">
        <f t="shared" ca="1" si="1640"/>
        <v/>
      </c>
      <c r="R1228" s="45">
        <f t="shared" ca="1" si="1577"/>
        <v>9.0951496328524312E-2</v>
      </c>
      <c r="S1228" s="45">
        <f t="shared" ca="1" si="1601"/>
        <v>5.0695617570641283E-2</v>
      </c>
      <c r="T1228" s="77">
        <f t="shared" ca="1" si="1562"/>
        <v>3.2533920585815154E-2</v>
      </c>
      <c r="U1228" s="45">
        <f t="shared" ca="1" si="1578"/>
        <v>16.868688216381461</v>
      </c>
      <c r="V1228" s="45">
        <f t="shared" ca="1" si="1563"/>
        <v>0.20278247028256513</v>
      </c>
      <c r="W1228" s="77">
        <f t="shared" ca="1" si="1564"/>
        <v>0.22255669405054077</v>
      </c>
      <c r="X1228" s="45">
        <f t="shared" ca="1" si="1579"/>
        <v>1.0247342697056019</v>
      </c>
      <c r="Y1228" s="45">
        <f t="shared" ca="1" si="1565"/>
        <v>2.6334159398246317E-2</v>
      </c>
      <c r="Z1228" s="77">
        <f t="shared" ca="1" si="1566"/>
        <v>2.9508338354878039E-2</v>
      </c>
      <c r="AA1228" s="45">
        <f t="shared" ca="1" si="1580"/>
        <v>39.240533694911555</v>
      </c>
      <c r="AB1228" s="45">
        <f t="shared" ca="1" si="1567"/>
        <v>0</v>
      </c>
      <c r="AC1228" s="45" cm="1">
        <f t="array" aca="1" ref="AC1228" ca="1">pHUM*(T1228+W1228+Z1228+AD1228)</f>
        <v>3.0981363997936846E-2</v>
      </c>
      <c r="AD1228" s="77">
        <f t="shared" ca="1" si="1568"/>
        <v>3.4728941551046812E-2</v>
      </c>
      <c r="AE1228" s="45">
        <f t="shared" ca="1" si="1581"/>
        <v>6.3847072090583081</v>
      </c>
      <c r="AF1228" s="45">
        <f t="shared" ca="1" si="1569"/>
        <v>0</v>
      </c>
      <c r="AG1228" s="76">
        <f t="shared" ca="1" si="1570"/>
        <v>63.609614886385444</v>
      </c>
      <c r="AH1228" s="45">
        <f t="shared" ca="1" si="1571"/>
        <v>0.26201237114609766</v>
      </c>
      <c r="AI1228" s="77">
        <f t="shared" ca="1" si="1572"/>
        <v>1.0821710658474797E-2</v>
      </c>
      <c r="AJ1228" s="384">
        <f t="shared" ca="1" si="1574"/>
        <v>2.5573540927908978E-2</v>
      </c>
      <c r="AU1228" s="1"/>
    </row>
    <row r="1229" spans="3:47" x14ac:dyDescent="0.25">
      <c r="C1229" s="10">
        <f t="shared" si="1599"/>
        <v>94</v>
      </c>
      <c r="D1229" s="91">
        <f t="shared" si="1582"/>
        <v>11</v>
      </c>
      <c r="E1229" s="278"/>
      <c r="F1229" s="76">
        <f t="shared" ref="F1229:Q1229" ca="1" si="1641">F1157</f>
        <v>1.4</v>
      </c>
      <c r="G1229" s="46">
        <f t="shared" ca="1" si="1641"/>
        <v>28.536243189942063</v>
      </c>
      <c r="H1229" s="46">
        <f t="shared" ca="1" si="1558"/>
        <v>26.993906810057943</v>
      </c>
      <c r="I1229" s="45">
        <f t="shared" ca="1" si="1559"/>
        <v>9.940372096718314E-2</v>
      </c>
      <c r="J1229" s="45">
        <f t="shared" ca="1" si="1560"/>
        <v>0.28648639837560558</v>
      </c>
      <c r="K1229" s="45">
        <f t="shared" ca="1" si="1576"/>
        <v>0.92595425264501963</v>
      </c>
      <c r="L1229" s="358">
        <f t="shared" ca="1" si="1561"/>
        <v>0.41120226021724715</v>
      </c>
      <c r="M1229" s="76">
        <f t="shared" ca="1" si="1641"/>
        <v>0.25347808785320641</v>
      </c>
      <c r="N1229" s="45">
        <f t="shared" ca="1" si="1641"/>
        <v>0.25</v>
      </c>
      <c r="O1229" s="45">
        <f t="shared" ca="1" si="1641"/>
        <v>0</v>
      </c>
      <c r="P1229" s="46" t="str">
        <f t="shared" ca="1" si="1641"/>
        <v/>
      </c>
      <c r="Q1229" s="243" t="str">
        <f t="shared" ca="1" si="1641"/>
        <v/>
      </c>
      <c r="R1229" s="45">
        <f t="shared" ca="1" si="1577"/>
        <v>0.10911319331335044</v>
      </c>
      <c r="S1229" s="45">
        <f t="shared" ca="1" si="1601"/>
        <v>5.0695617570641283E-2</v>
      </c>
      <c r="T1229" s="77">
        <f t="shared" ca="1" si="1562"/>
        <v>8.6743136422450483E-3</v>
      </c>
      <c r="U1229" s="45">
        <f t="shared" ca="1" si="1578"/>
        <v>16.848913992613483</v>
      </c>
      <c r="V1229" s="45">
        <f t="shared" ca="1" si="1563"/>
        <v>0.20278247028256513</v>
      </c>
      <c r="W1229" s="77">
        <f t="shared" ca="1" si="1564"/>
        <v>4.1819134886031423E-2</v>
      </c>
      <c r="X1229" s="45">
        <f t="shared" ca="1" si="1579"/>
        <v>1.0215600907489701</v>
      </c>
      <c r="Y1229" s="45">
        <f t="shared" ca="1" si="1565"/>
        <v>5.1594296082889393E-3</v>
      </c>
      <c r="Z1229" s="77">
        <f t="shared" ca="1" si="1566"/>
        <v>5.5698384845369172E-3</v>
      </c>
      <c r="AA1229" s="45">
        <f t="shared" ca="1" si="1580"/>
        <v>39.236786117358449</v>
      </c>
      <c r="AB1229" s="45">
        <f t="shared" ca="1" si="1567"/>
        <v>0</v>
      </c>
      <c r="AC1229" s="45" cm="1">
        <f t="array" aca="1" ref="AC1229" ca="1">pHUM*(T1229+W1229+Z1229+AD1229)</f>
        <v>6.0699171862222817E-3</v>
      </c>
      <c r="AD1229" s="77">
        <f t="shared" ca="1" si="1568"/>
        <v>6.4999324520056533E-3</v>
      </c>
      <c r="AE1229" s="45">
        <f t="shared" ca="1" si="1581"/>
        <v>6.3847072090583081</v>
      </c>
      <c r="AF1229" s="45">
        <f t="shared" ca="1" si="1569"/>
        <v>0</v>
      </c>
      <c r="AG1229" s="76">
        <f t="shared" ca="1" si="1570"/>
        <v>63.601080603092555</v>
      </c>
      <c r="AH1229" s="45">
        <f t="shared" ca="1" si="1571"/>
        <v>5.1333872670307833E-2</v>
      </c>
      <c r="AI1229" s="77">
        <f t="shared" ca="1" si="1572"/>
        <v>1.1076042080919387E-2</v>
      </c>
      <c r="AJ1229" s="384">
        <f t="shared" ca="1" si="1574"/>
        <v>1.4885849389936201E-2</v>
      </c>
      <c r="AU1229" s="1"/>
    </row>
    <row r="1230" spans="3:47" x14ac:dyDescent="0.25">
      <c r="C1230" s="10">
        <f t="shared" si="1599"/>
        <v>94</v>
      </c>
      <c r="D1230" s="91">
        <f t="shared" si="1582"/>
        <v>12</v>
      </c>
      <c r="E1230" s="278"/>
      <c r="F1230" s="76">
        <f t="shared" ref="F1230:Q1230" ca="1" si="1642">F1158</f>
        <v>-1.78</v>
      </c>
      <c r="G1230" s="46">
        <f t="shared" ca="1" si="1642"/>
        <v>32.216243189942062</v>
      </c>
      <c r="H1230" s="46">
        <f t="shared" ca="1" si="1558"/>
        <v>23.313906810057944</v>
      </c>
      <c r="I1230" s="45">
        <f t="shared" ca="1" si="1559"/>
        <v>3.9789790397057247E-2</v>
      </c>
      <c r="J1230" s="45">
        <f t="shared" ca="1" si="1560"/>
        <v>0.29882189650486002</v>
      </c>
      <c r="K1230" s="45">
        <f t="shared" ca="1" si="1576"/>
        <v>0.96582388351071458</v>
      </c>
      <c r="L1230" s="358">
        <f t="shared" ca="1" si="1561"/>
        <v>0.30292377267304249</v>
      </c>
      <c r="M1230" s="76">
        <f t="shared" ca="1" si="1642"/>
        <v>0.25347808785320641</v>
      </c>
      <c r="N1230" s="45">
        <f t="shared" ca="1" si="1642"/>
        <v>0.25</v>
      </c>
      <c r="O1230" s="45">
        <f t="shared" ca="1" si="1642"/>
        <v>0</v>
      </c>
      <c r="P1230" s="46" t="str">
        <f t="shared" ca="1" si="1642"/>
        <v/>
      </c>
      <c r="Q1230" s="243" t="str">
        <f t="shared" ca="1" si="1642"/>
        <v/>
      </c>
      <c r="R1230" s="45">
        <f t="shared" ca="1" si="1577"/>
        <v>0.15113449724174668</v>
      </c>
      <c r="S1230" s="45">
        <f t="shared" ca="1" si="1601"/>
        <v>5.0695617570641283E-2</v>
      </c>
      <c r="T1230" s="77">
        <f t="shared" ca="1" si="1562"/>
        <v>4.9291689443774654E-3</v>
      </c>
      <c r="U1230" s="45">
        <f t="shared" ca="1" si="1578"/>
        <v>17.009877328010017</v>
      </c>
      <c r="V1230" s="45">
        <f t="shared" ca="1" si="1563"/>
        <v>0.20278247028256513</v>
      </c>
      <c r="W1230" s="77">
        <f t="shared" ca="1" si="1564"/>
        <v>1.6912073346294028E-2</v>
      </c>
      <c r="X1230" s="45">
        <f t="shared" ca="1" si="1579"/>
        <v>1.0211496818727221</v>
      </c>
      <c r="Y1230" s="45">
        <f t="shared" ca="1" si="1565"/>
        <v>2.1998562287604377E-3</v>
      </c>
      <c r="Z1230" s="77">
        <f t="shared" ca="1" si="1566"/>
        <v>2.2322797549532594E-3</v>
      </c>
      <c r="AA1230" s="45">
        <f t="shared" ca="1" si="1580"/>
        <v>39.236356102092664</v>
      </c>
      <c r="AB1230" s="45">
        <f t="shared" ca="1" si="1567"/>
        <v>0</v>
      </c>
      <c r="AC1230" s="45" cm="1">
        <f t="array" aca="1" ref="AC1230" ca="1">pHUM*(T1230+W1230+Z1230+AD1230)</f>
        <v>2.5880661514828683E-3</v>
      </c>
      <c r="AD1230" s="77">
        <f t="shared" ca="1" si="1568"/>
        <v>2.6019243661020959E-3</v>
      </c>
      <c r="AE1230" s="45">
        <f t="shared" ca="1" si="1581"/>
        <v>6.3847072090583081</v>
      </c>
      <c r="AF1230" s="45">
        <f t="shared" ca="1" si="1569"/>
        <v>0</v>
      </c>
      <c r="AG1230" s="76">
        <f t="shared" ca="1" si="1570"/>
        <v>63.803224818275453</v>
      </c>
      <c r="AH1230" s="45">
        <f t="shared" ca="1" si="1571"/>
        <v>2.1887524031483543E-2</v>
      </c>
      <c r="AI1230" s="77">
        <f t="shared" ca="1" si="1572"/>
        <v>1.1716594835952363E-2</v>
      </c>
      <c r="AJ1230" s="384">
        <f t="shared" ca="1" si="1574"/>
        <v>1.2099790506979735E-2</v>
      </c>
      <c r="AU1230" s="1"/>
    </row>
    <row r="1231" spans="3:47" x14ac:dyDescent="0.25">
      <c r="C1231" s="10">
        <f t="shared" si="1599"/>
        <v>95</v>
      </c>
      <c r="D1231" s="91">
        <f t="shared" si="1582"/>
        <v>1</v>
      </c>
      <c r="E1231" s="278"/>
      <c r="F1231" s="76">
        <f t="shared" ref="F1231:Q1231" ca="1" si="1643">F1159</f>
        <v>-8.2799999999999994</v>
      </c>
      <c r="G1231" s="46">
        <f t="shared" ca="1" si="1643"/>
        <v>27.676243189942063</v>
      </c>
      <c r="H1231" s="46">
        <f t="shared" ca="1" si="1558"/>
        <v>27.853906810057943</v>
      </c>
      <c r="I1231" s="45">
        <f t="shared" ca="1" si="1559"/>
        <v>5.2124139735228647E-4</v>
      </c>
      <c r="J1231" s="45">
        <f t="shared" ca="1" si="1560"/>
        <v>0.28271042830183513</v>
      </c>
      <c r="K1231" s="45">
        <f t="shared" ca="1" si="1576"/>
        <v>0.91374991914963299</v>
      </c>
      <c r="L1231" s="358">
        <f t="shared" ca="1" si="1561"/>
        <v>0.14143923467074027</v>
      </c>
      <c r="M1231" s="76">
        <f t="shared" ca="1" si="1643"/>
        <v>0.25347808785320641</v>
      </c>
      <c r="N1231" s="45">
        <f t="shared" ca="1" si="1643"/>
        <v>0.25</v>
      </c>
      <c r="O1231" s="45">
        <f t="shared" ca="1" si="1643"/>
        <v>0</v>
      </c>
      <c r="P1231" s="46" t="str">
        <f t="shared" ca="1" si="1643"/>
        <v/>
      </c>
      <c r="Q1231" s="243" t="str">
        <f t="shared" ca="1" si="1643"/>
        <v/>
      </c>
      <c r="R1231" s="45">
        <f t="shared" ca="1" si="1577"/>
        <v>0.19690094586801049</v>
      </c>
      <c r="S1231" s="45">
        <f t="shared" ca="1" si="1601"/>
        <v>5.0695617570641283E-2</v>
      </c>
      <c r="T1231" s="77">
        <f t="shared" ca="1" si="1562"/>
        <v>8.5508864309104358E-5</v>
      </c>
      <c r="U1231" s="45">
        <f t="shared" ca="1" si="1578"/>
        <v>17.195747724946287</v>
      </c>
      <c r="V1231" s="45">
        <f t="shared" ca="1" si="1563"/>
        <v>0.20278247028256513</v>
      </c>
      <c r="W1231" s="77">
        <f t="shared" ca="1" si="1564"/>
        <v>2.2407692933649356E-4</v>
      </c>
      <c r="X1231" s="45">
        <f t="shared" ca="1" si="1579"/>
        <v>1.0211172583465293</v>
      </c>
      <c r="Y1231" s="45">
        <f t="shared" ca="1" si="1565"/>
        <v>3.0755829137224759E-5</v>
      </c>
      <c r="Z1231" s="77">
        <f t="shared" ca="1" si="1566"/>
        <v>2.9273252654204903E-5</v>
      </c>
      <c r="AA1231" s="45">
        <f t="shared" ca="1" si="1580"/>
        <v>39.236342243878042</v>
      </c>
      <c r="AB1231" s="45">
        <f t="shared" ca="1" si="1567"/>
        <v>0</v>
      </c>
      <c r="AC1231" s="45" cm="1">
        <f t="array" aca="1" ref="AC1231" ca="1">pHUM*(T1231+W1231+Z1231+AD1231)</f>
        <v>3.6183328396735013E-5</v>
      </c>
      <c r="AD1231" s="77">
        <f t="shared" ca="1" si="1568"/>
        <v>3.408599495889561E-5</v>
      </c>
      <c r="AE1231" s="45">
        <f t="shared" ca="1" si="1581"/>
        <v>6.3847072090583081</v>
      </c>
      <c r="AF1231" s="45">
        <f t="shared" ca="1" si="1569"/>
        <v>0</v>
      </c>
      <c r="AG1231" s="76">
        <f t="shared" ca="1" si="1570"/>
        <v>64.034815382097179</v>
      </c>
      <c r="AH1231" s="45">
        <f t="shared" ca="1" si="1571"/>
        <v>3.0600588372473871E-4</v>
      </c>
      <c r="AI1231" s="77">
        <f t="shared" ca="1" si="1572"/>
        <v>1.2411653512973296E-2</v>
      </c>
      <c r="AJ1231" s="384">
        <f t="shared" ca="1" si="1574"/>
        <v>5.6620626620340619E-3</v>
      </c>
      <c r="AU1231" s="1"/>
    </row>
    <row r="1232" spans="3:47" x14ac:dyDescent="0.25">
      <c r="C1232" s="10">
        <f t="shared" si="1599"/>
        <v>95</v>
      </c>
      <c r="D1232" s="91">
        <f t="shared" si="1582"/>
        <v>2</v>
      </c>
      <c r="E1232" s="278"/>
      <c r="F1232" s="76">
        <f t="shared" ref="F1232:Q1232" ca="1" si="1644">F1160</f>
        <v>-13.02</v>
      </c>
      <c r="G1232" s="46">
        <f t="shared" ca="1" si="1644"/>
        <v>27.012600000000003</v>
      </c>
      <c r="H1232" s="46">
        <f t="shared" ca="1" si="1558"/>
        <v>28.517550000000004</v>
      </c>
      <c r="I1232" s="45">
        <f t="shared" ca="1" si="1559"/>
        <v>3.4968020066039631E-8</v>
      </c>
      <c r="J1232" s="45">
        <f t="shared" ca="1" si="1560"/>
        <v>0.27952512346894071</v>
      </c>
      <c r="K1232" s="45">
        <f t="shared" ca="1" si="1576"/>
        <v>0.90345467800480783</v>
      </c>
      <c r="L1232" s="358">
        <f t="shared" ca="1" si="1561"/>
        <v>7.5103934893711255E-2</v>
      </c>
      <c r="M1232" s="76">
        <f t="shared" ca="1" si="1644"/>
        <v>0.25347808785320641</v>
      </c>
      <c r="N1232" s="45">
        <f t="shared" ca="1" si="1644"/>
        <v>0.25</v>
      </c>
      <c r="O1232" s="45">
        <f t="shared" ca="1" si="1644"/>
        <v>0</v>
      </c>
      <c r="P1232" s="46" t="str">
        <f t="shared" ca="1" si="1644"/>
        <v/>
      </c>
      <c r="Q1232" s="243" t="str">
        <f t="shared" ca="1" si="1644"/>
        <v/>
      </c>
      <c r="R1232" s="45">
        <f t="shared" ca="1" si="1577"/>
        <v>0.24751105457434266</v>
      </c>
      <c r="S1232" s="45">
        <f t="shared" ca="1" si="1601"/>
        <v>5.0695617570641283E-2</v>
      </c>
      <c r="T1232" s="77">
        <f t="shared" ca="1" si="1562"/>
        <v>7.2124761619648606E-9</v>
      </c>
      <c r="U1232" s="45">
        <f t="shared" ca="1" si="1578"/>
        <v>17.398306118299516</v>
      </c>
      <c r="V1232" s="45">
        <f t="shared" ca="1" si="1563"/>
        <v>0.20278247028256513</v>
      </c>
      <c r="W1232" s="77">
        <f t="shared" ca="1" si="1564"/>
        <v>1.5209607729881335E-8</v>
      </c>
      <c r="X1232" s="45">
        <f t="shared" ca="1" si="1579"/>
        <v>1.0211187409230125</v>
      </c>
      <c r="Y1232" s="45">
        <f t="shared" ca="1" si="1565"/>
        <v>2.1996245812343165E-9</v>
      </c>
      <c r="Z1232" s="77">
        <f t="shared" ca="1" si="1566"/>
        <v>1.9638575529012048E-9</v>
      </c>
      <c r="AA1232" s="45">
        <f t="shared" ca="1" si="1580"/>
        <v>39.236344341211478</v>
      </c>
      <c r="AB1232" s="45">
        <f t="shared" ca="1" si="1567"/>
        <v>0</v>
      </c>
      <c r="AC1232" s="45" cm="1">
        <f t="array" aca="1" ref="AC1232" ca="1">pHUM*(T1232+W1232+Z1232+AD1232)</f>
        <v>2.587793624981549E-9</v>
      </c>
      <c r="AD1232" s="77">
        <f t="shared" ca="1" si="1568"/>
        <v>2.2866960101536941E-9</v>
      </c>
      <c r="AE1232" s="45">
        <f t="shared" ca="1" si="1581"/>
        <v>6.3847072090583081</v>
      </c>
      <c r="AF1232" s="45">
        <f t="shared" ca="1" si="1569"/>
        <v>0</v>
      </c>
      <c r="AG1232" s="76">
        <f t="shared" ca="1" si="1570"/>
        <v>64.28798746406666</v>
      </c>
      <c r="AH1232" s="45">
        <f t="shared" ca="1" si="1571"/>
        <v>2.1885219248685228E-8</v>
      </c>
      <c r="AI1232" s="77">
        <f t="shared" ca="1" si="1572"/>
        <v>1.3173214017057617E-2</v>
      </c>
      <c r="AJ1232" s="384">
        <f t="shared" ca="1" si="1574"/>
        <v>3.1550744819131005E-3</v>
      </c>
      <c r="AU1232" s="1"/>
    </row>
    <row r="1233" spans="3:47" x14ac:dyDescent="0.25">
      <c r="C1233" s="10">
        <f t="shared" si="1599"/>
        <v>95</v>
      </c>
      <c r="D1233" s="91">
        <f t="shared" si="1582"/>
        <v>3</v>
      </c>
      <c r="E1233" s="278"/>
      <c r="F1233" s="76">
        <f t="shared" ref="F1233:Q1233" ca="1" si="1645">F1161</f>
        <v>-3.52</v>
      </c>
      <c r="G1233" s="46">
        <f t="shared" ca="1" si="1645"/>
        <v>29.742600000000003</v>
      </c>
      <c r="H1233" s="46">
        <f t="shared" ca="1" si="1558"/>
        <v>25.787550000000003</v>
      </c>
      <c r="I1233" s="45">
        <f t="shared" ca="1" si="1559"/>
        <v>1.7216068766348798E-2</v>
      </c>
      <c r="J1233" s="45">
        <f t="shared" ca="1" si="1560"/>
        <v>0.2911707845539237</v>
      </c>
      <c r="K1233" s="45">
        <f t="shared" ca="1" si="1576"/>
        <v>0.94109468279262609</v>
      </c>
      <c r="L1233" s="358">
        <f t="shared" ca="1" si="1561"/>
        <v>0.2510452916114092</v>
      </c>
      <c r="M1233" s="76">
        <f t="shared" ca="1" si="1645"/>
        <v>0.25347808785320641</v>
      </c>
      <c r="N1233" s="45">
        <f t="shared" ca="1" si="1645"/>
        <v>0.25</v>
      </c>
      <c r="O1233" s="45">
        <f t="shared" ca="1" si="1645"/>
        <v>0</v>
      </c>
      <c r="P1233" s="46" t="str">
        <f t="shared" ca="1" si="1645"/>
        <v/>
      </c>
      <c r="Q1233" s="243" t="str">
        <f t="shared" ca="1" si="1645"/>
        <v/>
      </c>
      <c r="R1233" s="45">
        <f t="shared" ca="1" si="1577"/>
        <v>0.2982066649325078</v>
      </c>
      <c r="S1233" s="45">
        <f t="shared" ca="1" si="1601"/>
        <v>5.0695617570641283E-2</v>
      </c>
      <c r="T1233" s="77">
        <f t="shared" ca="1" si="1562"/>
        <v>4.2477452355207971E-3</v>
      </c>
      <c r="U1233" s="45">
        <f t="shared" ca="1" si="1578"/>
        <v>17.601088573372472</v>
      </c>
      <c r="V1233" s="45">
        <f t="shared" ca="1" si="1563"/>
        <v>0.20278247028256513</v>
      </c>
      <c r="W1233" s="77">
        <f t="shared" ca="1" si="1564"/>
        <v>7.5739087524512548E-3</v>
      </c>
      <c r="X1233" s="45">
        <f t="shared" ca="1" si="1579"/>
        <v>1.0211187411587794</v>
      </c>
      <c r="Y1233" s="45">
        <f t="shared" ca="1" si="1565"/>
        <v>1.1474428771346304E-3</v>
      </c>
      <c r="Z1233" s="77">
        <f t="shared" ca="1" si="1566"/>
        <v>9.6642315823723267E-4</v>
      </c>
      <c r="AA1233" s="45">
        <f t="shared" ca="1" si="1580"/>
        <v>39.236344341512577</v>
      </c>
      <c r="AB1233" s="45">
        <f t="shared" ca="1" si="1567"/>
        <v>0</v>
      </c>
      <c r="AC1233" s="45" cm="1">
        <f t="array" aca="1" ref="AC1233" ca="1">pHUM*(T1233+W1233+Z1233+AD1233)</f>
        <v>1.3499327966289771E-3</v>
      </c>
      <c r="AD1233" s="77">
        <f t="shared" ca="1" si="1568"/>
        <v>1.1258098521104347E-3</v>
      </c>
      <c r="AE1233" s="45">
        <f t="shared" ca="1" si="1581"/>
        <v>6.3847072090583081</v>
      </c>
      <c r="AF1233" s="45">
        <f t="shared" ca="1" si="1569"/>
        <v>0</v>
      </c>
      <c r="AG1233" s="76">
        <f t="shared" ca="1" si="1570"/>
        <v>64.541465530034642</v>
      </c>
      <c r="AH1233" s="45">
        <f t="shared" ca="1" si="1571"/>
        <v>1.1416511324556114E-2</v>
      </c>
      <c r="AI1233" s="77">
        <f t="shared" ca="1" si="1572"/>
        <v>1.3929390664681088E-2</v>
      </c>
      <c r="AJ1233" s="384">
        <f t="shared" ca="1" si="1574"/>
        <v>1.1616167304947522E-2</v>
      </c>
      <c r="AU1233" s="1"/>
    </row>
    <row r="1234" spans="3:47" x14ac:dyDescent="0.25">
      <c r="C1234" s="10">
        <f t="shared" si="1599"/>
        <v>95</v>
      </c>
      <c r="D1234" s="91">
        <f t="shared" si="1582"/>
        <v>4</v>
      </c>
      <c r="E1234" s="278"/>
      <c r="F1234" s="76">
        <f t="shared" ref="F1234:Q1234" ca="1" si="1646">F1162</f>
        <v>6.08</v>
      </c>
      <c r="G1234" s="46">
        <f t="shared" ca="1" si="1646"/>
        <v>27.012600000000003</v>
      </c>
      <c r="H1234" s="46">
        <f t="shared" ref="H1234:H1297" ca="1" si="1647">FC-G1234</f>
        <v>28.517550000000004</v>
      </c>
      <c r="I1234" s="45">
        <f t="shared" ref="I1234:I1297" ca="1" si="1648">PRODUCT(47.91/(1+EXP(106.06/(F1234+18.27))), IF(IF(H1234&lt;=0,1-((1-RM_PWP)*(G1234-FC)/(WSAT-FC)),IF(H1234&lt;=Wat1bar,1,1-((1-RM_PWP)*(H1234-Wat1bar)/(FC-Wat1bar))))&lt;=RM_PWP,RM_PWP,IF(H1234&lt;=0,1-((1-RM_PWP)*(G1234-FC)/(WSAT-FC)),IF(H1234&lt;=Wat1bar,1,1-((1-RM_PWP)*(H1234-Wat1bar)/(FC-Wat1bar))))),0.56+(ATAN(3.14*0.45*(SoilpH-5)))/3.14,EXP(-0.09*SoilSal))</f>
        <v>0.26307228538649535</v>
      </c>
      <c r="J1234" s="45">
        <f t="shared" ref="J1234:J1302" ca="1" si="1649">POWER(((G1234/150)-$J$9),$M$9)*POWER(($L$9-(G1234/150)),$N$9)</f>
        <v>0.27952512346894071</v>
      </c>
      <c r="K1234" s="45">
        <f t="shared" ca="1" si="1576"/>
        <v>0.90345467800480783</v>
      </c>
      <c r="L1234" s="358">
        <f t="shared" ref="L1234:L1302" ca="1" si="1650">1/(1+EXP(-(F1234-3.8)/6.7))+1/(1+EXP((F1234-62.2)/7.1))-1</f>
        <v>0.58389398806465831</v>
      </c>
      <c r="M1234" s="76">
        <f t="shared" ca="1" si="1646"/>
        <v>0.25347808785320641</v>
      </c>
      <c r="N1234" s="45">
        <f t="shared" ca="1" si="1646"/>
        <v>0.25</v>
      </c>
      <c r="O1234" s="45">
        <f t="shared" ca="1" si="1646"/>
        <v>0</v>
      </c>
      <c r="P1234" s="46" t="str">
        <f t="shared" ca="1" si="1646"/>
        <v/>
      </c>
      <c r="Q1234" s="243" t="str">
        <f t="shared" ca="1" si="1646"/>
        <v/>
      </c>
      <c r="R1234" s="45">
        <f t="shared" ca="1" si="1577"/>
        <v>0.34465453726762829</v>
      </c>
      <c r="S1234" s="45">
        <f t="shared" ca="1" si="1601"/>
        <v>5.0695617570641283E-2</v>
      </c>
      <c r="T1234" s="77">
        <f t="shared" ref="T1234:T1302" ca="1" si="1651">R1234*(1-EXP(-kDPM*I1234))</f>
        <v>6.7848877793297319E-2</v>
      </c>
      <c r="U1234" s="45">
        <f t="shared" ca="1" si="1578"/>
        <v>17.796297134902584</v>
      </c>
      <c r="V1234" s="45">
        <f t="shared" ref="V1234:V1302" ca="1" si="1652">M1234*1/(1+N1234)</f>
        <v>0.20278247028256513</v>
      </c>
      <c r="W1234" s="77">
        <f t="shared" ref="W1234:W1302" ca="1" si="1653">U1234*(1-EXP(-kRPM*I1234))</f>
        <v>0.11665877234420753</v>
      </c>
      <c r="X1234" s="45">
        <f t="shared" ca="1" si="1579"/>
        <v>1.0212997608776768</v>
      </c>
      <c r="Y1234" s="45">
        <f t="shared" ref="Y1234:Y1297" ca="1" si="1654">pBIO*(T1234+W1234+Z1234+AD1234)</f>
        <v>1.7844149347052449E-2</v>
      </c>
      <c r="Z1234" s="77">
        <f t="shared" ref="Z1234:Z1302" ca="1" si="1655">X1234*(1-EXP(-kBIO*I1234))</f>
        <v>1.4670769967229514E-2</v>
      </c>
      <c r="AA1234" s="45">
        <f t="shared" ca="1" si="1580"/>
        <v>39.236568464457093</v>
      </c>
      <c r="AB1234" s="45">
        <f t="shared" ref="AB1234:AB1302" ca="1" si="1656">IF(O1234&gt;0,O1234*(1-Q1234)/(1+P1234),0)</f>
        <v>0</v>
      </c>
      <c r="AC1234" s="45" cm="1">
        <f t="array" aca="1" ref="AC1234" ca="1">pHUM*(T1234+W1234+Z1234+AD1234)</f>
        <v>2.0993116878885235E-2</v>
      </c>
      <c r="AD1234" s="77">
        <f t="shared" ref="AD1234:AD1302" ca="1" si="1657">AA1234*(1-EXP(-kHUM*I1234))</f>
        <v>1.7199651992441847E-2</v>
      </c>
      <c r="AE1234" s="45">
        <f t="shared" ca="1" si="1581"/>
        <v>6.3847072090583081</v>
      </c>
      <c r="AF1234" s="45">
        <f t="shared" ref="AF1234:AF1302" ca="1" si="1658">IF(O1234&gt;0,O1234*Q1234,0)</f>
        <v>0</v>
      </c>
      <c r="AG1234" s="76">
        <f t="shared" ref="AG1234:AG1302" ca="1" si="1659">R1234+U1234+X1234+AA1234+AE1234</f>
        <v>64.783527106563298</v>
      </c>
      <c r="AH1234" s="45">
        <f t="shared" ref="AH1234:AH1302" ca="1" si="1660">p_CO2*(T1234+W1234+Z1234+AD1234)</f>
        <v>0.17754080587123858</v>
      </c>
      <c r="AI1234" s="77">
        <f t="shared" ref="AI1234:AI1302" ca="1" si="1661">((kRPM*U1234)+(kDPM*R1234)+(kBIO*X1234)+(kHUM*AA1234))/(U1234+R1234+AA1234+X1234)</f>
        <v>1.4618194543706779E-2</v>
      </c>
      <c r="AJ1234" s="384">
        <f t="shared" ca="1" si="1574"/>
        <v>2.7219055962545147E-2</v>
      </c>
      <c r="AU1234" s="1"/>
    </row>
    <row r="1235" spans="3:47" x14ac:dyDescent="0.25">
      <c r="C1235" s="10">
        <f t="shared" si="1599"/>
        <v>95</v>
      </c>
      <c r="D1235" s="91">
        <f t="shared" si="1582"/>
        <v>5</v>
      </c>
      <c r="E1235" s="278"/>
      <c r="F1235" s="76">
        <f t="shared" ref="F1235:Q1235" ca="1" si="1662">F1163</f>
        <v>16.079999999999998</v>
      </c>
      <c r="G1235" s="46">
        <f t="shared" ca="1" si="1662"/>
        <v>27.012600000000003</v>
      </c>
      <c r="H1235" s="46">
        <f t="shared" ca="1" si="1647"/>
        <v>28.517550000000004</v>
      </c>
      <c r="I1235" s="45">
        <f t="shared" ca="1" si="1648"/>
        <v>0.90560233354751607</v>
      </c>
      <c r="J1235" s="45">
        <f t="shared" ca="1" si="1649"/>
        <v>0.27952512346894071</v>
      </c>
      <c r="K1235" s="45">
        <f t="shared" ca="1" si="1576"/>
        <v>0.90345467800480783</v>
      </c>
      <c r="L1235" s="358">
        <f t="shared" ca="1" si="1650"/>
        <v>0.86059167822175908</v>
      </c>
      <c r="M1235" s="76">
        <f t="shared" ca="1" si="1662"/>
        <v>0.25347808785320641</v>
      </c>
      <c r="N1235" s="45">
        <f t="shared" ca="1" si="1662"/>
        <v>0.25</v>
      </c>
      <c r="O1235" s="45">
        <f t="shared" ca="1" si="1662"/>
        <v>0</v>
      </c>
      <c r="P1235" s="46" t="str">
        <f t="shared" ca="1" si="1662"/>
        <v/>
      </c>
      <c r="Q1235" s="243" t="str">
        <f t="shared" ca="1" si="1662"/>
        <v/>
      </c>
      <c r="R1235" s="45">
        <f t="shared" ca="1" si="1577"/>
        <v>0.32750127704497223</v>
      </c>
      <c r="S1235" s="45">
        <f t="shared" ca="1" si="1601"/>
        <v>5.0695617570641283E-2</v>
      </c>
      <c r="T1235" s="77">
        <f t="shared" ca="1" si="1651"/>
        <v>0.17352118168479536</v>
      </c>
      <c r="U1235" s="45">
        <f t="shared" ca="1" si="1578"/>
        <v>17.882420832840939</v>
      </c>
      <c r="V1235" s="45">
        <f t="shared" ca="1" si="1652"/>
        <v>0.20278247028256513</v>
      </c>
      <c r="W1235" s="77">
        <f t="shared" ca="1" si="1653"/>
        <v>0.40031042633461228</v>
      </c>
      <c r="X1235" s="45">
        <f t="shared" ca="1" si="1579"/>
        <v>1.0244731402574998</v>
      </c>
      <c r="Y1235" s="45">
        <f t="shared" ca="1" si="1654"/>
        <v>5.6308038946319715E-2</v>
      </c>
      <c r="Z1235" s="77">
        <f t="shared" ca="1" si="1655"/>
        <v>4.9777146040935707E-2</v>
      </c>
      <c r="AA1235" s="45">
        <f t="shared" ca="1" si="1580"/>
        <v>39.240361929343536</v>
      </c>
      <c r="AB1235" s="45">
        <f t="shared" ca="1" si="1656"/>
        <v>0</v>
      </c>
      <c r="AC1235" s="45" cm="1">
        <f t="array" aca="1" ref="AC1235" ca="1">pHUM*(T1235+W1235+Z1235+AD1235)</f>
        <v>6.6244751701552612E-2</v>
      </c>
      <c r="AD1235" s="77">
        <f t="shared" ca="1" si="1657"/>
        <v>5.9182264654703068E-2</v>
      </c>
      <c r="AE1235" s="45">
        <f t="shared" ca="1" si="1581"/>
        <v>6.3847072090583081</v>
      </c>
      <c r="AF1235" s="45">
        <f t="shared" ca="1" si="1658"/>
        <v>0</v>
      </c>
      <c r="AG1235" s="76">
        <f t="shared" ca="1" si="1659"/>
        <v>64.859464388545248</v>
      </c>
      <c r="AH1235" s="45">
        <f t="shared" ca="1" si="1660"/>
        <v>0.56023822806717427</v>
      </c>
      <c r="AI1235" s="77">
        <f t="shared" ca="1" si="1661"/>
        <v>1.4394670764307976E-2</v>
      </c>
      <c r="AJ1235" s="384">
        <f t="shared" ref="AJ1235:AJ1298" ca="1" si="1663">(530)*(1-EXP((-$AJ$9*L1235*K1235*AI1235)))</f>
        <v>3.9503826245981255E-2</v>
      </c>
      <c r="AU1235" s="1"/>
    </row>
    <row r="1236" spans="3:47" x14ac:dyDescent="0.25">
      <c r="C1236" s="10">
        <f t="shared" si="1599"/>
        <v>95</v>
      </c>
      <c r="D1236" s="91">
        <f t="shared" si="1582"/>
        <v>6</v>
      </c>
      <c r="E1236" s="278"/>
      <c r="F1236" s="76">
        <f t="shared" ref="F1236:Q1236" ca="1" si="1664">F1164</f>
        <v>17.399999999999999</v>
      </c>
      <c r="G1236" s="46">
        <f t="shared" ca="1" si="1664"/>
        <v>27.012600000000003</v>
      </c>
      <c r="H1236" s="46">
        <f t="shared" ca="1" si="1647"/>
        <v>28.517550000000004</v>
      </c>
      <c r="I1236" s="45">
        <f t="shared" ca="1" si="1648"/>
        <v>1.0098878501236044</v>
      </c>
      <c r="J1236" s="45">
        <f t="shared" ca="1" si="1649"/>
        <v>0.27952512346894071</v>
      </c>
      <c r="K1236" s="45">
        <f t="shared" ref="K1236:K1299" ca="1" si="1665">J1236/$I$15</f>
        <v>0.90345467800480783</v>
      </c>
      <c r="L1236" s="358">
        <f t="shared" ca="1" si="1650"/>
        <v>0.88208077264421947</v>
      </c>
      <c r="M1236" s="76">
        <f t="shared" ca="1" si="1664"/>
        <v>0.25347808785320641</v>
      </c>
      <c r="N1236" s="45">
        <f t="shared" ca="1" si="1664"/>
        <v>0.25</v>
      </c>
      <c r="O1236" s="45">
        <f t="shared" ca="1" si="1664"/>
        <v>0</v>
      </c>
      <c r="P1236" s="46" t="str">
        <f t="shared" ca="1" si="1664"/>
        <v/>
      </c>
      <c r="Q1236" s="243" t="str">
        <f t="shared" ca="1" si="1664"/>
        <v/>
      </c>
      <c r="R1236" s="45">
        <f t="shared" ref="R1236:R1299" ca="1" si="1666">R1235+S1236-T1235</f>
        <v>0.20467571293081815</v>
      </c>
      <c r="S1236" s="45">
        <f t="shared" ca="1" si="1601"/>
        <v>5.0695617570641283E-2</v>
      </c>
      <c r="T1236" s="77">
        <f t="shared" ca="1" si="1651"/>
        <v>0.11645395421434461</v>
      </c>
      <c r="U1236" s="45">
        <f t="shared" ref="U1236:U1299" ca="1" si="1667">U1235+V1236-W1235</f>
        <v>17.68489287678889</v>
      </c>
      <c r="V1236" s="45">
        <f t="shared" ca="1" si="1652"/>
        <v>0.20278247028256513</v>
      </c>
      <c r="W1236" s="77">
        <f t="shared" ca="1" si="1653"/>
        <v>0.44090473705278072</v>
      </c>
      <c r="X1236" s="45">
        <f t="shared" ref="X1236:X1302" ca="1" si="1668">X1235+Y1235-Z1235</f>
        <v>1.0310040331628838</v>
      </c>
      <c r="Y1236" s="45">
        <f t="shared" ca="1" si="1654"/>
        <v>5.6000917209896306E-2</v>
      </c>
      <c r="Z1236" s="77">
        <f t="shared" ca="1" si="1655"/>
        <v>5.5704571363796695E-2</v>
      </c>
      <c r="AA1236" s="45">
        <f t="shared" ref="AA1236:AA1299" ca="1" si="1669">AA1235+AC1235+AB1236-AD1235</f>
        <v>39.247424416390388</v>
      </c>
      <c r="AB1236" s="45">
        <f t="shared" ca="1" si="1656"/>
        <v>0</v>
      </c>
      <c r="AC1236" s="45" cm="1">
        <f t="array" aca="1" ref="AC1236" ca="1">pHUM*(T1236+W1236+Z1236+AD1236)</f>
        <v>6.5883432011642706E-2</v>
      </c>
      <c r="AD1236" s="77">
        <f t="shared" ca="1" si="1657"/>
        <v>6.6003599334819377E-2</v>
      </c>
      <c r="AE1236" s="45">
        <f t="shared" ref="AE1236:AE1299" ca="1" si="1670">AE1235+AF1236</f>
        <v>6.3847072090583081</v>
      </c>
      <c r="AF1236" s="45">
        <f t="shared" ca="1" si="1658"/>
        <v>0</v>
      </c>
      <c r="AG1236" s="76">
        <f t="shared" ca="1" si="1659"/>
        <v>64.552704248331281</v>
      </c>
      <c r="AH1236" s="45">
        <f t="shared" ca="1" si="1660"/>
        <v>0.55718251274420239</v>
      </c>
      <c r="AI1236" s="77">
        <f t="shared" ca="1" si="1661"/>
        <v>1.2632427611077964E-2</v>
      </c>
      <c r="AJ1236" s="384">
        <f t="shared" ca="1" si="1663"/>
        <v>3.5533426171482363E-2</v>
      </c>
      <c r="AU1236" s="1"/>
    </row>
    <row r="1237" spans="3:47" x14ac:dyDescent="0.25">
      <c r="C1237" s="10">
        <f t="shared" si="1599"/>
        <v>95</v>
      </c>
      <c r="D1237" s="91">
        <f t="shared" ref="D1237:D1299" si="1671">IF(D1236+1&lt;13,D1236+1,1)</f>
        <v>7</v>
      </c>
      <c r="E1237" s="278"/>
      <c r="F1237" s="76">
        <f t="shared" ref="F1237:Q1237" ca="1" si="1672">F1165</f>
        <v>21.29</v>
      </c>
      <c r="G1237" s="46">
        <f t="shared" ca="1" si="1672"/>
        <v>27.012600000000003</v>
      </c>
      <c r="H1237" s="46">
        <f t="shared" ca="1" si="1647"/>
        <v>28.517550000000004</v>
      </c>
      <c r="I1237" s="45">
        <f t="shared" ca="1" si="1648"/>
        <v>1.3308669995183955</v>
      </c>
      <c r="J1237" s="45">
        <f t="shared" ca="1" si="1649"/>
        <v>0.27952512346894071</v>
      </c>
      <c r="K1237" s="45">
        <f t="shared" ca="1" si="1665"/>
        <v>0.90345467800480783</v>
      </c>
      <c r="L1237" s="358">
        <f t="shared" ca="1" si="1650"/>
        <v>0.92839591561968593</v>
      </c>
      <c r="M1237" s="76">
        <f t="shared" ca="1" si="1672"/>
        <v>0.25347808785320641</v>
      </c>
      <c r="N1237" s="45">
        <f t="shared" ca="1" si="1672"/>
        <v>0.25</v>
      </c>
      <c r="O1237" s="45">
        <f t="shared" ca="1" si="1672"/>
        <v>0</v>
      </c>
      <c r="P1237" s="46" t="str">
        <f t="shared" ca="1" si="1672"/>
        <v/>
      </c>
      <c r="Q1237" s="243" t="str">
        <f t="shared" ca="1" si="1672"/>
        <v/>
      </c>
      <c r="R1237" s="45">
        <f t="shared" ca="1" si="1666"/>
        <v>0.13891737628711481</v>
      </c>
      <c r="S1237" s="45">
        <f t="shared" ca="1" si="1601"/>
        <v>5.0695617570641283E-2</v>
      </c>
      <c r="T1237" s="77">
        <f t="shared" ca="1" si="1651"/>
        <v>9.3092664317525969E-2</v>
      </c>
      <c r="U1237" s="45">
        <f t="shared" ca="1" si="1667"/>
        <v>17.446770610018675</v>
      </c>
      <c r="V1237" s="45">
        <f t="shared" ca="1" si="1652"/>
        <v>0.20278247028256513</v>
      </c>
      <c r="W1237" s="77">
        <f t="shared" ca="1" si="1653"/>
        <v>0.57093267042641049</v>
      </c>
      <c r="X1237" s="45">
        <f t="shared" ca="1" si="1668"/>
        <v>1.0313003790089834</v>
      </c>
      <c r="Y1237" s="45">
        <f t="shared" ca="1" si="1654"/>
        <v>6.793470793131999E-2</v>
      </c>
      <c r="Z1237" s="77">
        <f t="shared" ca="1" si="1655"/>
        <v>7.2792192072035328E-2</v>
      </c>
      <c r="AA1237" s="45">
        <f t="shared" ca="1" si="1669"/>
        <v>39.247304249067213</v>
      </c>
      <c r="AB1237" s="45">
        <f t="shared" ca="1" si="1656"/>
        <v>0</v>
      </c>
      <c r="AC1237" s="45" cm="1">
        <f t="array" aca="1" ref="AC1237" ca="1">pHUM*(T1237+W1237+Z1237+AD1237)</f>
        <v>7.9923185801552929E-2</v>
      </c>
      <c r="AD1237" s="77">
        <f t="shared" ca="1" si="1657"/>
        <v>8.695842600589189E-2</v>
      </c>
      <c r="AE1237" s="45">
        <f t="shared" ca="1" si="1670"/>
        <v>6.3847072090583081</v>
      </c>
      <c r="AF1237" s="45">
        <f t="shared" ca="1" si="1658"/>
        <v>0</v>
      </c>
      <c r="AG1237" s="76">
        <f t="shared" ca="1" si="1659"/>
        <v>64.248999823440286</v>
      </c>
      <c r="AH1237" s="45">
        <f t="shared" ca="1" si="1660"/>
        <v>0.67591805908899083</v>
      </c>
      <c r="AI1237" s="77">
        <f t="shared" ca="1" si="1661"/>
        <v>1.1649108796261883E-2</v>
      </c>
      <c r="AJ1237" s="384">
        <f t="shared" ca="1" si="1663"/>
        <v>3.4488020001746111E-2</v>
      </c>
      <c r="AU1237" s="1"/>
    </row>
    <row r="1238" spans="3:47" x14ac:dyDescent="0.25">
      <c r="C1238" s="10">
        <f t="shared" si="1599"/>
        <v>95</v>
      </c>
      <c r="D1238" s="91">
        <f t="shared" si="1671"/>
        <v>8</v>
      </c>
      <c r="E1238" s="278"/>
      <c r="F1238" s="76">
        <f t="shared" ref="F1238:Q1238" ca="1" si="1673">F1166</f>
        <v>21.81</v>
      </c>
      <c r="G1238" s="46">
        <f t="shared" ca="1" si="1673"/>
        <v>27.012600000000003</v>
      </c>
      <c r="H1238" s="46">
        <f t="shared" ca="1" si="1647"/>
        <v>28.517550000000004</v>
      </c>
      <c r="I1238" s="45">
        <f t="shared" ca="1" si="1648"/>
        <v>1.3748539373542934</v>
      </c>
      <c r="J1238" s="45">
        <f t="shared" ca="1" si="1649"/>
        <v>0.27952512346894071</v>
      </c>
      <c r="K1238" s="45">
        <f t="shared" ca="1" si="1665"/>
        <v>0.90345467800480783</v>
      </c>
      <c r="L1238" s="358">
        <f t="shared" ca="1" si="1650"/>
        <v>0.93294591915671865</v>
      </c>
      <c r="M1238" s="76">
        <f t="shared" ca="1" si="1673"/>
        <v>0.25347808785320641</v>
      </c>
      <c r="N1238" s="45">
        <f t="shared" ca="1" si="1673"/>
        <v>0.25</v>
      </c>
      <c r="O1238" s="45">
        <f t="shared" ca="1" si="1673"/>
        <v>0</v>
      </c>
      <c r="P1238" s="46" t="str">
        <f t="shared" ca="1" si="1673"/>
        <v/>
      </c>
      <c r="Q1238" s="243" t="str">
        <f t="shared" ca="1" si="1673"/>
        <v/>
      </c>
      <c r="R1238" s="45">
        <f t="shared" ca="1" si="1666"/>
        <v>9.6520329540230126E-2</v>
      </c>
      <c r="S1238" s="45">
        <f t="shared" ca="1" si="1601"/>
        <v>5.0695617570641283E-2</v>
      </c>
      <c r="T1238" s="77">
        <f t="shared" ca="1" si="1651"/>
        <v>6.5827101645662786E-2</v>
      </c>
      <c r="U1238" s="45">
        <f t="shared" ca="1" si="1667"/>
        <v>17.078620409874826</v>
      </c>
      <c r="V1238" s="45">
        <f t="shared" ca="1" si="1652"/>
        <v>0.20278247028256513</v>
      </c>
      <c r="W1238" s="77">
        <f t="shared" ca="1" si="1653"/>
        <v>0.57704155655454148</v>
      </c>
      <c r="X1238" s="45">
        <f t="shared" ca="1" si="1668"/>
        <v>1.026442894868268</v>
      </c>
      <c r="Y1238" s="45">
        <f t="shared" ca="1" si="1654"/>
        <v>6.6587219058119609E-2</v>
      </c>
      <c r="Z1238" s="77">
        <f t="shared" ca="1" si="1655"/>
        <v>7.4754526126080398E-2</v>
      </c>
      <c r="AA1238" s="45">
        <f t="shared" ca="1" si="1669"/>
        <v>39.240269008862875</v>
      </c>
      <c r="AB1238" s="45">
        <f t="shared" ca="1" si="1656"/>
        <v>0</v>
      </c>
      <c r="AC1238" s="45" cm="1">
        <f t="array" aca="1" ref="AC1238" ca="1">pHUM*(T1238+W1238+Z1238+AD1238)</f>
        <v>7.8337904774258366E-2</v>
      </c>
      <c r="AD1238" s="77">
        <f t="shared" ca="1" si="1657"/>
        <v>8.9813124678169695E-2</v>
      </c>
      <c r="AE1238" s="45">
        <f t="shared" ca="1" si="1670"/>
        <v>6.3847072090583081</v>
      </c>
      <c r="AF1238" s="45">
        <f t="shared" ca="1" si="1658"/>
        <v>0</v>
      </c>
      <c r="AG1238" s="76">
        <f t="shared" ca="1" si="1659"/>
        <v>63.826559852204504</v>
      </c>
      <c r="AH1238" s="45">
        <f t="shared" ca="1" si="1660"/>
        <v>0.66251118517207641</v>
      </c>
      <c r="AI1238" s="77">
        <f t="shared" ca="1" si="1661"/>
        <v>1.0954624490824162E-2</v>
      </c>
      <c r="AJ1238" s="384">
        <f t="shared" ca="1" si="1663"/>
        <v>3.2590954580041798E-2</v>
      </c>
      <c r="AU1238" s="1"/>
    </row>
    <row r="1239" spans="3:47" x14ac:dyDescent="0.25">
      <c r="C1239" s="10">
        <f t="shared" si="1599"/>
        <v>95</v>
      </c>
      <c r="D1239" s="91">
        <f t="shared" si="1671"/>
        <v>9</v>
      </c>
      <c r="E1239" s="278"/>
      <c r="F1239" s="76">
        <f t="shared" ref="F1239:Q1239" ca="1" si="1674">F1167</f>
        <v>19.09</v>
      </c>
      <c r="G1239" s="46">
        <f t="shared" ca="1" si="1674"/>
        <v>27.012600000000003</v>
      </c>
      <c r="H1239" s="46">
        <f t="shared" ca="1" si="1647"/>
        <v>28.517550000000004</v>
      </c>
      <c r="I1239" s="45">
        <f t="shared" ca="1" si="1648"/>
        <v>1.1472439462064867</v>
      </c>
      <c r="J1239" s="45">
        <f t="shared" ca="1" si="1649"/>
        <v>0.27952512346894071</v>
      </c>
      <c r="K1239" s="45">
        <f t="shared" ca="1" si="1665"/>
        <v>0.90345467800480783</v>
      </c>
      <c r="L1239" s="358">
        <f t="shared" ca="1" si="1650"/>
        <v>0.90508116523032656</v>
      </c>
      <c r="M1239" s="76">
        <f t="shared" ca="1" si="1674"/>
        <v>0.25347808785320641</v>
      </c>
      <c r="N1239" s="45">
        <f t="shared" ca="1" si="1674"/>
        <v>0.25</v>
      </c>
      <c r="O1239" s="45">
        <f t="shared" ca="1" si="1674"/>
        <v>0</v>
      </c>
      <c r="P1239" s="46" t="str">
        <f t="shared" ca="1" si="1674"/>
        <v/>
      </c>
      <c r="Q1239" s="243" t="str">
        <f t="shared" ca="1" si="1674"/>
        <v/>
      </c>
      <c r="R1239" s="45">
        <f t="shared" ca="1" si="1666"/>
        <v>8.1388845465208623E-2</v>
      </c>
      <c r="S1239" s="45">
        <f t="shared" ca="1" si="1601"/>
        <v>5.0695617570641283E-2</v>
      </c>
      <c r="T1239" s="77">
        <f t="shared" ca="1" si="1651"/>
        <v>5.0101878867953413E-2</v>
      </c>
      <c r="U1239" s="45">
        <f t="shared" ca="1" si="1667"/>
        <v>16.70436132360285</v>
      </c>
      <c r="V1239" s="45">
        <f t="shared" ca="1" si="1652"/>
        <v>0.20278247028256513</v>
      </c>
      <c r="W1239" s="77">
        <f t="shared" ca="1" si="1653"/>
        <v>0.47229410268682942</v>
      </c>
      <c r="X1239" s="45">
        <f t="shared" ca="1" si="1668"/>
        <v>1.0182755878003071</v>
      </c>
      <c r="Y1239" s="45">
        <f t="shared" ca="1" si="1654"/>
        <v>5.4395460878980395E-2</v>
      </c>
      <c r="Z1239" s="77">
        <f t="shared" ca="1" si="1655"/>
        <v>6.2266462437934017E-2</v>
      </c>
      <c r="AA1239" s="45">
        <f t="shared" ca="1" si="1669"/>
        <v>39.22879378895896</v>
      </c>
      <c r="AB1239" s="45">
        <f t="shared" ca="1" si="1656"/>
        <v>0</v>
      </c>
      <c r="AC1239" s="45" cm="1">
        <f t="array" aca="1" ref="AC1239" ca="1">pHUM*(T1239+W1239+Z1239+AD1239)</f>
        <v>6.3994659857623995E-2</v>
      </c>
      <c r="AD1239" s="77">
        <f t="shared" ca="1" si="1657"/>
        <v>7.4936661961602619E-2</v>
      </c>
      <c r="AE1239" s="45">
        <f t="shared" ca="1" si="1670"/>
        <v>6.3847072090583081</v>
      </c>
      <c r="AF1239" s="45">
        <f t="shared" ca="1" si="1658"/>
        <v>0</v>
      </c>
      <c r="AG1239" s="76">
        <f t="shared" ca="1" si="1659"/>
        <v>63.417526754885628</v>
      </c>
      <c r="AH1239" s="45">
        <f t="shared" ca="1" si="1660"/>
        <v>0.5412089852177151</v>
      </c>
      <c r="AI1239" s="77">
        <f t="shared" ca="1" si="1661"/>
        <v>1.0639830822334941E-2</v>
      </c>
      <c r="AJ1239" s="384">
        <f t="shared" ca="1" si="1663"/>
        <v>3.070903274052128E-2</v>
      </c>
      <c r="AU1239" s="1"/>
    </row>
    <row r="1240" spans="3:47" x14ac:dyDescent="0.25">
      <c r="C1240" s="10">
        <f t="shared" si="1599"/>
        <v>95</v>
      </c>
      <c r="D1240" s="91">
        <f t="shared" si="1671"/>
        <v>10</v>
      </c>
      <c r="E1240" s="278"/>
      <c r="F1240" s="76">
        <f t="shared" ref="F1240:Q1240" ca="1" si="1675">F1168</f>
        <v>9.02</v>
      </c>
      <c r="G1240" s="46">
        <f t="shared" ca="1" si="1675"/>
        <v>27.012600000000003</v>
      </c>
      <c r="H1240" s="46">
        <f t="shared" ca="1" si="1647"/>
        <v>28.517550000000004</v>
      </c>
      <c r="I1240" s="45">
        <f t="shared" ca="1" si="1648"/>
        <v>0.41742778729268759</v>
      </c>
      <c r="J1240" s="45">
        <f t="shared" ca="1" si="1649"/>
        <v>0.27952512346894071</v>
      </c>
      <c r="K1240" s="45">
        <f t="shared" ca="1" si="1665"/>
        <v>0.90345467800480783</v>
      </c>
      <c r="L1240" s="358">
        <f t="shared" ca="1" si="1650"/>
        <v>0.68492882381082199</v>
      </c>
      <c r="M1240" s="76">
        <f t="shared" ca="1" si="1675"/>
        <v>0.25347808785320641</v>
      </c>
      <c r="N1240" s="45">
        <f t="shared" ca="1" si="1675"/>
        <v>0.25</v>
      </c>
      <c r="O1240" s="45">
        <f t="shared" ca="1" si="1675"/>
        <v>0</v>
      </c>
      <c r="P1240" s="46" t="str">
        <f t="shared" ca="1" si="1675"/>
        <v/>
      </c>
      <c r="Q1240" s="243" t="str">
        <f t="shared" ca="1" si="1675"/>
        <v/>
      </c>
      <c r="R1240" s="45">
        <f t="shared" ca="1" si="1666"/>
        <v>8.1982584167896499E-2</v>
      </c>
      <c r="S1240" s="45">
        <f t="shared" ca="1" si="1601"/>
        <v>5.0695617570641283E-2</v>
      </c>
      <c r="T1240" s="77">
        <f t="shared" ca="1" si="1651"/>
        <v>2.4086465507844296E-2</v>
      </c>
      <c r="U1240" s="45">
        <f t="shared" ca="1" si="1667"/>
        <v>16.434849691198586</v>
      </c>
      <c r="V1240" s="45">
        <f t="shared" ca="1" si="1652"/>
        <v>0.20278247028256513</v>
      </c>
      <c r="W1240" s="77">
        <f t="shared" ca="1" si="1653"/>
        <v>0.17061727025530704</v>
      </c>
      <c r="X1240" s="45">
        <f t="shared" ca="1" si="1668"/>
        <v>1.0104045862413533</v>
      </c>
      <c r="Y1240" s="45">
        <f t="shared" ca="1" si="1654"/>
        <v>2.0197249598369028E-2</v>
      </c>
      <c r="Z1240" s="77">
        <f t="shared" ca="1" si="1655"/>
        <v>2.2933139405865569E-2</v>
      </c>
      <c r="AA1240" s="45">
        <f t="shared" ca="1" si="1669"/>
        <v>39.217851786854986</v>
      </c>
      <c r="AB1240" s="45">
        <f t="shared" ca="1" si="1656"/>
        <v>0</v>
      </c>
      <c r="AC1240" s="45" cm="1">
        <f t="array" aca="1" ref="AC1240" ca="1">pHUM*(T1240+W1240+Z1240+AD1240)</f>
        <v>2.3761470115728271E-2</v>
      </c>
      <c r="AD1240" s="77">
        <f t="shared" ca="1" si="1657"/>
        <v>2.7274879645591107E-2</v>
      </c>
      <c r="AE1240" s="45">
        <f t="shared" ca="1" si="1670"/>
        <v>6.3847072090583081</v>
      </c>
      <c r="AF1240" s="45">
        <f t="shared" ca="1" si="1658"/>
        <v>0</v>
      </c>
      <c r="AG1240" s="76">
        <f t="shared" ca="1" si="1659"/>
        <v>63.129795857521131</v>
      </c>
      <c r="AH1240" s="45">
        <f t="shared" ca="1" si="1660"/>
        <v>0.20095303510051074</v>
      </c>
      <c r="AI1240" s="77">
        <f t="shared" ca="1" si="1661"/>
        <v>1.0575812202750603E-2</v>
      </c>
      <c r="AJ1240" s="384">
        <f t="shared" ca="1" si="1663"/>
        <v>2.3099691436606618E-2</v>
      </c>
      <c r="AU1240" s="1"/>
    </row>
    <row r="1241" spans="3:47" x14ac:dyDescent="0.25">
      <c r="C1241" s="10">
        <f t="shared" si="1599"/>
        <v>95</v>
      </c>
      <c r="D1241" s="91">
        <f t="shared" si="1671"/>
        <v>11</v>
      </c>
      <c r="E1241" s="278"/>
      <c r="F1241" s="76">
        <f t="shared" ref="F1241:Q1241" ca="1" si="1676">F1169</f>
        <v>5.62</v>
      </c>
      <c r="G1241" s="46">
        <f t="shared" ca="1" si="1676"/>
        <v>27.012600000000003</v>
      </c>
      <c r="H1241" s="46">
        <f t="shared" ca="1" si="1647"/>
        <v>28.517550000000004</v>
      </c>
      <c r="I1241" s="45">
        <f t="shared" ca="1" si="1648"/>
        <v>0.24215575259059691</v>
      </c>
      <c r="J1241" s="45">
        <f t="shared" ca="1" si="1649"/>
        <v>0.27952512346894071</v>
      </c>
      <c r="K1241" s="45">
        <f t="shared" ca="1" si="1665"/>
        <v>0.90345467800480783</v>
      </c>
      <c r="L1241" s="358">
        <f t="shared" ca="1" si="1650"/>
        <v>0.5671500175141555</v>
      </c>
      <c r="M1241" s="76">
        <f t="shared" ca="1" si="1676"/>
        <v>0.25347808785320641</v>
      </c>
      <c r="N1241" s="45">
        <f t="shared" ca="1" si="1676"/>
        <v>0.25</v>
      </c>
      <c r="O1241" s="45">
        <f t="shared" ca="1" si="1676"/>
        <v>0</v>
      </c>
      <c r="P1241" s="46" t="str">
        <f t="shared" ca="1" si="1676"/>
        <v/>
      </c>
      <c r="Q1241" s="243" t="str">
        <f t="shared" ca="1" si="1676"/>
        <v/>
      </c>
      <c r="R1241" s="45">
        <f t="shared" ca="1" si="1666"/>
        <v>0.10859173623069349</v>
      </c>
      <c r="S1241" s="45">
        <f t="shared" ca="1" si="1601"/>
        <v>5.0695617570641283E-2</v>
      </c>
      <c r="T1241" s="77">
        <f t="shared" ca="1" si="1651"/>
        <v>1.9843917491017132E-2</v>
      </c>
      <c r="U1241" s="45">
        <f t="shared" ca="1" si="1667"/>
        <v>16.467014891225844</v>
      </c>
      <c r="V1241" s="45">
        <f t="shared" ca="1" si="1652"/>
        <v>0.20278247028256513</v>
      </c>
      <c r="W1241" s="77">
        <f t="shared" ca="1" si="1653"/>
        <v>9.9388412603942738E-2</v>
      </c>
      <c r="X1241" s="45">
        <f t="shared" ca="1" si="1668"/>
        <v>1.0076686964338568</v>
      </c>
      <c r="Y1241" s="45">
        <f t="shared" ca="1" si="1654"/>
        <v>1.2237139090158279E-2</v>
      </c>
      <c r="Z1241" s="77">
        <f t="shared" ca="1" si="1655"/>
        <v>1.3331725629400454E-2</v>
      </c>
      <c r="AA1241" s="45">
        <f t="shared" ca="1" si="1669"/>
        <v>39.214338377325127</v>
      </c>
      <c r="AB1241" s="45">
        <f t="shared" ca="1" si="1656"/>
        <v>0</v>
      </c>
      <c r="AC1241" s="45" cm="1">
        <f t="array" aca="1" ref="AC1241" ca="1">pHUM*(T1241+W1241+Z1241+AD1241)</f>
        <v>1.4396634223715623E-2</v>
      </c>
      <c r="AD1241" s="77">
        <f t="shared" ca="1" si="1657"/>
        <v>1.582343604199956E-2</v>
      </c>
      <c r="AE1241" s="45">
        <f t="shared" ca="1" si="1670"/>
        <v>6.3847072090583081</v>
      </c>
      <c r="AF1241" s="45">
        <f t="shared" ca="1" si="1658"/>
        <v>0</v>
      </c>
      <c r="AG1241" s="76">
        <f t="shared" ca="1" si="1659"/>
        <v>63.18232091027383</v>
      </c>
      <c r="AH1241" s="45">
        <f t="shared" ca="1" si="1660"/>
        <v>0.12175371845248602</v>
      </c>
      <c r="AI1241" s="77">
        <f t="shared" ca="1" si="1661"/>
        <v>1.0967846255231489E-2</v>
      </c>
      <c r="AJ1241" s="384">
        <f t="shared" ca="1" si="1663"/>
        <v>1.9836618734017097E-2</v>
      </c>
      <c r="AU1241" s="1"/>
    </row>
    <row r="1242" spans="3:47" x14ac:dyDescent="0.25">
      <c r="C1242" s="342">
        <f t="shared" si="1599"/>
        <v>95</v>
      </c>
      <c r="D1242" s="167">
        <f t="shared" si="1671"/>
        <v>12</v>
      </c>
      <c r="E1242" s="343"/>
      <c r="F1242" s="86">
        <f t="shared" ref="F1242:Q1242" ca="1" si="1677">F1170</f>
        <v>3.68</v>
      </c>
      <c r="G1242" s="65">
        <f t="shared" ca="1" si="1677"/>
        <v>27.012600000000003</v>
      </c>
      <c r="H1242" s="46">
        <f t="shared" ca="1" si="1647"/>
        <v>28.517550000000004</v>
      </c>
      <c r="I1242" s="45">
        <f t="shared" ca="1" si="1648"/>
        <v>0.16418562454767627</v>
      </c>
      <c r="J1242" s="45">
        <f t="shared" ca="1" si="1649"/>
        <v>0.27952512346894071</v>
      </c>
      <c r="K1242" s="45">
        <f t="shared" ca="1" si="1665"/>
        <v>0.90345467800480783</v>
      </c>
      <c r="L1242" s="358">
        <f t="shared" ca="1" si="1650"/>
        <v>0.49525928680467546</v>
      </c>
      <c r="M1242" s="86">
        <f t="shared" ca="1" si="1677"/>
        <v>0.25347808785320641</v>
      </c>
      <c r="N1242" s="23">
        <f t="shared" ca="1" si="1677"/>
        <v>0.25</v>
      </c>
      <c r="O1242" s="23">
        <f t="shared" ca="1" si="1677"/>
        <v>0</v>
      </c>
      <c r="P1242" s="65" t="str">
        <f t="shared" ca="1" si="1677"/>
        <v/>
      </c>
      <c r="Q1242" s="344" t="str">
        <f t="shared" ca="1" si="1677"/>
        <v/>
      </c>
      <c r="R1242" s="23">
        <f t="shared" ca="1" si="1666"/>
        <v>0.13944343631031764</v>
      </c>
      <c r="S1242" s="23">
        <f t="shared" ca="1" si="1601"/>
        <v>5.0695617570641283E-2</v>
      </c>
      <c r="T1242" s="378">
        <f t="shared" ca="1" si="1651"/>
        <v>1.7831187991366577E-2</v>
      </c>
      <c r="U1242" s="23">
        <f t="shared" ca="1" si="1667"/>
        <v>16.570408948904465</v>
      </c>
      <c r="V1242" s="23">
        <f t="shared" ca="1" si="1652"/>
        <v>0.20278247028256513</v>
      </c>
      <c r="W1242" s="378">
        <f t="shared" ca="1" si="1653"/>
        <v>6.7876174607115647E-2</v>
      </c>
      <c r="X1242" s="23">
        <f t="shared" ca="1" si="1668"/>
        <v>1.0065741098946146</v>
      </c>
      <c r="Y1242" s="23">
        <f t="shared" ca="1" si="1654"/>
        <v>8.6990697764568678E-3</v>
      </c>
      <c r="Z1242" s="378">
        <f t="shared" ca="1" si="1655"/>
        <v>9.0486578124931282E-3</v>
      </c>
      <c r="AA1242" s="23">
        <f t="shared" ca="1" si="1669"/>
        <v>39.212911575506844</v>
      </c>
      <c r="AB1242" s="23">
        <f t="shared" ca="1" si="1656"/>
        <v>0</v>
      </c>
      <c r="AC1242" s="23" cm="1">
        <f t="array" aca="1" ref="AC1242" ca="1">pHUM*(T1242+W1242+Z1242+AD1242)</f>
        <v>1.0234199737008081E-2</v>
      </c>
      <c r="AD1242" s="378">
        <f t="shared" ca="1" si="1657"/>
        <v>1.0728859291596352E-2</v>
      </c>
      <c r="AE1242" s="23">
        <f t="shared" ca="1" si="1670"/>
        <v>6.3847072090583081</v>
      </c>
      <c r="AF1242" s="23">
        <f t="shared" ca="1" si="1658"/>
        <v>0</v>
      </c>
      <c r="AG1242" s="86">
        <f t="shared" ca="1" si="1659"/>
        <v>63.314045279674545</v>
      </c>
      <c r="AH1242" s="23">
        <f t="shared" ca="1" si="1660"/>
        <v>8.6551610189106759E-2</v>
      </c>
      <c r="AI1242" s="77">
        <f t="shared" ca="1" si="1661"/>
        <v>1.1438382002208702E-2</v>
      </c>
      <c r="AJ1242" s="384">
        <f t="shared" ca="1" si="1663"/>
        <v>1.8065346351600065E-2</v>
      </c>
      <c r="AU1242" s="1"/>
    </row>
    <row r="1243" spans="3:47" x14ac:dyDescent="0.25">
      <c r="C1243" s="10">
        <f t="shared" si="1599"/>
        <v>96</v>
      </c>
      <c r="D1243" s="91">
        <f t="shared" si="1671"/>
        <v>1</v>
      </c>
      <c r="E1243" s="278"/>
      <c r="F1243" s="76">
        <f t="shared" ref="F1243:Q1243" si="1678">F1171</f>
        <v>0.85587096774193583</v>
      </c>
      <c r="G1243" s="46">
        <f t="shared" si="1678"/>
        <v>78.439554282868485</v>
      </c>
      <c r="H1243" s="46">
        <f t="shared" si="1647"/>
        <v>-22.909404282868479</v>
      </c>
      <c r="I1243" s="45">
        <f t="shared" si="1648"/>
        <v>0</v>
      </c>
      <c r="J1243" s="45">
        <f t="shared" si="1649"/>
        <v>0.23072180944359474</v>
      </c>
      <c r="K1243" s="45">
        <f t="shared" ca="1" si="1665"/>
        <v>0.74571722023659515</v>
      </c>
      <c r="L1243" s="358">
        <f t="shared" si="1650"/>
        <v>0.39170179323548027</v>
      </c>
      <c r="M1243" s="76">
        <f t="shared" ca="1" si="1678"/>
        <v>0.25347808785320641</v>
      </c>
      <c r="N1243" s="45">
        <f t="shared" ca="1" si="1678"/>
        <v>0.25</v>
      </c>
      <c r="O1243" s="45">
        <f t="shared" ca="1" si="1678"/>
        <v>0</v>
      </c>
      <c r="P1243" s="46" t="str">
        <f t="shared" ca="1" si="1678"/>
        <v/>
      </c>
      <c r="Q1243" s="243" t="str">
        <f t="shared" ca="1" si="1678"/>
        <v/>
      </c>
      <c r="R1243" s="45">
        <f t="shared" ca="1" si="1666"/>
        <v>0.17230786588959235</v>
      </c>
      <c r="S1243" s="45">
        <f t="shared" ca="1" si="1601"/>
        <v>5.0695617570641283E-2</v>
      </c>
      <c r="T1243" s="77">
        <f t="shared" ca="1" si="1651"/>
        <v>0</v>
      </c>
      <c r="U1243" s="45">
        <f t="shared" ca="1" si="1667"/>
        <v>16.705315244579914</v>
      </c>
      <c r="V1243" s="45">
        <f t="shared" ca="1" si="1652"/>
        <v>0.20278247028256513</v>
      </c>
      <c r="W1243" s="77">
        <f t="shared" ca="1" si="1653"/>
        <v>0</v>
      </c>
      <c r="X1243" s="45">
        <f t="shared" ca="1" si="1668"/>
        <v>1.0062245218585784</v>
      </c>
      <c r="Y1243" s="45">
        <f t="shared" ca="1" si="1654"/>
        <v>0</v>
      </c>
      <c r="Z1243" s="77">
        <f t="shared" ca="1" si="1655"/>
        <v>0</v>
      </c>
      <c r="AA1243" s="45">
        <f t="shared" ca="1" si="1669"/>
        <v>39.212416915952254</v>
      </c>
      <c r="AB1243" s="45">
        <f t="shared" ca="1" si="1656"/>
        <v>0</v>
      </c>
      <c r="AC1243" s="45" cm="1">
        <f t="array" aca="1" ref="AC1243" ca="1">pHUM*(T1243+W1243+Z1243+AD1243)</f>
        <v>0</v>
      </c>
      <c r="AD1243" s="77">
        <f t="shared" ca="1" si="1657"/>
        <v>0</v>
      </c>
      <c r="AE1243" s="45">
        <f t="shared" ca="1" si="1670"/>
        <v>6.3847072090583081</v>
      </c>
      <c r="AF1243" s="45">
        <f t="shared" ca="1" si="1658"/>
        <v>0</v>
      </c>
      <c r="AG1243" s="76">
        <f t="shared" ca="1" si="1659"/>
        <v>63.480971757338644</v>
      </c>
      <c r="AH1243" s="45">
        <f t="shared" ca="1" si="1660"/>
        <v>0</v>
      </c>
      <c r="AI1243" s="77">
        <f t="shared" ca="1" si="1661"/>
        <v>1.1943323291748317E-2</v>
      </c>
      <c r="AJ1243" s="384">
        <f t="shared" ca="1" si="1663"/>
        <v>1.2314023374069283E-2</v>
      </c>
      <c r="AU1243" s="1"/>
    </row>
    <row r="1244" spans="3:47" x14ac:dyDescent="0.25">
      <c r="C1244" s="10">
        <f t="shared" si="1599"/>
        <v>96</v>
      </c>
      <c r="D1244" s="91">
        <f t="shared" si="1671"/>
        <v>2</v>
      </c>
      <c r="E1244" s="278"/>
      <c r="F1244" s="76">
        <f t="shared" ref="F1244:Q1244" si="1679">F1172</f>
        <v>0.91042857142857181</v>
      </c>
      <c r="G1244" s="46">
        <f t="shared" si="1679"/>
        <v>77.312634079068317</v>
      </c>
      <c r="H1244" s="46">
        <f t="shared" si="1647"/>
        <v>-21.782484079068311</v>
      </c>
      <c r="I1244" s="45">
        <f t="shared" si="1648"/>
        <v>0</v>
      </c>
      <c r="J1244" s="45">
        <f t="shared" si="1649"/>
        <v>0.23463537609132465</v>
      </c>
      <c r="K1244" s="45">
        <f t="shared" ca="1" si="1665"/>
        <v>0.75836628037006848</v>
      </c>
      <c r="L1244" s="358">
        <f t="shared" si="1650"/>
        <v>0.39364266736760256</v>
      </c>
      <c r="M1244" s="76">
        <f t="shared" ca="1" si="1679"/>
        <v>0.25347808785320641</v>
      </c>
      <c r="N1244" s="45">
        <f t="shared" ca="1" si="1679"/>
        <v>0.25</v>
      </c>
      <c r="O1244" s="45">
        <f t="shared" ca="1" si="1679"/>
        <v>0</v>
      </c>
      <c r="P1244" s="46" t="str">
        <f t="shared" ca="1" si="1679"/>
        <v/>
      </c>
      <c r="Q1244" s="243" t="str">
        <f t="shared" ca="1" si="1679"/>
        <v/>
      </c>
      <c r="R1244" s="45">
        <f t="shared" ca="1" si="1666"/>
        <v>0.22300348346023363</v>
      </c>
      <c r="S1244" s="45">
        <f t="shared" ca="1" si="1601"/>
        <v>5.0695617570641283E-2</v>
      </c>
      <c r="T1244" s="77">
        <f t="shared" ca="1" si="1651"/>
        <v>0</v>
      </c>
      <c r="U1244" s="45">
        <f t="shared" ca="1" si="1667"/>
        <v>16.908097714862478</v>
      </c>
      <c r="V1244" s="45">
        <f t="shared" ca="1" si="1652"/>
        <v>0.20278247028256513</v>
      </c>
      <c r="W1244" s="77">
        <f t="shared" ca="1" si="1653"/>
        <v>0</v>
      </c>
      <c r="X1244" s="45">
        <f t="shared" ca="1" si="1668"/>
        <v>1.0062245218585784</v>
      </c>
      <c r="Y1244" s="45">
        <f t="shared" ca="1" si="1654"/>
        <v>0</v>
      </c>
      <c r="Z1244" s="77">
        <f t="shared" ca="1" si="1655"/>
        <v>0</v>
      </c>
      <c r="AA1244" s="45">
        <f t="shared" ca="1" si="1669"/>
        <v>39.212416915952254</v>
      </c>
      <c r="AB1244" s="45">
        <f t="shared" ca="1" si="1656"/>
        <v>0</v>
      </c>
      <c r="AC1244" s="45" cm="1">
        <f t="array" aca="1" ref="AC1244" ca="1">pHUM*(T1244+W1244+Z1244+AD1244)</f>
        <v>0</v>
      </c>
      <c r="AD1244" s="77">
        <f t="shared" ca="1" si="1657"/>
        <v>0</v>
      </c>
      <c r="AE1244" s="45">
        <f t="shared" ca="1" si="1670"/>
        <v>6.3847072090583081</v>
      </c>
      <c r="AF1244" s="45">
        <f t="shared" ca="1" si="1658"/>
        <v>0</v>
      </c>
      <c r="AG1244" s="76">
        <f t="shared" ca="1" si="1659"/>
        <v>63.734449845191847</v>
      </c>
      <c r="AH1244" s="45">
        <f t="shared" ca="1" si="1660"/>
        <v>0</v>
      </c>
      <c r="AI1244" s="77">
        <f t="shared" ca="1" si="1661"/>
        <v>1.2715576783154384E-2</v>
      </c>
      <c r="AJ1244" s="384">
        <f t="shared" ca="1" si="1663"/>
        <v>1.3398675042034514E-2</v>
      </c>
      <c r="AU1244" s="1"/>
    </row>
    <row r="1245" spans="3:47" x14ac:dyDescent="0.25">
      <c r="C1245" s="10">
        <f t="shared" si="1599"/>
        <v>96</v>
      </c>
      <c r="D1245" s="91">
        <f t="shared" si="1671"/>
        <v>3</v>
      </c>
      <c r="E1245" s="278"/>
      <c r="F1245" s="76">
        <f t="shared" ref="F1245:Q1245" si="1680">F1173</f>
        <v>1.7499333333333336</v>
      </c>
      <c r="G1245" s="46">
        <f t="shared" si="1680"/>
        <v>89.127050621045186</v>
      </c>
      <c r="H1245" s="46">
        <f t="shared" si="1647"/>
        <v>-33.596900621045179</v>
      </c>
      <c r="I1245" s="45">
        <f t="shared" si="1648"/>
        <v>0</v>
      </c>
      <c r="J1245" s="45">
        <f t="shared" si="1649"/>
        <v>0.19161115755788954</v>
      </c>
      <c r="K1245" s="45">
        <f t="shared" ca="1" si="1665"/>
        <v>0.61930746869995335</v>
      </c>
      <c r="L1245" s="358">
        <f t="shared" si="1650"/>
        <v>0.42389567243620196</v>
      </c>
      <c r="M1245" s="76">
        <f t="shared" ca="1" si="1680"/>
        <v>0.25347808785320641</v>
      </c>
      <c r="N1245" s="45">
        <f t="shared" ca="1" si="1680"/>
        <v>0.25</v>
      </c>
      <c r="O1245" s="45">
        <f t="shared" ca="1" si="1680"/>
        <v>0</v>
      </c>
      <c r="P1245" s="46" t="str">
        <f t="shared" ca="1" si="1680"/>
        <v/>
      </c>
      <c r="Q1245" s="243" t="str">
        <f t="shared" ca="1" si="1680"/>
        <v/>
      </c>
      <c r="R1245" s="45">
        <f t="shared" ca="1" si="1666"/>
        <v>0.27369910103087491</v>
      </c>
      <c r="S1245" s="45">
        <f t="shared" ca="1" si="1601"/>
        <v>5.0695617570641283E-2</v>
      </c>
      <c r="T1245" s="77">
        <f t="shared" ca="1" si="1651"/>
        <v>0</v>
      </c>
      <c r="U1245" s="45">
        <f t="shared" ca="1" si="1667"/>
        <v>17.110880185145042</v>
      </c>
      <c r="V1245" s="45">
        <f t="shared" ca="1" si="1652"/>
        <v>0.20278247028256513</v>
      </c>
      <c r="W1245" s="77">
        <f t="shared" ca="1" si="1653"/>
        <v>0</v>
      </c>
      <c r="X1245" s="45">
        <f t="shared" ca="1" si="1668"/>
        <v>1.0062245218585784</v>
      </c>
      <c r="Y1245" s="45">
        <f t="shared" ca="1" si="1654"/>
        <v>0</v>
      </c>
      <c r="Z1245" s="77">
        <f t="shared" ca="1" si="1655"/>
        <v>0</v>
      </c>
      <c r="AA1245" s="45">
        <f t="shared" ca="1" si="1669"/>
        <v>39.212416915952254</v>
      </c>
      <c r="AB1245" s="45">
        <f t="shared" ca="1" si="1656"/>
        <v>0</v>
      </c>
      <c r="AC1245" s="45" cm="1">
        <f t="array" aca="1" ref="AC1245" ca="1">pHUM*(T1245+W1245+Z1245+AD1245)</f>
        <v>0</v>
      </c>
      <c r="AD1245" s="77">
        <f t="shared" ca="1" si="1657"/>
        <v>0</v>
      </c>
      <c r="AE1245" s="45">
        <f t="shared" ca="1" si="1670"/>
        <v>6.3847072090583081</v>
      </c>
      <c r="AF1245" s="45">
        <f t="shared" ca="1" si="1658"/>
        <v>0</v>
      </c>
      <c r="AG1245" s="76">
        <f t="shared" ca="1" si="1659"/>
        <v>63.987927933045057</v>
      </c>
      <c r="AH1245" s="45">
        <f t="shared" ca="1" si="1660"/>
        <v>0</v>
      </c>
      <c r="AI1245" s="77">
        <f t="shared" ca="1" si="1661"/>
        <v>1.3481033802561862E-2</v>
      </c>
      <c r="AJ1245" s="384">
        <f t="shared" ca="1" si="1663"/>
        <v>1.2492043234340056E-2</v>
      </c>
      <c r="AU1245" s="1"/>
    </row>
    <row r="1246" spans="3:47" x14ac:dyDescent="0.25">
      <c r="C1246" s="10">
        <f t="shared" si="1599"/>
        <v>96</v>
      </c>
      <c r="D1246" s="91">
        <f t="shared" si="1671"/>
        <v>4</v>
      </c>
      <c r="E1246" s="278"/>
      <c r="F1246" s="76">
        <f t="shared" ref="F1246:Q1246" si="1681">F1174</f>
        <v>5.3144</v>
      </c>
      <c r="G1246" s="46">
        <f t="shared" si="1681"/>
        <v>88.517400984298064</v>
      </c>
      <c r="H1246" s="46">
        <f t="shared" si="1647"/>
        <v>-32.987250984298058</v>
      </c>
      <c r="I1246" s="45">
        <f t="shared" si="1648"/>
        <v>0</v>
      </c>
      <c r="J1246" s="45">
        <f t="shared" si="1649"/>
        <v>0.19391725365845511</v>
      </c>
      <c r="K1246" s="45">
        <f t="shared" ca="1" si="1665"/>
        <v>0.62676101449980381</v>
      </c>
      <c r="L1246" s="358">
        <f t="shared" si="1650"/>
        <v>0.55593677468735669</v>
      </c>
      <c r="M1246" s="76">
        <f t="shared" ca="1" si="1681"/>
        <v>0.25347808785320641</v>
      </c>
      <c r="N1246" s="45">
        <f t="shared" ca="1" si="1681"/>
        <v>0.25</v>
      </c>
      <c r="O1246" s="45">
        <f t="shared" ca="1" si="1681"/>
        <v>0</v>
      </c>
      <c r="P1246" s="46" t="str">
        <f t="shared" ca="1" si="1681"/>
        <v/>
      </c>
      <c r="Q1246" s="243" t="str">
        <f t="shared" ca="1" si="1681"/>
        <v/>
      </c>
      <c r="R1246" s="45">
        <f t="shared" ca="1" si="1666"/>
        <v>0.3243947186015162</v>
      </c>
      <c r="S1246" s="45">
        <f t="shared" ca="1" si="1601"/>
        <v>5.0695617570641283E-2</v>
      </c>
      <c r="T1246" s="77">
        <f t="shared" ca="1" si="1651"/>
        <v>0</v>
      </c>
      <c r="U1246" s="45">
        <f t="shared" ca="1" si="1667"/>
        <v>17.313662655427606</v>
      </c>
      <c r="V1246" s="45">
        <f t="shared" ca="1" si="1652"/>
        <v>0.20278247028256513</v>
      </c>
      <c r="W1246" s="77">
        <f t="shared" ca="1" si="1653"/>
        <v>0</v>
      </c>
      <c r="X1246" s="45">
        <f t="shared" ca="1" si="1668"/>
        <v>1.0062245218585784</v>
      </c>
      <c r="Y1246" s="45">
        <f t="shared" ca="1" si="1654"/>
        <v>0</v>
      </c>
      <c r="Z1246" s="77">
        <f t="shared" ca="1" si="1655"/>
        <v>0</v>
      </c>
      <c r="AA1246" s="45">
        <f t="shared" ca="1" si="1669"/>
        <v>39.212416915952254</v>
      </c>
      <c r="AB1246" s="45">
        <f t="shared" ca="1" si="1656"/>
        <v>0</v>
      </c>
      <c r="AC1246" s="45" cm="1">
        <f t="array" aca="1" ref="AC1246" ca="1">pHUM*(T1246+W1246+Z1246+AD1246)</f>
        <v>0</v>
      </c>
      <c r="AD1246" s="77">
        <f t="shared" ca="1" si="1657"/>
        <v>0</v>
      </c>
      <c r="AE1246" s="45">
        <f t="shared" ca="1" si="1670"/>
        <v>6.3847072090583081</v>
      </c>
      <c r="AF1246" s="45">
        <f t="shared" ca="1" si="1658"/>
        <v>0</v>
      </c>
      <c r="AG1246" s="76">
        <f t="shared" ca="1" si="1659"/>
        <v>64.241406020898268</v>
      </c>
      <c r="AH1246" s="45">
        <f t="shared" ca="1" si="1660"/>
        <v>0</v>
      </c>
      <c r="AI1246" s="77">
        <f t="shared" ca="1" si="1661"/>
        <v>1.4239783678782885E-2</v>
      </c>
      <c r="AJ1246" s="384">
        <f t="shared" ca="1" si="1663"/>
        <v>1.7513530096386898E-2</v>
      </c>
      <c r="AU1246" s="1"/>
    </row>
    <row r="1247" spans="3:47" x14ac:dyDescent="0.25">
      <c r="C1247" s="10">
        <f t="shared" si="1599"/>
        <v>96</v>
      </c>
      <c r="D1247" s="91">
        <f t="shared" si="1671"/>
        <v>5</v>
      </c>
      <c r="E1247" s="278"/>
      <c r="F1247" s="76">
        <f t="shared" ref="F1247:Q1247" si="1682">F1175</f>
        <v>12.662516129032257</v>
      </c>
      <c r="G1247" s="46">
        <f t="shared" si="1682"/>
        <v>89.413014608233681</v>
      </c>
      <c r="H1247" s="46">
        <f t="shared" si="1647"/>
        <v>-33.882864608233675</v>
      </c>
      <c r="I1247" s="45">
        <f t="shared" si="1648"/>
        <v>0</v>
      </c>
      <c r="J1247" s="45">
        <f t="shared" si="1649"/>
        <v>0.19052718077467024</v>
      </c>
      <c r="K1247" s="45">
        <f t="shared" ca="1" si="1665"/>
        <v>0.6158039414194908</v>
      </c>
      <c r="L1247" s="358">
        <f t="shared" si="1650"/>
        <v>0.78870900469063665</v>
      </c>
      <c r="M1247" s="76">
        <f t="shared" ca="1" si="1682"/>
        <v>0.25347808785320641</v>
      </c>
      <c r="N1247" s="45">
        <f t="shared" ca="1" si="1682"/>
        <v>0.25</v>
      </c>
      <c r="O1247" s="45">
        <f t="shared" ca="1" si="1682"/>
        <v>0</v>
      </c>
      <c r="P1247" s="46" t="str">
        <f t="shared" ca="1" si="1682"/>
        <v/>
      </c>
      <c r="Q1247" s="243" t="str">
        <f t="shared" ca="1" si="1682"/>
        <v/>
      </c>
      <c r="R1247" s="45">
        <f t="shared" ca="1" si="1666"/>
        <v>0.37509033617215748</v>
      </c>
      <c r="S1247" s="45">
        <f t="shared" ca="1" si="1601"/>
        <v>5.0695617570641283E-2</v>
      </c>
      <c r="T1247" s="77">
        <f t="shared" ca="1" si="1651"/>
        <v>0</v>
      </c>
      <c r="U1247" s="45">
        <f t="shared" ca="1" si="1667"/>
        <v>17.51644512571017</v>
      </c>
      <c r="V1247" s="45">
        <f t="shared" ca="1" si="1652"/>
        <v>0.20278247028256513</v>
      </c>
      <c r="W1247" s="77">
        <f t="shared" ca="1" si="1653"/>
        <v>0</v>
      </c>
      <c r="X1247" s="45">
        <f t="shared" ca="1" si="1668"/>
        <v>1.0062245218585784</v>
      </c>
      <c r="Y1247" s="45">
        <f t="shared" ca="1" si="1654"/>
        <v>0</v>
      </c>
      <c r="Z1247" s="77">
        <f t="shared" ca="1" si="1655"/>
        <v>0</v>
      </c>
      <c r="AA1247" s="45">
        <f t="shared" ca="1" si="1669"/>
        <v>39.212416915952254</v>
      </c>
      <c r="AB1247" s="45">
        <f t="shared" ca="1" si="1656"/>
        <v>0</v>
      </c>
      <c r="AC1247" s="45" cm="1">
        <f t="array" aca="1" ref="AC1247" ca="1">pHUM*(T1247+W1247+Z1247+AD1247)</f>
        <v>0</v>
      </c>
      <c r="AD1247" s="77">
        <f t="shared" ca="1" si="1657"/>
        <v>0</v>
      </c>
      <c r="AE1247" s="45">
        <f t="shared" ca="1" si="1670"/>
        <v>6.3847072090583081</v>
      </c>
      <c r="AF1247" s="45">
        <f t="shared" ca="1" si="1658"/>
        <v>0</v>
      </c>
      <c r="AG1247" s="76">
        <f t="shared" ca="1" si="1659"/>
        <v>64.494884108751464</v>
      </c>
      <c r="AH1247" s="45">
        <f t="shared" ca="1" si="1660"/>
        <v>0</v>
      </c>
      <c r="AI1247" s="77">
        <f t="shared" ca="1" si="1661"/>
        <v>1.4991914182011283E-2</v>
      </c>
      <c r="AJ1247" s="384">
        <f t="shared" ca="1" si="1663"/>
        <v>2.5701349024750408E-2</v>
      </c>
      <c r="AU1247" s="1"/>
    </row>
    <row r="1248" spans="3:47" x14ac:dyDescent="0.25">
      <c r="C1248" s="10">
        <f t="shared" si="1599"/>
        <v>96</v>
      </c>
      <c r="D1248" s="91">
        <f t="shared" si="1671"/>
        <v>6</v>
      </c>
      <c r="E1248" s="278"/>
      <c r="F1248" s="76">
        <f t="shared" ref="F1248:Q1248" si="1683">F1176</f>
        <v>17.952400000000004</v>
      </c>
      <c r="G1248" s="46">
        <f t="shared" si="1683"/>
        <v>83.948488098886401</v>
      </c>
      <c r="H1248" s="46">
        <f t="shared" si="1647"/>
        <v>-28.418338098886395</v>
      </c>
      <c r="I1248" s="45">
        <f t="shared" si="1648"/>
        <v>0</v>
      </c>
      <c r="J1248" s="45">
        <f t="shared" si="1649"/>
        <v>0.21095121603234232</v>
      </c>
      <c r="K1248" s="45">
        <f t="shared" ca="1" si="1665"/>
        <v>0.68181657730811884</v>
      </c>
      <c r="L1248" s="358">
        <f t="shared" si="1650"/>
        <v>0.89013124354981255</v>
      </c>
      <c r="M1248" s="76">
        <f t="shared" ca="1" si="1683"/>
        <v>0.25347808785320641</v>
      </c>
      <c r="N1248" s="45">
        <f t="shared" ca="1" si="1683"/>
        <v>0.25</v>
      </c>
      <c r="O1248" s="45">
        <f t="shared" ca="1" si="1683"/>
        <v>0</v>
      </c>
      <c r="P1248" s="46" t="str">
        <f t="shared" ca="1" si="1683"/>
        <v/>
      </c>
      <c r="Q1248" s="243" t="str">
        <f t="shared" ca="1" si="1683"/>
        <v/>
      </c>
      <c r="R1248" s="45">
        <f t="shared" ca="1" si="1666"/>
        <v>0.42578595374279876</v>
      </c>
      <c r="S1248" s="45">
        <f t="shared" ca="1" si="1601"/>
        <v>5.0695617570641283E-2</v>
      </c>
      <c r="T1248" s="77">
        <f t="shared" ca="1" si="1651"/>
        <v>0</v>
      </c>
      <c r="U1248" s="45">
        <f t="shared" ca="1" si="1667"/>
        <v>17.719227595992734</v>
      </c>
      <c r="V1248" s="45">
        <f t="shared" ca="1" si="1652"/>
        <v>0.20278247028256513</v>
      </c>
      <c r="W1248" s="77">
        <f t="shared" ca="1" si="1653"/>
        <v>0</v>
      </c>
      <c r="X1248" s="45">
        <f t="shared" ca="1" si="1668"/>
        <v>1.0062245218585784</v>
      </c>
      <c r="Y1248" s="45">
        <f t="shared" ca="1" si="1654"/>
        <v>0</v>
      </c>
      <c r="Z1248" s="77">
        <f t="shared" ca="1" si="1655"/>
        <v>0</v>
      </c>
      <c r="AA1248" s="45">
        <f t="shared" ca="1" si="1669"/>
        <v>39.212416915952254</v>
      </c>
      <c r="AB1248" s="45">
        <f t="shared" ca="1" si="1656"/>
        <v>0</v>
      </c>
      <c r="AC1248" s="45" cm="1">
        <f t="array" aca="1" ref="AC1248" ca="1">pHUM*(T1248+W1248+Z1248+AD1248)</f>
        <v>0</v>
      </c>
      <c r="AD1248" s="77">
        <f t="shared" ca="1" si="1657"/>
        <v>0</v>
      </c>
      <c r="AE1248" s="45">
        <f t="shared" ca="1" si="1670"/>
        <v>6.3847072090583081</v>
      </c>
      <c r="AF1248" s="45">
        <f t="shared" ca="1" si="1658"/>
        <v>0</v>
      </c>
      <c r="AG1248" s="76">
        <f t="shared" ca="1" si="1659"/>
        <v>64.748362196604674</v>
      </c>
      <c r="AH1248" s="45">
        <f t="shared" ca="1" si="1660"/>
        <v>0</v>
      </c>
      <c r="AI1248" s="77">
        <f t="shared" ca="1" si="1661"/>
        <v>1.5737511557668588E-2</v>
      </c>
      <c r="AJ1248" s="384">
        <f t="shared" ca="1" si="1663"/>
        <v>3.3712732081400132E-2</v>
      </c>
      <c r="AU1248" s="1"/>
    </row>
    <row r="1249" spans="3:47" x14ac:dyDescent="0.25">
      <c r="C1249" s="10">
        <f t="shared" si="1599"/>
        <v>96</v>
      </c>
      <c r="D1249" s="91">
        <f t="shared" si="1671"/>
        <v>7</v>
      </c>
      <c r="E1249" s="278"/>
      <c r="F1249" s="76">
        <f t="shared" ref="F1249:Q1249" si="1684">F1177</f>
        <v>21.363032258064525</v>
      </c>
      <c r="G1249" s="46">
        <f t="shared" si="1684"/>
        <v>73.679575814389409</v>
      </c>
      <c r="H1249" s="46">
        <f t="shared" si="1647"/>
        <v>-18.149425814389403</v>
      </c>
      <c r="I1249" s="45">
        <f t="shared" si="1648"/>
        <v>0</v>
      </c>
      <c r="J1249" s="45">
        <f t="shared" si="1649"/>
        <v>0.2468878570948656</v>
      </c>
      <c r="K1249" s="45">
        <f t="shared" ca="1" si="1665"/>
        <v>0.79796759113040194</v>
      </c>
      <c r="L1249" s="358">
        <f t="shared" si="1650"/>
        <v>0.92905557700722019</v>
      </c>
      <c r="M1249" s="76">
        <f t="shared" ca="1" si="1684"/>
        <v>0.25347808785320641</v>
      </c>
      <c r="N1249" s="45">
        <f t="shared" ca="1" si="1684"/>
        <v>0.25</v>
      </c>
      <c r="O1249" s="45">
        <f t="shared" ca="1" si="1684"/>
        <v>0</v>
      </c>
      <c r="P1249" s="46" t="str">
        <f t="shared" ca="1" si="1684"/>
        <v/>
      </c>
      <c r="Q1249" s="243" t="str">
        <f t="shared" ca="1" si="1684"/>
        <v/>
      </c>
      <c r="R1249" s="45">
        <f t="shared" ca="1" si="1666"/>
        <v>0.47648157131344004</v>
      </c>
      <c r="S1249" s="45">
        <f t="shared" ca="1" si="1601"/>
        <v>5.0695617570641283E-2</v>
      </c>
      <c r="T1249" s="77">
        <f t="shared" ca="1" si="1651"/>
        <v>0</v>
      </c>
      <c r="U1249" s="45">
        <f t="shared" ca="1" si="1667"/>
        <v>17.922010066275298</v>
      </c>
      <c r="V1249" s="45">
        <f t="shared" ca="1" si="1652"/>
        <v>0.20278247028256513</v>
      </c>
      <c r="W1249" s="77">
        <f t="shared" ca="1" si="1653"/>
        <v>0</v>
      </c>
      <c r="X1249" s="45">
        <f t="shared" ca="1" si="1668"/>
        <v>1.0062245218585784</v>
      </c>
      <c r="Y1249" s="45">
        <f t="shared" ca="1" si="1654"/>
        <v>0</v>
      </c>
      <c r="Z1249" s="77">
        <f t="shared" ca="1" si="1655"/>
        <v>0</v>
      </c>
      <c r="AA1249" s="45">
        <f t="shared" ca="1" si="1669"/>
        <v>39.212416915952254</v>
      </c>
      <c r="AB1249" s="45">
        <f t="shared" ca="1" si="1656"/>
        <v>0</v>
      </c>
      <c r="AC1249" s="45" cm="1">
        <f t="array" aca="1" ref="AC1249" ca="1">pHUM*(T1249+W1249+Z1249+AD1249)</f>
        <v>0</v>
      </c>
      <c r="AD1249" s="77">
        <f t="shared" ca="1" si="1657"/>
        <v>0</v>
      </c>
      <c r="AE1249" s="45">
        <f t="shared" ca="1" si="1670"/>
        <v>6.3847072090583081</v>
      </c>
      <c r="AF1249" s="45">
        <f t="shared" ca="1" si="1658"/>
        <v>0</v>
      </c>
      <c r="AG1249" s="76">
        <f t="shared" ca="1" si="1659"/>
        <v>65.00184028445787</v>
      </c>
      <c r="AH1249" s="45">
        <f t="shared" ca="1" si="1660"/>
        <v>0</v>
      </c>
      <c r="AI1249" s="77">
        <f t="shared" ca="1" si="1661"/>
        <v>1.6476660559371917E-2</v>
      </c>
      <c r="AJ1249" s="384">
        <f t="shared" ca="1" si="1663"/>
        <v>4.3115018426999052E-2</v>
      </c>
      <c r="AU1249" s="1"/>
    </row>
    <row r="1250" spans="3:47" x14ac:dyDescent="0.25">
      <c r="C1250" s="10">
        <f t="shared" si="1599"/>
        <v>96</v>
      </c>
      <c r="D1250" s="91">
        <f t="shared" si="1671"/>
        <v>8</v>
      </c>
      <c r="E1250" s="278"/>
      <c r="F1250" s="76">
        <f t="shared" ref="F1250:Q1250" si="1685">F1178</f>
        <v>21.84690322580645</v>
      </c>
      <c r="G1250" s="46">
        <f t="shared" si="1685"/>
        <v>71.917724933598876</v>
      </c>
      <c r="H1250" s="46">
        <f t="shared" si="1647"/>
        <v>-16.38757493359887</v>
      </c>
      <c r="I1250" s="45">
        <f t="shared" si="1648"/>
        <v>0</v>
      </c>
      <c r="J1250" s="45">
        <f t="shared" si="1649"/>
        <v>0.25260629061506468</v>
      </c>
      <c r="K1250" s="45">
        <f t="shared" ca="1" si="1665"/>
        <v>0.81645017133846476</v>
      </c>
      <c r="L1250" s="358">
        <f t="shared" si="1650"/>
        <v>0.93325603418156189</v>
      </c>
      <c r="M1250" s="76">
        <f t="shared" ca="1" si="1685"/>
        <v>0.25347808785320641</v>
      </c>
      <c r="N1250" s="45">
        <f t="shared" ca="1" si="1685"/>
        <v>0.25</v>
      </c>
      <c r="O1250" s="45">
        <f t="shared" ca="1" si="1685"/>
        <v>0</v>
      </c>
      <c r="P1250" s="46" t="str">
        <f t="shared" ca="1" si="1685"/>
        <v/>
      </c>
      <c r="Q1250" s="243" t="str">
        <f t="shared" ca="1" si="1685"/>
        <v/>
      </c>
      <c r="R1250" s="45">
        <f t="shared" ca="1" si="1666"/>
        <v>0.52717718888408127</v>
      </c>
      <c r="S1250" s="45">
        <f t="shared" ca="1" si="1601"/>
        <v>5.0695617570641283E-2</v>
      </c>
      <c r="T1250" s="77">
        <f t="shared" ca="1" si="1651"/>
        <v>0</v>
      </c>
      <c r="U1250" s="45">
        <f t="shared" ca="1" si="1667"/>
        <v>18.124792536557862</v>
      </c>
      <c r="V1250" s="45">
        <f t="shared" ca="1" si="1652"/>
        <v>0.20278247028256513</v>
      </c>
      <c r="W1250" s="77">
        <f t="shared" ca="1" si="1653"/>
        <v>0</v>
      </c>
      <c r="X1250" s="45">
        <f t="shared" ca="1" si="1668"/>
        <v>1.0062245218585784</v>
      </c>
      <c r="Y1250" s="45">
        <f t="shared" ca="1" si="1654"/>
        <v>0</v>
      </c>
      <c r="Z1250" s="77">
        <f t="shared" ca="1" si="1655"/>
        <v>0</v>
      </c>
      <c r="AA1250" s="45">
        <f t="shared" ca="1" si="1669"/>
        <v>39.212416915952254</v>
      </c>
      <c r="AB1250" s="45">
        <f t="shared" ca="1" si="1656"/>
        <v>0</v>
      </c>
      <c r="AC1250" s="45" cm="1">
        <f t="array" aca="1" ref="AC1250" ca="1">pHUM*(T1250+W1250+Z1250+AD1250)</f>
        <v>0</v>
      </c>
      <c r="AD1250" s="77">
        <f t="shared" ca="1" si="1657"/>
        <v>0</v>
      </c>
      <c r="AE1250" s="45">
        <f t="shared" ca="1" si="1670"/>
        <v>6.3847072090583081</v>
      </c>
      <c r="AF1250" s="45">
        <f t="shared" ca="1" si="1658"/>
        <v>0</v>
      </c>
      <c r="AG1250" s="76">
        <f t="shared" ca="1" si="1659"/>
        <v>65.255318372311081</v>
      </c>
      <c r="AH1250" s="45">
        <f t="shared" ca="1" si="1660"/>
        <v>0</v>
      </c>
      <c r="AI1250" s="77">
        <f t="shared" ca="1" si="1661"/>
        <v>1.7209444481050152E-2</v>
      </c>
      <c r="AJ1250" s="384">
        <f t="shared" ca="1" si="1663"/>
        <v>4.628374346922759E-2</v>
      </c>
      <c r="AU1250" s="1"/>
    </row>
    <row r="1251" spans="3:47" x14ac:dyDescent="0.25">
      <c r="C1251" s="10">
        <f t="shared" si="1599"/>
        <v>96</v>
      </c>
      <c r="D1251" s="91">
        <f t="shared" si="1671"/>
        <v>9</v>
      </c>
      <c r="E1251" s="278"/>
      <c r="F1251" s="76">
        <f t="shared" ref="F1251:Q1251" si="1686">F1179</f>
        <v>19.915099999999999</v>
      </c>
      <c r="G1251" s="46">
        <f t="shared" si="1686"/>
        <v>90.121120170480822</v>
      </c>
      <c r="H1251" s="46">
        <f t="shared" si="1647"/>
        <v>-34.590970170480816</v>
      </c>
      <c r="I1251" s="45">
        <f t="shared" si="1648"/>
        <v>0</v>
      </c>
      <c r="J1251" s="45">
        <f t="shared" si="1649"/>
        <v>0.18783711693191202</v>
      </c>
      <c r="K1251" s="45">
        <f t="shared" ca="1" si="1665"/>
        <v>0.60710937138331467</v>
      </c>
      <c r="L1251" s="358">
        <f t="shared" si="1650"/>
        <v>0.91464137695305081</v>
      </c>
      <c r="M1251" s="76">
        <f t="shared" ca="1" si="1686"/>
        <v>0.25347808785320641</v>
      </c>
      <c r="N1251" s="45">
        <f t="shared" ca="1" si="1686"/>
        <v>0.25</v>
      </c>
      <c r="O1251" s="45">
        <f t="shared" ca="1" si="1686"/>
        <v>0</v>
      </c>
      <c r="P1251" s="46" t="str">
        <f t="shared" ca="1" si="1686"/>
        <v/>
      </c>
      <c r="Q1251" s="243" t="str">
        <f t="shared" ca="1" si="1686"/>
        <v/>
      </c>
      <c r="R1251" s="45">
        <f t="shared" ca="1" si="1666"/>
        <v>0.5778728064547225</v>
      </c>
      <c r="S1251" s="45">
        <f t="shared" ca="1" si="1601"/>
        <v>5.0695617570641283E-2</v>
      </c>
      <c r="T1251" s="77">
        <f t="shared" ca="1" si="1651"/>
        <v>0</v>
      </c>
      <c r="U1251" s="45">
        <f t="shared" ca="1" si="1667"/>
        <v>18.327575006840426</v>
      </c>
      <c r="V1251" s="45">
        <f t="shared" ca="1" si="1652"/>
        <v>0.20278247028256513</v>
      </c>
      <c r="W1251" s="77">
        <f t="shared" ca="1" si="1653"/>
        <v>0</v>
      </c>
      <c r="X1251" s="45">
        <f t="shared" ca="1" si="1668"/>
        <v>1.0062245218585784</v>
      </c>
      <c r="Y1251" s="45">
        <f t="shared" ca="1" si="1654"/>
        <v>0</v>
      </c>
      <c r="Z1251" s="77">
        <f t="shared" ca="1" si="1655"/>
        <v>0</v>
      </c>
      <c r="AA1251" s="45">
        <f t="shared" ca="1" si="1669"/>
        <v>39.212416915952254</v>
      </c>
      <c r="AB1251" s="45">
        <f t="shared" ca="1" si="1656"/>
        <v>0</v>
      </c>
      <c r="AC1251" s="45" cm="1">
        <f t="array" aca="1" ref="AC1251" ca="1">pHUM*(T1251+W1251+Z1251+AD1251)</f>
        <v>0</v>
      </c>
      <c r="AD1251" s="77">
        <f t="shared" ca="1" si="1657"/>
        <v>0</v>
      </c>
      <c r="AE1251" s="45">
        <f t="shared" ca="1" si="1670"/>
        <v>6.3847072090583081</v>
      </c>
      <c r="AF1251" s="45">
        <f t="shared" ca="1" si="1658"/>
        <v>0</v>
      </c>
      <c r="AG1251" s="76">
        <f t="shared" ca="1" si="1659"/>
        <v>65.508796460164291</v>
      </c>
      <c r="AH1251" s="45">
        <f t="shared" ca="1" si="1660"/>
        <v>0</v>
      </c>
      <c r="AI1251" s="77">
        <f t="shared" ca="1" si="1661"/>
        <v>1.7935945188233941E-2</v>
      </c>
      <c r="AJ1251" s="384">
        <f t="shared" ca="1" si="1663"/>
        <v>3.515424250873922E-2</v>
      </c>
      <c r="AU1251" s="1"/>
    </row>
    <row r="1252" spans="3:47" x14ac:dyDescent="0.25">
      <c r="C1252" s="10">
        <f t="shared" si="1599"/>
        <v>96</v>
      </c>
      <c r="D1252" s="91">
        <f t="shared" si="1671"/>
        <v>10</v>
      </c>
      <c r="E1252" s="278"/>
      <c r="F1252" s="76">
        <f t="shared" ref="F1252:Q1252" si="1687">F1180</f>
        <v>16.404967741935486</v>
      </c>
      <c r="G1252" s="46">
        <f t="shared" si="1687"/>
        <v>93.270963763991602</v>
      </c>
      <c r="H1252" s="46">
        <f t="shared" si="1647"/>
        <v>-37.740813763991596</v>
      </c>
      <c r="I1252" s="45">
        <f t="shared" si="1648"/>
        <v>0</v>
      </c>
      <c r="J1252" s="45">
        <f t="shared" si="1649"/>
        <v>0.1757835150476853</v>
      </c>
      <c r="K1252" s="45">
        <f t="shared" ca="1" si="1665"/>
        <v>0.56815085891056294</v>
      </c>
      <c r="L1252" s="358">
        <f t="shared" si="1650"/>
        <v>0.86618676922472848</v>
      </c>
      <c r="M1252" s="76">
        <f t="shared" ca="1" si="1687"/>
        <v>0.25347808785320641</v>
      </c>
      <c r="N1252" s="45">
        <f t="shared" ca="1" si="1687"/>
        <v>0.25</v>
      </c>
      <c r="O1252" s="45">
        <f t="shared" ca="1" si="1687"/>
        <v>0</v>
      </c>
      <c r="P1252" s="46" t="str">
        <f t="shared" ca="1" si="1687"/>
        <v/>
      </c>
      <c r="Q1252" s="243" t="str">
        <f t="shared" ca="1" si="1687"/>
        <v/>
      </c>
      <c r="R1252" s="45">
        <f t="shared" ca="1" si="1666"/>
        <v>0.62856842402536373</v>
      </c>
      <c r="S1252" s="45">
        <f t="shared" ca="1" si="1601"/>
        <v>5.0695617570641283E-2</v>
      </c>
      <c r="T1252" s="77">
        <f t="shared" ca="1" si="1651"/>
        <v>0</v>
      </c>
      <c r="U1252" s="45">
        <f t="shared" ca="1" si="1667"/>
        <v>18.53035747712299</v>
      </c>
      <c r="V1252" s="45">
        <f t="shared" ca="1" si="1652"/>
        <v>0.20278247028256513</v>
      </c>
      <c r="W1252" s="77">
        <f t="shared" ca="1" si="1653"/>
        <v>0</v>
      </c>
      <c r="X1252" s="45">
        <f t="shared" ca="1" si="1668"/>
        <v>1.0062245218585784</v>
      </c>
      <c r="Y1252" s="45">
        <f t="shared" ca="1" si="1654"/>
        <v>0</v>
      </c>
      <c r="Z1252" s="77">
        <f t="shared" ca="1" si="1655"/>
        <v>0</v>
      </c>
      <c r="AA1252" s="45">
        <f t="shared" ca="1" si="1669"/>
        <v>39.212416915952254</v>
      </c>
      <c r="AB1252" s="45">
        <f t="shared" ca="1" si="1656"/>
        <v>0</v>
      </c>
      <c r="AC1252" s="45" cm="1">
        <f t="array" aca="1" ref="AC1252" ca="1">pHUM*(T1252+W1252+Z1252+AD1252)</f>
        <v>0</v>
      </c>
      <c r="AD1252" s="77">
        <f t="shared" ca="1" si="1657"/>
        <v>0</v>
      </c>
      <c r="AE1252" s="45">
        <f t="shared" ca="1" si="1670"/>
        <v>6.3847072090583081</v>
      </c>
      <c r="AF1252" s="45">
        <f t="shared" ca="1" si="1658"/>
        <v>0</v>
      </c>
      <c r="AG1252" s="76">
        <f t="shared" ca="1" si="1659"/>
        <v>65.762274548017487</v>
      </c>
      <c r="AH1252" s="45">
        <f t="shared" ca="1" si="1660"/>
        <v>0</v>
      </c>
      <c r="AI1252" s="77">
        <f t="shared" ca="1" si="1661"/>
        <v>1.8656243148544326E-2</v>
      </c>
      <c r="AJ1252" s="384">
        <f t="shared" ca="1" si="1663"/>
        <v>3.2406805873098632E-2</v>
      </c>
      <c r="AU1252" s="1"/>
    </row>
    <row r="1253" spans="3:47" x14ac:dyDescent="0.25">
      <c r="C1253" s="10">
        <f t="shared" ref="C1253:C1302" si="1688">IF(D1253=1,C1252+1,C1252)</f>
        <v>96</v>
      </c>
      <c r="D1253" s="91">
        <f t="shared" si="1671"/>
        <v>11</v>
      </c>
      <c r="E1253" s="278"/>
      <c r="F1253" s="76">
        <f t="shared" ref="F1253:Q1253" si="1689">F1181</f>
        <v>8.5982333333333347</v>
      </c>
      <c r="G1253" s="46">
        <f t="shared" si="1689"/>
        <v>93.768190396309464</v>
      </c>
      <c r="H1253" s="46">
        <f t="shared" si="1647"/>
        <v>-38.238040396309458</v>
      </c>
      <c r="I1253" s="45">
        <f t="shared" si="1648"/>
        <v>0</v>
      </c>
      <c r="J1253" s="45">
        <f t="shared" si="1649"/>
        <v>0.17386998013358751</v>
      </c>
      <c r="K1253" s="45">
        <f t="shared" ca="1" si="1665"/>
        <v>0.56196611226520721</v>
      </c>
      <c r="L1253" s="358">
        <f t="shared" si="1650"/>
        <v>0.6712335176859634</v>
      </c>
      <c r="M1253" s="76">
        <f t="shared" ca="1" si="1689"/>
        <v>0.25347808785320641</v>
      </c>
      <c r="N1253" s="45">
        <f t="shared" ca="1" si="1689"/>
        <v>0.25</v>
      </c>
      <c r="O1253" s="45">
        <f t="shared" ca="1" si="1689"/>
        <v>0</v>
      </c>
      <c r="P1253" s="46" t="str">
        <f t="shared" ca="1" si="1689"/>
        <v/>
      </c>
      <c r="Q1253" s="243" t="str">
        <f t="shared" ca="1" si="1689"/>
        <v/>
      </c>
      <c r="R1253" s="45">
        <f t="shared" ca="1" si="1666"/>
        <v>0.67926404159600495</v>
      </c>
      <c r="S1253" s="45">
        <f t="shared" ref="S1253:S1302" ca="1" si="1690">M1253*N1253/(1+N1253) +   IF(O1253&gt;0,O1253*P1253*(1-Q1253)/(1+P1253),0)</f>
        <v>5.0695617570641283E-2</v>
      </c>
      <c r="T1253" s="77">
        <f t="shared" ca="1" si="1651"/>
        <v>0</v>
      </c>
      <c r="U1253" s="45">
        <f t="shared" ca="1" si="1667"/>
        <v>18.733139947405554</v>
      </c>
      <c r="V1253" s="45">
        <f t="shared" ca="1" si="1652"/>
        <v>0.20278247028256513</v>
      </c>
      <c r="W1253" s="77">
        <f t="shared" ca="1" si="1653"/>
        <v>0</v>
      </c>
      <c r="X1253" s="45">
        <f t="shared" ca="1" si="1668"/>
        <v>1.0062245218585784</v>
      </c>
      <c r="Y1253" s="45">
        <f t="shared" ca="1" si="1654"/>
        <v>0</v>
      </c>
      <c r="Z1253" s="77">
        <f t="shared" ca="1" si="1655"/>
        <v>0</v>
      </c>
      <c r="AA1253" s="45">
        <f t="shared" ca="1" si="1669"/>
        <v>39.212416915952254</v>
      </c>
      <c r="AB1253" s="45">
        <f t="shared" ca="1" si="1656"/>
        <v>0</v>
      </c>
      <c r="AC1253" s="45" cm="1">
        <f t="array" aca="1" ref="AC1253" ca="1">pHUM*(T1253+W1253+Z1253+AD1253)</f>
        <v>0</v>
      </c>
      <c r="AD1253" s="77">
        <f t="shared" ca="1" si="1657"/>
        <v>0</v>
      </c>
      <c r="AE1253" s="45">
        <f t="shared" ca="1" si="1670"/>
        <v>6.3847072090583081</v>
      </c>
      <c r="AF1253" s="45">
        <f t="shared" ca="1" si="1658"/>
        <v>0</v>
      </c>
      <c r="AG1253" s="76">
        <f t="shared" ca="1" si="1659"/>
        <v>66.015752635870697</v>
      </c>
      <c r="AH1253" s="45">
        <f t="shared" ca="1" si="1660"/>
        <v>0</v>
      </c>
      <c r="AI1253" s="77">
        <f t="shared" ca="1" si="1661"/>
        <v>1.9370417461403718E-2</v>
      </c>
      <c r="AJ1253" s="384">
        <f t="shared" ca="1" si="1663"/>
        <v>2.5790649209169736E-2</v>
      </c>
      <c r="AU1253" s="1"/>
    </row>
    <row r="1254" spans="3:47" x14ac:dyDescent="0.25">
      <c r="C1254" s="10">
        <f t="shared" si="1688"/>
        <v>96</v>
      </c>
      <c r="D1254" s="91">
        <f t="shared" si="1671"/>
        <v>12</v>
      </c>
      <c r="E1254" s="278"/>
      <c r="F1254" s="76">
        <f t="shared" ref="F1254:Q1254" si="1691">F1182</f>
        <v>5.8543548387096775</v>
      </c>
      <c r="G1254" s="46">
        <f t="shared" si="1691"/>
        <v>92.353978821555827</v>
      </c>
      <c r="H1254" s="46">
        <f t="shared" si="1647"/>
        <v>-36.823828821555821</v>
      </c>
      <c r="I1254" s="45">
        <f t="shared" si="1648"/>
        <v>0</v>
      </c>
      <c r="J1254" s="45">
        <f t="shared" si="1649"/>
        <v>0.17930557122010893</v>
      </c>
      <c r="K1254" s="45">
        <f t="shared" ca="1" si="1665"/>
        <v>0.57953451589882432</v>
      </c>
      <c r="L1254" s="358">
        <f t="shared" si="1650"/>
        <v>0.57570255434605899</v>
      </c>
      <c r="M1254" s="76">
        <f t="shared" ca="1" si="1691"/>
        <v>0.25347808785320641</v>
      </c>
      <c r="N1254" s="45">
        <f t="shared" ca="1" si="1691"/>
        <v>0.25</v>
      </c>
      <c r="O1254" s="45">
        <f t="shared" ca="1" si="1691"/>
        <v>0</v>
      </c>
      <c r="P1254" s="46" t="str">
        <f t="shared" ca="1" si="1691"/>
        <v/>
      </c>
      <c r="Q1254" s="243" t="str">
        <f t="shared" ca="1" si="1691"/>
        <v/>
      </c>
      <c r="R1254" s="45">
        <f t="shared" ca="1" si="1666"/>
        <v>0.72995965916664618</v>
      </c>
      <c r="S1254" s="45">
        <f t="shared" ca="1" si="1690"/>
        <v>5.0695617570641283E-2</v>
      </c>
      <c r="T1254" s="77">
        <f t="shared" ca="1" si="1651"/>
        <v>0</v>
      </c>
      <c r="U1254" s="45">
        <f t="shared" ca="1" si="1667"/>
        <v>18.935922417688118</v>
      </c>
      <c r="V1254" s="45">
        <f t="shared" ca="1" si="1652"/>
        <v>0.20278247028256513</v>
      </c>
      <c r="W1254" s="77">
        <f t="shared" ca="1" si="1653"/>
        <v>0</v>
      </c>
      <c r="X1254" s="45">
        <f t="shared" ca="1" si="1668"/>
        <v>1.0062245218585784</v>
      </c>
      <c r="Y1254" s="45">
        <f t="shared" ca="1" si="1654"/>
        <v>0</v>
      </c>
      <c r="Z1254" s="77">
        <f t="shared" ca="1" si="1655"/>
        <v>0</v>
      </c>
      <c r="AA1254" s="45">
        <f t="shared" ca="1" si="1669"/>
        <v>39.212416915952254</v>
      </c>
      <c r="AB1254" s="45">
        <f t="shared" ca="1" si="1656"/>
        <v>0</v>
      </c>
      <c r="AC1254" s="45" cm="1">
        <f t="array" aca="1" ref="AC1254" ca="1">pHUM*(T1254+W1254+Z1254+AD1254)</f>
        <v>0</v>
      </c>
      <c r="AD1254" s="77">
        <f t="shared" ca="1" si="1657"/>
        <v>0</v>
      </c>
      <c r="AE1254" s="45">
        <f t="shared" ca="1" si="1670"/>
        <v>6.3847072090583081</v>
      </c>
      <c r="AF1254" s="45">
        <f t="shared" ca="1" si="1658"/>
        <v>0</v>
      </c>
      <c r="AG1254" s="76">
        <f t="shared" ca="1" si="1659"/>
        <v>66.269230723723908</v>
      </c>
      <c r="AH1254" s="45">
        <f t="shared" ca="1" si="1660"/>
        <v>0</v>
      </c>
      <c r="AI1254" s="77">
        <f t="shared" ca="1" si="1661"/>
        <v>2.0078545886992313E-2</v>
      </c>
      <c r="AJ1254" s="384">
        <f t="shared" ca="1" si="1663"/>
        <v>2.3645588716562083E-2</v>
      </c>
      <c r="AU1254" s="1"/>
    </row>
    <row r="1255" spans="3:47" x14ac:dyDescent="0.25">
      <c r="C1255" s="10">
        <f t="shared" si="1688"/>
        <v>97</v>
      </c>
      <c r="D1255" s="91">
        <f t="shared" si="1671"/>
        <v>1</v>
      </c>
      <c r="E1255" s="278"/>
      <c r="F1255" s="76">
        <f t="shared" ref="F1255:Q1255" si="1692">F1183</f>
        <v>2.2624333333333326</v>
      </c>
      <c r="G1255" s="46">
        <f t="shared" si="1692"/>
        <v>87.461548542671366</v>
      </c>
      <c r="H1255" s="46">
        <f t="shared" si="1647"/>
        <v>-31.93139854267136</v>
      </c>
      <c r="I1255" s="45">
        <f t="shared" si="1648"/>
        <v>0</v>
      </c>
      <c r="J1255" s="45">
        <f t="shared" si="1649"/>
        <v>0.19789456043296222</v>
      </c>
      <c r="K1255" s="45">
        <f t="shared" ca="1" si="1665"/>
        <v>0.63961608944510806</v>
      </c>
      <c r="L1255" s="358">
        <f t="shared" si="1650"/>
        <v>0.44266298791276926</v>
      </c>
      <c r="M1255" s="76">
        <f t="shared" ca="1" si="1692"/>
        <v>0.25347808785320641</v>
      </c>
      <c r="N1255" s="45">
        <f t="shared" ca="1" si="1692"/>
        <v>0.25</v>
      </c>
      <c r="O1255" s="45">
        <f t="shared" ca="1" si="1692"/>
        <v>0</v>
      </c>
      <c r="P1255" s="46" t="str">
        <f t="shared" ca="1" si="1692"/>
        <v/>
      </c>
      <c r="Q1255" s="243" t="str">
        <f t="shared" ca="1" si="1692"/>
        <v/>
      </c>
      <c r="R1255" s="45">
        <f t="shared" ca="1" si="1666"/>
        <v>0.78065527673728741</v>
      </c>
      <c r="S1255" s="45">
        <f t="shared" ca="1" si="1690"/>
        <v>5.0695617570641283E-2</v>
      </c>
      <c r="T1255" s="77">
        <f t="shared" ca="1" si="1651"/>
        <v>0</v>
      </c>
      <c r="U1255" s="45">
        <f t="shared" ca="1" si="1667"/>
        <v>19.138704887970682</v>
      </c>
      <c r="V1255" s="45">
        <f t="shared" ca="1" si="1652"/>
        <v>0.20278247028256513</v>
      </c>
      <c r="W1255" s="77">
        <f t="shared" ca="1" si="1653"/>
        <v>0</v>
      </c>
      <c r="X1255" s="45">
        <f t="shared" ca="1" si="1668"/>
        <v>1.0062245218585784</v>
      </c>
      <c r="Y1255" s="45">
        <f t="shared" ca="1" si="1654"/>
        <v>0</v>
      </c>
      <c r="Z1255" s="77">
        <f t="shared" ca="1" si="1655"/>
        <v>0</v>
      </c>
      <c r="AA1255" s="45">
        <f t="shared" ca="1" si="1669"/>
        <v>39.212416915952254</v>
      </c>
      <c r="AB1255" s="45">
        <f t="shared" ca="1" si="1656"/>
        <v>0</v>
      </c>
      <c r="AC1255" s="45" cm="1">
        <f t="array" aca="1" ref="AC1255" ca="1">pHUM*(T1255+W1255+Z1255+AD1255)</f>
        <v>0</v>
      </c>
      <c r="AD1255" s="77">
        <f t="shared" ca="1" si="1657"/>
        <v>0</v>
      </c>
      <c r="AE1255" s="45">
        <f t="shared" ca="1" si="1670"/>
        <v>6.3847072090583081</v>
      </c>
      <c r="AF1255" s="45">
        <f t="shared" ca="1" si="1658"/>
        <v>0</v>
      </c>
      <c r="AG1255" s="76">
        <f t="shared" ca="1" si="1659"/>
        <v>66.522708811577104</v>
      </c>
      <c r="AH1255" s="45">
        <f t="shared" ca="1" si="1660"/>
        <v>0</v>
      </c>
      <c r="AI1255" s="77">
        <f t="shared" ca="1" si="1661"/>
        <v>2.0780704874472245E-2</v>
      </c>
      <c r="AJ1255" s="384">
        <f t="shared" ca="1" si="1663"/>
        <v>2.0767989487129324E-2</v>
      </c>
      <c r="AU1255" s="1"/>
    </row>
    <row r="1256" spans="3:47" x14ac:dyDescent="0.25">
      <c r="C1256" s="10">
        <f t="shared" si="1688"/>
        <v>97</v>
      </c>
      <c r="D1256" s="91">
        <f t="shared" si="1671"/>
        <v>2</v>
      </c>
      <c r="E1256" s="278"/>
      <c r="F1256" s="76">
        <f t="shared" ref="F1256:Q1256" si="1693">F1184</f>
        <v>1.5363448275862068</v>
      </c>
      <c r="G1256" s="46">
        <f t="shared" si="1693"/>
        <v>89.651029216467379</v>
      </c>
      <c r="H1256" s="46">
        <f t="shared" si="1647"/>
        <v>-34.120879216467372</v>
      </c>
      <c r="I1256" s="45">
        <f t="shared" si="1648"/>
        <v>0</v>
      </c>
      <c r="J1256" s="45">
        <f t="shared" si="1649"/>
        <v>0.18962389606700991</v>
      </c>
      <c r="K1256" s="45">
        <f t="shared" ca="1" si="1665"/>
        <v>0.61288442998317227</v>
      </c>
      <c r="L1256" s="358">
        <f t="shared" si="1650"/>
        <v>0.41613501220093307</v>
      </c>
      <c r="M1256" s="76">
        <f t="shared" ca="1" si="1693"/>
        <v>0.25347808785320641</v>
      </c>
      <c r="N1256" s="45">
        <f t="shared" ca="1" si="1693"/>
        <v>0.25</v>
      </c>
      <c r="O1256" s="45">
        <f t="shared" ca="1" si="1693"/>
        <v>0</v>
      </c>
      <c r="P1256" s="46" t="str">
        <f t="shared" ca="1" si="1693"/>
        <v/>
      </c>
      <c r="Q1256" s="243" t="str">
        <f t="shared" ca="1" si="1693"/>
        <v/>
      </c>
      <c r="R1256" s="45">
        <f t="shared" ca="1" si="1666"/>
        <v>0.83135089430792863</v>
      </c>
      <c r="S1256" s="45">
        <f t="shared" ca="1" si="1690"/>
        <v>5.0695617570641283E-2</v>
      </c>
      <c r="T1256" s="77">
        <f t="shared" ca="1" si="1651"/>
        <v>0</v>
      </c>
      <c r="U1256" s="45">
        <f t="shared" ca="1" si="1667"/>
        <v>19.341487358253246</v>
      </c>
      <c r="V1256" s="45">
        <f t="shared" ca="1" si="1652"/>
        <v>0.20278247028256513</v>
      </c>
      <c r="W1256" s="77">
        <f t="shared" ca="1" si="1653"/>
        <v>0</v>
      </c>
      <c r="X1256" s="45">
        <f t="shared" ca="1" si="1668"/>
        <v>1.0062245218585784</v>
      </c>
      <c r="Y1256" s="45">
        <f t="shared" ca="1" si="1654"/>
        <v>0</v>
      </c>
      <c r="Z1256" s="77">
        <f t="shared" ca="1" si="1655"/>
        <v>0</v>
      </c>
      <c r="AA1256" s="45">
        <f t="shared" ca="1" si="1669"/>
        <v>39.212416915952254</v>
      </c>
      <c r="AB1256" s="45">
        <f t="shared" ca="1" si="1656"/>
        <v>0</v>
      </c>
      <c r="AC1256" s="45" cm="1">
        <f t="array" aca="1" ref="AC1256" ca="1">pHUM*(T1256+W1256+Z1256+AD1256)</f>
        <v>0</v>
      </c>
      <c r="AD1256" s="77">
        <f t="shared" ca="1" si="1657"/>
        <v>0</v>
      </c>
      <c r="AE1256" s="45">
        <f t="shared" ca="1" si="1670"/>
        <v>6.3847072090583081</v>
      </c>
      <c r="AF1256" s="45">
        <f t="shared" ca="1" si="1658"/>
        <v>0</v>
      </c>
      <c r="AG1256" s="76">
        <f t="shared" ca="1" si="1659"/>
        <v>66.776186899430314</v>
      </c>
      <c r="AH1256" s="45">
        <f t="shared" ca="1" si="1660"/>
        <v>0</v>
      </c>
      <c r="AI1256" s="77">
        <f t="shared" ca="1" si="1661"/>
        <v>2.1476969589500898E-2</v>
      </c>
      <c r="AJ1256" s="384">
        <f t="shared" ca="1" si="1663"/>
        <v>1.9334280955233263E-2</v>
      </c>
      <c r="AU1256" s="1"/>
    </row>
    <row r="1257" spans="3:47" x14ac:dyDescent="0.25">
      <c r="C1257" s="10">
        <f t="shared" si="1688"/>
        <v>97</v>
      </c>
      <c r="D1257" s="91">
        <f t="shared" si="1671"/>
        <v>3</v>
      </c>
      <c r="E1257" s="278"/>
      <c r="F1257" s="76">
        <f t="shared" ref="F1257:Q1257" ca="1" si="1694">F1185</f>
        <v>-0.57999999999999996</v>
      </c>
      <c r="G1257" s="46">
        <f t="shared" ca="1" si="1694"/>
        <v>55.530150000000006</v>
      </c>
      <c r="H1257" s="46">
        <f t="shared" ca="1" si="1647"/>
        <v>0</v>
      </c>
      <c r="I1257" s="45">
        <f t="shared" ca="1" si="1648"/>
        <v>8.1834107856600266E-2</v>
      </c>
      <c r="J1257" s="45">
        <f t="shared" ca="1" si="1649"/>
        <v>0.29595601705647312</v>
      </c>
      <c r="K1257" s="45">
        <f t="shared" ca="1" si="1665"/>
        <v>0.95656105889548582</v>
      </c>
      <c r="L1257" s="358">
        <f t="shared" ca="1" si="1650"/>
        <v>0.34200470507454295</v>
      </c>
      <c r="M1257" s="76">
        <f t="shared" ca="1" si="1694"/>
        <v>0.25347808785320641</v>
      </c>
      <c r="N1257" s="45">
        <f t="shared" ca="1" si="1694"/>
        <v>0.25</v>
      </c>
      <c r="O1257" s="45">
        <f t="shared" ca="1" si="1694"/>
        <v>0</v>
      </c>
      <c r="P1257" s="46" t="str">
        <f t="shared" ca="1" si="1694"/>
        <v/>
      </c>
      <c r="Q1257" s="243" t="str">
        <f t="shared" ca="1" si="1694"/>
        <v/>
      </c>
      <c r="R1257" s="45">
        <f t="shared" ca="1" si="1666"/>
        <v>0.88204651187856986</v>
      </c>
      <c r="S1257" s="45">
        <f t="shared" ca="1" si="1690"/>
        <v>5.0695617570641283E-2</v>
      </c>
      <c r="T1257" s="77">
        <f t="shared" ca="1" si="1651"/>
        <v>5.8146070292331417E-2</v>
      </c>
      <c r="U1257" s="45">
        <f t="shared" ca="1" si="1667"/>
        <v>19.544269828535811</v>
      </c>
      <c r="V1257" s="45">
        <f t="shared" ca="1" si="1652"/>
        <v>0.20278247028256513</v>
      </c>
      <c r="W1257" s="77">
        <f t="shared" ca="1" si="1653"/>
        <v>3.9943823606440394E-2</v>
      </c>
      <c r="X1257" s="45">
        <f t="shared" ca="1" si="1668"/>
        <v>1.0062245218585784</v>
      </c>
      <c r="Y1257" s="45">
        <f t="shared" ca="1" si="1654"/>
        <v>8.9028924754477653E-3</v>
      </c>
      <c r="Z1257" s="77">
        <f t="shared" ca="1" si="1655"/>
        <v>4.518715016606157E-3</v>
      </c>
      <c r="AA1257" s="45">
        <f t="shared" ca="1" si="1669"/>
        <v>39.212416915952254</v>
      </c>
      <c r="AB1257" s="45">
        <f t="shared" ca="1" si="1656"/>
        <v>0</v>
      </c>
      <c r="AC1257" s="45" cm="1">
        <f t="array" aca="1" ref="AC1257" ca="1">pHUM*(T1257+W1257+Z1257+AD1257)</f>
        <v>1.0473991147585605E-2</v>
      </c>
      <c r="AD1257" s="77">
        <f t="shared" ca="1" si="1657"/>
        <v>5.3478238884110971E-3</v>
      </c>
      <c r="AE1257" s="45">
        <f t="shared" ca="1" si="1670"/>
        <v>6.3847072090583081</v>
      </c>
      <c r="AF1257" s="45">
        <f t="shared" ca="1" si="1658"/>
        <v>0</v>
      </c>
      <c r="AG1257" s="76">
        <f t="shared" ca="1" si="1659"/>
        <v>67.029664987283525</v>
      </c>
      <c r="AH1257" s="45">
        <f t="shared" ca="1" si="1660"/>
        <v>8.8579549180755709E-2</v>
      </c>
      <c r="AI1257" s="77">
        <f t="shared" ca="1" si="1661"/>
        <v>2.2167413941054301E-2</v>
      </c>
      <c r="AJ1257" s="384">
        <f t="shared" ca="1" si="1663"/>
        <v>2.5597610111779412E-2</v>
      </c>
      <c r="AU1257" s="1"/>
    </row>
    <row r="1258" spans="3:47" x14ac:dyDescent="0.25">
      <c r="C1258" s="10">
        <f t="shared" si="1688"/>
        <v>97</v>
      </c>
      <c r="D1258" s="91">
        <f t="shared" si="1671"/>
        <v>4</v>
      </c>
      <c r="E1258" s="278"/>
      <c r="F1258" s="76">
        <f t="shared" ref="F1258:Q1258" ca="1" si="1695">F1186</f>
        <v>7.18</v>
      </c>
      <c r="G1258" s="46">
        <f t="shared" ca="1" si="1695"/>
        <v>29.828585295978598</v>
      </c>
      <c r="H1258" s="46">
        <f t="shared" ca="1" si="1647"/>
        <v>25.701564704021408</v>
      </c>
      <c r="I1258" s="45">
        <f t="shared" ca="1" si="1648"/>
        <v>0.34975431431902781</v>
      </c>
      <c r="J1258" s="45">
        <f t="shared" ca="1" si="1649"/>
        <v>0.29147915612483932</v>
      </c>
      <c r="K1258" s="45">
        <f t="shared" ca="1" si="1665"/>
        <v>0.94209137223094908</v>
      </c>
      <c r="L1258" s="358">
        <f t="shared" ca="1" si="1650"/>
        <v>0.62308014794471589</v>
      </c>
      <c r="M1258" s="76">
        <f t="shared" ca="1" si="1695"/>
        <v>0.25347808785320641</v>
      </c>
      <c r="N1258" s="45">
        <f t="shared" ca="1" si="1695"/>
        <v>0.25</v>
      </c>
      <c r="O1258" s="45">
        <f t="shared" ca="1" si="1695"/>
        <v>0</v>
      </c>
      <c r="P1258" s="46" t="str">
        <f t="shared" ca="1" si="1695"/>
        <v/>
      </c>
      <c r="Q1258" s="243" t="str">
        <f t="shared" ca="1" si="1695"/>
        <v/>
      </c>
      <c r="R1258" s="45">
        <f t="shared" ca="1" si="1666"/>
        <v>0.87459605915687966</v>
      </c>
      <c r="S1258" s="45">
        <f t="shared" ca="1" si="1690"/>
        <v>5.0695617570641283E-2</v>
      </c>
      <c r="T1258" s="77">
        <f t="shared" ca="1" si="1651"/>
        <v>0.22112372029543051</v>
      </c>
      <c r="U1258" s="45">
        <f t="shared" ca="1" si="1667"/>
        <v>19.707108475211935</v>
      </c>
      <c r="V1258" s="45">
        <f t="shared" ca="1" si="1652"/>
        <v>0.20278247028256513</v>
      </c>
      <c r="W1258" s="77">
        <f t="shared" ca="1" si="1653"/>
        <v>0.17156499226330074</v>
      </c>
      <c r="X1258" s="45">
        <f t="shared" ca="1" si="1668"/>
        <v>1.0106086993174199</v>
      </c>
      <c r="Y1258" s="45">
        <f t="shared" ca="1" si="1654"/>
        <v>3.58566575452611E-2</v>
      </c>
      <c r="Z1258" s="77">
        <f t="shared" ca="1" si="1655"/>
        <v>1.9254770569263252E-2</v>
      </c>
      <c r="AA1258" s="45">
        <f t="shared" ca="1" si="1669"/>
        <v>39.217543083211424</v>
      </c>
      <c r="AB1258" s="45">
        <f t="shared" ca="1" si="1656"/>
        <v>0</v>
      </c>
      <c r="AC1258" s="45" cm="1">
        <f t="array" aca="1" ref="AC1258" ca="1">pHUM*(T1258+W1258+Z1258+AD1258)</f>
        <v>4.2184302994424827E-2</v>
      </c>
      <c r="AD1258" s="77">
        <f t="shared" ca="1" si="1657"/>
        <v>2.2854179713459571E-2</v>
      </c>
      <c r="AE1258" s="45">
        <f t="shared" ca="1" si="1670"/>
        <v>6.3847072090583081</v>
      </c>
      <c r="AF1258" s="45">
        <f t="shared" ca="1" si="1658"/>
        <v>0</v>
      </c>
      <c r="AG1258" s="76">
        <f t="shared" ca="1" si="1659"/>
        <v>67.194563525955971</v>
      </c>
      <c r="AH1258" s="45">
        <f t="shared" ca="1" si="1660"/>
        <v>0.35675670230176826</v>
      </c>
      <c r="AI1258" s="77">
        <f t="shared" ca="1" si="1661"/>
        <v>2.2076253633121504E-2</v>
      </c>
      <c r="AJ1258" s="384">
        <f t="shared" ca="1" si="1663"/>
        <v>4.5739738130261554E-2</v>
      </c>
      <c r="AU1258" s="1"/>
    </row>
    <row r="1259" spans="3:47" x14ac:dyDescent="0.25">
      <c r="C1259" s="10">
        <f t="shared" si="1688"/>
        <v>97</v>
      </c>
      <c r="D1259" s="91">
        <f t="shared" si="1671"/>
        <v>5</v>
      </c>
      <c r="E1259" s="278"/>
      <c r="F1259" s="76">
        <f t="shared" ref="F1259:Q1259" ca="1" si="1696">F1187</f>
        <v>14.05</v>
      </c>
      <c r="G1259" s="46">
        <f t="shared" ca="1" si="1696"/>
        <v>27.012600000000003</v>
      </c>
      <c r="H1259" s="46">
        <f t="shared" ca="1" si="1647"/>
        <v>28.517550000000004</v>
      </c>
      <c r="I1259" s="45">
        <f t="shared" ca="1" si="1648"/>
        <v>0.75173784437395219</v>
      </c>
      <c r="J1259" s="45">
        <f t="shared" ca="1" si="1649"/>
        <v>0.27952512346894071</v>
      </c>
      <c r="K1259" s="45">
        <f t="shared" ca="1" si="1665"/>
        <v>0.90345467800480783</v>
      </c>
      <c r="L1259" s="358">
        <f t="shared" ca="1" si="1650"/>
        <v>0.82085140481213359</v>
      </c>
      <c r="M1259" s="76">
        <f t="shared" ca="1" si="1696"/>
        <v>0.25347808785320641</v>
      </c>
      <c r="N1259" s="45">
        <f t="shared" ca="1" si="1696"/>
        <v>0.25</v>
      </c>
      <c r="O1259" s="45">
        <f t="shared" ca="1" si="1696"/>
        <v>0</v>
      </c>
      <c r="P1259" s="46" t="str">
        <f t="shared" ca="1" si="1696"/>
        <v/>
      </c>
      <c r="Q1259" s="243" t="str">
        <f t="shared" ca="1" si="1696"/>
        <v/>
      </c>
      <c r="R1259" s="45">
        <f t="shared" ca="1" si="1666"/>
        <v>0.70416795643209051</v>
      </c>
      <c r="S1259" s="45">
        <f t="shared" ca="1" si="1690"/>
        <v>5.0695617570641283E-2</v>
      </c>
      <c r="T1259" s="77">
        <f t="shared" ca="1" si="1651"/>
        <v>0.32779946324687731</v>
      </c>
      <c r="U1259" s="45">
        <f t="shared" ca="1" si="1667"/>
        <v>19.7383259532312</v>
      </c>
      <c r="V1259" s="45">
        <f t="shared" ca="1" si="1652"/>
        <v>0.20278247028256513</v>
      </c>
      <c r="W1259" s="77">
        <f t="shared" ca="1" si="1653"/>
        <v>0.36748717377933321</v>
      </c>
      <c r="X1259" s="45">
        <f t="shared" ca="1" si="1668"/>
        <v>1.0272105862934178</v>
      </c>
      <c r="Y1259" s="45">
        <f t="shared" ca="1" si="1654"/>
        <v>6.4821087035380379E-2</v>
      </c>
      <c r="Z1259" s="77">
        <f t="shared" ca="1" si="1655"/>
        <v>4.160460897224473E-2</v>
      </c>
      <c r="AA1259" s="45">
        <f t="shared" ca="1" si="1669"/>
        <v>39.236873206492383</v>
      </c>
      <c r="AB1259" s="45">
        <f t="shared" ca="1" si="1656"/>
        <v>0</v>
      </c>
      <c r="AC1259" s="45" cm="1">
        <f t="array" aca="1" ref="AC1259" ca="1">pHUM*(T1259+W1259+Z1259+AD1259)</f>
        <v>7.6260102394565155E-2</v>
      </c>
      <c r="AD1259" s="77">
        <f t="shared" ca="1" si="1657"/>
        <v>4.912895430185818E-2</v>
      </c>
      <c r="AE1259" s="45">
        <f t="shared" ca="1" si="1670"/>
        <v>6.3847072090583081</v>
      </c>
      <c r="AF1259" s="45">
        <f t="shared" ca="1" si="1658"/>
        <v>0</v>
      </c>
      <c r="AG1259" s="76">
        <f t="shared" ca="1" si="1659"/>
        <v>67.091284911507401</v>
      </c>
      <c r="AH1259" s="45">
        <f t="shared" ca="1" si="1660"/>
        <v>0.64493901087036787</v>
      </c>
      <c r="AI1259" s="77">
        <f t="shared" ca="1" si="1661"/>
        <v>1.9802733008716156E-2</v>
      </c>
      <c r="AJ1259" s="384">
        <f t="shared" ca="1" si="1663"/>
        <v>5.1835215602181739E-2</v>
      </c>
      <c r="AU1259" s="1"/>
    </row>
    <row r="1260" spans="3:47" x14ac:dyDescent="0.25">
      <c r="C1260" s="10">
        <f t="shared" si="1688"/>
        <v>97</v>
      </c>
      <c r="D1260" s="91">
        <f t="shared" si="1671"/>
        <v>6</v>
      </c>
      <c r="E1260" s="278"/>
      <c r="F1260" s="76">
        <f t="shared" ref="F1260:Q1260" ca="1" si="1697">F1188</f>
        <v>17.96</v>
      </c>
      <c r="G1260" s="46">
        <f t="shared" ca="1" si="1697"/>
        <v>27.012600000000003</v>
      </c>
      <c r="H1260" s="46">
        <f t="shared" ca="1" si="1647"/>
        <v>28.517550000000004</v>
      </c>
      <c r="I1260" s="45">
        <f t="shared" ca="1" si="1648"/>
        <v>1.0549705763362276</v>
      </c>
      <c r="J1260" s="45">
        <f t="shared" ca="1" si="1649"/>
        <v>0.27952512346894071</v>
      </c>
      <c r="K1260" s="45">
        <f t="shared" ca="1" si="1665"/>
        <v>0.90345467800480783</v>
      </c>
      <c r="L1260" s="358">
        <f t="shared" ca="1" si="1650"/>
        <v>0.89023829243059249</v>
      </c>
      <c r="M1260" s="76">
        <f t="shared" ca="1" si="1697"/>
        <v>0.25347808785320641</v>
      </c>
      <c r="N1260" s="45">
        <f t="shared" ca="1" si="1697"/>
        <v>0.25</v>
      </c>
      <c r="O1260" s="45">
        <f t="shared" ca="1" si="1697"/>
        <v>0</v>
      </c>
      <c r="P1260" s="46" t="str">
        <f t="shared" ca="1" si="1697"/>
        <v/>
      </c>
      <c r="Q1260" s="243" t="str">
        <f t="shared" ca="1" si="1697"/>
        <v/>
      </c>
      <c r="R1260" s="45">
        <f t="shared" ca="1" si="1666"/>
        <v>0.42706411075585454</v>
      </c>
      <c r="S1260" s="45">
        <f t="shared" ca="1" si="1690"/>
        <v>5.0695617570641283E-2</v>
      </c>
      <c r="T1260" s="77">
        <f t="shared" ca="1" si="1651"/>
        <v>0.24977319108169391</v>
      </c>
      <c r="U1260" s="45">
        <f t="shared" ca="1" si="1667"/>
        <v>19.57362124973443</v>
      </c>
      <c r="V1260" s="45">
        <f t="shared" ca="1" si="1652"/>
        <v>0.20278247028256513</v>
      </c>
      <c r="W1260" s="77">
        <f t="shared" ca="1" si="1653"/>
        <v>0.50949159597292915</v>
      </c>
      <c r="X1260" s="45">
        <f t="shared" ca="1" si="1668"/>
        <v>1.0504270643565534</v>
      </c>
      <c r="Y1260" s="45">
        <f t="shared" ca="1" si="1654"/>
        <v>7.3186256633094013E-2</v>
      </c>
      <c r="Z1260" s="77">
        <f t="shared" ca="1" si="1655"/>
        <v>5.9214796787635512E-2</v>
      </c>
      <c r="AA1260" s="45">
        <f t="shared" ca="1" si="1669"/>
        <v>39.26400435458509</v>
      </c>
      <c r="AB1260" s="45">
        <f t="shared" ca="1" si="1656"/>
        <v>0</v>
      </c>
      <c r="AC1260" s="45" cm="1">
        <f t="array" aca="1" ref="AC1260" ca="1">pHUM*(T1260+W1260+Z1260+AD1260)</f>
        <v>8.6101478391875319E-2</v>
      </c>
      <c r="AD1260" s="77">
        <f t="shared" ca="1" si="1657"/>
        <v>6.8976624144135606E-2</v>
      </c>
      <c r="AE1260" s="45">
        <f t="shared" ca="1" si="1670"/>
        <v>6.3847072090583081</v>
      </c>
      <c r="AF1260" s="45">
        <f t="shared" ca="1" si="1658"/>
        <v>0</v>
      </c>
      <c r="AG1260" s="76">
        <f t="shared" ca="1" si="1659"/>
        <v>66.699823988490238</v>
      </c>
      <c r="AH1260" s="45">
        <f t="shared" ca="1" si="1660"/>
        <v>0.72816847296142495</v>
      </c>
      <c r="AI1260" s="77">
        <f t="shared" ca="1" si="1661"/>
        <v>1.605635266438004E-2</v>
      </c>
      <c r="AJ1260" s="384">
        <f t="shared" ca="1" si="1663"/>
        <v>4.5581746673555301E-2</v>
      </c>
      <c r="AU1260" s="1"/>
    </row>
    <row r="1261" spans="3:47" x14ac:dyDescent="0.25">
      <c r="C1261" s="10">
        <f t="shared" si="1688"/>
        <v>97</v>
      </c>
      <c r="D1261" s="91">
        <f t="shared" si="1671"/>
        <v>7</v>
      </c>
      <c r="E1261" s="278"/>
      <c r="F1261" s="76">
        <f t="shared" ref="F1261:Q1261" ca="1" si="1698">F1189</f>
        <v>21.89</v>
      </c>
      <c r="G1261" s="46">
        <f t="shared" ca="1" si="1698"/>
        <v>27.012600000000003</v>
      </c>
      <c r="H1261" s="46">
        <f t="shared" ca="1" si="1647"/>
        <v>28.517550000000004</v>
      </c>
      <c r="I1261" s="45">
        <f t="shared" ca="1" si="1648"/>
        <v>1.3816368002949853</v>
      </c>
      <c r="J1261" s="45">
        <f t="shared" ca="1" si="1649"/>
        <v>0.27952512346894071</v>
      </c>
      <c r="K1261" s="45">
        <f t="shared" ca="1" si="1665"/>
        <v>0.90345467800480783</v>
      </c>
      <c r="L1261" s="358">
        <f t="shared" ca="1" si="1650"/>
        <v>0.9336160920992449</v>
      </c>
      <c r="M1261" s="76">
        <f t="shared" ca="1" si="1698"/>
        <v>0.25347808785320641</v>
      </c>
      <c r="N1261" s="45">
        <f t="shared" ca="1" si="1698"/>
        <v>0.25</v>
      </c>
      <c r="O1261" s="45">
        <f t="shared" ca="1" si="1698"/>
        <v>0</v>
      </c>
      <c r="P1261" s="46" t="str">
        <f t="shared" ca="1" si="1698"/>
        <v/>
      </c>
      <c r="Q1261" s="243" t="str">
        <f t="shared" ca="1" si="1698"/>
        <v/>
      </c>
      <c r="R1261" s="45">
        <f t="shared" ca="1" si="1666"/>
        <v>0.22798653724480192</v>
      </c>
      <c r="S1261" s="45">
        <f t="shared" ca="1" si="1690"/>
        <v>5.0695617570641283E-2</v>
      </c>
      <c r="T1261" s="77">
        <f t="shared" ca="1" si="1651"/>
        <v>0.15589601521205412</v>
      </c>
      <c r="U1261" s="45">
        <f t="shared" ca="1" si="1667"/>
        <v>19.266912124044065</v>
      </c>
      <c r="V1261" s="45">
        <f t="shared" ca="1" si="1652"/>
        <v>0.20278247028256513</v>
      </c>
      <c r="W1261" s="77">
        <f t="shared" ca="1" si="1653"/>
        <v>0.65413462981639192</v>
      </c>
      <c r="X1261" s="45">
        <f t="shared" ca="1" si="1668"/>
        <v>1.064398524202012</v>
      </c>
      <c r="Y1261" s="45">
        <f t="shared" ca="1" si="1654"/>
        <v>8.0675209544316007E-2</v>
      </c>
      <c r="Z1261" s="77">
        <f t="shared" ca="1" si="1655"/>
        <v>7.7886880358633601E-2</v>
      </c>
      <c r="AA1261" s="45">
        <f t="shared" ca="1" si="1669"/>
        <v>39.28112920883283</v>
      </c>
      <c r="AB1261" s="45">
        <f t="shared" ca="1" si="1656"/>
        <v>0</v>
      </c>
      <c r="AC1261" s="45" cm="1">
        <f t="array" aca="1" ref="AC1261" ca="1">pHUM*(T1261+W1261+Z1261+AD1261)</f>
        <v>9.4912011228607082E-2</v>
      </c>
      <c r="AD1261" s="77">
        <f t="shared" ca="1" si="1657"/>
        <v>9.034969081498069E-2</v>
      </c>
      <c r="AE1261" s="45">
        <f t="shared" ca="1" si="1670"/>
        <v>6.3847072090583081</v>
      </c>
      <c r="AF1261" s="45">
        <f t="shared" ca="1" si="1658"/>
        <v>0</v>
      </c>
      <c r="AG1261" s="76">
        <f t="shared" ca="1" si="1659"/>
        <v>66.225133603382019</v>
      </c>
      <c r="AH1261" s="45">
        <f t="shared" ca="1" si="1660"/>
        <v>0.80267999542913726</v>
      </c>
      <c r="AI1261" s="77">
        <f t="shared" ca="1" si="1661"/>
        <v>1.3296563871516974E-2</v>
      </c>
      <c r="AJ1261" s="384">
        <f t="shared" ca="1" si="1663"/>
        <v>3.958658178371266E-2</v>
      </c>
      <c r="AU1261" s="1"/>
    </row>
    <row r="1262" spans="3:47" x14ac:dyDescent="0.25">
      <c r="C1262" s="10">
        <f t="shared" si="1688"/>
        <v>97</v>
      </c>
      <c r="D1262" s="91">
        <f t="shared" si="1671"/>
        <v>8</v>
      </c>
      <c r="E1262" s="278"/>
      <c r="F1262" s="76">
        <f t="shared" ref="F1262:Q1262" ca="1" si="1699">F1190</f>
        <v>20.350000000000001</v>
      </c>
      <c r="G1262" s="46">
        <f t="shared" ca="1" si="1699"/>
        <v>27.012600000000003</v>
      </c>
      <c r="H1262" s="46">
        <f t="shared" ca="1" si="1647"/>
        <v>28.517550000000004</v>
      </c>
      <c r="I1262" s="45">
        <f t="shared" ca="1" si="1648"/>
        <v>1.2518642054104028</v>
      </c>
      <c r="J1262" s="45">
        <f t="shared" ca="1" si="1649"/>
        <v>0.27952512346894071</v>
      </c>
      <c r="K1262" s="45">
        <f t="shared" ca="1" si="1665"/>
        <v>0.90345467800480783</v>
      </c>
      <c r="L1262" s="358">
        <f t="shared" ca="1" si="1650"/>
        <v>0.91927514332007565</v>
      </c>
      <c r="M1262" s="76">
        <f t="shared" ca="1" si="1699"/>
        <v>0.25347808785320641</v>
      </c>
      <c r="N1262" s="45">
        <f t="shared" ca="1" si="1699"/>
        <v>0.25</v>
      </c>
      <c r="O1262" s="45">
        <f t="shared" ca="1" si="1699"/>
        <v>0</v>
      </c>
      <c r="P1262" s="46" t="str">
        <f t="shared" ca="1" si="1699"/>
        <v/>
      </c>
      <c r="Q1262" s="243" t="str">
        <f t="shared" ca="1" si="1699"/>
        <v/>
      </c>
      <c r="R1262" s="45">
        <f t="shared" ca="1" si="1666"/>
        <v>0.12278613960338911</v>
      </c>
      <c r="S1262" s="45">
        <f t="shared" ca="1" si="1690"/>
        <v>5.0695617570641283E-2</v>
      </c>
      <c r="T1262" s="77">
        <f t="shared" ca="1" si="1651"/>
        <v>7.9526332198068456E-2</v>
      </c>
      <c r="U1262" s="45">
        <f t="shared" ca="1" si="1667"/>
        <v>18.815559964510236</v>
      </c>
      <c r="V1262" s="45">
        <f t="shared" ca="1" si="1652"/>
        <v>0.20278247028256513</v>
      </c>
      <c r="W1262" s="77">
        <f t="shared" ca="1" si="1653"/>
        <v>0.57974382410693082</v>
      </c>
      <c r="X1262" s="45">
        <f t="shared" ca="1" si="1668"/>
        <v>1.0671868533876943</v>
      </c>
      <c r="Y1262" s="45">
        <f t="shared" ca="1" si="1654"/>
        <v>6.697660106103169E-2</v>
      </c>
      <c r="Z1262" s="77">
        <f t="shared" ca="1" si="1655"/>
        <v>7.1005995825255672E-2</v>
      </c>
      <c r="AA1262" s="45">
        <f t="shared" ca="1" si="1669"/>
        <v>39.285691529246456</v>
      </c>
      <c r="AB1262" s="45">
        <f t="shared" ca="1" si="1656"/>
        <v>0</v>
      </c>
      <c r="AC1262" s="45" cm="1">
        <f t="array" aca="1" ref="AC1262" ca="1">pHUM*(T1262+W1262+Z1262+AD1262)</f>
        <v>7.8796001248272587E-2</v>
      </c>
      <c r="AD1262" s="77">
        <f t="shared" ca="1" si="1657"/>
        <v>8.1881801232851228E-2</v>
      </c>
      <c r="AE1262" s="45">
        <f t="shared" ca="1" si="1670"/>
        <v>6.3847072090583081</v>
      </c>
      <c r="AF1262" s="45">
        <f t="shared" ca="1" si="1658"/>
        <v>0</v>
      </c>
      <c r="AG1262" s="76">
        <f t="shared" ca="1" si="1659"/>
        <v>65.675931695806085</v>
      </c>
      <c r="AH1262" s="45">
        <f t="shared" ca="1" si="1660"/>
        <v>0.66638535105380203</v>
      </c>
      <c r="AI1262" s="77">
        <f t="shared" ca="1" si="1661"/>
        <v>1.1753547302036373E-2</v>
      </c>
      <c r="AJ1262" s="384">
        <f t="shared" ca="1" si="1663"/>
        <v>3.4455362963177194E-2</v>
      </c>
      <c r="AU1262" s="1"/>
    </row>
    <row r="1263" spans="3:47" x14ac:dyDescent="0.25">
      <c r="C1263" s="10">
        <f t="shared" si="1688"/>
        <v>97</v>
      </c>
      <c r="D1263" s="91">
        <f t="shared" si="1671"/>
        <v>9</v>
      </c>
      <c r="E1263" s="278"/>
      <c r="F1263" s="76">
        <f t="shared" ref="F1263:Q1263" ca="1" si="1700">F1191</f>
        <v>17.38</v>
      </c>
      <c r="G1263" s="46">
        <f t="shared" ca="1" si="1700"/>
        <v>27.012600000000003</v>
      </c>
      <c r="H1263" s="46">
        <f t="shared" ca="1" si="1647"/>
        <v>28.517550000000004</v>
      </c>
      <c r="I1263" s="45">
        <f t="shared" ca="1" si="1648"/>
        <v>1.0082864185928893</v>
      </c>
      <c r="J1263" s="45">
        <f t="shared" ca="1" si="1649"/>
        <v>0.27952512346894071</v>
      </c>
      <c r="K1263" s="45">
        <f t="shared" ca="1" si="1665"/>
        <v>0.90345467800480783</v>
      </c>
      <c r="L1263" s="358">
        <f t="shared" ca="1" si="1650"/>
        <v>0.88177917719725518</v>
      </c>
      <c r="M1263" s="76">
        <f t="shared" ca="1" si="1700"/>
        <v>0.25347808785320641</v>
      </c>
      <c r="N1263" s="45">
        <f t="shared" ca="1" si="1700"/>
        <v>0.25</v>
      </c>
      <c r="O1263" s="45">
        <f t="shared" ca="1" si="1700"/>
        <v>0</v>
      </c>
      <c r="P1263" s="46" t="str">
        <f t="shared" ca="1" si="1700"/>
        <v/>
      </c>
      <c r="Q1263" s="243" t="str">
        <f t="shared" ca="1" si="1700"/>
        <v/>
      </c>
      <c r="R1263" s="45">
        <f t="shared" ca="1" si="1666"/>
        <v>9.3955424975961932E-2</v>
      </c>
      <c r="S1263" s="45">
        <f t="shared" ca="1" si="1690"/>
        <v>5.0695617570641283E-2</v>
      </c>
      <c r="T1263" s="77">
        <f t="shared" ca="1" si="1651"/>
        <v>5.340355944267039E-2</v>
      </c>
      <c r="U1263" s="45">
        <f t="shared" ca="1" si="1667"/>
        <v>18.438598610685869</v>
      </c>
      <c r="V1263" s="45">
        <f t="shared" ca="1" si="1652"/>
        <v>0.20278247028256513</v>
      </c>
      <c r="W1263" s="77">
        <f t="shared" ca="1" si="1653"/>
        <v>0.45897567464537525</v>
      </c>
      <c r="X1263" s="45">
        <f t="shared" ca="1" si="1668"/>
        <v>1.0631574586234704</v>
      </c>
      <c r="Y1263" s="45">
        <f t="shared" ca="1" si="1654"/>
        <v>5.2423782629672157E-2</v>
      </c>
      <c r="Z1263" s="77">
        <f t="shared" ca="1" si="1655"/>
        <v>5.7353216897786011E-2</v>
      </c>
      <c r="AA1263" s="45">
        <f t="shared" ca="1" si="1669"/>
        <v>39.282605729261874</v>
      </c>
      <c r="AB1263" s="45">
        <f t="shared" ca="1" si="1656"/>
        <v>0</v>
      </c>
      <c r="AC1263" s="45" cm="1">
        <f t="array" aca="1" ref="AC1263" ca="1">pHUM*(T1263+W1263+Z1263+AD1263)</f>
        <v>6.1675038387849601E-2</v>
      </c>
      <c r="AD1263" s="77">
        <f t="shared" ca="1" si="1657"/>
        <v>6.595809367572307E-2</v>
      </c>
      <c r="AE1263" s="45">
        <f t="shared" ca="1" si="1670"/>
        <v>6.3847072090583081</v>
      </c>
      <c r="AF1263" s="45">
        <f t="shared" ca="1" si="1658"/>
        <v>0</v>
      </c>
      <c r="AG1263" s="76">
        <f t="shared" ca="1" si="1659"/>
        <v>65.263024432605491</v>
      </c>
      <c r="AH1263" s="45">
        <f t="shared" ca="1" si="1660"/>
        <v>0.52159172364403306</v>
      </c>
      <c r="AI1263" s="77">
        <f t="shared" ca="1" si="1661"/>
        <v>1.1264007767106158E-2</v>
      </c>
      <c r="AJ1263" s="384">
        <f t="shared" ca="1" si="1663"/>
        <v>3.1673515751942105E-2</v>
      </c>
      <c r="AU1263" s="1"/>
    </row>
    <row r="1264" spans="3:47" x14ac:dyDescent="0.25">
      <c r="C1264" s="10">
        <f t="shared" si="1688"/>
        <v>97</v>
      </c>
      <c r="D1264" s="91">
        <f t="shared" si="1671"/>
        <v>10</v>
      </c>
      <c r="E1264" s="278"/>
      <c r="F1264" s="76">
        <f t="shared" ref="F1264:Q1264" ca="1" si="1701">F1192</f>
        <v>9.61</v>
      </c>
      <c r="G1264" s="46">
        <f t="shared" ca="1" si="1701"/>
        <v>27.012600000000003</v>
      </c>
      <c r="H1264" s="46">
        <f t="shared" ca="1" si="1647"/>
        <v>28.517550000000004</v>
      </c>
      <c r="I1264" s="45">
        <f t="shared" ca="1" si="1648"/>
        <v>0.45243046736638293</v>
      </c>
      <c r="J1264" s="45">
        <f t="shared" ca="1" si="1649"/>
        <v>0.27952512346894071</v>
      </c>
      <c r="K1264" s="45">
        <f t="shared" ca="1" si="1665"/>
        <v>0.90345467800480783</v>
      </c>
      <c r="L1264" s="358">
        <f t="shared" ca="1" si="1650"/>
        <v>0.70354868513849667</v>
      </c>
      <c r="M1264" s="76">
        <f t="shared" ca="1" si="1701"/>
        <v>0.25347808785320641</v>
      </c>
      <c r="N1264" s="45">
        <f t="shared" ca="1" si="1701"/>
        <v>0.25</v>
      </c>
      <c r="O1264" s="45">
        <f t="shared" ca="1" si="1701"/>
        <v>0</v>
      </c>
      <c r="P1264" s="46" t="str">
        <f t="shared" ca="1" si="1701"/>
        <v/>
      </c>
      <c r="Q1264" s="243" t="str">
        <f t="shared" ca="1" si="1701"/>
        <v/>
      </c>
      <c r="R1264" s="45">
        <f t="shared" ca="1" si="1666"/>
        <v>9.1247483103932825E-2</v>
      </c>
      <c r="S1264" s="45">
        <f t="shared" ca="1" si="1690"/>
        <v>5.0695617570641283E-2</v>
      </c>
      <c r="T1264" s="77">
        <f t="shared" ca="1" si="1651"/>
        <v>2.8660956799418685E-2</v>
      </c>
      <c r="U1264" s="45">
        <f t="shared" ca="1" si="1667"/>
        <v>18.182405406323056</v>
      </c>
      <c r="V1264" s="45">
        <f t="shared" ca="1" si="1652"/>
        <v>0.20278247028256513</v>
      </c>
      <c r="W1264" s="77">
        <f t="shared" ca="1" si="1653"/>
        <v>0.20449815925073717</v>
      </c>
      <c r="X1264" s="45">
        <f t="shared" ca="1" si="1668"/>
        <v>1.0582280243553566</v>
      </c>
      <c r="Y1264" s="45">
        <f t="shared" ca="1" si="1654"/>
        <v>2.3814414505571549E-2</v>
      </c>
      <c r="Z1264" s="77">
        <f t="shared" ca="1" si="1655"/>
        <v>2.6007677694855715E-2</v>
      </c>
      <c r="AA1264" s="45">
        <f t="shared" ca="1" si="1669"/>
        <v>39.278322673973996</v>
      </c>
      <c r="AB1264" s="45">
        <f t="shared" ca="1" si="1656"/>
        <v>0</v>
      </c>
      <c r="AC1264" s="45" cm="1">
        <f t="array" aca="1" ref="AC1264" ca="1">pHUM*(T1264+W1264+Z1264+AD1264)</f>
        <v>2.8016958241848879E-2</v>
      </c>
      <c r="AD1264" s="77">
        <f t="shared" ca="1" si="1657"/>
        <v>2.9606685932784021E-2</v>
      </c>
      <c r="AE1264" s="45">
        <f t="shared" ca="1" si="1670"/>
        <v>6.3847072090583081</v>
      </c>
      <c r="AF1264" s="45">
        <f t="shared" ca="1" si="1658"/>
        <v>0</v>
      </c>
      <c r="AG1264" s="76">
        <f t="shared" ca="1" si="1659"/>
        <v>64.994910796814651</v>
      </c>
      <c r="AH1264" s="45">
        <f t="shared" ca="1" si="1660"/>
        <v>0.23694210693037518</v>
      </c>
      <c r="AI1264" s="77">
        <f t="shared" ca="1" si="1661"/>
        <v>1.1163007067439437E-2</v>
      </c>
      <c r="AJ1264" s="384">
        <f t="shared" ca="1" si="1663"/>
        <v>2.5045030430962401E-2</v>
      </c>
      <c r="AU1264" s="1"/>
    </row>
    <row r="1265" spans="3:47" x14ac:dyDescent="0.25">
      <c r="C1265" s="10">
        <f t="shared" si="1688"/>
        <v>97</v>
      </c>
      <c r="D1265" s="91">
        <f t="shared" si="1671"/>
        <v>11</v>
      </c>
      <c r="E1265" s="278"/>
      <c r="F1265" s="76">
        <f t="shared" ref="F1265:Q1265" ca="1" si="1702">F1193</f>
        <v>5.71</v>
      </c>
      <c r="G1265" s="46">
        <f t="shared" ca="1" si="1702"/>
        <v>27.012600000000003</v>
      </c>
      <c r="H1265" s="46">
        <f t="shared" ca="1" si="1647"/>
        <v>28.517550000000004</v>
      </c>
      <c r="I1265" s="45">
        <f t="shared" ca="1" si="1648"/>
        <v>0.24617612464957264</v>
      </c>
      <c r="J1265" s="45">
        <f t="shared" ca="1" si="1649"/>
        <v>0.27952512346894071</v>
      </c>
      <c r="K1265" s="45">
        <f t="shared" ca="1" si="1665"/>
        <v>0.90345467800480783</v>
      </c>
      <c r="L1265" s="358">
        <f t="shared" ca="1" si="1650"/>
        <v>0.57043958344737544</v>
      </c>
      <c r="M1265" s="76">
        <f t="shared" ca="1" si="1702"/>
        <v>0.25347808785320641</v>
      </c>
      <c r="N1265" s="45">
        <f t="shared" ca="1" si="1702"/>
        <v>0.25</v>
      </c>
      <c r="O1265" s="45">
        <f t="shared" ca="1" si="1702"/>
        <v>0</v>
      </c>
      <c r="P1265" s="46" t="str">
        <f t="shared" ca="1" si="1702"/>
        <v/>
      </c>
      <c r="Q1265" s="243" t="str">
        <f t="shared" ca="1" si="1702"/>
        <v/>
      </c>
      <c r="R1265" s="45">
        <f t="shared" ca="1" si="1666"/>
        <v>0.11328214387515542</v>
      </c>
      <c r="S1265" s="45">
        <f t="shared" ca="1" si="1690"/>
        <v>5.0695617570641283E-2</v>
      </c>
      <c r="T1265" s="77">
        <f t="shared" ca="1" si="1651"/>
        <v>2.1010693094592452E-2</v>
      </c>
      <c r="U1265" s="45">
        <f t="shared" ca="1" si="1667"/>
        <v>18.180689717354884</v>
      </c>
      <c r="V1265" s="45">
        <f t="shared" ca="1" si="1652"/>
        <v>0.20278247028256513</v>
      </c>
      <c r="W1265" s="77">
        <f t="shared" ca="1" si="1653"/>
        <v>0.1115476866489488</v>
      </c>
      <c r="X1265" s="45">
        <f t="shared" ca="1" si="1668"/>
        <v>1.0560347611660725</v>
      </c>
      <c r="Y1265" s="45">
        <f t="shared" ca="1" si="1654"/>
        <v>1.343164638517198E-2</v>
      </c>
      <c r="Z1265" s="77">
        <f t="shared" ca="1" si="1655"/>
        <v>1.4202017577075702E-2</v>
      </c>
      <c r="AA1265" s="45">
        <f t="shared" ca="1" si="1669"/>
        <v>39.276732946283062</v>
      </c>
      <c r="AB1265" s="45">
        <f t="shared" ca="1" si="1656"/>
        <v>0</v>
      </c>
      <c r="AC1265" s="45" cm="1">
        <f t="array" aca="1" ref="AC1265" ca="1">pHUM*(T1265+W1265+Z1265+AD1265)</f>
        <v>1.5801936923731739E-2</v>
      </c>
      <c r="AD1265" s="77">
        <f t="shared" ca="1" si="1657"/>
        <v>1.6111684356652403E-2</v>
      </c>
      <c r="AE1265" s="45">
        <f t="shared" ca="1" si="1670"/>
        <v>6.3847072090583081</v>
      </c>
      <c r="AF1265" s="45">
        <f t="shared" ca="1" si="1658"/>
        <v>0</v>
      </c>
      <c r="AG1265" s="76">
        <f t="shared" ca="1" si="1659"/>
        <v>65.011446777737476</v>
      </c>
      <c r="AH1265" s="45">
        <f t="shared" ca="1" si="1660"/>
        <v>0.13363849836836564</v>
      </c>
      <c r="AI1265" s="77">
        <f t="shared" ca="1" si="1661"/>
        <v>1.1470229589520464E-2</v>
      </c>
      <c r="AJ1265" s="384">
        <f t="shared" ca="1" si="1663"/>
        <v>2.0865542736825393E-2</v>
      </c>
      <c r="AU1265" s="1"/>
    </row>
    <row r="1266" spans="3:47" x14ac:dyDescent="0.25">
      <c r="C1266" s="10">
        <f t="shared" si="1688"/>
        <v>97</v>
      </c>
      <c r="D1266" s="91">
        <f t="shared" si="1671"/>
        <v>12</v>
      </c>
      <c r="E1266" s="278"/>
      <c r="F1266" s="76">
        <f t="shared" ref="F1266:Q1266" ca="1" si="1703">F1194</f>
        <v>-0.46</v>
      </c>
      <c r="G1266" s="46">
        <f t="shared" ca="1" si="1703"/>
        <v>27.012600000000003</v>
      </c>
      <c r="H1266" s="46">
        <f t="shared" ca="1" si="1647"/>
        <v>28.517550000000004</v>
      </c>
      <c r="I1266" s="45">
        <f t="shared" ca="1" si="1648"/>
        <v>5.3686278337302371E-2</v>
      </c>
      <c r="J1266" s="45">
        <f t="shared" ca="1" si="1649"/>
        <v>0.27952512346894071</v>
      </c>
      <c r="K1266" s="45">
        <f t="shared" ca="1" si="1665"/>
        <v>0.90345467800480783</v>
      </c>
      <c r="L1266" s="358">
        <f t="shared" ca="1" si="1650"/>
        <v>0.34604490353891793</v>
      </c>
      <c r="M1266" s="76">
        <f t="shared" ca="1" si="1703"/>
        <v>0.25347808785320641</v>
      </c>
      <c r="N1266" s="45">
        <f t="shared" ca="1" si="1703"/>
        <v>0.25</v>
      </c>
      <c r="O1266" s="45">
        <f t="shared" ca="1" si="1703"/>
        <v>0</v>
      </c>
      <c r="P1266" s="46" t="str">
        <f t="shared" ca="1" si="1703"/>
        <v/>
      </c>
      <c r="Q1266" s="243" t="str">
        <f t="shared" ca="1" si="1703"/>
        <v/>
      </c>
      <c r="R1266" s="45">
        <f t="shared" ca="1" si="1666"/>
        <v>0.14296706835120426</v>
      </c>
      <c r="S1266" s="45">
        <f t="shared" ca="1" si="1690"/>
        <v>5.0695617570641283E-2</v>
      </c>
      <c r="T1266" s="77">
        <f t="shared" ca="1" si="1651"/>
        <v>6.255174458432983E-3</v>
      </c>
      <c r="U1266" s="45">
        <f t="shared" ca="1" si="1667"/>
        <v>18.271924500988501</v>
      </c>
      <c r="V1266" s="45">
        <f t="shared" ca="1" si="1652"/>
        <v>0.20278247028256513</v>
      </c>
      <c r="W1266" s="77">
        <f t="shared" ca="1" si="1653"/>
        <v>2.4507340585176934E-2</v>
      </c>
      <c r="X1266" s="45">
        <f t="shared" ca="1" si="1668"/>
        <v>1.0552643899741689</v>
      </c>
      <c r="Y1266" s="45">
        <f t="shared" ca="1" si="1654"/>
        <v>3.083295812460256E-3</v>
      </c>
      <c r="Z1266" s="77">
        <f t="shared" ca="1" si="1655"/>
        <v>3.1113312318640919E-3</v>
      </c>
      <c r="AA1266" s="45">
        <f t="shared" ca="1" si="1669"/>
        <v>39.276423198850139</v>
      </c>
      <c r="AB1266" s="45">
        <f t="shared" ca="1" si="1656"/>
        <v>0</v>
      </c>
      <c r="AC1266" s="45" cm="1">
        <f t="array" aca="1" ref="AC1266" ca="1">pHUM*(T1266+W1266+Z1266+AD1266)</f>
        <v>3.6274068381885365E-3</v>
      </c>
      <c r="AD1266" s="77">
        <f t="shared" ca="1" si="1657"/>
        <v>3.5141844246641281E-3</v>
      </c>
      <c r="AE1266" s="45">
        <f t="shared" ca="1" si="1670"/>
        <v>6.3847072090583081</v>
      </c>
      <c r="AF1266" s="45">
        <f t="shared" ca="1" si="1658"/>
        <v>0</v>
      </c>
      <c r="AG1266" s="76">
        <f t="shared" ca="1" si="1659"/>
        <v>65.131286367222316</v>
      </c>
      <c r="AH1266" s="45">
        <f t="shared" ca="1" si="1660"/>
        <v>3.0677328049489347E-2</v>
      </c>
      <c r="AI1266" s="77">
        <f t="shared" ca="1" si="1661"/>
        <v>1.190601381312109E-2</v>
      </c>
      <c r="AJ1266" s="384">
        <f t="shared" ca="1" si="1663"/>
        <v>1.3138625268944715E-2</v>
      </c>
      <c r="AU1266" s="1"/>
    </row>
    <row r="1267" spans="3:47" x14ac:dyDescent="0.25">
      <c r="C1267" s="10">
        <f t="shared" si="1688"/>
        <v>98</v>
      </c>
      <c r="D1267" s="91">
        <f t="shared" si="1671"/>
        <v>1</v>
      </c>
      <c r="E1267" s="278"/>
      <c r="F1267" s="76">
        <f t="shared" ref="F1267:Q1267" ca="1" si="1704">F1195</f>
        <v>-3.44</v>
      </c>
      <c r="G1267" s="46">
        <f t="shared" ca="1" si="1704"/>
        <v>27.012600000000003</v>
      </c>
      <c r="H1267" s="46">
        <f t="shared" ca="1" si="1647"/>
        <v>28.517550000000004</v>
      </c>
      <c r="I1267" s="45">
        <f t="shared" ca="1" si="1648"/>
        <v>1.6253779081695344E-2</v>
      </c>
      <c r="J1267" s="45">
        <f t="shared" ca="1" si="1649"/>
        <v>0.27952512346894071</v>
      </c>
      <c r="K1267" s="45">
        <f t="shared" ca="1" si="1665"/>
        <v>0.90345467800480783</v>
      </c>
      <c r="L1267" s="358">
        <f t="shared" ca="1" si="1650"/>
        <v>0.25329647647379749</v>
      </c>
      <c r="M1267" s="76">
        <f t="shared" ca="1" si="1704"/>
        <v>0.25347808785320641</v>
      </c>
      <c r="N1267" s="45">
        <f t="shared" ca="1" si="1704"/>
        <v>0.25</v>
      </c>
      <c r="O1267" s="45">
        <f t="shared" ca="1" si="1704"/>
        <v>0</v>
      </c>
      <c r="P1267" s="46" t="str">
        <f t="shared" ca="1" si="1704"/>
        <v/>
      </c>
      <c r="Q1267" s="243" t="str">
        <f t="shared" ca="1" si="1704"/>
        <v/>
      </c>
      <c r="R1267" s="45">
        <f t="shared" ca="1" si="1666"/>
        <v>0.18740751146341256</v>
      </c>
      <c r="S1267" s="45">
        <f t="shared" ca="1" si="1690"/>
        <v>5.0695617570641283E-2</v>
      </c>
      <c r="T1267" s="77">
        <f t="shared" ca="1" si="1651"/>
        <v>2.5212865139021302E-3</v>
      </c>
      <c r="U1267" s="45">
        <f t="shared" ca="1" si="1667"/>
        <v>18.450199630685887</v>
      </c>
      <c r="V1267" s="45">
        <f t="shared" ca="1" si="1652"/>
        <v>0.20278247028256513</v>
      </c>
      <c r="W1267" s="77">
        <f t="shared" ca="1" si="1653"/>
        <v>7.4956137165040661E-3</v>
      </c>
      <c r="X1267" s="45">
        <f t="shared" ca="1" si="1668"/>
        <v>1.0552363545547652</v>
      </c>
      <c r="Y1267" s="45">
        <f t="shared" ca="1" si="1654"/>
        <v>9.9157122143610828E-4</v>
      </c>
      <c r="Z1267" s="77">
        <f t="shared" ca="1" si="1655"/>
        <v>9.4291529616455675E-4</v>
      </c>
      <c r="AA1267" s="45">
        <f t="shared" ca="1" si="1669"/>
        <v>39.276536421263664</v>
      </c>
      <c r="AB1267" s="45">
        <f t="shared" ca="1" si="1656"/>
        <v>0</v>
      </c>
      <c r="AC1267" s="45" cm="1">
        <f t="array" aca="1" ref="AC1267" ca="1">pHUM*(T1267+W1267+Z1267+AD1267)</f>
        <v>1.1665543781601275E-3</v>
      </c>
      <c r="AD1267" s="77">
        <f t="shared" ca="1" si="1657"/>
        <v>1.0639724987647377E-3</v>
      </c>
      <c r="AE1267" s="45">
        <f t="shared" ca="1" si="1670"/>
        <v>6.3847072090583081</v>
      </c>
      <c r="AF1267" s="45">
        <f t="shared" ca="1" si="1658"/>
        <v>0</v>
      </c>
      <c r="AG1267" s="76">
        <f t="shared" ca="1" si="1659"/>
        <v>65.354087127026034</v>
      </c>
      <c r="AH1267" s="45">
        <f t="shared" ca="1" si="1660"/>
        <v>9.8656624257392571E-3</v>
      </c>
      <c r="AI1267" s="77">
        <f t="shared" ca="1" si="1661"/>
        <v>1.256460236742038E-2</v>
      </c>
      <c r="AJ1267" s="384">
        <f t="shared" ca="1" si="1663"/>
        <v>1.0149162566739367E-2</v>
      </c>
      <c r="AU1267" s="1"/>
    </row>
    <row r="1268" spans="3:47" x14ac:dyDescent="0.25">
      <c r="C1268" s="10">
        <f t="shared" si="1688"/>
        <v>98</v>
      </c>
      <c r="D1268" s="91">
        <f t="shared" si="1671"/>
        <v>2</v>
      </c>
      <c r="E1268" s="278"/>
      <c r="F1268" s="76">
        <f t="shared" ref="F1268:Q1268" ca="1" si="1705">F1196</f>
        <v>-1.65</v>
      </c>
      <c r="G1268" s="46">
        <f t="shared" ca="1" si="1705"/>
        <v>27.012600000000003</v>
      </c>
      <c r="H1268" s="46">
        <f t="shared" ca="1" si="1647"/>
        <v>28.517550000000004</v>
      </c>
      <c r="I1268" s="45">
        <f t="shared" ca="1" si="1648"/>
        <v>3.508132091145684E-2</v>
      </c>
      <c r="J1268" s="45">
        <f t="shared" ca="1" si="1649"/>
        <v>0.27952512346894071</v>
      </c>
      <c r="K1268" s="45">
        <f t="shared" ca="1" si="1665"/>
        <v>0.90345467800480783</v>
      </c>
      <c r="L1268" s="358">
        <f t="shared" ca="1" si="1650"/>
        <v>0.30703519550320224</v>
      </c>
      <c r="M1268" s="76">
        <f t="shared" ca="1" si="1705"/>
        <v>0.25347808785320641</v>
      </c>
      <c r="N1268" s="45">
        <f t="shared" ca="1" si="1705"/>
        <v>0.25</v>
      </c>
      <c r="O1268" s="45">
        <f t="shared" ca="1" si="1705"/>
        <v>0</v>
      </c>
      <c r="P1268" s="46" t="str">
        <f t="shared" ca="1" si="1705"/>
        <v/>
      </c>
      <c r="Q1268" s="243" t="str">
        <f t="shared" ca="1" si="1705"/>
        <v/>
      </c>
      <c r="R1268" s="45">
        <f t="shared" ca="1" si="1666"/>
        <v>0.23558184252015171</v>
      </c>
      <c r="S1268" s="45">
        <f t="shared" ca="1" si="1690"/>
        <v>5.0695617570641283E-2</v>
      </c>
      <c r="T1268" s="77">
        <f t="shared" ca="1" si="1651"/>
        <v>6.7874054706907241E-3</v>
      </c>
      <c r="U1268" s="45">
        <f t="shared" ca="1" si="1667"/>
        <v>18.645486487251947</v>
      </c>
      <c r="V1268" s="45">
        <f t="shared" ca="1" si="1652"/>
        <v>0.20278247028256513</v>
      </c>
      <c r="W1268" s="77">
        <f t="shared" ca="1" si="1653"/>
        <v>1.6345538538969879E-2</v>
      </c>
      <c r="X1268" s="45">
        <f t="shared" ca="1" si="1668"/>
        <v>1.0552850104800366</v>
      </c>
      <c r="Y1268" s="45">
        <f t="shared" ca="1" si="1654"/>
        <v>2.2648464877881342E-3</v>
      </c>
      <c r="Z1268" s="77">
        <f t="shared" ca="1" si="1655"/>
        <v>2.0341804869245038E-3</v>
      </c>
      <c r="AA1268" s="45">
        <f t="shared" ca="1" si="1669"/>
        <v>39.27663900314306</v>
      </c>
      <c r="AB1268" s="45">
        <f t="shared" ca="1" si="1656"/>
        <v>0</v>
      </c>
      <c r="AC1268" s="45" cm="1">
        <f t="array" aca="1" ref="AC1268" ca="1">pHUM*(T1268+W1268+Z1268+AD1268)</f>
        <v>2.6645252797507461E-3</v>
      </c>
      <c r="AD1268" s="77">
        <f t="shared" ca="1" si="1657"/>
        <v>2.2963934942350829E-3</v>
      </c>
      <c r="AE1268" s="45">
        <f t="shared" ca="1" si="1670"/>
        <v>6.3847072090583081</v>
      </c>
      <c r="AF1268" s="45">
        <f t="shared" ca="1" si="1658"/>
        <v>0</v>
      </c>
      <c r="AG1268" s="76">
        <f t="shared" ca="1" si="1659"/>
        <v>65.597699552453506</v>
      </c>
      <c r="AH1268" s="45">
        <f t="shared" ca="1" si="1660"/>
        <v>2.2534146223281312E-2</v>
      </c>
      <c r="AI1268" s="77">
        <f t="shared" ca="1" si="1661"/>
        <v>1.3273389399154959E-2</v>
      </c>
      <c r="AJ1268" s="384">
        <f t="shared" ca="1" si="1663"/>
        <v>1.2996342317204146E-2</v>
      </c>
      <c r="AU1268" s="1"/>
    </row>
    <row r="1269" spans="3:47" x14ac:dyDescent="0.25">
      <c r="C1269" s="10">
        <f t="shared" si="1688"/>
        <v>98</v>
      </c>
      <c r="D1269" s="91">
        <f t="shared" si="1671"/>
        <v>3</v>
      </c>
      <c r="E1269" s="278"/>
      <c r="F1269" s="76">
        <f t="shared" ref="F1269:Q1269" ca="1" si="1706">F1197</f>
        <v>4.68</v>
      </c>
      <c r="G1269" s="46">
        <f t="shared" ca="1" si="1706"/>
        <v>27.012600000000003</v>
      </c>
      <c r="H1269" s="46">
        <f t="shared" ca="1" si="1647"/>
        <v>28.517550000000004</v>
      </c>
      <c r="I1269" s="45">
        <f t="shared" ca="1" si="1648"/>
        <v>0.20228669449817699</v>
      </c>
      <c r="J1269" s="45">
        <f t="shared" ca="1" si="1649"/>
        <v>0.27952512346894071</v>
      </c>
      <c r="K1269" s="45">
        <f t="shared" ca="1" si="1665"/>
        <v>0.90345467800480783</v>
      </c>
      <c r="L1269" s="358">
        <f t="shared" ca="1" si="1650"/>
        <v>0.53248567772813127</v>
      </c>
      <c r="M1269" s="76">
        <f t="shared" ca="1" si="1706"/>
        <v>0.25347808785320641</v>
      </c>
      <c r="N1269" s="45">
        <f t="shared" ca="1" si="1706"/>
        <v>0.25</v>
      </c>
      <c r="O1269" s="45">
        <f t="shared" ca="1" si="1706"/>
        <v>0</v>
      </c>
      <c r="P1269" s="46" t="str">
        <f t="shared" ca="1" si="1706"/>
        <v/>
      </c>
      <c r="Q1269" s="243" t="str">
        <f t="shared" ca="1" si="1706"/>
        <v/>
      </c>
      <c r="R1269" s="45">
        <f t="shared" ca="1" si="1666"/>
        <v>0.27949005462010229</v>
      </c>
      <c r="S1269" s="45">
        <f t="shared" ca="1" si="1690"/>
        <v>5.0695617570641283E-2</v>
      </c>
      <c r="T1269" s="77">
        <f t="shared" ca="1" si="1651"/>
        <v>4.3357229787122406E-2</v>
      </c>
      <c r="U1269" s="45">
        <f t="shared" ca="1" si="1667"/>
        <v>18.83192341899554</v>
      </c>
      <c r="V1269" s="45">
        <f t="shared" ca="1" si="1652"/>
        <v>0.20278247028256513</v>
      </c>
      <c r="W1269" s="77">
        <f t="shared" ca="1" si="1653"/>
        <v>9.4995781245331784E-2</v>
      </c>
      <c r="X1269" s="45">
        <f t="shared" ca="1" si="1668"/>
        <v>1.0555156764809002</v>
      </c>
      <c r="Y1269" s="45">
        <f t="shared" ca="1" si="1654"/>
        <v>1.3464555929781366E-2</v>
      </c>
      <c r="Z1269" s="77">
        <f t="shared" ca="1" si="1655"/>
        <v>1.1678337045355942E-2</v>
      </c>
      <c r="AA1269" s="45">
        <f t="shared" ca="1" si="1669"/>
        <v>39.277007134928574</v>
      </c>
      <c r="AB1269" s="45">
        <f t="shared" ca="1" si="1656"/>
        <v>0</v>
      </c>
      <c r="AC1269" s="45" cm="1">
        <f t="array" aca="1" ref="AC1269" ca="1">pHUM*(T1269+W1269+Z1269+AD1269)</f>
        <v>1.58406540350369E-2</v>
      </c>
      <c r="AD1269" s="77">
        <f t="shared" ca="1" si="1657"/>
        <v>1.3239794584529445E-2</v>
      </c>
      <c r="AE1269" s="45">
        <f t="shared" ca="1" si="1670"/>
        <v>6.3847072090583081</v>
      </c>
      <c r="AF1269" s="45">
        <f t="shared" ca="1" si="1658"/>
        <v>0</v>
      </c>
      <c r="AG1269" s="76">
        <f t="shared" ca="1" si="1659"/>
        <v>65.828643494083423</v>
      </c>
      <c r="AH1269" s="45">
        <f t="shared" ca="1" si="1660"/>
        <v>0.13396593269752133</v>
      </c>
      <c r="AI1269" s="77">
        <f t="shared" ca="1" si="1661"/>
        <v>1.3915994747104726E-2</v>
      </c>
      <c r="AJ1269" s="384">
        <f t="shared" ca="1" si="1663"/>
        <v>2.3630285845569476E-2</v>
      </c>
      <c r="AU1269" s="1"/>
    </row>
    <row r="1270" spans="3:47" x14ac:dyDescent="0.25">
      <c r="C1270" s="10">
        <f t="shared" si="1688"/>
        <v>98</v>
      </c>
      <c r="D1270" s="91">
        <f t="shared" si="1671"/>
        <v>4</v>
      </c>
      <c r="E1270" s="278"/>
      <c r="F1270" s="76">
        <f t="shared" ref="F1270:Q1270" ca="1" si="1707">F1198</f>
        <v>7.69</v>
      </c>
      <c r="G1270" s="46">
        <f t="shared" ca="1" si="1707"/>
        <v>27.012600000000003</v>
      </c>
      <c r="H1270" s="46">
        <f t="shared" ca="1" si="1647"/>
        <v>28.517550000000004</v>
      </c>
      <c r="I1270" s="45">
        <f t="shared" ca="1" si="1648"/>
        <v>0.3433111911106958</v>
      </c>
      <c r="J1270" s="45">
        <f t="shared" ca="1" si="1649"/>
        <v>0.27952512346894071</v>
      </c>
      <c r="K1270" s="45">
        <f t="shared" ca="1" si="1665"/>
        <v>0.90345467800480783</v>
      </c>
      <c r="L1270" s="358">
        <f t="shared" ca="1" si="1650"/>
        <v>0.64074183470648283</v>
      </c>
      <c r="M1270" s="76">
        <f t="shared" ca="1" si="1707"/>
        <v>0.25347808785320641</v>
      </c>
      <c r="N1270" s="45">
        <f t="shared" ca="1" si="1707"/>
        <v>0.25</v>
      </c>
      <c r="O1270" s="45">
        <f t="shared" ca="1" si="1707"/>
        <v>0</v>
      </c>
      <c r="P1270" s="46" t="str">
        <f t="shared" ca="1" si="1707"/>
        <v/>
      </c>
      <c r="Q1270" s="243" t="str">
        <f t="shared" ca="1" si="1707"/>
        <v/>
      </c>
      <c r="R1270" s="45">
        <f t="shared" ca="1" si="1666"/>
        <v>0.28682844240362115</v>
      </c>
      <c r="S1270" s="45">
        <f t="shared" ca="1" si="1690"/>
        <v>5.0695617570641283E-2</v>
      </c>
      <c r="T1270" s="77">
        <f t="shared" ca="1" si="1651"/>
        <v>7.1364922050609986E-2</v>
      </c>
      <c r="U1270" s="45">
        <f t="shared" ca="1" si="1667"/>
        <v>18.939710108032774</v>
      </c>
      <c r="V1270" s="45">
        <f t="shared" ca="1" si="1652"/>
        <v>0.20278247028256513</v>
      </c>
      <c r="W1270" s="77">
        <f t="shared" ca="1" si="1653"/>
        <v>0.16185976395416699</v>
      </c>
      <c r="X1270" s="45">
        <f t="shared" ca="1" si="1668"/>
        <v>1.0573018953653257</v>
      </c>
      <c r="Y1270" s="45">
        <f t="shared" ca="1" si="1654"/>
        <v>2.2717332412556704E-2</v>
      </c>
      <c r="Z1270" s="77">
        <f t="shared" ca="1" si="1655"/>
        <v>1.9776795065315059E-2</v>
      </c>
      <c r="AA1270" s="45">
        <f t="shared" ca="1" si="1669"/>
        <v>39.279607994379084</v>
      </c>
      <c r="AB1270" s="45">
        <f t="shared" ca="1" si="1656"/>
        <v>0</v>
      </c>
      <c r="AC1270" s="45" cm="1">
        <f t="array" aca="1" ref="AC1270" ca="1">pHUM*(T1270+W1270+Z1270+AD1270)</f>
        <v>2.67262734265373E-2</v>
      </c>
      <c r="AD1270" s="77">
        <f t="shared" ca="1" si="1657"/>
        <v>2.246878624369707E-2</v>
      </c>
      <c r="AE1270" s="45">
        <f t="shared" ca="1" si="1670"/>
        <v>6.3847072090583081</v>
      </c>
      <c r="AF1270" s="45">
        <f t="shared" ca="1" si="1658"/>
        <v>0</v>
      </c>
      <c r="AG1270" s="76">
        <f t="shared" ca="1" si="1659"/>
        <v>65.948155649239112</v>
      </c>
      <c r="AH1270" s="45">
        <f t="shared" ca="1" si="1660"/>
        <v>0.22602666147469511</v>
      </c>
      <c r="AI1270" s="77">
        <f t="shared" ca="1" si="1661"/>
        <v>1.4037704232531452E-2</v>
      </c>
      <c r="AJ1270" s="384">
        <f t="shared" ca="1" si="1663"/>
        <v>2.8682954632412994E-2</v>
      </c>
      <c r="AU1270" s="1"/>
    </row>
    <row r="1271" spans="3:47" x14ac:dyDescent="0.25">
      <c r="C1271" s="10">
        <f t="shared" si="1688"/>
        <v>98</v>
      </c>
      <c r="D1271" s="91">
        <f t="shared" si="1671"/>
        <v>5</v>
      </c>
      <c r="E1271" s="278"/>
      <c r="F1271" s="76">
        <f t="shared" ref="F1271:Q1271" ca="1" si="1708">F1199</f>
        <v>15.52</v>
      </c>
      <c r="G1271" s="46">
        <f t="shared" ca="1" si="1708"/>
        <v>27.012600000000003</v>
      </c>
      <c r="H1271" s="46">
        <f t="shared" ca="1" si="1647"/>
        <v>28.517550000000004</v>
      </c>
      <c r="I1271" s="45">
        <f t="shared" ca="1" si="1648"/>
        <v>0.86230369296737164</v>
      </c>
      <c r="J1271" s="45">
        <f t="shared" ca="1" si="1649"/>
        <v>0.27952512346894071</v>
      </c>
      <c r="K1271" s="45">
        <f t="shared" ca="1" si="1665"/>
        <v>0.90345467800480783</v>
      </c>
      <c r="L1271" s="358">
        <f t="shared" ca="1" si="1650"/>
        <v>0.85046529796407655</v>
      </c>
      <c r="M1271" s="76">
        <f t="shared" ca="1" si="1708"/>
        <v>0.25347808785320641</v>
      </c>
      <c r="N1271" s="45">
        <f t="shared" ca="1" si="1708"/>
        <v>0.25</v>
      </c>
      <c r="O1271" s="45">
        <f t="shared" ca="1" si="1708"/>
        <v>0</v>
      </c>
      <c r="P1271" s="46" t="str">
        <f t="shared" ca="1" si="1708"/>
        <v/>
      </c>
      <c r="Q1271" s="243" t="str">
        <f t="shared" ca="1" si="1708"/>
        <v/>
      </c>
      <c r="R1271" s="45">
        <f t="shared" ca="1" si="1666"/>
        <v>0.26615913792365242</v>
      </c>
      <c r="S1271" s="45">
        <f t="shared" ca="1" si="1690"/>
        <v>5.0695617570641283E-2</v>
      </c>
      <c r="T1271" s="77">
        <f t="shared" ca="1" si="1651"/>
        <v>0.13642231208113587</v>
      </c>
      <c r="U1271" s="45">
        <f t="shared" ca="1" si="1667"/>
        <v>18.980632814361172</v>
      </c>
      <c r="V1271" s="45">
        <f t="shared" ca="1" si="1652"/>
        <v>0.20278247028256513</v>
      </c>
      <c r="W1271" s="77">
        <f t="shared" ca="1" si="1653"/>
        <v>0.40479783424533422</v>
      </c>
      <c r="X1271" s="45">
        <f t="shared" ca="1" si="1668"/>
        <v>1.0602424327125672</v>
      </c>
      <c r="Y1271" s="45">
        <f t="shared" ca="1" si="1654"/>
        <v>5.3335607969041292E-2</v>
      </c>
      <c r="Z1271" s="77">
        <f t="shared" ca="1" si="1655"/>
        <v>4.9110034677390647E-2</v>
      </c>
      <c r="AA1271" s="45">
        <f t="shared" ca="1" si="1669"/>
        <v>39.283865481561925</v>
      </c>
      <c r="AB1271" s="45">
        <f t="shared" ca="1" si="1656"/>
        <v>0</v>
      </c>
      <c r="AC1271" s="45" cm="1">
        <f t="array" aca="1" ref="AC1271" ca="1">pHUM*(T1271+W1271+Z1271+AD1271)</f>
        <v>6.2747774081225047E-2</v>
      </c>
      <c r="AD1271" s="77">
        <f t="shared" ca="1" si="1657"/>
        <v>5.6417153487500933E-2</v>
      </c>
      <c r="AE1271" s="45">
        <f t="shared" ca="1" si="1670"/>
        <v>6.3847072090583081</v>
      </c>
      <c r="AF1271" s="45">
        <f t="shared" ca="1" si="1658"/>
        <v>0</v>
      </c>
      <c r="AG1271" s="76">
        <f t="shared" ca="1" si="1659"/>
        <v>65.975607075617617</v>
      </c>
      <c r="AH1271" s="45">
        <f t="shared" ca="1" si="1660"/>
        <v>0.53066395244109543</v>
      </c>
      <c r="AI1271" s="77">
        <f t="shared" ca="1" si="1661"/>
        <v>1.3762194340639886E-2</v>
      </c>
      <c r="AJ1271" s="384">
        <f t="shared" ca="1" si="1663"/>
        <v>3.7323766278838377E-2</v>
      </c>
      <c r="AU1271" s="1"/>
    </row>
    <row r="1272" spans="3:47" x14ac:dyDescent="0.25">
      <c r="C1272" s="10">
        <f t="shared" si="1688"/>
        <v>98</v>
      </c>
      <c r="D1272" s="91">
        <f t="shared" si="1671"/>
        <v>6</v>
      </c>
      <c r="E1272" s="278"/>
      <c r="F1272" s="76">
        <f t="shared" ref="F1272:Q1272" ca="1" si="1709">F1200</f>
        <v>17.8</v>
      </c>
      <c r="G1272" s="46">
        <f t="shared" ca="1" si="1709"/>
        <v>27.012600000000003</v>
      </c>
      <c r="H1272" s="46">
        <f t="shared" ca="1" si="1647"/>
        <v>28.517550000000004</v>
      </c>
      <c r="I1272" s="45">
        <f t="shared" ca="1" si="1648"/>
        <v>1.0420430221807615</v>
      </c>
      <c r="J1272" s="45">
        <f t="shared" ca="1" si="1649"/>
        <v>0.27952512346894071</v>
      </c>
      <c r="K1272" s="45">
        <f t="shared" ca="1" si="1665"/>
        <v>0.90345467800480783</v>
      </c>
      <c r="L1272" s="358">
        <f t="shared" ca="1" si="1650"/>
        <v>0.88796358149435028</v>
      </c>
      <c r="M1272" s="76">
        <f t="shared" ca="1" si="1709"/>
        <v>0.25347808785320641</v>
      </c>
      <c r="N1272" s="45">
        <f t="shared" ca="1" si="1709"/>
        <v>0.25</v>
      </c>
      <c r="O1272" s="45">
        <f t="shared" ca="1" si="1709"/>
        <v>0</v>
      </c>
      <c r="P1272" s="46" t="str">
        <f t="shared" ca="1" si="1709"/>
        <v/>
      </c>
      <c r="Q1272" s="243" t="str">
        <f t="shared" ca="1" si="1709"/>
        <v/>
      </c>
      <c r="R1272" s="45">
        <f t="shared" ca="1" si="1666"/>
        <v>0.18043244341315784</v>
      </c>
      <c r="S1272" s="45">
        <f t="shared" ca="1" si="1690"/>
        <v>5.0695617570641283E-2</v>
      </c>
      <c r="T1272" s="77">
        <f t="shared" ca="1" si="1651"/>
        <v>0.10471661384205616</v>
      </c>
      <c r="U1272" s="45">
        <f t="shared" ca="1" si="1667"/>
        <v>18.778617450398404</v>
      </c>
      <c r="V1272" s="45">
        <f t="shared" ca="1" si="1652"/>
        <v>0.20278247028256513</v>
      </c>
      <c r="W1272" s="77">
        <f t="shared" ca="1" si="1653"/>
        <v>0.48288602262861224</v>
      </c>
      <c r="X1272" s="45">
        <f t="shared" ca="1" si="1668"/>
        <v>1.0644680060042178</v>
      </c>
      <c r="Y1272" s="45">
        <f t="shared" ca="1" si="1654"/>
        <v>5.8970175961447421E-2</v>
      </c>
      <c r="Z1272" s="77">
        <f t="shared" ca="1" si="1655"/>
        <v>5.9291872615345999E-2</v>
      </c>
      <c r="AA1272" s="45">
        <f t="shared" ca="1" si="1669"/>
        <v>39.290196102155647</v>
      </c>
      <c r="AB1272" s="45">
        <f t="shared" ca="1" si="1656"/>
        <v>0</v>
      </c>
      <c r="AC1272" s="45" cm="1">
        <f t="array" aca="1" ref="AC1272" ca="1">pHUM*(T1272+W1272+Z1272+AD1272)</f>
        <v>6.9376677601702852E-2</v>
      </c>
      <c r="AD1272" s="77">
        <f t="shared" ca="1" si="1657"/>
        <v>6.8177570708977439E-2</v>
      </c>
      <c r="AE1272" s="45">
        <f t="shared" ca="1" si="1670"/>
        <v>6.3847072090583081</v>
      </c>
      <c r="AF1272" s="45">
        <f t="shared" ca="1" si="1658"/>
        <v>0</v>
      </c>
      <c r="AG1272" s="76">
        <f t="shared" ca="1" si="1659"/>
        <v>65.698421211029739</v>
      </c>
      <c r="AH1272" s="45">
        <f t="shared" ca="1" si="1660"/>
        <v>0.58672522623184153</v>
      </c>
      <c r="AI1272" s="77">
        <f t="shared" ca="1" si="1661"/>
        <v>1.2541032352934307E-2</v>
      </c>
      <c r="AJ1272" s="384">
        <f t="shared" ca="1" si="1663"/>
        <v>3.5511609980127812E-2</v>
      </c>
      <c r="AU1272" s="1"/>
    </row>
    <row r="1273" spans="3:47" x14ac:dyDescent="0.25">
      <c r="C1273" s="10">
        <f t="shared" si="1688"/>
        <v>98</v>
      </c>
      <c r="D1273" s="91">
        <f t="shared" si="1671"/>
        <v>7</v>
      </c>
      <c r="E1273" s="278"/>
      <c r="F1273" s="76">
        <f t="shared" ref="F1273:Q1273" ca="1" si="1710">F1201</f>
        <v>22.99</v>
      </c>
      <c r="G1273" s="46">
        <f t="shared" ca="1" si="1710"/>
        <v>27.012600000000003</v>
      </c>
      <c r="H1273" s="46">
        <f t="shared" ca="1" si="1647"/>
        <v>28.517550000000004</v>
      </c>
      <c r="I1273" s="45">
        <f t="shared" ca="1" si="1648"/>
        <v>1.4752596357037575</v>
      </c>
      <c r="J1273" s="45">
        <f t="shared" ca="1" si="1649"/>
        <v>0.27952512346894071</v>
      </c>
      <c r="K1273" s="45">
        <f t="shared" ca="1" si="1665"/>
        <v>0.90345467800480783</v>
      </c>
      <c r="L1273" s="358">
        <f t="shared" ca="1" si="1650"/>
        <v>0.94206720469222516</v>
      </c>
      <c r="M1273" s="76">
        <f t="shared" ca="1" si="1710"/>
        <v>0.25347808785320641</v>
      </c>
      <c r="N1273" s="45">
        <f t="shared" ca="1" si="1710"/>
        <v>0.25</v>
      </c>
      <c r="O1273" s="45">
        <f t="shared" ca="1" si="1710"/>
        <v>0</v>
      </c>
      <c r="P1273" s="46" t="str">
        <f t="shared" ca="1" si="1710"/>
        <v/>
      </c>
      <c r="Q1273" s="243" t="str">
        <f t="shared" ca="1" si="1710"/>
        <v/>
      </c>
      <c r="R1273" s="45">
        <f t="shared" ca="1" si="1666"/>
        <v>0.12641144714174296</v>
      </c>
      <c r="S1273" s="45">
        <f t="shared" ca="1" si="1690"/>
        <v>5.0695617570641283E-2</v>
      </c>
      <c r="T1273" s="77">
        <f t="shared" ca="1" si="1651"/>
        <v>8.9439515862024505E-2</v>
      </c>
      <c r="U1273" s="45">
        <f t="shared" ca="1" si="1667"/>
        <v>18.498513898052355</v>
      </c>
      <c r="V1273" s="45">
        <f t="shared" ca="1" si="1652"/>
        <v>0.20278247028256513</v>
      </c>
      <c r="W1273" s="77">
        <f t="shared" ca="1" si="1653"/>
        <v>0.66982477823444841</v>
      </c>
      <c r="X1273" s="45">
        <f t="shared" ca="1" si="1668"/>
        <v>1.0641463093503192</v>
      </c>
      <c r="Y1273" s="45">
        <f t="shared" ca="1" si="1654"/>
        <v>7.7411207330153775E-2</v>
      </c>
      <c r="Z1273" s="77">
        <f t="shared" ca="1" si="1655"/>
        <v>8.2933968830234572E-2</v>
      </c>
      <c r="AA1273" s="45">
        <f t="shared" ca="1" si="1669"/>
        <v>39.291395209048375</v>
      </c>
      <c r="AB1273" s="45">
        <f t="shared" ca="1" si="1656"/>
        <v>0</v>
      </c>
      <c r="AC1273" s="45" cm="1">
        <f t="array" aca="1" ref="AC1273" ca="1">pHUM*(T1273+W1273+Z1273+AD1273)</f>
        <v>9.1072008623710329E-2</v>
      </c>
      <c r="AD1273" s="77">
        <f t="shared" ca="1" si="1657"/>
        <v>9.6489677587548603E-2</v>
      </c>
      <c r="AE1273" s="45">
        <f t="shared" ca="1" si="1670"/>
        <v>6.3847072090583081</v>
      </c>
      <c r="AF1273" s="45">
        <f t="shared" ca="1" si="1658"/>
        <v>0</v>
      </c>
      <c r="AG1273" s="76">
        <f t="shared" ca="1" si="1659"/>
        <v>65.365174072651101</v>
      </c>
      <c r="AH1273" s="45">
        <f t="shared" ca="1" si="1660"/>
        <v>0.77020472456039202</v>
      </c>
      <c r="AI1273" s="77">
        <f t="shared" ca="1" si="1661"/>
        <v>1.1729636311042598E-2</v>
      </c>
      <c r="AJ1273" s="384">
        <f t="shared" ca="1" si="1663"/>
        <v>3.5237773847097698E-2</v>
      </c>
      <c r="AU1273" s="1"/>
    </row>
    <row r="1274" spans="3:47" x14ac:dyDescent="0.25">
      <c r="C1274" s="10">
        <f t="shared" si="1688"/>
        <v>98</v>
      </c>
      <c r="D1274" s="91">
        <f t="shared" si="1671"/>
        <v>8</v>
      </c>
      <c r="E1274" s="278"/>
      <c r="F1274" s="76">
        <f t="shared" ref="F1274:Q1274" ca="1" si="1711">F1202</f>
        <v>21.76</v>
      </c>
      <c r="G1274" s="46">
        <f t="shared" ca="1" si="1711"/>
        <v>27.012600000000003</v>
      </c>
      <c r="H1274" s="46">
        <f t="shared" ca="1" si="1647"/>
        <v>28.517550000000004</v>
      </c>
      <c r="I1274" s="45">
        <f t="shared" ca="1" si="1648"/>
        <v>1.3706166748122235</v>
      </c>
      <c r="J1274" s="45">
        <f t="shared" ca="1" si="1649"/>
        <v>0.27952512346894071</v>
      </c>
      <c r="K1274" s="45">
        <f t="shared" ca="1" si="1665"/>
        <v>0.90345467800480783</v>
      </c>
      <c r="L1274" s="358">
        <f t="shared" ca="1" si="1650"/>
        <v>0.93252308258228611</v>
      </c>
      <c r="M1274" s="76">
        <f t="shared" ca="1" si="1711"/>
        <v>0.25347808785320641</v>
      </c>
      <c r="N1274" s="45">
        <f t="shared" ca="1" si="1711"/>
        <v>0.25</v>
      </c>
      <c r="O1274" s="45">
        <f t="shared" ca="1" si="1711"/>
        <v>0</v>
      </c>
      <c r="P1274" s="46" t="str">
        <f t="shared" ca="1" si="1711"/>
        <v/>
      </c>
      <c r="Q1274" s="243" t="str">
        <f t="shared" ca="1" si="1711"/>
        <v/>
      </c>
      <c r="R1274" s="45">
        <f t="shared" ca="1" si="1666"/>
        <v>8.7667548850359739E-2</v>
      </c>
      <c r="S1274" s="45">
        <f t="shared" ca="1" si="1690"/>
        <v>5.0695617570641283E-2</v>
      </c>
      <c r="T1274" s="77">
        <f t="shared" ca="1" si="1651"/>
        <v>5.9690870583984493E-2</v>
      </c>
      <c r="U1274" s="45">
        <f t="shared" ca="1" si="1667"/>
        <v>18.03147159010047</v>
      </c>
      <c r="V1274" s="45">
        <f t="shared" ca="1" si="1652"/>
        <v>0.20278247028256513</v>
      </c>
      <c r="W1274" s="77">
        <f t="shared" ca="1" si="1653"/>
        <v>0.6073902233566375</v>
      </c>
      <c r="X1274" s="45">
        <f t="shared" ca="1" si="1668"/>
        <v>1.0586235478502384</v>
      </c>
      <c r="Y1274" s="45">
        <f t="shared" ca="1" si="1654"/>
        <v>6.8744167854527569E-2</v>
      </c>
      <c r="Z1274" s="77">
        <f t="shared" ca="1" si="1655"/>
        <v>7.6869431426635146E-2</v>
      </c>
      <c r="AA1274" s="45">
        <f t="shared" ca="1" si="1669"/>
        <v>39.285977540084538</v>
      </c>
      <c r="AB1274" s="45">
        <f t="shared" ca="1" si="1656"/>
        <v>0</v>
      </c>
      <c r="AC1274" s="45" cm="1">
        <f t="array" aca="1" ref="AC1274" ca="1">pHUM*(T1274+W1274+Z1274+AD1274)</f>
        <v>8.0875491593561846E-2</v>
      </c>
      <c r="AD1274" s="77">
        <f t="shared" ca="1" si="1657"/>
        <v>8.9640934723520693E-2</v>
      </c>
      <c r="AE1274" s="45">
        <f t="shared" ca="1" si="1670"/>
        <v>6.3847072090583081</v>
      </c>
      <c r="AF1274" s="45">
        <f t="shared" ca="1" si="1658"/>
        <v>0</v>
      </c>
      <c r="AG1274" s="76">
        <f t="shared" ca="1" si="1659"/>
        <v>64.84844743594391</v>
      </c>
      <c r="AH1274" s="45">
        <f t="shared" ca="1" si="1660"/>
        <v>0.68397180064268859</v>
      </c>
      <c r="AI1274" s="77">
        <f t="shared" ca="1" si="1661"/>
        <v>1.1075993467290985E-2</v>
      </c>
      <c r="AJ1274" s="384">
        <f t="shared" ca="1" si="1663"/>
        <v>3.2937092254311517E-2</v>
      </c>
      <c r="AU1274" s="1"/>
    </row>
    <row r="1275" spans="3:47" x14ac:dyDescent="0.25">
      <c r="C1275" s="10">
        <f t="shared" si="1688"/>
        <v>98</v>
      </c>
      <c r="D1275" s="91">
        <f t="shared" si="1671"/>
        <v>9</v>
      </c>
      <c r="E1275" s="278"/>
      <c r="F1275" s="76">
        <f t="shared" ref="F1275:Q1275" ca="1" si="1712">F1203</f>
        <v>16.16</v>
      </c>
      <c r="G1275" s="46">
        <f t="shared" ca="1" si="1712"/>
        <v>27.012600000000003</v>
      </c>
      <c r="H1275" s="46">
        <f t="shared" ca="1" si="1647"/>
        <v>28.517550000000004</v>
      </c>
      <c r="I1275" s="45">
        <f t="shared" ca="1" si="1648"/>
        <v>0.91183635166446475</v>
      </c>
      <c r="J1275" s="45">
        <f t="shared" ca="1" si="1649"/>
        <v>0.27952512346894071</v>
      </c>
      <c r="K1275" s="45">
        <f t="shared" ca="1" si="1665"/>
        <v>0.90345467800480783</v>
      </c>
      <c r="L1275" s="358">
        <f t="shared" ca="1" si="1650"/>
        <v>0.86198800670670384</v>
      </c>
      <c r="M1275" s="76">
        <f t="shared" ca="1" si="1712"/>
        <v>0.25347808785320641</v>
      </c>
      <c r="N1275" s="45">
        <f t="shared" ca="1" si="1712"/>
        <v>0.25</v>
      </c>
      <c r="O1275" s="45">
        <f t="shared" ca="1" si="1712"/>
        <v>0</v>
      </c>
      <c r="P1275" s="46" t="str">
        <f t="shared" ca="1" si="1712"/>
        <v/>
      </c>
      <c r="Q1275" s="243" t="str">
        <f t="shared" ca="1" si="1712"/>
        <v/>
      </c>
      <c r="R1275" s="45">
        <f t="shared" ca="1" si="1666"/>
        <v>7.8672295837016529E-2</v>
      </c>
      <c r="S1275" s="45">
        <f t="shared" ca="1" si="1690"/>
        <v>5.0695617570641283E-2</v>
      </c>
      <c r="T1275" s="77">
        <f t="shared" ca="1" si="1651"/>
        <v>4.1874886484751211E-2</v>
      </c>
      <c r="U1275" s="45">
        <f t="shared" ca="1" si="1667"/>
        <v>17.626863837026395</v>
      </c>
      <c r="V1275" s="45">
        <f t="shared" ca="1" si="1652"/>
        <v>0.20278247028256513</v>
      </c>
      <c r="W1275" s="77">
        <f t="shared" ca="1" si="1653"/>
        <v>0.39727505373533428</v>
      </c>
      <c r="X1275" s="45">
        <f t="shared" ca="1" si="1668"/>
        <v>1.0504982842781307</v>
      </c>
      <c r="Y1275" s="45">
        <f t="shared" ca="1" si="1654"/>
        <v>4.537190744301052E-2</v>
      </c>
      <c r="Z1275" s="77">
        <f t="shared" ca="1" si="1655"/>
        <v>5.1384282832477368E-2</v>
      </c>
      <c r="AA1275" s="45">
        <f t="shared" ca="1" si="1669"/>
        <v>39.277212096954578</v>
      </c>
      <c r="AB1275" s="45">
        <f t="shared" ca="1" si="1656"/>
        <v>0</v>
      </c>
      <c r="AC1275" s="45" cm="1">
        <f t="array" aca="1" ref="AC1275" ca="1">pHUM*(T1275+W1275+Z1275+AD1275)</f>
        <v>5.3378714638835902E-2</v>
      </c>
      <c r="AD1275" s="77">
        <f t="shared" ca="1" si="1657"/>
        <v>5.964531585114053E-2</v>
      </c>
      <c r="AE1275" s="45">
        <f t="shared" ca="1" si="1670"/>
        <v>6.3847072090583081</v>
      </c>
      <c r="AF1275" s="45">
        <f t="shared" ca="1" si="1658"/>
        <v>0</v>
      </c>
      <c r="AG1275" s="76">
        <f t="shared" ca="1" si="1659"/>
        <v>64.417953723154426</v>
      </c>
      <c r="AH1275" s="45">
        <f t="shared" ca="1" si="1660"/>
        <v>0.45142891682185704</v>
      </c>
      <c r="AI1275" s="77">
        <f t="shared" ca="1" si="1661"/>
        <v>1.084673538125251E-2</v>
      </c>
      <c r="AJ1275" s="384">
        <f t="shared" ca="1" si="1663"/>
        <v>2.9815666504880989E-2</v>
      </c>
      <c r="AU1275" s="1"/>
    </row>
    <row r="1276" spans="3:47" x14ac:dyDescent="0.25">
      <c r="C1276" s="10">
        <f t="shared" si="1688"/>
        <v>98</v>
      </c>
      <c r="D1276" s="91">
        <f t="shared" si="1671"/>
        <v>10</v>
      </c>
      <c r="E1276" s="278"/>
      <c r="F1276" s="76">
        <f t="shared" ref="F1276:Q1276" ca="1" si="1713">F1204</f>
        <v>11.21</v>
      </c>
      <c r="G1276" s="46">
        <f t="shared" ca="1" si="1713"/>
        <v>27.012600000000003</v>
      </c>
      <c r="H1276" s="46">
        <f t="shared" ca="1" si="1647"/>
        <v>28.517550000000004</v>
      </c>
      <c r="I1276" s="45">
        <f t="shared" ca="1" si="1648"/>
        <v>0.55341948356365211</v>
      </c>
      <c r="J1276" s="45">
        <f t="shared" ca="1" si="1649"/>
        <v>0.27952512346894071</v>
      </c>
      <c r="K1276" s="45">
        <f t="shared" ca="1" si="1665"/>
        <v>0.90345467800480783</v>
      </c>
      <c r="L1276" s="358">
        <f t="shared" ca="1" si="1650"/>
        <v>0.75061725573145499</v>
      </c>
      <c r="M1276" s="76">
        <f t="shared" ca="1" si="1713"/>
        <v>0.25347808785320641</v>
      </c>
      <c r="N1276" s="45">
        <f t="shared" ca="1" si="1713"/>
        <v>0.25</v>
      </c>
      <c r="O1276" s="45">
        <f t="shared" ca="1" si="1713"/>
        <v>0</v>
      </c>
      <c r="P1276" s="46" t="str">
        <f t="shared" ca="1" si="1713"/>
        <v/>
      </c>
      <c r="Q1276" s="243" t="str">
        <f t="shared" ca="1" si="1713"/>
        <v/>
      </c>
      <c r="R1276" s="45">
        <f t="shared" ca="1" si="1666"/>
        <v>8.7493026922906586E-2</v>
      </c>
      <c r="S1276" s="45">
        <f t="shared" ca="1" si="1690"/>
        <v>5.0695617570641283E-2</v>
      </c>
      <c r="T1276" s="77">
        <f t="shared" ca="1" si="1651"/>
        <v>3.2325406484756646E-2</v>
      </c>
      <c r="U1276" s="45">
        <f t="shared" ca="1" si="1667"/>
        <v>17.432371253573624</v>
      </c>
      <c r="V1276" s="45">
        <f t="shared" ca="1" si="1652"/>
        <v>0.20278247028256513</v>
      </c>
      <c r="W1276" s="77">
        <f t="shared" ca="1" si="1653"/>
        <v>0.23952455713445089</v>
      </c>
      <c r="X1276" s="45">
        <f t="shared" ca="1" si="1668"/>
        <v>1.044485908888664</v>
      </c>
      <c r="Y1276" s="45">
        <f t="shared" ca="1" si="1654"/>
        <v>2.7986865758003257E-2</v>
      </c>
      <c r="Z1276" s="77">
        <f t="shared" ca="1" si="1655"/>
        <v>3.1313163186568765E-2</v>
      </c>
      <c r="AA1276" s="45">
        <f t="shared" ca="1" si="1669"/>
        <v>39.270945495742275</v>
      </c>
      <c r="AB1276" s="45">
        <f t="shared" ca="1" si="1656"/>
        <v>0</v>
      </c>
      <c r="AC1276" s="45" cm="1">
        <f t="array" aca="1" ref="AC1276" ca="1">pHUM*(T1276+W1276+Z1276+AD1276)</f>
        <v>3.2925724421180302E-2</v>
      </c>
      <c r="AD1276" s="77">
        <f t="shared" ca="1" si="1657"/>
        <v>3.6205477378178696E-2</v>
      </c>
      <c r="AE1276" s="45">
        <f t="shared" ca="1" si="1670"/>
        <v>6.3847072090583081</v>
      </c>
      <c r="AF1276" s="45">
        <f t="shared" ca="1" si="1658"/>
        <v>0</v>
      </c>
      <c r="AG1276" s="76">
        <f t="shared" ca="1" si="1659"/>
        <v>64.220002894185782</v>
      </c>
      <c r="AH1276" s="45">
        <f t="shared" ca="1" si="1660"/>
        <v>0.27845601400477143</v>
      </c>
      <c r="AI1276" s="77">
        <f t="shared" ca="1" si="1661"/>
        <v>1.0920985713676669E-2</v>
      </c>
      <c r="AJ1276" s="384">
        <f t="shared" ca="1" si="1663"/>
        <v>2.6141237463778166E-2</v>
      </c>
      <c r="AU1276" s="1"/>
    </row>
    <row r="1277" spans="3:47" x14ac:dyDescent="0.25">
      <c r="C1277" s="10">
        <f t="shared" si="1688"/>
        <v>98</v>
      </c>
      <c r="D1277" s="91">
        <f t="shared" si="1671"/>
        <v>11</v>
      </c>
      <c r="E1277" s="278"/>
      <c r="F1277" s="76">
        <f t="shared" ref="F1277:Q1277" ca="1" si="1714">F1205</f>
        <v>1.8</v>
      </c>
      <c r="G1277" s="46">
        <f t="shared" ca="1" si="1714"/>
        <v>27.012600000000003</v>
      </c>
      <c r="H1277" s="46">
        <f t="shared" ca="1" si="1647"/>
        <v>28.517550000000004</v>
      </c>
      <c r="I1277" s="45">
        <f t="shared" ca="1" si="1648"/>
        <v>0.10471759589279002</v>
      </c>
      <c r="J1277" s="45">
        <f t="shared" ca="1" si="1649"/>
        <v>0.27952512346894071</v>
      </c>
      <c r="K1277" s="45">
        <f t="shared" ca="1" si="1665"/>
        <v>0.90345467800480783</v>
      </c>
      <c r="L1277" s="358">
        <f t="shared" ca="1" si="1650"/>
        <v>0.42572038710161686</v>
      </c>
      <c r="M1277" s="76">
        <f t="shared" ca="1" si="1714"/>
        <v>0.25347808785320641</v>
      </c>
      <c r="N1277" s="45">
        <f t="shared" ca="1" si="1714"/>
        <v>0.25</v>
      </c>
      <c r="O1277" s="45">
        <f t="shared" ca="1" si="1714"/>
        <v>0</v>
      </c>
      <c r="P1277" s="46" t="str">
        <f t="shared" ca="1" si="1714"/>
        <v/>
      </c>
      <c r="Q1277" s="243" t="str">
        <f t="shared" ca="1" si="1714"/>
        <v/>
      </c>
      <c r="R1277" s="45">
        <f t="shared" ca="1" si="1666"/>
        <v>0.10586323800879122</v>
      </c>
      <c r="S1277" s="45">
        <f t="shared" ca="1" si="1690"/>
        <v>5.0695617570641283E-2</v>
      </c>
      <c r="T1277" s="77">
        <f t="shared" ca="1" si="1651"/>
        <v>8.8465126159825002E-3</v>
      </c>
      <c r="U1277" s="45">
        <f t="shared" ca="1" si="1667"/>
        <v>17.395629166721736</v>
      </c>
      <c r="V1277" s="45">
        <f t="shared" ca="1" si="1652"/>
        <v>0.20278247028256513</v>
      </c>
      <c r="W1277" s="77">
        <f t="shared" ca="1" si="1653"/>
        <v>4.5481152197249533E-2</v>
      </c>
      <c r="X1277" s="45">
        <f t="shared" ca="1" si="1668"/>
        <v>1.0411596114600985</v>
      </c>
      <c r="Y1277" s="45">
        <f t="shared" ca="1" si="1654"/>
        <v>5.5384909871652325E-3</v>
      </c>
      <c r="Z1277" s="77">
        <f t="shared" ca="1" si="1655"/>
        <v>5.9792899375719598E-3</v>
      </c>
      <c r="AA1277" s="45">
        <f t="shared" ca="1" si="1669"/>
        <v>39.267665742785276</v>
      </c>
      <c r="AB1277" s="45">
        <f t="shared" ca="1" si="1656"/>
        <v>0</v>
      </c>
      <c r="AC1277" s="45" cm="1">
        <f t="array" aca="1" ref="AC1277" ca="1">pHUM*(T1277+W1277+Z1277+AD1277)</f>
        <v>6.5158717496061561E-3</v>
      </c>
      <c r="AD1277" s="77">
        <f t="shared" ca="1" si="1657"/>
        <v>6.8527612335478189E-3</v>
      </c>
      <c r="AE1277" s="45">
        <f t="shared" ca="1" si="1670"/>
        <v>6.3847072090583081</v>
      </c>
      <c r="AF1277" s="45">
        <f t="shared" ca="1" si="1658"/>
        <v>0</v>
      </c>
      <c r="AG1277" s="76">
        <f t="shared" ca="1" si="1659"/>
        <v>64.195024968034204</v>
      </c>
      <c r="AH1277" s="45">
        <f t="shared" ca="1" si="1660"/>
        <v>5.5105353247580438E-2</v>
      </c>
      <c r="AI1277" s="77">
        <f t="shared" ca="1" si="1661"/>
        <v>1.1171361919675847E-2</v>
      </c>
      <c r="AJ1277" s="384">
        <f t="shared" ca="1" si="1663"/>
        <v>1.5166341338622713E-2</v>
      </c>
      <c r="AU1277" s="1"/>
    </row>
    <row r="1278" spans="3:47" x14ac:dyDescent="0.25">
      <c r="C1278" s="10">
        <f t="shared" si="1688"/>
        <v>98</v>
      </c>
      <c r="D1278" s="91">
        <f t="shared" si="1671"/>
        <v>12</v>
      </c>
      <c r="E1278" s="278"/>
      <c r="F1278" s="76">
        <f t="shared" ref="F1278:Q1278" ca="1" si="1715">F1206</f>
        <v>-0.63</v>
      </c>
      <c r="G1278" s="46">
        <f t="shared" ca="1" si="1715"/>
        <v>27.012600000000003</v>
      </c>
      <c r="H1278" s="46">
        <f t="shared" ca="1" si="1647"/>
        <v>28.517550000000004</v>
      </c>
      <c r="I1278" s="45">
        <f t="shared" ca="1" si="1648"/>
        <v>5.069926650983797E-2</v>
      </c>
      <c r="J1278" s="45">
        <f t="shared" ca="1" si="1649"/>
        <v>0.27952512346894071</v>
      </c>
      <c r="K1278" s="45">
        <f t="shared" ca="1" si="1665"/>
        <v>0.90345467800480783</v>
      </c>
      <c r="L1278" s="358">
        <f t="shared" ca="1" si="1650"/>
        <v>0.3403279781726225</v>
      </c>
      <c r="M1278" s="76">
        <f t="shared" ca="1" si="1715"/>
        <v>0.25347808785320641</v>
      </c>
      <c r="N1278" s="45">
        <f t="shared" ca="1" si="1715"/>
        <v>0.25</v>
      </c>
      <c r="O1278" s="45">
        <f t="shared" ca="1" si="1715"/>
        <v>0</v>
      </c>
      <c r="P1278" s="46" t="str">
        <f t="shared" ca="1" si="1715"/>
        <v/>
      </c>
      <c r="Q1278" s="243" t="str">
        <f t="shared" ca="1" si="1715"/>
        <v/>
      </c>
      <c r="R1278" s="45">
        <f t="shared" ca="1" si="1666"/>
        <v>0.14771234296345001</v>
      </c>
      <c r="S1278" s="45">
        <f t="shared" ca="1" si="1690"/>
        <v>5.0695617570641283E-2</v>
      </c>
      <c r="T1278" s="77">
        <f t="shared" ca="1" si="1651"/>
        <v>6.1107593251454049E-3</v>
      </c>
      <c r="U1278" s="45">
        <f t="shared" ca="1" si="1667"/>
        <v>17.55293048480705</v>
      </c>
      <c r="V1278" s="45">
        <f t="shared" ca="1" si="1652"/>
        <v>0.20278247028256513</v>
      </c>
      <c r="W1278" s="77">
        <f t="shared" ca="1" si="1653"/>
        <v>2.223392399488602E-2</v>
      </c>
      <c r="X1278" s="45">
        <f t="shared" ca="1" si="1668"/>
        <v>1.0407188125096918</v>
      </c>
      <c r="Y1278" s="45">
        <f t="shared" ca="1" si="1654"/>
        <v>2.8501202198340982E-3</v>
      </c>
      <c r="Z1278" s="77">
        <f t="shared" ca="1" si="1655"/>
        <v>2.8979601238407755E-3</v>
      </c>
      <c r="AA1278" s="45">
        <f t="shared" ca="1" si="1669"/>
        <v>39.267328853301336</v>
      </c>
      <c r="AB1278" s="45">
        <f t="shared" ca="1" si="1656"/>
        <v>0</v>
      </c>
      <c r="AC1278" s="45" cm="1">
        <f t="array" aca="1" ref="AC1278" ca="1">pHUM*(T1278+W1278+Z1278+AD1278)</f>
        <v>3.3530826115695275E-3</v>
      </c>
      <c r="AD1278" s="77">
        <f t="shared" ca="1" si="1657"/>
        <v>3.3179011031701181E-3</v>
      </c>
      <c r="AE1278" s="45">
        <f t="shared" ca="1" si="1670"/>
        <v>6.3847072090583081</v>
      </c>
      <c r="AF1278" s="45">
        <f t="shared" ca="1" si="1658"/>
        <v>0</v>
      </c>
      <c r="AG1278" s="76">
        <f t="shared" ca="1" si="1659"/>
        <v>64.393397702639831</v>
      </c>
      <c r="AH1278" s="45">
        <f t="shared" ca="1" si="1660"/>
        <v>2.8357341715638695E-2</v>
      </c>
      <c r="AI1278" s="77">
        <f t="shared" ca="1" si="1661"/>
        <v>1.1801713815777343E-2</v>
      </c>
      <c r="AJ1278" s="384">
        <f t="shared" ca="1" si="1663"/>
        <v>1.2808372653169142E-2</v>
      </c>
      <c r="AU1278" s="1"/>
    </row>
    <row r="1279" spans="3:47" x14ac:dyDescent="0.25">
      <c r="C1279" s="10">
        <f t="shared" si="1688"/>
        <v>99</v>
      </c>
      <c r="D1279" s="91">
        <f t="shared" si="1671"/>
        <v>1</v>
      </c>
      <c r="E1279" s="278"/>
      <c r="F1279" s="76">
        <f t="shared" ref="F1279:Q1279" ca="1" si="1716">F1207</f>
        <v>-5.04</v>
      </c>
      <c r="G1279" s="46">
        <f t="shared" ca="1" si="1716"/>
        <v>27.012600000000003</v>
      </c>
      <c r="H1279" s="46">
        <f t="shared" ca="1" si="1647"/>
        <v>28.517550000000004</v>
      </c>
      <c r="I1279" s="45">
        <f t="shared" ca="1" si="1648"/>
        <v>6.847402527399577E-3</v>
      </c>
      <c r="J1279" s="45">
        <f t="shared" ca="1" si="1649"/>
        <v>0.27952512346894071</v>
      </c>
      <c r="K1279" s="45">
        <f t="shared" ca="1" si="1665"/>
        <v>0.90345467800480783</v>
      </c>
      <c r="L1279" s="358">
        <f t="shared" ca="1" si="1650"/>
        <v>0.21084054547214914</v>
      </c>
      <c r="M1279" s="76">
        <f t="shared" ca="1" si="1716"/>
        <v>0.25347808785320641</v>
      </c>
      <c r="N1279" s="45">
        <f t="shared" ca="1" si="1716"/>
        <v>0.25</v>
      </c>
      <c r="O1279" s="45">
        <f t="shared" ca="1" si="1716"/>
        <v>0</v>
      </c>
      <c r="P1279" s="46" t="str">
        <f t="shared" ca="1" si="1716"/>
        <v/>
      </c>
      <c r="Q1279" s="243" t="str">
        <f t="shared" ca="1" si="1716"/>
        <v/>
      </c>
      <c r="R1279" s="45">
        <f t="shared" ca="1" si="1666"/>
        <v>0.19229720120894589</v>
      </c>
      <c r="S1279" s="45">
        <f t="shared" ca="1" si="1690"/>
        <v>5.0695617570641283E-2</v>
      </c>
      <c r="T1279" s="77">
        <f t="shared" ca="1" si="1651"/>
        <v>1.0941555975497383E-3</v>
      </c>
      <c r="U1279" s="45">
        <f t="shared" ca="1" si="1667"/>
        <v>17.733479031094728</v>
      </c>
      <c r="V1279" s="45">
        <f t="shared" ca="1" si="1652"/>
        <v>0.20278247028256513</v>
      </c>
      <c r="W1279" s="77">
        <f t="shared" ca="1" si="1653"/>
        <v>3.0354469094294903E-3</v>
      </c>
      <c r="X1279" s="45">
        <f t="shared" ca="1" si="1668"/>
        <v>1.0406709726056851</v>
      </c>
      <c r="Y1279" s="45">
        <f t="shared" ca="1" si="1654"/>
        <v>4.0982884649445775E-4</v>
      </c>
      <c r="Z1279" s="77">
        <f t="shared" ca="1" si="1655"/>
        <v>3.9185032619401929E-4</v>
      </c>
      <c r="AA1279" s="45">
        <f t="shared" ca="1" si="1669"/>
        <v>39.267364034809731</v>
      </c>
      <c r="AB1279" s="45">
        <f t="shared" ca="1" si="1656"/>
        <v>0</v>
      </c>
      <c r="AC1279" s="45" cm="1">
        <f t="array" aca="1" ref="AC1279" ca="1">pHUM*(T1279+W1279+Z1279+AD1279)</f>
        <v>4.8215158411112676E-4</v>
      </c>
      <c r="AD1279" s="77">
        <f t="shared" ca="1" si="1657"/>
        <v>4.4812985578404038E-4</v>
      </c>
      <c r="AE1279" s="45">
        <f t="shared" ca="1" si="1670"/>
        <v>6.3847072090583081</v>
      </c>
      <c r="AF1279" s="45">
        <f t="shared" ca="1" si="1658"/>
        <v>0</v>
      </c>
      <c r="AG1279" s="76">
        <f t="shared" ca="1" si="1659"/>
        <v>64.618518448777394</v>
      </c>
      <c r="AH1279" s="45">
        <f t="shared" ca="1" si="1660"/>
        <v>4.0776022583517042E-3</v>
      </c>
      <c r="AI1279" s="77">
        <f t="shared" ca="1" si="1661"/>
        <v>1.2471571724540088E-2</v>
      </c>
      <c r="AJ1279" s="384">
        <f t="shared" ca="1" si="1663"/>
        <v>8.3854882341649617E-3</v>
      </c>
      <c r="AU1279" s="1"/>
    </row>
    <row r="1280" spans="3:47" x14ac:dyDescent="0.25">
      <c r="C1280" s="10">
        <f t="shared" si="1688"/>
        <v>99</v>
      </c>
      <c r="D1280" s="91">
        <f t="shared" si="1671"/>
        <v>2</v>
      </c>
      <c r="E1280" s="278"/>
      <c r="F1280" s="76">
        <f t="shared" ref="F1280:Q1280" ca="1" si="1717">F1208</f>
        <v>-4.4400000000000004</v>
      </c>
      <c r="G1280" s="46">
        <f t="shared" ca="1" si="1717"/>
        <v>27.012600000000003</v>
      </c>
      <c r="H1280" s="46">
        <f t="shared" ca="1" si="1647"/>
        <v>28.517550000000004</v>
      </c>
      <c r="I1280" s="45">
        <f t="shared" ca="1" si="1648"/>
        <v>9.6941753008840392E-3</v>
      </c>
      <c r="J1280" s="45">
        <f t="shared" ca="1" si="1649"/>
        <v>0.27952512346894071</v>
      </c>
      <c r="K1280" s="45">
        <f t="shared" ca="1" si="1665"/>
        <v>0.90345467800480783</v>
      </c>
      <c r="L1280" s="358">
        <f t="shared" ca="1" si="1650"/>
        <v>0.22612365929309886</v>
      </c>
      <c r="M1280" s="76">
        <f t="shared" ca="1" si="1717"/>
        <v>0.25347808785320641</v>
      </c>
      <c r="N1280" s="45">
        <f t="shared" ca="1" si="1717"/>
        <v>0.25</v>
      </c>
      <c r="O1280" s="45">
        <f t="shared" ca="1" si="1717"/>
        <v>0</v>
      </c>
      <c r="P1280" s="46" t="str">
        <f t="shared" ca="1" si="1717"/>
        <v/>
      </c>
      <c r="Q1280" s="243" t="str">
        <f t="shared" ca="1" si="1717"/>
        <v/>
      </c>
      <c r="R1280" s="45">
        <f t="shared" ca="1" si="1666"/>
        <v>0.24189866318203743</v>
      </c>
      <c r="S1280" s="45">
        <f t="shared" ca="1" si="1690"/>
        <v>5.0695617570641283E-2</v>
      </c>
      <c r="T1280" s="77">
        <f t="shared" ca="1" si="1651"/>
        <v>1.9463012095627269E-3</v>
      </c>
      <c r="U1280" s="45">
        <f t="shared" ca="1" si="1667"/>
        <v>17.933226054467863</v>
      </c>
      <c r="V1280" s="45">
        <f t="shared" ca="1" si="1652"/>
        <v>0.20278247028256513</v>
      </c>
      <c r="W1280" s="77">
        <f t="shared" ca="1" si="1653"/>
        <v>4.3456693097889991E-3</v>
      </c>
      <c r="X1280" s="45">
        <f t="shared" ca="1" si="1668"/>
        <v>1.0406889511259856</v>
      </c>
      <c r="Y1280" s="45">
        <f t="shared" ca="1" si="1654"/>
        <v>6.1695004602609798E-4</v>
      </c>
      <c r="Z1280" s="77">
        <f t="shared" ca="1" si="1655"/>
        <v>5.5472626440812058E-4</v>
      </c>
      <c r="AA1280" s="45">
        <f t="shared" ca="1" si="1669"/>
        <v>39.267398056538056</v>
      </c>
      <c r="AB1280" s="45">
        <f t="shared" ca="1" si="1656"/>
        <v>0</v>
      </c>
      <c r="AC1280" s="45" cm="1">
        <f t="array" aca="1" ref="AC1280" ca="1">pHUM*(T1280+W1280+Z1280+AD1280)</f>
        <v>7.2582358356011538E-4</v>
      </c>
      <c r="AD1280" s="77">
        <f t="shared" ca="1" si="1657"/>
        <v>6.3443660865049355E-4</v>
      </c>
      <c r="AE1280" s="45">
        <f t="shared" ca="1" si="1670"/>
        <v>6.3847072090583081</v>
      </c>
      <c r="AF1280" s="45">
        <f t="shared" ca="1" si="1658"/>
        <v>0</v>
      </c>
      <c r="AG1280" s="76">
        <f t="shared" ca="1" si="1659"/>
        <v>64.867918934372256</v>
      </c>
      <c r="AH1280" s="45">
        <f t="shared" ca="1" si="1660"/>
        <v>6.1383597628241271E-3</v>
      </c>
      <c r="AI1280" s="77">
        <f t="shared" ca="1" si="1661"/>
        <v>1.3210567676213003E-2</v>
      </c>
      <c r="AJ1280" s="384">
        <f t="shared" ca="1" si="1663"/>
        <v>9.5262078240554438E-3</v>
      </c>
      <c r="AU1280" s="1"/>
    </row>
    <row r="1281" spans="3:47" x14ac:dyDescent="0.25">
      <c r="C1281" s="10">
        <f t="shared" si="1688"/>
        <v>99</v>
      </c>
      <c r="D1281" s="91">
        <f t="shared" si="1671"/>
        <v>3</v>
      </c>
      <c r="E1281" s="278"/>
      <c r="F1281" s="76">
        <f t="shared" ref="F1281:Q1281" ca="1" si="1718">F1209</f>
        <v>-0.82</v>
      </c>
      <c r="G1281" s="46">
        <f t="shared" ca="1" si="1718"/>
        <v>27.012600000000003</v>
      </c>
      <c r="H1281" s="46">
        <f t="shared" ca="1" si="1647"/>
        <v>28.517550000000004</v>
      </c>
      <c r="I1281" s="45">
        <f t="shared" ca="1" si="1648"/>
        <v>4.749388171975074E-2</v>
      </c>
      <c r="J1281" s="45">
        <f t="shared" ca="1" si="1649"/>
        <v>0.27952512346894071</v>
      </c>
      <c r="K1281" s="45">
        <f t="shared" ca="1" si="1665"/>
        <v>0.90345467800480783</v>
      </c>
      <c r="L1281" s="358">
        <f t="shared" ca="1" si="1650"/>
        <v>0.33399301288143546</v>
      </c>
      <c r="M1281" s="76">
        <f t="shared" ca="1" si="1718"/>
        <v>0.25347808785320641</v>
      </c>
      <c r="N1281" s="45">
        <f t="shared" ca="1" si="1718"/>
        <v>0.25</v>
      </c>
      <c r="O1281" s="45">
        <f t="shared" ca="1" si="1718"/>
        <v>0</v>
      </c>
      <c r="P1281" s="46" t="str">
        <f t="shared" ca="1" si="1718"/>
        <v/>
      </c>
      <c r="Q1281" s="243" t="str">
        <f t="shared" ca="1" si="1718"/>
        <v/>
      </c>
      <c r="R1281" s="45">
        <f t="shared" ca="1" si="1666"/>
        <v>0.29064797954311594</v>
      </c>
      <c r="S1281" s="45">
        <f t="shared" ca="1" si="1690"/>
        <v>5.0695617570641283E-2</v>
      </c>
      <c r="T1281" s="77">
        <f t="shared" ca="1" si="1651"/>
        <v>1.1278666868164679E-2</v>
      </c>
      <c r="U1281" s="45">
        <f t="shared" ca="1" si="1667"/>
        <v>18.131662855440638</v>
      </c>
      <c r="V1281" s="45">
        <f t="shared" ca="1" si="1652"/>
        <v>0.20278247028256513</v>
      </c>
      <c r="W1281" s="77">
        <f t="shared" ca="1" si="1653"/>
        <v>2.1515800387248894E-2</v>
      </c>
      <c r="X1281" s="45">
        <f t="shared" ca="1" si="1668"/>
        <v>1.0407511749076035</v>
      </c>
      <c r="Y1281" s="45">
        <f t="shared" ca="1" si="1654"/>
        <v>3.1847022471593184E-3</v>
      </c>
      <c r="Z1281" s="77">
        <f t="shared" ca="1" si="1655"/>
        <v>2.7150645859126956E-3</v>
      </c>
      <c r="AA1281" s="45">
        <f t="shared" ca="1" si="1669"/>
        <v>39.267489443512964</v>
      </c>
      <c r="AB1281" s="45">
        <f t="shared" ca="1" si="1656"/>
        <v>0</v>
      </c>
      <c r="AC1281" s="45" cm="1">
        <f t="array" aca="1" ref="AC1281" ca="1">pHUM*(T1281+W1281+Z1281+AD1281)</f>
        <v>3.7467085260697868E-3</v>
      </c>
      <c r="AD1281" s="77">
        <f t="shared" ca="1" si="1657"/>
        <v>3.1081528149448801E-3</v>
      </c>
      <c r="AE1281" s="45">
        <f t="shared" ca="1" si="1670"/>
        <v>6.3847072090583081</v>
      </c>
      <c r="AF1281" s="45">
        <f t="shared" ca="1" si="1658"/>
        <v>0</v>
      </c>
      <c r="AG1281" s="76">
        <f t="shared" ca="1" si="1659"/>
        <v>65.115258662462637</v>
      </c>
      <c r="AH1281" s="45">
        <f t="shared" ca="1" si="1660"/>
        <v>3.1686273883042043E-2</v>
      </c>
      <c r="AI1281" s="77">
        <f t="shared" ca="1" si="1661"/>
        <v>1.3931170934322282E-2</v>
      </c>
      <c r="AJ1281" s="384">
        <f t="shared" ca="1" si="1663"/>
        <v>1.4838000892418712E-2</v>
      </c>
      <c r="AU1281" s="1"/>
    </row>
    <row r="1282" spans="3:47" x14ac:dyDescent="0.25">
      <c r="C1282" s="10">
        <f t="shared" si="1688"/>
        <v>99</v>
      </c>
      <c r="D1282" s="91">
        <f t="shared" si="1671"/>
        <v>4</v>
      </c>
      <c r="E1282" s="278"/>
      <c r="F1282" s="76">
        <f t="shared" ref="F1282:Q1282" ca="1" si="1719">F1210</f>
        <v>6.18</v>
      </c>
      <c r="G1282" s="46">
        <f t="shared" ca="1" si="1719"/>
        <v>27.012600000000003</v>
      </c>
      <c r="H1282" s="46">
        <f t="shared" ca="1" si="1647"/>
        <v>28.517550000000004</v>
      </c>
      <c r="I1282" s="45">
        <f t="shared" ca="1" si="1648"/>
        <v>0.26773980091806004</v>
      </c>
      <c r="J1282" s="45">
        <f t="shared" ca="1" si="1649"/>
        <v>0.27952512346894071</v>
      </c>
      <c r="K1282" s="45">
        <f t="shared" ca="1" si="1665"/>
        <v>0.90345467800480783</v>
      </c>
      <c r="L1282" s="358">
        <f t="shared" ca="1" si="1650"/>
        <v>0.58750950384279488</v>
      </c>
      <c r="M1282" s="76">
        <f t="shared" ca="1" si="1719"/>
        <v>0.25347808785320641</v>
      </c>
      <c r="N1282" s="45">
        <f t="shared" ca="1" si="1719"/>
        <v>0.25</v>
      </c>
      <c r="O1282" s="45">
        <f t="shared" ca="1" si="1719"/>
        <v>0</v>
      </c>
      <c r="P1282" s="46" t="str">
        <f t="shared" ca="1" si="1719"/>
        <v/>
      </c>
      <c r="Q1282" s="243" t="str">
        <f t="shared" ca="1" si="1719"/>
        <v/>
      </c>
      <c r="R1282" s="45">
        <f t="shared" ca="1" si="1666"/>
        <v>0.33006493024559252</v>
      </c>
      <c r="S1282" s="45">
        <f t="shared" ca="1" si="1690"/>
        <v>5.0695617570641283E-2</v>
      </c>
      <c r="T1282" s="77">
        <f t="shared" ca="1" si="1651"/>
        <v>6.6005843202412762E-2</v>
      </c>
      <c r="U1282" s="45">
        <f t="shared" ca="1" si="1667"/>
        <v>18.312929525335953</v>
      </c>
      <c r="V1282" s="45">
        <f t="shared" ca="1" si="1652"/>
        <v>0.20278247028256513</v>
      </c>
      <c r="W1282" s="77">
        <f t="shared" ca="1" si="1653"/>
        <v>0.12216818045609938</v>
      </c>
      <c r="X1282" s="45">
        <f t="shared" ca="1" si="1668"/>
        <v>1.0412208125688502</v>
      </c>
      <c r="Y1282" s="45">
        <f t="shared" ca="1" si="1654"/>
        <v>1.8218150062236243E-2</v>
      </c>
      <c r="Z1282" s="77">
        <f t="shared" ca="1" si="1655"/>
        <v>1.522035378196991E-2</v>
      </c>
      <c r="AA1282" s="45">
        <f t="shared" ca="1" si="1669"/>
        <v>39.268127999224092</v>
      </c>
      <c r="AB1282" s="45">
        <f t="shared" ca="1" si="1656"/>
        <v>0</v>
      </c>
      <c r="AC1282" s="45" cm="1">
        <f t="array" aca="1" ref="AC1282" ca="1">pHUM*(T1282+W1282+Z1282+AD1282)</f>
        <v>2.1433117720277933E-2</v>
      </c>
      <c r="AD1282" s="77">
        <f t="shared" ca="1" si="1657"/>
        <v>1.7518825591798241E-2</v>
      </c>
      <c r="AE1282" s="45">
        <f t="shared" ca="1" si="1670"/>
        <v>6.3847072090583081</v>
      </c>
      <c r="AF1282" s="45">
        <f t="shared" ca="1" si="1658"/>
        <v>0</v>
      </c>
      <c r="AG1282" s="76">
        <f t="shared" ca="1" si="1659"/>
        <v>65.337050476432793</v>
      </c>
      <c r="AH1282" s="45">
        <f t="shared" ca="1" si="1660"/>
        <v>0.18126193524976614</v>
      </c>
      <c r="AI1282" s="77">
        <f t="shared" ca="1" si="1661"/>
        <v>1.4513271635037604E-2</v>
      </c>
      <c r="AJ1282" s="384">
        <f t="shared" ca="1" si="1663"/>
        <v>2.7191023117870694E-2</v>
      </c>
      <c r="AU1282" s="1"/>
    </row>
    <row r="1283" spans="3:47" x14ac:dyDescent="0.25">
      <c r="C1283" s="10">
        <f t="shared" si="1688"/>
        <v>99</v>
      </c>
      <c r="D1283" s="91">
        <f t="shared" si="1671"/>
        <v>5</v>
      </c>
      <c r="E1283" s="278"/>
      <c r="F1283" s="76">
        <f t="shared" ref="F1283:Q1283" ca="1" si="1720">F1211</f>
        <v>13.58</v>
      </c>
      <c r="G1283" s="46">
        <f t="shared" ca="1" si="1720"/>
        <v>27.012600000000003</v>
      </c>
      <c r="H1283" s="46">
        <f t="shared" ca="1" si="1647"/>
        <v>28.517550000000004</v>
      </c>
      <c r="I1283" s="45">
        <f t="shared" ca="1" si="1648"/>
        <v>0.71743035359667851</v>
      </c>
      <c r="J1283" s="45">
        <f t="shared" ca="1" si="1649"/>
        <v>0.27952512346894071</v>
      </c>
      <c r="K1283" s="45">
        <f t="shared" ca="1" si="1665"/>
        <v>0.90345467800480783</v>
      </c>
      <c r="L1283" s="358">
        <f t="shared" ca="1" si="1650"/>
        <v>0.81042644426030708</v>
      </c>
      <c r="M1283" s="76">
        <f t="shared" ca="1" si="1720"/>
        <v>0.25347808785320641</v>
      </c>
      <c r="N1283" s="45">
        <f t="shared" ca="1" si="1720"/>
        <v>0.25</v>
      </c>
      <c r="O1283" s="45">
        <f t="shared" ca="1" si="1720"/>
        <v>0</v>
      </c>
      <c r="P1283" s="46" t="str">
        <f t="shared" ca="1" si="1720"/>
        <v/>
      </c>
      <c r="Q1283" s="243" t="str">
        <f t="shared" ca="1" si="1720"/>
        <v/>
      </c>
      <c r="R1283" s="45">
        <f t="shared" ca="1" si="1666"/>
        <v>0.31475470461382105</v>
      </c>
      <c r="S1283" s="45">
        <f t="shared" ca="1" si="1690"/>
        <v>5.0695617570641283E-2</v>
      </c>
      <c r="T1283" s="77">
        <f t="shared" ca="1" si="1651"/>
        <v>0.14164336103755834</v>
      </c>
      <c r="U1283" s="45">
        <f t="shared" ca="1" si="1667"/>
        <v>18.393543815162417</v>
      </c>
      <c r="V1283" s="45">
        <f t="shared" ca="1" si="1652"/>
        <v>0.20278247028256513</v>
      </c>
      <c r="W1283" s="77">
        <f t="shared" ca="1" si="1653"/>
        <v>0.32696125199119858</v>
      </c>
      <c r="X1283" s="45">
        <f t="shared" ca="1" si="1668"/>
        <v>1.0442186088491165</v>
      </c>
      <c r="Y1283" s="45">
        <f t="shared" ca="1" si="1654"/>
        <v>4.5846624501746765E-2</v>
      </c>
      <c r="Z1283" s="77">
        <f t="shared" ca="1" si="1655"/>
        <v>4.040114729197896E-2</v>
      </c>
      <c r="AA1283" s="45">
        <f t="shared" ca="1" si="1669"/>
        <v>39.27204229135257</v>
      </c>
      <c r="AB1283" s="45">
        <f t="shared" ca="1" si="1656"/>
        <v>0</v>
      </c>
      <c r="AC1283" s="45" cm="1">
        <f t="array" aca="1" ref="AC1283" ca="1">pHUM*(T1283+W1283+Z1283+AD1283)</f>
        <v>5.3937205296172665E-2</v>
      </c>
      <c r="AD1283" s="77">
        <f t="shared" ca="1" si="1657"/>
        <v>4.6930195432166304E-2</v>
      </c>
      <c r="AE1283" s="45">
        <f t="shared" ca="1" si="1670"/>
        <v>6.3847072090583081</v>
      </c>
      <c r="AF1283" s="45">
        <f t="shared" ca="1" si="1658"/>
        <v>0</v>
      </c>
      <c r="AG1283" s="76">
        <f t="shared" ca="1" si="1659"/>
        <v>65.409266629036239</v>
      </c>
      <c r="AH1283" s="45">
        <f t="shared" ca="1" si="1660"/>
        <v>0.45615212595498272</v>
      </c>
      <c r="AI1283" s="77">
        <f t="shared" ca="1" si="1661"/>
        <v>1.431640690191844E-2</v>
      </c>
      <c r="AJ1283" s="384">
        <f t="shared" ca="1" si="1663"/>
        <v>3.6998911507033494E-2</v>
      </c>
      <c r="AU1283" s="1"/>
    </row>
    <row r="1284" spans="3:47" x14ac:dyDescent="0.25">
      <c r="C1284" s="10">
        <f t="shared" si="1688"/>
        <v>99</v>
      </c>
      <c r="D1284" s="91">
        <f t="shared" si="1671"/>
        <v>6</v>
      </c>
      <c r="E1284" s="278"/>
      <c r="F1284" s="76">
        <f t="shared" ref="F1284:Q1284" ca="1" si="1721">F1212</f>
        <v>18.37</v>
      </c>
      <c r="G1284" s="46">
        <f t="shared" ca="1" si="1721"/>
        <v>27.012600000000003</v>
      </c>
      <c r="H1284" s="46">
        <f t="shared" ca="1" si="1647"/>
        <v>28.517550000000004</v>
      </c>
      <c r="I1284" s="45">
        <f t="shared" ca="1" si="1648"/>
        <v>1.0882596087882719</v>
      </c>
      <c r="J1284" s="45">
        <f t="shared" ca="1" si="1649"/>
        <v>0.27952512346894071</v>
      </c>
      <c r="K1284" s="45">
        <f t="shared" ca="1" si="1665"/>
        <v>0.90345467800480783</v>
      </c>
      <c r="L1284" s="358">
        <f t="shared" ca="1" si="1650"/>
        <v>0.89586760620832129</v>
      </c>
      <c r="M1284" s="76">
        <f t="shared" ca="1" si="1721"/>
        <v>0.25347808785320641</v>
      </c>
      <c r="N1284" s="45">
        <f t="shared" ca="1" si="1721"/>
        <v>0.25</v>
      </c>
      <c r="O1284" s="45">
        <f t="shared" ca="1" si="1721"/>
        <v>0</v>
      </c>
      <c r="P1284" s="46" t="str">
        <f t="shared" ca="1" si="1721"/>
        <v/>
      </c>
      <c r="Q1284" s="243" t="str">
        <f t="shared" ca="1" si="1721"/>
        <v/>
      </c>
      <c r="R1284" s="45">
        <f t="shared" ca="1" si="1666"/>
        <v>0.22380696114690399</v>
      </c>
      <c r="S1284" s="45">
        <f t="shared" ca="1" si="1690"/>
        <v>5.0695617570641283E-2</v>
      </c>
      <c r="T1284" s="77">
        <f t="shared" ca="1" si="1651"/>
        <v>0.1334379969187959</v>
      </c>
      <c r="U1284" s="45">
        <f t="shared" ca="1" si="1667"/>
        <v>18.269365033453781</v>
      </c>
      <c r="V1284" s="45">
        <f t="shared" ca="1" si="1652"/>
        <v>0.20278247028256513</v>
      </c>
      <c r="W1284" s="77">
        <f t="shared" ca="1" si="1653"/>
        <v>0.49034477548803768</v>
      </c>
      <c r="X1284" s="45">
        <f t="shared" ca="1" si="1668"/>
        <v>1.0496640860588844</v>
      </c>
      <c r="Y1284" s="45">
        <f t="shared" ca="1" si="1654"/>
        <v>6.2340847169026971E-2</v>
      </c>
      <c r="Z1284" s="77">
        <f t="shared" ca="1" si="1655"/>
        <v>6.0983616110630808E-2</v>
      </c>
      <c r="AA1284" s="45">
        <f t="shared" ca="1" si="1669"/>
        <v>39.279049301216574</v>
      </c>
      <c r="AB1284" s="45">
        <f t="shared" ca="1" si="1656"/>
        <v>0</v>
      </c>
      <c r="AC1284" s="45" cm="1">
        <f t="array" aca="1" ref="AC1284" ca="1">pHUM*(T1284+W1284+Z1284+AD1284)</f>
        <v>7.3342173140031733E-2</v>
      </c>
      <c r="AD1284" s="77">
        <f t="shared" ca="1" si="1657"/>
        <v>7.1178434684037714E-2</v>
      </c>
      <c r="AE1284" s="45">
        <f t="shared" ca="1" si="1670"/>
        <v>6.3847072090583081</v>
      </c>
      <c r="AF1284" s="45">
        <f t="shared" ca="1" si="1658"/>
        <v>0</v>
      </c>
      <c r="AG1284" s="76">
        <f t="shared" ca="1" si="1659"/>
        <v>65.206592590934449</v>
      </c>
      <c r="AH1284" s="45">
        <f t="shared" ca="1" si="1660"/>
        <v>0.62026180289244348</v>
      </c>
      <c r="AI1284" s="77">
        <f t="shared" ca="1" si="1661"/>
        <v>1.3029785235856801E-2</v>
      </c>
      <c r="AJ1284" s="384">
        <f t="shared" ca="1" si="1663"/>
        <v>3.7223937373875859E-2</v>
      </c>
      <c r="AU1284" s="1"/>
    </row>
    <row r="1285" spans="3:47" x14ac:dyDescent="0.25">
      <c r="C1285" s="10">
        <f t="shared" si="1688"/>
        <v>99</v>
      </c>
      <c r="D1285" s="91">
        <f t="shared" si="1671"/>
        <v>7</v>
      </c>
      <c r="E1285" s="278"/>
      <c r="F1285" s="76">
        <f t="shared" ref="F1285:Q1285" ca="1" si="1722">F1213</f>
        <v>22.71</v>
      </c>
      <c r="G1285" s="46">
        <f t="shared" ca="1" si="1722"/>
        <v>27.012600000000003</v>
      </c>
      <c r="H1285" s="46">
        <f t="shared" ca="1" si="1647"/>
        <v>28.517550000000004</v>
      </c>
      <c r="I1285" s="45">
        <f t="shared" ca="1" si="1648"/>
        <v>1.4513708414333564</v>
      </c>
      <c r="J1285" s="45">
        <f t="shared" ca="1" si="1649"/>
        <v>0.27952512346894071</v>
      </c>
      <c r="K1285" s="45">
        <f t="shared" ca="1" si="1665"/>
        <v>0.90345467800480783</v>
      </c>
      <c r="L1285" s="358">
        <f t="shared" ca="1" si="1650"/>
        <v>0.94004721434733285</v>
      </c>
      <c r="M1285" s="76">
        <f t="shared" ca="1" si="1722"/>
        <v>0.25347808785320641</v>
      </c>
      <c r="N1285" s="45">
        <f t="shared" ca="1" si="1722"/>
        <v>0.25</v>
      </c>
      <c r="O1285" s="45">
        <f t="shared" ca="1" si="1722"/>
        <v>0</v>
      </c>
      <c r="P1285" s="46" t="str">
        <f t="shared" ca="1" si="1722"/>
        <v/>
      </c>
      <c r="Q1285" s="243" t="str">
        <f t="shared" ca="1" si="1722"/>
        <v/>
      </c>
      <c r="R1285" s="45">
        <f t="shared" ca="1" si="1666"/>
        <v>0.14106458179874934</v>
      </c>
      <c r="S1285" s="45">
        <f t="shared" ca="1" si="1690"/>
        <v>5.0695617570641283E-2</v>
      </c>
      <c r="T1285" s="77">
        <f t="shared" ca="1" si="1651"/>
        <v>9.8977446831495092E-2</v>
      </c>
      <c r="U1285" s="45">
        <f t="shared" ca="1" si="1667"/>
        <v>17.981802728248308</v>
      </c>
      <c r="V1285" s="45">
        <f t="shared" ca="1" si="1652"/>
        <v>0.20278247028256513</v>
      </c>
      <c r="W1285" s="77">
        <f t="shared" ca="1" si="1653"/>
        <v>0.64076152359227945</v>
      </c>
      <c r="X1285" s="45">
        <f t="shared" ca="1" si="1668"/>
        <v>1.0510213171172806</v>
      </c>
      <c r="Y1285" s="45">
        <f t="shared" ca="1" si="1654"/>
        <v>7.5480849115230134E-2</v>
      </c>
      <c r="Z1285" s="77">
        <f t="shared" ca="1" si="1655"/>
        <v>8.0636940953399003E-2</v>
      </c>
      <c r="AA1285" s="45">
        <f t="shared" ca="1" si="1669"/>
        <v>39.281213039672572</v>
      </c>
      <c r="AB1285" s="45">
        <f t="shared" ca="1" si="1656"/>
        <v>0</v>
      </c>
      <c r="AC1285" s="45" cm="1">
        <f t="array" aca="1" ref="AC1285" ca="1">pHUM*(T1285+W1285+Z1285+AD1285)</f>
        <v>8.8800998959094282E-2</v>
      </c>
      <c r="AD1285" s="77">
        <f t="shared" ca="1" si="1657"/>
        <v>9.4904514389335948E-2</v>
      </c>
      <c r="AE1285" s="45">
        <f t="shared" ca="1" si="1670"/>
        <v>6.3847072090583081</v>
      </c>
      <c r="AF1285" s="45">
        <f t="shared" ca="1" si="1658"/>
        <v>0</v>
      </c>
      <c r="AG1285" s="76">
        <f t="shared" ca="1" si="1659"/>
        <v>64.839808875895216</v>
      </c>
      <c r="AH1285" s="45">
        <f t="shared" ca="1" si="1660"/>
        <v>0.75099857769218514</v>
      </c>
      <c r="AI1285" s="77">
        <f t="shared" ca="1" si="1661"/>
        <v>1.1810324976381041E-2</v>
      </c>
      <c r="AJ1285" s="384">
        <f t="shared" ca="1" si="1663"/>
        <v>3.5404093467424902E-2</v>
      </c>
      <c r="AU1285" s="1"/>
    </row>
    <row r="1286" spans="3:47" x14ac:dyDescent="0.25">
      <c r="C1286" s="10">
        <f t="shared" si="1688"/>
        <v>99</v>
      </c>
      <c r="D1286" s="91">
        <f t="shared" si="1671"/>
        <v>8</v>
      </c>
      <c r="E1286" s="278"/>
      <c r="F1286" s="76">
        <f t="shared" ref="F1286:Q1286" ca="1" si="1723">F1214</f>
        <v>19.329999999999998</v>
      </c>
      <c r="G1286" s="46">
        <f t="shared" ca="1" si="1723"/>
        <v>27.012600000000003</v>
      </c>
      <c r="H1286" s="46">
        <f t="shared" ca="1" si="1647"/>
        <v>28.517550000000004</v>
      </c>
      <c r="I1286" s="45">
        <f t="shared" ca="1" si="1648"/>
        <v>1.1670427279291871</v>
      </c>
      <c r="J1286" s="45">
        <f t="shared" ca="1" si="1649"/>
        <v>0.27952512346894071</v>
      </c>
      <c r="K1286" s="45">
        <f t="shared" ca="1" si="1665"/>
        <v>0.90345467800480783</v>
      </c>
      <c r="L1286" s="358">
        <f t="shared" ca="1" si="1650"/>
        <v>0.9079689727892073</v>
      </c>
      <c r="M1286" s="76">
        <f t="shared" ca="1" si="1723"/>
        <v>0.25347808785320641</v>
      </c>
      <c r="N1286" s="45">
        <f t="shared" ca="1" si="1723"/>
        <v>0.25</v>
      </c>
      <c r="O1286" s="45">
        <f t="shared" ca="1" si="1723"/>
        <v>0</v>
      </c>
      <c r="P1286" s="46" t="str">
        <f t="shared" ca="1" si="1723"/>
        <v/>
      </c>
      <c r="Q1286" s="243" t="str">
        <f t="shared" ca="1" si="1723"/>
        <v/>
      </c>
      <c r="R1286" s="45">
        <f t="shared" ca="1" si="1666"/>
        <v>9.278275253789553E-2</v>
      </c>
      <c r="S1286" s="45">
        <f t="shared" ca="1" si="1690"/>
        <v>5.0695617570641283E-2</v>
      </c>
      <c r="T1286" s="77">
        <f t="shared" ca="1" si="1651"/>
        <v>5.7699455138857644E-2</v>
      </c>
      <c r="U1286" s="45">
        <f t="shared" ca="1" si="1667"/>
        <v>17.543823674938594</v>
      </c>
      <c r="V1286" s="45">
        <f t="shared" ca="1" si="1652"/>
        <v>0.20278247028256513</v>
      </c>
      <c r="W1286" s="77">
        <f t="shared" ca="1" si="1653"/>
        <v>0.50446486073528407</v>
      </c>
      <c r="X1286" s="45">
        <f t="shared" ca="1" si="1668"/>
        <v>1.0458652252791119</v>
      </c>
      <c r="Y1286" s="45">
        <f t="shared" ca="1" si="1654"/>
        <v>5.8016280468259497E-2</v>
      </c>
      <c r="Z1286" s="77">
        <f t="shared" ca="1" si="1655"/>
        <v>6.5022193324310529E-2</v>
      </c>
      <c r="AA1286" s="45">
        <f t="shared" ca="1" si="1669"/>
        <v>39.275109524242332</v>
      </c>
      <c r="AB1286" s="45">
        <f t="shared" ca="1" si="1656"/>
        <v>0</v>
      </c>
      <c r="AC1286" s="45" cm="1">
        <f t="array" aca="1" ref="AC1286" ca="1">pHUM*(T1286+W1286+Z1286+AD1286)</f>
        <v>6.825444760971705E-2</v>
      </c>
      <c r="AD1286" s="77">
        <f t="shared" ca="1" si="1657"/>
        <v>7.6318638276939479E-2</v>
      </c>
      <c r="AE1286" s="45">
        <f t="shared" ca="1" si="1670"/>
        <v>6.3847072090583081</v>
      </c>
      <c r="AF1286" s="45">
        <f t="shared" ca="1" si="1658"/>
        <v>0</v>
      </c>
      <c r="AG1286" s="76">
        <f t="shared" ca="1" si="1659"/>
        <v>64.342288386056239</v>
      </c>
      <c r="AH1286" s="45">
        <f t="shared" ca="1" si="1660"/>
        <v>0.57723441939741538</v>
      </c>
      <c r="AI1286" s="77">
        <f t="shared" ca="1" si="1661"/>
        <v>1.102350447708751E-2</v>
      </c>
      <c r="AJ1286" s="384">
        <f t="shared" ca="1" si="1663"/>
        <v>3.1917883345131681E-2</v>
      </c>
      <c r="AU1286" s="1"/>
    </row>
    <row r="1287" spans="3:47" x14ac:dyDescent="0.25">
      <c r="C1287" s="10">
        <f t="shared" si="1688"/>
        <v>99</v>
      </c>
      <c r="D1287" s="91">
        <f t="shared" si="1671"/>
        <v>9</v>
      </c>
      <c r="E1287" s="278"/>
      <c r="F1287" s="76">
        <f t="shared" ref="F1287:Q1287" ca="1" si="1724">F1215</f>
        <v>15.36</v>
      </c>
      <c r="G1287" s="46">
        <f t="shared" ca="1" si="1724"/>
        <v>27.012600000000003</v>
      </c>
      <c r="H1287" s="46">
        <f t="shared" ca="1" si="1647"/>
        <v>28.517550000000004</v>
      </c>
      <c r="I1287" s="45">
        <f t="shared" ca="1" si="1648"/>
        <v>0.85004563012661705</v>
      </c>
      <c r="J1287" s="45">
        <f t="shared" ca="1" si="1649"/>
        <v>0.27952512346894071</v>
      </c>
      <c r="K1287" s="45">
        <f t="shared" ca="1" si="1665"/>
        <v>0.90345467800480783</v>
      </c>
      <c r="L1287" s="358">
        <f t="shared" ca="1" si="1650"/>
        <v>0.84745728919304408</v>
      </c>
      <c r="M1287" s="76">
        <f t="shared" ca="1" si="1724"/>
        <v>0.25347808785320641</v>
      </c>
      <c r="N1287" s="45">
        <f t="shared" ca="1" si="1724"/>
        <v>0.25</v>
      </c>
      <c r="O1287" s="45">
        <f t="shared" ca="1" si="1724"/>
        <v>0</v>
      </c>
      <c r="P1287" s="46" t="str">
        <f t="shared" ca="1" si="1724"/>
        <v/>
      </c>
      <c r="Q1287" s="243" t="str">
        <f t="shared" ca="1" si="1724"/>
        <v/>
      </c>
      <c r="R1287" s="45">
        <f t="shared" ca="1" si="1666"/>
        <v>8.5778914969679168E-2</v>
      </c>
      <c r="S1287" s="45">
        <f t="shared" ca="1" si="1690"/>
        <v>5.0695617570641283E-2</v>
      </c>
      <c r="T1287" s="77">
        <f t="shared" ca="1" si="1651"/>
        <v>4.3537468977546526E-2</v>
      </c>
      <c r="U1287" s="45">
        <f t="shared" ca="1" si="1667"/>
        <v>17.242141284485875</v>
      </c>
      <c r="V1287" s="45">
        <f t="shared" ca="1" si="1652"/>
        <v>0.20278247028256513</v>
      </c>
      <c r="W1287" s="77">
        <f t="shared" ca="1" si="1653"/>
        <v>0.36254923474844153</v>
      </c>
      <c r="X1287" s="45">
        <f t="shared" ca="1" si="1668"/>
        <v>1.038859312423061</v>
      </c>
      <c r="Y1287" s="45">
        <f t="shared" ca="1" si="1654"/>
        <v>4.1986657700153751E-2</v>
      </c>
      <c r="Z1287" s="77">
        <f t="shared" ca="1" si="1655"/>
        <v>4.7451401046836504E-2</v>
      </c>
      <c r="AA1287" s="45">
        <f t="shared" ca="1" si="1669"/>
        <v>39.267045333575112</v>
      </c>
      <c r="AB1287" s="45">
        <f t="shared" ca="1" si="1656"/>
        <v>0</v>
      </c>
      <c r="AC1287" s="45" cm="1">
        <f t="array" aca="1" ref="AC1287" ca="1">pHUM*(T1287+W1287+Z1287+AD1287)</f>
        <v>4.9396067882533826E-2</v>
      </c>
      <c r="AD1287" s="77">
        <f t="shared" ca="1" si="1657"/>
        <v>5.5591911473313577E-2</v>
      </c>
      <c r="AE1287" s="45">
        <f t="shared" ca="1" si="1670"/>
        <v>6.3847072090583081</v>
      </c>
      <c r="AF1287" s="45">
        <f t="shared" ca="1" si="1658"/>
        <v>0</v>
      </c>
      <c r="AG1287" s="76">
        <f t="shared" ca="1" si="1659"/>
        <v>64.018532054512036</v>
      </c>
      <c r="AH1287" s="45">
        <f t="shared" ca="1" si="1660"/>
        <v>0.41774729066345057</v>
      </c>
      <c r="AI1287" s="77">
        <f t="shared" ca="1" si="1661"/>
        <v>1.0846378852506153E-2</v>
      </c>
      <c r="AJ1287" s="384">
        <f t="shared" ca="1" si="1663"/>
        <v>2.9312107806517274E-2</v>
      </c>
      <c r="AU1287" s="1"/>
    </row>
    <row r="1288" spans="3:47" x14ac:dyDescent="0.25">
      <c r="C1288" s="10">
        <f t="shared" si="1688"/>
        <v>99</v>
      </c>
      <c r="D1288" s="91">
        <f t="shared" si="1671"/>
        <v>10</v>
      </c>
      <c r="E1288" s="278"/>
      <c r="F1288" s="76">
        <f t="shared" ref="F1288:Q1288" ca="1" si="1725">F1216</f>
        <v>10.24</v>
      </c>
      <c r="G1288" s="46">
        <f t="shared" ca="1" si="1725"/>
        <v>27.012600000000003</v>
      </c>
      <c r="H1288" s="46">
        <f t="shared" ca="1" si="1647"/>
        <v>28.517550000000004</v>
      </c>
      <c r="I1288" s="45">
        <f t="shared" ca="1" si="1648"/>
        <v>0.49116850915432075</v>
      </c>
      <c r="J1288" s="45">
        <f t="shared" ca="1" si="1649"/>
        <v>0.27952512346894071</v>
      </c>
      <c r="K1288" s="45">
        <f t="shared" ca="1" si="1665"/>
        <v>0.90345467800480783</v>
      </c>
      <c r="L1288" s="358">
        <f t="shared" ca="1" si="1650"/>
        <v>0.72269796343841763</v>
      </c>
      <c r="M1288" s="76">
        <f t="shared" ca="1" si="1725"/>
        <v>0.25347808785320641</v>
      </c>
      <c r="N1288" s="45">
        <f t="shared" ca="1" si="1725"/>
        <v>0.25</v>
      </c>
      <c r="O1288" s="45">
        <f t="shared" ca="1" si="1725"/>
        <v>0</v>
      </c>
      <c r="P1288" s="46" t="str">
        <f t="shared" ca="1" si="1725"/>
        <v/>
      </c>
      <c r="Q1288" s="243" t="str">
        <f t="shared" ca="1" si="1725"/>
        <v/>
      </c>
      <c r="R1288" s="45">
        <f t="shared" ca="1" si="1666"/>
        <v>9.2937063562773911E-2</v>
      </c>
      <c r="S1288" s="45">
        <f t="shared" ca="1" si="1690"/>
        <v>5.0695617570641283E-2</v>
      </c>
      <c r="T1288" s="77">
        <f t="shared" ca="1" si="1651"/>
        <v>3.1216606232968552E-2</v>
      </c>
      <c r="U1288" s="45">
        <f t="shared" ca="1" si="1667"/>
        <v>17.082374520019997</v>
      </c>
      <c r="V1288" s="45">
        <f t="shared" ca="1" si="1652"/>
        <v>0.20278247028256513</v>
      </c>
      <c r="W1288" s="77">
        <f t="shared" ca="1" si="1653"/>
        <v>0.20847553346102879</v>
      </c>
      <c r="X1288" s="45">
        <f t="shared" ca="1" si="1668"/>
        <v>1.0333945690763782</v>
      </c>
      <c r="Y1288" s="45">
        <f t="shared" ca="1" si="1654"/>
        <v>2.468755493632184E-2</v>
      </c>
      <c r="Z1288" s="77">
        <f t="shared" ca="1" si="1655"/>
        <v>2.7542699936048697E-2</v>
      </c>
      <c r="AA1288" s="45">
        <f t="shared" ca="1" si="1669"/>
        <v>39.260849489984331</v>
      </c>
      <c r="AB1288" s="45">
        <f t="shared" ca="1" si="1656"/>
        <v>0</v>
      </c>
      <c r="AC1288" s="45" cm="1">
        <f t="array" aca="1" ref="AC1288" ca="1">pHUM*(T1288+W1288+Z1288+AD1288)</f>
        <v>2.9044182278025694E-2</v>
      </c>
      <c r="AD1288" s="77">
        <f t="shared" ca="1" si="1657"/>
        <v>3.2126336855333934E-2</v>
      </c>
      <c r="AE1288" s="45">
        <f t="shared" ca="1" si="1670"/>
        <v>6.3847072090583081</v>
      </c>
      <c r="AF1288" s="45">
        <f t="shared" ca="1" si="1658"/>
        <v>0</v>
      </c>
      <c r="AG1288" s="76">
        <f t="shared" ca="1" si="1659"/>
        <v>63.85426285170179</v>
      </c>
      <c r="AH1288" s="45">
        <f t="shared" ca="1" si="1660"/>
        <v>0.24562943927103245</v>
      </c>
      <c r="AI1288" s="77">
        <f t="shared" ca="1" si="1661"/>
        <v>1.0906267838855042E-2</v>
      </c>
      <c r="AJ1288" s="384">
        <f t="shared" ca="1" si="1663"/>
        <v>2.5135015726700516E-2</v>
      </c>
      <c r="AU1288" s="1"/>
    </row>
    <row r="1289" spans="3:47" x14ac:dyDescent="0.25">
      <c r="C1289" s="10">
        <f t="shared" si="1688"/>
        <v>99</v>
      </c>
      <c r="D1289" s="91">
        <f t="shared" si="1671"/>
        <v>11</v>
      </c>
      <c r="E1289" s="278"/>
      <c r="F1289" s="76">
        <f t="shared" ref="F1289:Q1289" ca="1" si="1726">F1217</f>
        <v>1.6</v>
      </c>
      <c r="G1289" s="46">
        <f t="shared" ca="1" si="1726"/>
        <v>27.012600000000003</v>
      </c>
      <c r="H1289" s="46">
        <f t="shared" ca="1" si="1647"/>
        <v>28.517550000000004</v>
      </c>
      <c r="I1289" s="45">
        <f t="shared" ca="1" si="1648"/>
        <v>9.9319080037688343E-2</v>
      </c>
      <c r="J1289" s="45">
        <f t="shared" ca="1" si="1649"/>
        <v>0.27952512346894071</v>
      </c>
      <c r="K1289" s="45">
        <f t="shared" ca="1" si="1665"/>
        <v>0.90345467800480783</v>
      </c>
      <c r="L1289" s="358">
        <f t="shared" ca="1" si="1650"/>
        <v>0.41844375967031366</v>
      </c>
      <c r="M1289" s="76">
        <f t="shared" ca="1" si="1726"/>
        <v>0.25347808785320641</v>
      </c>
      <c r="N1289" s="45">
        <f t="shared" ca="1" si="1726"/>
        <v>0.25</v>
      </c>
      <c r="O1289" s="45">
        <f t="shared" ca="1" si="1726"/>
        <v>0</v>
      </c>
      <c r="P1289" s="46" t="str">
        <f t="shared" ca="1" si="1726"/>
        <v/>
      </c>
      <c r="Q1289" s="243" t="str">
        <f t="shared" ca="1" si="1726"/>
        <v/>
      </c>
      <c r="R1289" s="45">
        <f t="shared" ca="1" si="1666"/>
        <v>0.11241607490044665</v>
      </c>
      <c r="S1289" s="45">
        <f t="shared" ca="1" si="1690"/>
        <v>5.0695617570641283E-2</v>
      </c>
      <c r="T1289" s="77">
        <f t="shared" ca="1" si="1651"/>
        <v>8.9295880519691829E-3</v>
      </c>
      <c r="U1289" s="45">
        <f t="shared" ca="1" si="1667"/>
        <v>17.076681456841531</v>
      </c>
      <c r="V1289" s="45">
        <f t="shared" ca="1" si="1652"/>
        <v>0.20278247028256513</v>
      </c>
      <c r="W1289" s="77">
        <f t="shared" ca="1" si="1653"/>
        <v>4.2348410488009247E-2</v>
      </c>
      <c r="X1289" s="45">
        <f t="shared" ca="1" si="1668"/>
        <v>1.0305394240766514</v>
      </c>
      <c r="Y1289" s="45">
        <f t="shared" ca="1" si="1654"/>
        <v>5.2276034148550001E-3</v>
      </c>
      <c r="Z1289" s="77">
        <f t="shared" ca="1" si="1655"/>
        <v>5.6140251101052556E-3</v>
      </c>
      <c r="AA1289" s="45">
        <f t="shared" ca="1" si="1669"/>
        <v>39.257767335407024</v>
      </c>
      <c r="AB1289" s="45">
        <f t="shared" ca="1" si="1656"/>
        <v>0</v>
      </c>
      <c r="AC1289" s="45" cm="1">
        <f t="array" aca="1" ref="AC1289" ca="1">pHUM*(T1289+W1289+Z1289+AD1289)</f>
        <v>6.1501216645352946E-3</v>
      </c>
      <c r="AD1289" s="77">
        <f t="shared" ca="1" si="1657"/>
        <v>6.4978710764914994E-3</v>
      </c>
      <c r="AE1289" s="45">
        <f t="shared" ca="1" si="1670"/>
        <v>6.3847072090583081</v>
      </c>
      <c r="AF1289" s="45">
        <f t="shared" ca="1" si="1658"/>
        <v>0</v>
      </c>
      <c r="AG1289" s="76">
        <f t="shared" ca="1" si="1659"/>
        <v>63.862111500283959</v>
      </c>
      <c r="AH1289" s="45">
        <f t="shared" ca="1" si="1660"/>
        <v>5.2012169647184886E-2</v>
      </c>
      <c r="AI1289" s="77">
        <f t="shared" ca="1" si="1661"/>
        <v>1.1181896387170098E-2</v>
      </c>
      <c r="AJ1289" s="384">
        <f t="shared" ca="1" si="1663"/>
        <v>1.4921171275515954E-2</v>
      </c>
      <c r="AU1289" s="1"/>
    </row>
    <row r="1290" spans="3:47" x14ac:dyDescent="0.25">
      <c r="C1290" s="10">
        <f t="shared" si="1688"/>
        <v>99</v>
      </c>
      <c r="D1290" s="91">
        <f t="shared" si="1671"/>
        <v>12</v>
      </c>
      <c r="E1290" s="278"/>
      <c r="F1290" s="76">
        <f t="shared" ref="F1290:Q1290" ca="1" si="1727">F1218</f>
        <v>-3.59</v>
      </c>
      <c r="G1290" s="46">
        <f t="shared" ca="1" si="1727"/>
        <v>27.012600000000003</v>
      </c>
      <c r="H1290" s="46">
        <f t="shared" ca="1" si="1647"/>
        <v>28.517550000000004</v>
      </c>
      <c r="I1290" s="45">
        <f t="shared" ca="1" si="1648"/>
        <v>1.5109209527995384E-2</v>
      </c>
      <c r="J1290" s="45">
        <f t="shared" ca="1" si="1649"/>
        <v>0.27952512346894071</v>
      </c>
      <c r="K1290" s="45">
        <f t="shared" ca="1" si="1665"/>
        <v>0.90345467800480783</v>
      </c>
      <c r="L1290" s="358">
        <f t="shared" ca="1" si="1650"/>
        <v>0.24908644075501707</v>
      </c>
      <c r="M1290" s="76">
        <f t="shared" ca="1" si="1727"/>
        <v>0.25347808785320641</v>
      </c>
      <c r="N1290" s="45">
        <f t="shared" ca="1" si="1727"/>
        <v>0.25</v>
      </c>
      <c r="O1290" s="45">
        <f t="shared" ca="1" si="1727"/>
        <v>0</v>
      </c>
      <c r="P1290" s="46" t="str">
        <f t="shared" ca="1" si="1727"/>
        <v/>
      </c>
      <c r="Q1290" s="243" t="str">
        <f t="shared" ca="1" si="1727"/>
        <v/>
      </c>
      <c r="R1290" s="45">
        <f t="shared" ca="1" si="1666"/>
        <v>0.15418210441911873</v>
      </c>
      <c r="S1290" s="45">
        <f t="shared" ca="1" si="1690"/>
        <v>5.0695617570641283E-2</v>
      </c>
      <c r="T1290" s="77">
        <f t="shared" ca="1" si="1651"/>
        <v>1.9291377207575763E-3</v>
      </c>
      <c r="U1290" s="45">
        <f t="shared" ca="1" si="1667"/>
        <v>17.237115516636084</v>
      </c>
      <c r="V1290" s="45">
        <f t="shared" ca="1" si="1652"/>
        <v>0.20278247028256513</v>
      </c>
      <c r="W1290" s="77">
        <f t="shared" ca="1" si="1653"/>
        <v>6.5097502078287003E-3</v>
      </c>
      <c r="X1290" s="45">
        <f t="shared" ca="1" si="1668"/>
        <v>1.0301530023814012</v>
      </c>
      <c r="Y1290" s="45">
        <f t="shared" ca="1" si="1654"/>
        <v>8.4802644324930964E-4</v>
      </c>
      <c r="Z1290" s="77">
        <f t="shared" ca="1" si="1655"/>
        <v>8.5570826691782134E-4</v>
      </c>
      <c r="AA1290" s="45">
        <f t="shared" ca="1" si="1669"/>
        <v>39.257419585995066</v>
      </c>
      <c r="AB1290" s="45">
        <f t="shared" ca="1" si="1656"/>
        <v>0</v>
      </c>
      <c r="AC1290" s="45" cm="1">
        <f t="array" aca="1" ref="AC1290" ca="1">pHUM*(T1290+W1290+Z1290+AD1290)</f>
        <v>9.976781685285996E-4</v>
      </c>
      <c r="AD1290" s="77">
        <f t="shared" ca="1" si="1657"/>
        <v>9.8856851629659055E-4</v>
      </c>
      <c r="AE1290" s="45">
        <f t="shared" ca="1" si="1670"/>
        <v>6.3847072090583081</v>
      </c>
      <c r="AF1290" s="45">
        <f t="shared" ca="1" si="1658"/>
        <v>0</v>
      </c>
      <c r="AG1290" s="76">
        <f t="shared" ca="1" si="1659"/>
        <v>64.06357741848997</v>
      </c>
      <c r="AH1290" s="45">
        <f t="shared" ca="1" si="1660"/>
        <v>8.4374601000227808E-3</v>
      </c>
      <c r="AI1290" s="77">
        <f t="shared" ca="1" si="1661"/>
        <v>1.1815425999705129E-2</v>
      </c>
      <c r="AJ1290" s="384">
        <f t="shared" ca="1" si="1663"/>
        <v>9.3853850712743991E-3</v>
      </c>
      <c r="AU1290" s="1"/>
    </row>
    <row r="1291" spans="3:47" x14ac:dyDescent="0.25">
      <c r="C1291" s="10">
        <f t="shared" si="1688"/>
        <v>100</v>
      </c>
      <c r="D1291" s="91">
        <f t="shared" si="1671"/>
        <v>1</v>
      </c>
      <c r="E1291" s="278"/>
      <c r="F1291" s="76">
        <f t="shared" ref="F1291:Q1291" ca="1" si="1728">F1219</f>
        <v>-7.32</v>
      </c>
      <c r="G1291" s="46">
        <f t="shared" ca="1" si="1728"/>
        <v>27.012600000000003</v>
      </c>
      <c r="H1291" s="46">
        <f t="shared" ca="1" si="1647"/>
        <v>28.517550000000004</v>
      </c>
      <c r="I1291" s="45">
        <f t="shared" ca="1" si="1648"/>
        <v>1.2903599790233234E-3</v>
      </c>
      <c r="J1291" s="45">
        <f t="shared" ca="1" si="1649"/>
        <v>0.27952512346894071</v>
      </c>
      <c r="K1291" s="45">
        <f t="shared" ca="1" si="1665"/>
        <v>0.90345467800480783</v>
      </c>
      <c r="L1291" s="358">
        <f t="shared" ca="1" si="1650"/>
        <v>0.15974615302556239</v>
      </c>
      <c r="M1291" s="76">
        <f t="shared" ca="1" si="1728"/>
        <v>0.25347808785320641</v>
      </c>
      <c r="N1291" s="45">
        <f t="shared" ca="1" si="1728"/>
        <v>0.25</v>
      </c>
      <c r="O1291" s="45">
        <f t="shared" ca="1" si="1728"/>
        <v>0</v>
      </c>
      <c r="P1291" s="46" t="str">
        <f t="shared" ca="1" si="1728"/>
        <v/>
      </c>
      <c r="Q1291" s="243" t="str">
        <f t="shared" ca="1" si="1728"/>
        <v/>
      </c>
      <c r="R1291" s="45">
        <f t="shared" ca="1" si="1666"/>
        <v>0.20294858426900242</v>
      </c>
      <c r="S1291" s="45">
        <f t="shared" ca="1" si="1690"/>
        <v>5.0695617570641283E-2</v>
      </c>
      <c r="T1291" s="77">
        <f t="shared" ca="1" si="1651"/>
        <v>2.1811331947600471E-4</v>
      </c>
      <c r="U1291" s="45">
        <f t="shared" ca="1" si="1667"/>
        <v>17.433388236710819</v>
      </c>
      <c r="V1291" s="45">
        <f t="shared" ca="1" si="1652"/>
        <v>0.20278247028256513</v>
      </c>
      <c r="W1291" s="77">
        <f t="shared" ca="1" si="1653"/>
        <v>5.623745911162609E-4</v>
      </c>
      <c r="X1291" s="45">
        <f t="shared" ca="1" si="1668"/>
        <v>1.0301453205577327</v>
      </c>
      <c r="Y1291" s="45">
        <f t="shared" ca="1" si="1654"/>
        <v>7.7356244093338501E-5</v>
      </c>
      <c r="Z1291" s="77">
        <f t="shared" ca="1" si="1655"/>
        <v>7.3106611970952349E-5</v>
      </c>
      <c r="AA1291" s="45">
        <f t="shared" ca="1" si="1669"/>
        <v>39.257428695647299</v>
      </c>
      <c r="AB1291" s="45">
        <f t="shared" ca="1" si="1656"/>
        <v>0</v>
      </c>
      <c r="AC1291" s="45" cm="1">
        <f t="array" aca="1" ref="AC1291" ca="1">pHUM*(T1291+W1291+Z1291+AD1291)</f>
        <v>9.1007345992162944E-5</v>
      </c>
      <c r="AD1291" s="77">
        <f t="shared" ca="1" si="1657"/>
        <v>8.4426933996717608E-5</v>
      </c>
      <c r="AE1291" s="45">
        <f t="shared" ca="1" si="1670"/>
        <v>6.3847072090583081</v>
      </c>
      <c r="AF1291" s="45">
        <f t="shared" ca="1" si="1658"/>
        <v>0</v>
      </c>
      <c r="AG1291" s="76">
        <f t="shared" ca="1" si="1659"/>
        <v>64.308618046243154</v>
      </c>
      <c r="AH1291" s="45">
        <f t="shared" ca="1" si="1660"/>
        <v>7.6965786647443428E-4</v>
      </c>
      <c r="AI1291" s="77">
        <f t="shared" ca="1" si="1661"/>
        <v>1.2551734786042084E-2</v>
      </c>
      <c r="AJ1291" s="384">
        <f t="shared" ca="1" si="1663"/>
        <v>6.3942264476002375E-3</v>
      </c>
      <c r="AU1291" s="1"/>
    </row>
    <row r="1292" spans="3:47" x14ac:dyDescent="0.25">
      <c r="C1292" s="10">
        <f t="shared" si="1688"/>
        <v>100</v>
      </c>
      <c r="D1292" s="91">
        <f t="shared" si="1671"/>
        <v>2</v>
      </c>
      <c r="E1292" s="278"/>
      <c r="F1292" s="76">
        <f t="shared" ref="F1292:Q1292" ca="1" si="1729">F1220</f>
        <v>-7.56</v>
      </c>
      <c r="G1292" s="46">
        <f t="shared" ca="1" si="1729"/>
        <v>27.012600000000003</v>
      </c>
      <c r="H1292" s="46">
        <f t="shared" ca="1" si="1647"/>
        <v>28.517550000000004</v>
      </c>
      <c r="I1292" s="45">
        <f t="shared" ca="1" si="1648"/>
        <v>1.0386103497602255E-3</v>
      </c>
      <c r="J1292" s="45">
        <f t="shared" ca="1" si="1649"/>
        <v>0.27952512346894071</v>
      </c>
      <c r="K1292" s="45">
        <f t="shared" ca="1" si="1665"/>
        <v>0.90345467800480783</v>
      </c>
      <c r="L1292" s="358">
        <f t="shared" ca="1" si="1650"/>
        <v>0.15499691161362872</v>
      </c>
      <c r="M1292" s="76">
        <f t="shared" ca="1" si="1729"/>
        <v>0.25347808785320641</v>
      </c>
      <c r="N1292" s="45">
        <f t="shared" ca="1" si="1729"/>
        <v>0.25</v>
      </c>
      <c r="O1292" s="45">
        <f t="shared" ca="1" si="1729"/>
        <v>0</v>
      </c>
      <c r="P1292" s="46" t="str">
        <f t="shared" ca="1" si="1729"/>
        <v/>
      </c>
      <c r="Q1292" s="243" t="str">
        <f t="shared" ca="1" si="1729"/>
        <v/>
      </c>
      <c r="R1292" s="45">
        <f t="shared" ca="1" si="1666"/>
        <v>0.25342608852016768</v>
      </c>
      <c r="S1292" s="45">
        <f t="shared" ca="1" si="1690"/>
        <v>5.0695617570641283E-2</v>
      </c>
      <c r="T1292" s="77">
        <f t="shared" ca="1" si="1651"/>
        <v>2.1924757134496564E-4</v>
      </c>
      <c r="U1292" s="45">
        <f t="shared" ca="1" si="1667"/>
        <v>17.635608332402267</v>
      </c>
      <c r="V1292" s="45">
        <f t="shared" ca="1" si="1652"/>
        <v>0.20278247028256513</v>
      </c>
      <c r="W1292" s="77">
        <f t="shared" ca="1" si="1653"/>
        <v>4.5790718859447382E-4</v>
      </c>
      <c r="X1292" s="45">
        <f t="shared" ca="1" si="1668"/>
        <v>1.0301495701898551</v>
      </c>
      <c r="Y1292" s="45">
        <f t="shared" ca="1" si="1654"/>
        <v>6.6300053299509567E-5</v>
      </c>
      <c r="Z1292" s="77">
        <f t="shared" ca="1" si="1655"/>
        <v>5.8844139587359203E-5</v>
      </c>
      <c r="AA1292" s="45">
        <f t="shared" ca="1" si="1669"/>
        <v>39.257435276059297</v>
      </c>
      <c r="AB1292" s="45">
        <f t="shared" ca="1" si="1656"/>
        <v>0</v>
      </c>
      <c r="AC1292" s="45" cm="1">
        <f t="array" aca="1" ref="AC1292" ca="1">pHUM*(T1292+W1292+Z1292+AD1292)</f>
        <v>7.800006270530537E-5</v>
      </c>
      <c r="AD1292" s="77">
        <f t="shared" ca="1" si="1657"/>
        <v>6.7955238822620787E-5</v>
      </c>
      <c r="AE1292" s="45">
        <f t="shared" ca="1" si="1670"/>
        <v>6.3847072090583081</v>
      </c>
      <c r="AF1292" s="45">
        <f t="shared" ca="1" si="1658"/>
        <v>0</v>
      </c>
      <c r="AG1292" s="76">
        <f t="shared" ca="1" si="1659"/>
        <v>64.561326476229894</v>
      </c>
      <c r="AH1292" s="45">
        <f t="shared" ca="1" si="1660"/>
        <v>6.5965402234460454E-4</v>
      </c>
      <c r="AI1292" s="77">
        <f t="shared" ca="1" si="1661"/>
        <v>1.3307165495622461E-2</v>
      </c>
      <c r="AJ1292" s="384">
        <f t="shared" ca="1" si="1663"/>
        <v>6.5775230339570889E-3</v>
      </c>
      <c r="AU1292" s="1"/>
    </row>
    <row r="1293" spans="3:47" x14ac:dyDescent="0.25">
      <c r="C1293" s="10">
        <f t="shared" si="1688"/>
        <v>100</v>
      </c>
      <c r="D1293" s="91">
        <f t="shared" si="1671"/>
        <v>3</v>
      </c>
      <c r="E1293" s="278"/>
      <c r="F1293" s="76">
        <f t="shared" ref="F1293:Q1293" ca="1" si="1730">F1221</f>
        <v>-3.72</v>
      </c>
      <c r="G1293" s="46">
        <f t="shared" ca="1" si="1730"/>
        <v>27.012600000000003</v>
      </c>
      <c r="H1293" s="46">
        <f t="shared" ca="1" si="1647"/>
        <v>28.517550000000004</v>
      </c>
      <c r="I1293" s="45">
        <f t="shared" ca="1" si="1648"/>
        <v>1.416534540335657E-2</v>
      </c>
      <c r="J1293" s="45">
        <f t="shared" ca="1" si="1649"/>
        <v>0.27952512346894071</v>
      </c>
      <c r="K1293" s="45">
        <f t="shared" ca="1" si="1665"/>
        <v>0.90345467800480783</v>
      </c>
      <c r="L1293" s="358">
        <f t="shared" ca="1" si="1650"/>
        <v>0.24547574864616473</v>
      </c>
      <c r="M1293" s="76">
        <f t="shared" ca="1" si="1730"/>
        <v>0.25347808785320641</v>
      </c>
      <c r="N1293" s="45">
        <f t="shared" ca="1" si="1730"/>
        <v>0.25</v>
      </c>
      <c r="O1293" s="45">
        <f t="shared" ca="1" si="1730"/>
        <v>0</v>
      </c>
      <c r="P1293" s="46" t="str">
        <f t="shared" ca="1" si="1730"/>
        <v/>
      </c>
      <c r="Q1293" s="243" t="str">
        <f t="shared" ca="1" si="1730"/>
        <v/>
      </c>
      <c r="R1293" s="45">
        <f t="shared" ca="1" si="1666"/>
        <v>0.30390245851946401</v>
      </c>
      <c r="S1293" s="45">
        <f t="shared" ca="1" si="1690"/>
        <v>5.0695617570641283E-2</v>
      </c>
      <c r="T1293" s="77">
        <f t="shared" ca="1" si="1651"/>
        <v>3.5663121478739478E-3</v>
      </c>
      <c r="U1293" s="45">
        <f t="shared" ca="1" si="1667"/>
        <v>17.837932895496238</v>
      </c>
      <c r="V1293" s="45">
        <f t="shared" ca="1" si="1652"/>
        <v>0.20278247028256513</v>
      </c>
      <c r="W1293" s="77">
        <f t="shared" ca="1" si="1653"/>
        <v>6.3158936174758668E-3</v>
      </c>
      <c r="X1293" s="45">
        <f t="shared" ca="1" si="1668"/>
        <v>1.0301570261035671</v>
      </c>
      <c r="Y1293" s="45">
        <f t="shared" ca="1" si="1654"/>
        <v>9.5755412478196287E-4</v>
      </c>
      <c r="Z1293" s="77">
        <f t="shared" ca="1" si="1655"/>
        <v>8.022765901760738E-4</v>
      </c>
      <c r="AA1293" s="45">
        <f t="shared" ca="1" si="1669"/>
        <v>39.257445320883186</v>
      </c>
      <c r="AB1293" s="45">
        <f t="shared" ca="1" si="1656"/>
        <v>0</v>
      </c>
      <c r="AC1293" s="45" cm="1">
        <f t="array" aca="1" ref="AC1293" ca="1">pHUM*(T1293+W1293+Z1293+AD1293)</f>
        <v>1.1265342644493682E-3</v>
      </c>
      <c r="AD1293" s="77">
        <f t="shared" ca="1" si="1657"/>
        <v>9.2681451378914836E-4</v>
      </c>
      <c r="AE1293" s="45">
        <f t="shared" ca="1" si="1670"/>
        <v>6.3847072090583081</v>
      </c>
      <c r="AF1293" s="45">
        <f t="shared" ca="1" si="1658"/>
        <v>0</v>
      </c>
      <c r="AG1293" s="76">
        <f t="shared" ca="1" si="1659"/>
        <v>64.814144910060762</v>
      </c>
      <c r="AH1293" s="45">
        <f t="shared" ca="1" si="1660"/>
        <v>9.527208480083706E-3</v>
      </c>
      <c r="AI1293" s="77">
        <f t="shared" ca="1" si="1661"/>
        <v>1.4056066863536439E-2</v>
      </c>
      <c r="AJ1293" s="384">
        <f t="shared" ca="1" si="1663"/>
        <v>1.1003335854073981E-2</v>
      </c>
      <c r="AU1293" s="1"/>
    </row>
    <row r="1294" spans="3:47" x14ac:dyDescent="0.25">
      <c r="C1294" s="10">
        <f t="shared" si="1688"/>
        <v>100</v>
      </c>
      <c r="D1294" s="91">
        <f t="shared" si="1671"/>
        <v>4</v>
      </c>
      <c r="E1294" s="278"/>
      <c r="F1294" s="76">
        <f t="shared" ref="F1294:Q1294" ca="1" si="1731">F1222</f>
        <v>5.88</v>
      </c>
      <c r="G1294" s="46">
        <f t="shared" ca="1" si="1731"/>
        <v>27.012600000000003</v>
      </c>
      <c r="H1294" s="46">
        <f t="shared" ca="1" si="1647"/>
        <v>28.517550000000004</v>
      </c>
      <c r="I1294" s="45">
        <f t="shared" ca="1" si="1648"/>
        <v>0.2538659245156123</v>
      </c>
      <c r="J1294" s="45">
        <f t="shared" ca="1" si="1649"/>
        <v>0.27952512346894071</v>
      </c>
      <c r="K1294" s="45">
        <f t="shared" ca="1" si="1665"/>
        <v>0.90345467800480783</v>
      </c>
      <c r="L1294" s="358">
        <f t="shared" ca="1" si="1650"/>
        <v>0.57663575359475594</v>
      </c>
      <c r="M1294" s="76">
        <f t="shared" ca="1" si="1731"/>
        <v>0.25347808785320641</v>
      </c>
      <c r="N1294" s="45">
        <f t="shared" ca="1" si="1731"/>
        <v>0.25</v>
      </c>
      <c r="O1294" s="45">
        <f t="shared" ca="1" si="1731"/>
        <v>0</v>
      </c>
      <c r="P1294" s="46" t="str">
        <f t="shared" ca="1" si="1731"/>
        <v/>
      </c>
      <c r="Q1294" s="243" t="str">
        <f t="shared" ca="1" si="1731"/>
        <v/>
      </c>
      <c r="R1294" s="45">
        <f t="shared" ca="1" si="1666"/>
        <v>0.35103176394223135</v>
      </c>
      <c r="S1294" s="45">
        <f t="shared" ca="1" si="1690"/>
        <v>5.0695617570641283E-2</v>
      </c>
      <c r="T1294" s="77">
        <f t="shared" ca="1" si="1651"/>
        <v>6.6933045521027232E-2</v>
      </c>
      <c r="U1294" s="45">
        <f t="shared" ca="1" si="1667"/>
        <v>18.034399472161326</v>
      </c>
      <c r="V1294" s="45">
        <f t="shared" ca="1" si="1652"/>
        <v>0.20278247028256513</v>
      </c>
      <c r="W1294" s="77">
        <f t="shared" ca="1" si="1653"/>
        <v>0.11409554226819248</v>
      </c>
      <c r="X1294" s="45">
        <f t="shared" ca="1" si="1668"/>
        <v>1.0303123036381729</v>
      </c>
      <c r="Y1294" s="45">
        <f t="shared" ca="1" si="1654"/>
        <v>1.7476608239157435E-2</v>
      </c>
      <c r="Z1294" s="77">
        <f t="shared" ca="1" si="1655"/>
        <v>1.4285898781429661E-2</v>
      </c>
      <c r="AA1294" s="45">
        <f t="shared" ca="1" si="1669"/>
        <v>39.257645040633847</v>
      </c>
      <c r="AB1294" s="45">
        <f t="shared" ca="1" si="1656"/>
        <v>0</v>
      </c>
      <c r="AC1294" s="45" cm="1">
        <f t="array" aca="1" ref="AC1294" ca="1">pHUM*(T1294+W1294+Z1294+AD1294)</f>
        <v>2.0560715575479335E-2</v>
      </c>
      <c r="AD1294" s="77">
        <f t="shared" ca="1" si="1657"/>
        <v>1.6606783759401982E-2</v>
      </c>
      <c r="AE1294" s="45">
        <f t="shared" ca="1" si="1670"/>
        <v>6.3847072090583081</v>
      </c>
      <c r="AF1294" s="45">
        <f t="shared" ca="1" si="1658"/>
        <v>0</v>
      </c>
      <c r="AG1294" s="76">
        <f t="shared" ca="1" si="1659"/>
        <v>65.058095789433878</v>
      </c>
      <c r="AH1294" s="45">
        <f t="shared" ca="1" si="1660"/>
        <v>0.17388394651541458</v>
      </c>
      <c r="AI1294" s="77">
        <f t="shared" ca="1" si="1661"/>
        <v>1.4750861724501208E-2</v>
      </c>
      <c r="AJ1294" s="384">
        <f t="shared" ca="1" si="1663"/>
        <v>2.7124660736339568E-2</v>
      </c>
      <c r="AU1294" s="1"/>
    </row>
    <row r="1295" spans="3:47" x14ac:dyDescent="0.25">
      <c r="C1295" s="10">
        <f t="shared" si="1688"/>
        <v>100</v>
      </c>
      <c r="D1295" s="91">
        <f t="shared" si="1671"/>
        <v>5</v>
      </c>
      <c r="E1295" s="278"/>
      <c r="F1295" s="76">
        <f t="shared" ref="F1295:Q1295" ca="1" si="1732">F1223</f>
        <v>13.3</v>
      </c>
      <c r="G1295" s="46">
        <f t="shared" ca="1" si="1732"/>
        <v>27.012600000000003</v>
      </c>
      <c r="H1295" s="46">
        <f t="shared" ca="1" si="1647"/>
        <v>28.517550000000004</v>
      </c>
      <c r="I1295" s="45">
        <f t="shared" ca="1" si="1648"/>
        <v>0.69725265541392489</v>
      </c>
      <c r="J1295" s="45">
        <f t="shared" ca="1" si="1649"/>
        <v>0.27952512346894071</v>
      </c>
      <c r="K1295" s="45">
        <f t="shared" ca="1" si="1665"/>
        <v>0.90345467800480783</v>
      </c>
      <c r="L1295" s="358">
        <f t="shared" ca="1" si="1650"/>
        <v>0.80399103068855049</v>
      </c>
      <c r="M1295" s="76">
        <f t="shared" ca="1" si="1732"/>
        <v>0.25347808785320641</v>
      </c>
      <c r="N1295" s="45">
        <f t="shared" ca="1" si="1732"/>
        <v>0.25</v>
      </c>
      <c r="O1295" s="45">
        <f t="shared" ca="1" si="1732"/>
        <v>0</v>
      </c>
      <c r="P1295" s="46" t="str">
        <f t="shared" ca="1" si="1732"/>
        <v/>
      </c>
      <c r="Q1295" s="243" t="str">
        <f t="shared" ca="1" si="1732"/>
        <v/>
      </c>
      <c r="R1295" s="45">
        <f t="shared" ca="1" si="1666"/>
        <v>0.33479433599184538</v>
      </c>
      <c r="S1295" s="45">
        <f t="shared" ca="1" si="1690"/>
        <v>5.0695617570641283E-2</v>
      </c>
      <c r="T1295" s="77">
        <f t="shared" ca="1" si="1651"/>
        <v>0.14753910809057297</v>
      </c>
      <c r="U1295" s="45">
        <f t="shared" ca="1" si="1667"/>
        <v>18.123086400175698</v>
      </c>
      <c r="V1295" s="45">
        <f t="shared" ca="1" si="1652"/>
        <v>0.20278247028256513</v>
      </c>
      <c r="W1295" s="77">
        <f t="shared" ca="1" si="1653"/>
        <v>0.31317182458970449</v>
      </c>
      <c r="X1295" s="45">
        <f t="shared" ca="1" si="1668"/>
        <v>1.0335030130959009</v>
      </c>
      <c r="Y1295" s="45">
        <f t="shared" ca="1" si="1654"/>
        <v>4.4960698690807224E-2</v>
      </c>
      <c r="Z1295" s="77">
        <f t="shared" ca="1" si="1655"/>
        <v>3.8883367345658781E-2</v>
      </c>
      <c r="AA1295" s="45">
        <f t="shared" ca="1" si="1669"/>
        <v>39.261598972449924</v>
      </c>
      <c r="AB1295" s="45">
        <f t="shared" ca="1" si="1656"/>
        <v>0</v>
      </c>
      <c r="AC1295" s="45" cm="1">
        <f t="array" aca="1" ref="AC1295" ca="1">pHUM*(T1295+W1295+Z1295+AD1295)</f>
        <v>5.2894939636243796E-2</v>
      </c>
      <c r="AD1295" s="77">
        <f t="shared" ca="1" si="1657"/>
        <v>4.5598923458594148E-2</v>
      </c>
      <c r="AE1295" s="45">
        <f t="shared" ca="1" si="1670"/>
        <v>6.3847072090583081</v>
      </c>
      <c r="AF1295" s="45">
        <f t="shared" ca="1" si="1658"/>
        <v>0</v>
      </c>
      <c r="AG1295" s="76">
        <f t="shared" ca="1" si="1659"/>
        <v>65.137689930771671</v>
      </c>
      <c r="AH1295" s="45">
        <f t="shared" ca="1" si="1660"/>
        <v>0.4473375851574794</v>
      </c>
      <c r="AI1295" s="77">
        <f t="shared" ca="1" si="1661"/>
        <v>1.4541408187767545E-2</v>
      </c>
      <c r="AJ1295" s="384">
        <f t="shared" ca="1" si="1663"/>
        <v>3.7281970956647426E-2</v>
      </c>
      <c r="AU1295" s="1"/>
    </row>
    <row r="1296" spans="3:47" x14ac:dyDescent="0.25">
      <c r="C1296" s="10">
        <f t="shared" si="1688"/>
        <v>100</v>
      </c>
      <c r="D1296" s="91">
        <f t="shared" si="1671"/>
        <v>6</v>
      </c>
      <c r="E1296" s="278"/>
      <c r="F1296" s="76">
        <f t="shared" ref="F1296:Q1296" ca="1" si="1733">F1224</f>
        <v>18.579999999999998</v>
      </c>
      <c r="G1296" s="46">
        <f t="shared" ca="1" si="1733"/>
        <v>27.012600000000003</v>
      </c>
      <c r="H1296" s="46">
        <f t="shared" ca="1" si="1647"/>
        <v>28.517550000000004</v>
      </c>
      <c r="I1296" s="45">
        <f t="shared" ca="1" si="1648"/>
        <v>1.1053966357180092</v>
      </c>
      <c r="J1296" s="45">
        <f t="shared" ca="1" si="1649"/>
        <v>0.27952512346894071</v>
      </c>
      <c r="K1296" s="45">
        <f t="shared" ca="1" si="1665"/>
        <v>0.90345467800480783</v>
      </c>
      <c r="L1296" s="358">
        <f t="shared" ca="1" si="1650"/>
        <v>0.89864190578209513</v>
      </c>
      <c r="M1296" s="76">
        <f t="shared" ca="1" si="1733"/>
        <v>0.25347808785320641</v>
      </c>
      <c r="N1296" s="45">
        <f t="shared" ca="1" si="1733"/>
        <v>0.25</v>
      </c>
      <c r="O1296" s="45">
        <f t="shared" ca="1" si="1733"/>
        <v>0</v>
      </c>
      <c r="P1296" s="46" t="str">
        <f t="shared" ca="1" si="1733"/>
        <v/>
      </c>
      <c r="Q1296" s="243" t="str">
        <f t="shared" ca="1" si="1733"/>
        <v/>
      </c>
      <c r="R1296" s="45">
        <f t="shared" ca="1" si="1666"/>
        <v>0.2379508454719137</v>
      </c>
      <c r="S1296" s="45">
        <f t="shared" ca="1" si="1690"/>
        <v>5.0695617570641283E-2</v>
      </c>
      <c r="T1296" s="77">
        <f t="shared" ca="1" si="1651"/>
        <v>0.14323320525148991</v>
      </c>
      <c r="U1296" s="45">
        <f t="shared" ca="1" si="1667"/>
        <v>18.012697045868556</v>
      </c>
      <c r="V1296" s="45">
        <f t="shared" ca="1" si="1652"/>
        <v>0.20278247028256513</v>
      </c>
      <c r="W1296" s="77">
        <f t="shared" ca="1" si="1653"/>
        <v>0.49096424513956605</v>
      </c>
      <c r="X1296" s="45">
        <f t="shared" ca="1" si="1668"/>
        <v>1.0395803444410494</v>
      </c>
      <c r="Y1296" s="45">
        <f t="shared" ca="1" si="1654"/>
        <v>6.3318288462660494E-2</v>
      </c>
      <c r="Z1296" s="77">
        <f t="shared" ca="1" si="1655"/>
        <v>6.1320249156318098E-2</v>
      </c>
      <c r="AA1296" s="45">
        <f t="shared" ca="1" si="1669"/>
        <v>39.268894988627579</v>
      </c>
      <c r="AB1296" s="45">
        <f t="shared" ca="1" si="1656"/>
        <v>0</v>
      </c>
      <c r="AC1296" s="45" cm="1">
        <f t="array" aca="1" ref="AC1296" ca="1">pHUM*(T1296+W1296+Z1296+AD1296)</f>
        <v>7.4492104073718229E-2</v>
      </c>
      <c r="AD1296" s="77">
        <f t="shared" ca="1" si="1657"/>
        <v>7.2279572240562265E-2</v>
      </c>
      <c r="AE1296" s="45">
        <f t="shared" ca="1" si="1670"/>
        <v>6.3847072090583081</v>
      </c>
      <c r="AF1296" s="45">
        <f t="shared" ca="1" si="1658"/>
        <v>0</v>
      </c>
      <c r="AG1296" s="76">
        <f t="shared" ca="1" si="1659"/>
        <v>64.943830433467411</v>
      </c>
      <c r="AH1296" s="45">
        <f t="shared" ca="1" si="1660"/>
        <v>0.62998687925155761</v>
      </c>
      <c r="AI1296" s="77">
        <f t="shared" ca="1" si="1661"/>
        <v>1.3170191631395076E-2</v>
      </c>
      <c r="AJ1296" s="384">
        <f t="shared" ca="1" si="1663"/>
        <v>3.7741553044887688E-2</v>
      </c>
      <c r="AU1296" s="1"/>
    </row>
    <row r="1297" spans="3:47" x14ac:dyDescent="0.25">
      <c r="C1297" s="10">
        <f t="shared" si="1688"/>
        <v>100</v>
      </c>
      <c r="D1297" s="91">
        <f t="shared" si="1671"/>
        <v>7</v>
      </c>
      <c r="E1297" s="278"/>
      <c r="F1297" s="76">
        <f t="shared" ref="F1297:Q1297" ca="1" si="1734">F1225</f>
        <v>20.88</v>
      </c>
      <c r="G1297" s="46">
        <f t="shared" ca="1" si="1734"/>
        <v>27.012600000000003</v>
      </c>
      <c r="H1297" s="46">
        <f t="shared" ca="1" si="1647"/>
        <v>28.517550000000004</v>
      </c>
      <c r="I1297" s="45">
        <f t="shared" ca="1" si="1648"/>
        <v>1.2963209464812457</v>
      </c>
      <c r="J1297" s="45">
        <f t="shared" ca="1" si="1649"/>
        <v>0.27952512346894071</v>
      </c>
      <c r="K1297" s="45">
        <f t="shared" ca="1" si="1665"/>
        <v>0.90345467800480783</v>
      </c>
      <c r="L1297" s="358">
        <f t="shared" ca="1" si="1650"/>
        <v>0.92456370800230281</v>
      </c>
      <c r="M1297" s="76">
        <f t="shared" ca="1" si="1734"/>
        <v>0.25347808785320641</v>
      </c>
      <c r="N1297" s="45">
        <f t="shared" ca="1" si="1734"/>
        <v>0.25</v>
      </c>
      <c r="O1297" s="45">
        <f t="shared" ca="1" si="1734"/>
        <v>0</v>
      </c>
      <c r="P1297" s="46" t="str">
        <f t="shared" ca="1" si="1734"/>
        <v/>
      </c>
      <c r="Q1297" s="243" t="str">
        <f t="shared" ca="1" si="1734"/>
        <v/>
      </c>
      <c r="R1297" s="45">
        <f t="shared" ca="1" si="1666"/>
        <v>0.14541325779106506</v>
      </c>
      <c r="S1297" s="45">
        <f t="shared" ca="1" si="1690"/>
        <v>5.0695617570641283E-2</v>
      </c>
      <c r="T1297" s="77">
        <f t="shared" ca="1" si="1651"/>
        <v>9.6044771709889135E-2</v>
      </c>
      <c r="U1297" s="45">
        <f t="shared" ca="1" si="1667"/>
        <v>17.724515271011555</v>
      </c>
      <c r="V1297" s="45">
        <f t="shared" ca="1" si="1652"/>
        <v>0.20278247028256513</v>
      </c>
      <c r="W1297" s="77">
        <f t="shared" ca="1" si="1653"/>
        <v>0.56520839866496286</v>
      </c>
      <c r="X1297" s="45">
        <f t="shared" ca="1" si="1668"/>
        <v>1.0415783837473918</v>
      </c>
      <c r="Y1297" s="45">
        <f t="shared" ca="1" si="1654"/>
        <v>6.743237994402955E-2</v>
      </c>
      <c r="Z1297" s="77">
        <f t="shared" ca="1" si="1655"/>
        <v>7.1676547868205917E-2</v>
      </c>
      <c r="AA1297" s="45">
        <f t="shared" ca="1" si="1669"/>
        <v>39.271107520460738</v>
      </c>
      <c r="AB1297" s="45">
        <f t="shared" ca="1" si="1656"/>
        <v>0</v>
      </c>
      <c r="AC1297" s="45" cm="1">
        <f t="array" aca="1" ref="AC1297" ca="1">pHUM*(T1297+W1297+Z1297+AD1297)</f>
        <v>7.933221169885829E-2</v>
      </c>
      <c r="AD1297" s="77">
        <f t="shared" ca="1" si="1657"/>
        <v>8.4755007738210153E-2</v>
      </c>
      <c r="AE1297" s="45">
        <f t="shared" ca="1" si="1670"/>
        <v>6.3847072090583081</v>
      </c>
      <c r="AF1297" s="45">
        <f t="shared" ca="1" si="1658"/>
        <v>0</v>
      </c>
      <c r="AG1297" s="76">
        <f t="shared" ca="1" si="1659"/>
        <v>64.567321642069061</v>
      </c>
      <c r="AH1297" s="45">
        <f t="shared" ca="1" si="1660"/>
        <v>0.67092013433838027</v>
      </c>
      <c r="AI1297" s="77">
        <f t="shared" ca="1" si="1661"/>
        <v>1.1808153694532529E-2</v>
      </c>
      <c r="AJ1297" s="384">
        <f t="shared" ca="1" si="1663"/>
        <v>3.4814570738209705E-2</v>
      </c>
      <c r="AU1297" s="1"/>
    </row>
    <row r="1298" spans="3:47" x14ac:dyDescent="0.25">
      <c r="C1298" s="10">
        <f t="shared" si="1688"/>
        <v>100</v>
      </c>
      <c r="D1298" s="91">
        <f t="shared" si="1671"/>
        <v>8</v>
      </c>
      <c r="E1298" s="278"/>
      <c r="F1298" s="76">
        <f t="shared" ref="F1298:Q1298" ca="1" si="1735">F1226</f>
        <v>19.38</v>
      </c>
      <c r="G1298" s="46">
        <f t="shared" ca="1" si="1735"/>
        <v>27.012600000000003</v>
      </c>
      <c r="H1298" s="46">
        <f t="shared" ref="H1298:H1302" ca="1" si="1736">FC-G1298</f>
        <v>28.517550000000004</v>
      </c>
      <c r="I1298" s="45">
        <f t="shared" ref="I1298:I1302" ca="1" si="1737">PRODUCT(47.91/(1+EXP(106.06/(F1298+18.27))), IF(IF(H1298&lt;=0,1-((1-RM_PWP)*(G1298-FC)/(WSAT-FC)),IF(H1298&lt;=Wat1bar,1,1-((1-RM_PWP)*(H1298-Wat1bar)/(FC-Wat1bar))))&lt;=RM_PWP,RM_PWP,IF(H1298&lt;=0,1-((1-RM_PWP)*(G1298-FC)/(WSAT-FC)),IF(H1298&lt;=Wat1bar,1,1-((1-RM_PWP)*(H1298-Wat1bar)/(FC-Wat1bar))))),0.56+(ATAN(3.14*0.45*(SoilpH-5)))/3.14,EXP(-0.09*SoilSal))</f>
        <v>1.1711755949831784</v>
      </c>
      <c r="J1298" s="45">
        <f t="shared" ca="1" si="1649"/>
        <v>0.27952512346894071</v>
      </c>
      <c r="K1298" s="45">
        <f t="shared" ca="1" si="1665"/>
        <v>0.90345467800480783</v>
      </c>
      <c r="L1298" s="358">
        <f t="shared" ca="1" si="1650"/>
        <v>0.9085593811553081</v>
      </c>
      <c r="M1298" s="76">
        <f t="shared" ca="1" si="1735"/>
        <v>0.25347808785320641</v>
      </c>
      <c r="N1298" s="45">
        <f t="shared" ca="1" si="1735"/>
        <v>0.25</v>
      </c>
      <c r="O1298" s="45">
        <f t="shared" ca="1" si="1735"/>
        <v>0</v>
      </c>
      <c r="P1298" s="46" t="str">
        <f t="shared" ca="1" si="1735"/>
        <v/>
      </c>
      <c r="Q1298" s="243" t="str">
        <f t="shared" ca="1" si="1735"/>
        <v/>
      </c>
      <c r="R1298" s="45">
        <f t="shared" ca="1" si="1666"/>
        <v>0.10006410365181721</v>
      </c>
      <c r="S1298" s="45">
        <f t="shared" ca="1" si="1690"/>
        <v>5.0695617570641283E-2</v>
      </c>
      <c r="T1298" s="77">
        <f t="shared" ca="1" si="1651"/>
        <v>6.2357646589744672E-2</v>
      </c>
      <c r="U1298" s="45">
        <f t="shared" ca="1" si="1667"/>
        <v>17.362089342629154</v>
      </c>
      <c r="V1298" s="45">
        <f t="shared" ca="1" si="1652"/>
        <v>0.20278247028256513</v>
      </c>
      <c r="W1298" s="77">
        <f t="shared" ca="1" si="1653"/>
        <v>0.50098137863774406</v>
      </c>
      <c r="X1298" s="45">
        <f t="shared" ca="1" si="1668"/>
        <v>1.0373342158232153</v>
      </c>
      <c r="Y1298" s="45">
        <f t="shared" ref="Y1298:Y1302" ca="1" si="1738">pBIO*(T1298+W1298+Z1298+AD1298)</f>
        <v>5.8108402029627158E-2</v>
      </c>
      <c r="Z1298" s="77">
        <f t="shared" ca="1" si="1655"/>
        <v>6.4712923756416796E-2</v>
      </c>
      <c r="AA1298" s="45">
        <f t="shared" ca="1" si="1669"/>
        <v>39.265684724421384</v>
      </c>
      <c r="AB1298" s="45">
        <f t="shared" ca="1" si="1656"/>
        <v>0</v>
      </c>
      <c r="AC1298" s="45" cm="1">
        <f t="array" aca="1" ref="AC1298" ca="1">pHUM*(T1298+W1298+Z1298+AD1298)</f>
        <v>6.8362825917208422E-2</v>
      </c>
      <c r="AD1298" s="77">
        <f t="shared" ca="1" si="1657"/>
        <v>7.657026411673068E-2</v>
      </c>
      <c r="AE1298" s="45">
        <f t="shared" ca="1" si="1670"/>
        <v>6.3847072090583081</v>
      </c>
      <c r="AF1298" s="45">
        <f t="shared" ca="1" si="1658"/>
        <v>0</v>
      </c>
      <c r="AG1298" s="76">
        <f t="shared" ca="1" si="1659"/>
        <v>64.149879595583883</v>
      </c>
      <c r="AH1298" s="45">
        <f t="shared" ca="1" si="1660"/>
        <v>0.57815098515380059</v>
      </c>
      <c r="AI1298" s="77">
        <f t="shared" ca="1" si="1661"/>
        <v>1.1078218066609545E-2</v>
      </c>
      <c r="AJ1298" s="384">
        <f t="shared" ca="1" si="1663"/>
        <v>3.2097155440834468E-2</v>
      </c>
      <c r="AU1298" s="1"/>
    </row>
    <row r="1299" spans="3:47" x14ac:dyDescent="0.25">
      <c r="C1299" s="10">
        <f t="shared" si="1688"/>
        <v>100</v>
      </c>
      <c r="D1299" s="91">
        <f t="shared" si="1671"/>
        <v>9</v>
      </c>
      <c r="E1299" s="278"/>
      <c r="F1299" s="76">
        <f t="shared" ref="F1299:Q1299" ca="1" si="1739">F1227</f>
        <v>16.57</v>
      </c>
      <c r="G1299" s="46">
        <f t="shared" ca="1" si="1739"/>
        <v>27.012600000000003</v>
      </c>
      <c r="H1299" s="46">
        <f t="shared" ca="1" si="1736"/>
        <v>28.517550000000004</v>
      </c>
      <c r="I1299" s="45">
        <f t="shared" ca="1" si="1737"/>
        <v>0.9439672665218134</v>
      </c>
      <c r="J1299" s="45">
        <f t="shared" ca="1" si="1649"/>
        <v>0.27952512346894071</v>
      </c>
      <c r="K1299" s="45">
        <f t="shared" ca="1" si="1665"/>
        <v>0.90345467800480783</v>
      </c>
      <c r="L1299" s="358">
        <f t="shared" ca="1" si="1650"/>
        <v>0.86895066774150642</v>
      </c>
      <c r="M1299" s="76">
        <f t="shared" ca="1" si="1739"/>
        <v>0.25347808785320641</v>
      </c>
      <c r="N1299" s="45">
        <f t="shared" ca="1" si="1739"/>
        <v>0.25</v>
      </c>
      <c r="O1299" s="45">
        <f t="shared" ca="1" si="1739"/>
        <v>0</v>
      </c>
      <c r="P1299" s="46" t="str">
        <f t="shared" ca="1" si="1739"/>
        <v/>
      </c>
      <c r="Q1299" s="243" t="str">
        <f t="shared" ca="1" si="1739"/>
        <v/>
      </c>
      <c r="R1299" s="45">
        <f t="shared" ca="1" si="1666"/>
        <v>8.8402074632713837E-2</v>
      </c>
      <c r="S1299" s="45">
        <f t="shared" ca="1" si="1690"/>
        <v>5.0695617570641283E-2</v>
      </c>
      <c r="T1299" s="77">
        <f t="shared" ca="1" si="1651"/>
        <v>4.8146195874830794E-2</v>
      </c>
      <c r="U1299" s="45">
        <f t="shared" ca="1" si="1667"/>
        <v>17.063890434273976</v>
      </c>
      <c r="V1299" s="45">
        <f t="shared" ca="1" si="1652"/>
        <v>0.20278247028256513</v>
      </c>
      <c r="W1299" s="77">
        <f t="shared" ca="1" si="1653"/>
        <v>0.39797938622244511</v>
      </c>
      <c r="X1299" s="45">
        <f t="shared" ca="1" si="1668"/>
        <v>1.0307296940964257</v>
      </c>
      <c r="Y1299" s="45">
        <f t="shared" ca="1" si="1738"/>
        <v>4.6180800703136925E-2</v>
      </c>
      <c r="Z1299" s="77">
        <f t="shared" ca="1" si="1655"/>
        <v>5.2148196551958279E-2</v>
      </c>
      <c r="AA1299" s="45">
        <f t="shared" ca="1" si="1669"/>
        <v>39.257477286221857</v>
      </c>
      <c r="AB1299" s="45">
        <f t="shared" ca="1" si="1656"/>
        <v>0</v>
      </c>
      <c r="AC1299" s="45" cm="1">
        <f t="array" aca="1" ref="AC1299" ca="1">pHUM*(T1299+W1299+Z1299+AD1299)</f>
        <v>5.4330353768396379E-2</v>
      </c>
      <c r="AD1299" s="77">
        <f t="shared" ca="1" si="1657"/>
        <v>6.171439616949323E-2</v>
      </c>
      <c r="AE1299" s="45">
        <f t="shared" ca="1" si="1670"/>
        <v>6.3847072090583081</v>
      </c>
      <c r="AF1299" s="45">
        <f t="shared" ca="1" si="1658"/>
        <v>0</v>
      </c>
      <c r="AG1299" s="76">
        <f t="shared" ca="1" si="1659"/>
        <v>63.825206698283282</v>
      </c>
      <c r="AH1299" s="45">
        <f t="shared" ca="1" si="1660"/>
        <v>0.45947702034719418</v>
      </c>
      <c r="AI1299" s="77">
        <f t="shared" ca="1" si="1661"/>
        <v>1.0835297810850944E-2</v>
      </c>
      <c r="AJ1299" s="384">
        <f t="shared" ref="AJ1299:AJ1302" ca="1" si="1740">(530)*(1-EXP((-$AJ$9*L1299*K1299*AI1299)))</f>
        <v>3.0024801282707569E-2</v>
      </c>
      <c r="AU1299" s="1"/>
    </row>
    <row r="1300" spans="3:47" x14ac:dyDescent="0.25">
      <c r="C1300" s="10">
        <f t="shared" si="1688"/>
        <v>100</v>
      </c>
      <c r="D1300" s="91">
        <f>IF(D1299+1&lt;13,D1299+1,1)</f>
        <v>10</v>
      </c>
      <c r="E1300" s="278"/>
      <c r="F1300" s="76">
        <f t="shared" ref="F1300:Q1300" ca="1" si="1741">F1228</f>
        <v>10.87</v>
      </c>
      <c r="G1300" s="46">
        <f t="shared" ca="1" si="1741"/>
        <v>27.012600000000003</v>
      </c>
      <c r="H1300" s="46">
        <f t="shared" ca="1" si="1736"/>
        <v>28.517550000000004</v>
      </c>
      <c r="I1300" s="45">
        <f t="shared" ca="1" si="1737"/>
        <v>0.53125146958099567</v>
      </c>
      <c r="J1300" s="45">
        <f t="shared" ca="1" si="1649"/>
        <v>0.27952512346894071</v>
      </c>
      <c r="K1300" s="45">
        <f t="shared" ref="K1300:K1302" ca="1" si="1742">J1300/$I$15</f>
        <v>0.90345467800480783</v>
      </c>
      <c r="L1300" s="358">
        <f t="shared" ca="1" si="1650"/>
        <v>0.74105246316705919</v>
      </c>
      <c r="M1300" s="76">
        <f t="shared" ca="1" si="1741"/>
        <v>0.25347808785320641</v>
      </c>
      <c r="N1300" s="45">
        <f t="shared" ca="1" si="1741"/>
        <v>0.25</v>
      </c>
      <c r="O1300" s="45">
        <f t="shared" ca="1" si="1741"/>
        <v>0</v>
      </c>
      <c r="P1300" s="46" t="str">
        <f t="shared" ca="1" si="1741"/>
        <v/>
      </c>
      <c r="Q1300" s="243" t="str">
        <f t="shared" ca="1" si="1741"/>
        <v/>
      </c>
      <c r="R1300" s="45">
        <f t="shared" ref="R1300:R1302" ca="1" si="1743">R1299+S1300-T1299</f>
        <v>9.0951496328524312E-2</v>
      </c>
      <c r="S1300" s="45">
        <f t="shared" ca="1" si="1690"/>
        <v>5.0695617570641283E-2</v>
      </c>
      <c r="T1300" s="77">
        <f t="shared" ca="1" si="1651"/>
        <v>3.2533920585815154E-2</v>
      </c>
      <c r="U1300" s="45">
        <f t="shared" ref="U1300:U1302" ca="1" si="1744">U1299+V1300-W1299</f>
        <v>16.868693518334094</v>
      </c>
      <c r="V1300" s="45">
        <f t="shared" ca="1" si="1652"/>
        <v>0.20278247028256513</v>
      </c>
      <c r="W1300" s="77">
        <f t="shared" ca="1" si="1653"/>
        <v>0.22255676400174473</v>
      </c>
      <c r="X1300" s="45">
        <f t="shared" ca="1" si="1668"/>
        <v>1.0247622982476043</v>
      </c>
      <c r="Y1300" s="45">
        <f t="shared" ca="1" si="1738"/>
        <v>2.6334929440173689E-2</v>
      </c>
      <c r="Z1300" s="77">
        <f t="shared" ca="1" si="1655"/>
        <v>2.9509145467244098E-2</v>
      </c>
      <c r="AA1300" s="45">
        <f t="shared" ref="AA1300:AA1302" ca="1" si="1745">AA1299+AC1299+AB1300-AD1299</f>
        <v>39.250093243820764</v>
      </c>
      <c r="AB1300" s="45">
        <f t="shared" ca="1" si="1656"/>
        <v>0</v>
      </c>
      <c r="AC1300" s="45" cm="1">
        <f t="array" aca="1" ref="AC1300" ca="1">pHUM*(T1300+W1300+Z1300+AD1300)</f>
        <v>3.0982269929616106E-2</v>
      </c>
      <c r="AD1300" s="77">
        <f t="shared" ca="1" si="1657"/>
        <v>3.4737402012311264E-2</v>
      </c>
      <c r="AE1300" s="45">
        <f t="shared" ref="AE1300:AE1302" ca="1" si="1746">AE1299+AF1300</f>
        <v>6.3847072090583081</v>
      </c>
      <c r="AF1300" s="45">
        <f t="shared" ca="1" si="1658"/>
        <v>0</v>
      </c>
      <c r="AG1300" s="76">
        <f t="shared" ca="1" si="1659"/>
        <v>63.619207765789298</v>
      </c>
      <c r="AH1300" s="45">
        <f t="shared" ca="1" si="1660"/>
        <v>0.26202003269732549</v>
      </c>
      <c r="AI1300" s="77">
        <f t="shared" ca="1" si="1661"/>
        <v>1.0820204492363272E-2</v>
      </c>
      <c r="AJ1300" s="384">
        <f t="shared" ca="1" si="1740"/>
        <v>2.5569981687347809E-2</v>
      </c>
      <c r="AU1300" s="1"/>
    </row>
    <row r="1301" spans="3:47" x14ac:dyDescent="0.25">
      <c r="C1301" s="10">
        <f t="shared" si="1688"/>
        <v>100</v>
      </c>
      <c r="D1301" s="91">
        <f>IF(D1300+1&lt;13,D1300+1,1)</f>
        <v>11</v>
      </c>
      <c r="E1301" s="278"/>
      <c r="F1301" s="76">
        <f t="shared" ref="F1301:Q1301" ca="1" si="1747">F1229</f>
        <v>1.4</v>
      </c>
      <c r="G1301" s="46">
        <f t="shared" ca="1" si="1747"/>
        <v>28.536243189942063</v>
      </c>
      <c r="H1301" s="46">
        <f t="shared" ca="1" si="1736"/>
        <v>26.993906810057943</v>
      </c>
      <c r="I1301" s="45">
        <f t="shared" ca="1" si="1737"/>
        <v>9.940372096718314E-2</v>
      </c>
      <c r="J1301" s="45">
        <f t="shared" ca="1" si="1649"/>
        <v>0.28648639837560558</v>
      </c>
      <c r="K1301" s="45">
        <f t="shared" ca="1" si="1742"/>
        <v>0.92595425264501963</v>
      </c>
      <c r="L1301" s="358">
        <f t="shared" ca="1" si="1650"/>
        <v>0.41120226021724715</v>
      </c>
      <c r="M1301" s="76">
        <f t="shared" ca="1" si="1747"/>
        <v>0.25347808785320641</v>
      </c>
      <c r="N1301" s="45">
        <f t="shared" ca="1" si="1747"/>
        <v>0.25</v>
      </c>
      <c r="O1301" s="45">
        <f t="shared" ca="1" si="1747"/>
        <v>0</v>
      </c>
      <c r="P1301" s="46" t="str">
        <f t="shared" ca="1" si="1747"/>
        <v/>
      </c>
      <c r="Q1301" s="243" t="str">
        <f t="shared" ca="1" si="1747"/>
        <v/>
      </c>
      <c r="R1301" s="45">
        <f t="shared" ca="1" si="1743"/>
        <v>0.10911319331335044</v>
      </c>
      <c r="S1301" s="45">
        <f t="shared" ca="1" si="1690"/>
        <v>5.0695617570641283E-2</v>
      </c>
      <c r="T1301" s="77">
        <f t="shared" ca="1" si="1651"/>
        <v>8.6743136422450483E-3</v>
      </c>
      <c r="U1301" s="45">
        <f t="shared" ca="1" si="1744"/>
        <v>16.848919224614914</v>
      </c>
      <c r="V1301" s="45">
        <f t="shared" ca="1" si="1652"/>
        <v>0.20278247028256513</v>
      </c>
      <c r="W1301" s="77">
        <f t="shared" ca="1" si="1653"/>
        <v>4.1819147871899449E-2</v>
      </c>
      <c r="X1301" s="45">
        <f t="shared" ca="1" si="1668"/>
        <v>1.0215880822205341</v>
      </c>
      <c r="Y1301" s="45">
        <f t="shared" ca="1" si="1738"/>
        <v>5.1595737596405889E-3</v>
      </c>
      <c r="Z1301" s="77">
        <f t="shared" ca="1" si="1655"/>
        <v>5.5699911020647237E-3</v>
      </c>
      <c r="AA1301" s="45">
        <f t="shared" ca="1" si="1745"/>
        <v>39.246338111738069</v>
      </c>
      <c r="AB1301" s="45">
        <f t="shared" ca="1" si="1656"/>
        <v>0</v>
      </c>
      <c r="AC1301" s="45" cm="1">
        <f t="array" aca="1" ref="AC1301" ca="1">pHUM*(T1301+W1301+Z1301+AD1301)</f>
        <v>6.0700867760477518E-3</v>
      </c>
      <c r="AD1301" s="77">
        <f t="shared" ca="1" si="1657"/>
        <v>6.5015148272303657E-3</v>
      </c>
      <c r="AE1301" s="45">
        <f t="shared" ca="1" si="1746"/>
        <v>6.3847072090583081</v>
      </c>
      <c r="AF1301" s="45">
        <f t="shared" ca="1" si="1658"/>
        <v>0</v>
      </c>
      <c r="AG1301" s="76">
        <f t="shared" ca="1" si="1659"/>
        <v>63.610665820945172</v>
      </c>
      <c r="AH1301" s="45">
        <f t="shared" ca="1" si="1660"/>
        <v>5.1335306907751239E-2</v>
      </c>
      <c r="AI1301" s="77">
        <f t="shared" ca="1" si="1661"/>
        <v>1.1074494252681392E-2</v>
      </c>
      <c r="AJ1301" s="384">
        <f t="shared" ca="1" si="1740"/>
        <v>1.4883769187072904E-2</v>
      </c>
      <c r="AU1301" s="1"/>
    </row>
    <row r="1302" spans="3:47" x14ac:dyDescent="0.25">
      <c r="C1302" s="10">
        <f t="shared" si="1688"/>
        <v>100</v>
      </c>
      <c r="D1302" s="91">
        <f>IF(D1301+1&lt;13,D1301+1,1)</f>
        <v>12</v>
      </c>
      <c r="E1302" s="278"/>
      <c r="F1302" s="76">
        <f t="shared" ref="F1302:Q1302" ca="1" si="1748">F1230</f>
        <v>-1.78</v>
      </c>
      <c r="G1302" s="46">
        <f t="shared" ca="1" si="1748"/>
        <v>32.216243189942062</v>
      </c>
      <c r="H1302" s="46">
        <f t="shared" ca="1" si="1736"/>
        <v>23.313906810057944</v>
      </c>
      <c r="I1302" s="45">
        <f t="shared" ca="1" si="1737"/>
        <v>3.9789790397057247E-2</v>
      </c>
      <c r="J1302" s="45">
        <f t="shared" ca="1" si="1649"/>
        <v>0.29882189650486002</v>
      </c>
      <c r="K1302" s="45">
        <f t="shared" ca="1" si="1742"/>
        <v>0.96582388351071458</v>
      </c>
      <c r="L1302" s="358">
        <f t="shared" ca="1" si="1650"/>
        <v>0.30292377267304249</v>
      </c>
      <c r="M1302" s="76">
        <f t="shared" ca="1" si="1748"/>
        <v>0.25347808785320641</v>
      </c>
      <c r="N1302" s="45">
        <f t="shared" ca="1" si="1748"/>
        <v>0.25</v>
      </c>
      <c r="O1302" s="45">
        <f t="shared" ca="1" si="1748"/>
        <v>0</v>
      </c>
      <c r="P1302" s="46" t="str">
        <f t="shared" ca="1" si="1748"/>
        <v/>
      </c>
      <c r="Q1302" s="243" t="str">
        <f t="shared" ca="1" si="1748"/>
        <v/>
      </c>
      <c r="R1302" s="45">
        <f t="shared" ca="1" si="1743"/>
        <v>0.15113449724174668</v>
      </c>
      <c r="S1302" s="45">
        <f t="shared" ca="1" si="1690"/>
        <v>5.0695617570641283E-2</v>
      </c>
      <c r="T1302" s="77">
        <f t="shared" ca="1" si="1651"/>
        <v>4.9291689443774654E-3</v>
      </c>
      <c r="U1302" s="45">
        <f t="shared" ca="1" si="1744"/>
        <v>17.00988254702558</v>
      </c>
      <c r="V1302" s="45">
        <f t="shared" ca="1" si="1652"/>
        <v>0.20278247028256513</v>
      </c>
      <c r="W1302" s="77">
        <f t="shared" ca="1" si="1653"/>
        <v>1.6912078535301113E-2</v>
      </c>
      <c r="X1302" s="45">
        <f t="shared" ca="1" si="1668"/>
        <v>1.0211776648781099</v>
      </c>
      <c r="Y1302" s="45">
        <f t="shared" ca="1" si="1738"/>
        <v>2.1999139312014436E-3</v>
      </c>
      <c r="Z1302" s="77">
        <f t="shared" ca="1" si="1655"/>
        <v>2.2323409270786775E-3</v>
      </c>
      <c r="AA1302" s="45">
        <f t="shared" ca="1" si="1745"/>
        <v>39.24590668368689</v>
      </c>
      <c r="AB1302" s="45">
        <f t="shared" ca="1" si="1656"/>
        <v>0</v>
      </c>
      <c r="AC1302" s="45" cm="1">
        <f t="array" aca="1" ref="AC1302" ca="1">pHUM*(T1302+W1302+Z1302+AD1302)</f>
        <v>2.5881340367075807E-3</v>
      </c>
      <c r="AD1302" s="77">
        <f t="shared" ca="1" si="1657"/>
        <v>2.6025577045012023E-3</v>
      </c>
      <c r="AE1302" s="45">
        <f t="shared" ca="1" si="1746"/>
        <v>6.3847072090583081</v>
      </c>
      <c r="AF1302" s="45">
        <f t="shared" ca="1" si="1658"/>
        <v>0</v>
      </c>
      <c r="AG1302" s="76">
        <f t="shared" ca="1" si="1659"/>
        <v>63.81280860189063</v>
      </c>
      <c r="AH1302" s="45">
        <f t="shared" ca="1" si="1660"/>
        <v>2.1888098143349438E-2</v>
      </c>
      <c r="AI1302" s="77">
        <f t="shared" ca="1" si="1661"/>
        <v>1.1714945780339487E-2</v>
      </c>
      <c r="AJ1302" s="384">
        <f t="shared" ca="1" si="1740"/>
        <v>1.2098087537790736E-2</v>
      </c>
      <c r="AU1302" s="1"/>
    </row>
  </sheetData>
  <mergeCells count="16">
    <mergeCell ref="AE16:AF16"/>
    <mergeCell ref="R16:T16"/>
    <mergeCell ref="U16:W16"/>
    <mergeCell ref="AA16:AD16"/>
    <mergeCell ref="X16:Z16"/>
    <mergeCell ref="AJ11:AJ12"/>
    <mergeCell ref="AE12:AF12"/>
    <mergeCell ref="C5:D5"/>
    <mergeCell ref="C9:D9"/>
    <mergeCell ref="C1:AJ1"/>
    <mergeCell ref="U12:W12"/>
    <mergeCell ref="R12:T12"/>
    <mergeCell ref="M12:Q12"/>
    <mergeCell ref="AA12:AD12"/>
    <mergeCell ref="X12:Z12"/>
    <mergeCell ref="AG11:AI12"/>
  </mergeCells>
  <conditionalFormatting sqref="E6">
    <cfRule type="expression" dxfId="5" priority="1">
      <formula>AND($E$6&lt;0.000009,$E$6&gt;-0.000009)</formula>
    </cfRule>
  </conditionalFormatting>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3A7476-2D88-4558-92FF-6D593F402ED6}">
  <sheetPr codeName="Sheet4"/>
  <dimension ref="A1:F25"/>
  <sheetViews>
    <sheetView zoomScale="102" workbookViewId="0">
      <selection activeCell="S26" sqref="S26"/>
    </sheetView>
  </sheetViews>
  <sheetFormatPr defaultRowHeight="15" x14ac:dyDescent="0.25"/>
  <cols>
    <col min="1" max="1" width="10.7109375" bestFit="1" customWidth="1"/>
    <col min="2" max="2" width="18.28515625" customWidth="1"/>
    <col min="3" max="3" width="17.5703125" customWidth="1"/>
    <col min="4" max="4" width="18.7109375" customWidth="1"/>
    <col min="14" max="14" width="9.140625" customWidth="1"/>
    <col min="15" max="15" width="12.7109375" customWidth="1"/>
    <col min="16" max="16" width="11.7109375" customWidth="1"/>
    <col min="17" max="18" width="12.5703125" customWidth="1"/>
    <col min="19" max="19" width="14.7109375" customWidth="1"/>
    <col min="20" max="20" width="13.140625" customWidth="1"/>
    <col min="21" max="21" width="14" customWidth="1"/>
    <col min="23" max="24" width="8.85546875" bestFit="1" customWidth="1"/>
    <col min="25" max="25" width="11.85546875" bestFit="1" customWidth="1"/>
    <col min="26" max="26" width="8.85546875" bestFit="1" customWidth="1"/>
    <col min="27" max="27" width="11.85546875" bestFit="1" customWidth="1"/>
    <col min="28" max="29" width="8.85546875" bestFit="1" customWidth="1"/>
  </cols>
  <sheetData>
    <row r="1" spans="1:6" x14ac:dyDescent="0.25">
      <c r="A1" s="401" t="s">
        <v>146</v>
      </c>
      <c r="B1" s="401" t="s">
        <v>149</v>
      </c>
      <c r="C1" s="401" t="s">
        <v>163</v>
      </c>
      <c r="D1" s="401" t="s">
        <v>164</v>
      </c>
      <c r="E1" s="401" t="s">
        <v>157</v>
      </c>
    </row>
    <row r="2" spans="1:6" x14ac:dyDescent="0.25">
      <c r="A2" s="402">
        <v>40513</v>
      </c>
      <c r="B2" s="403">
        <v>3.0565517241379307</v>
      </c>
      <c r="C2" s="403">
        <v>84.6</v>
      </c>
      <c r="D2" s="404">
        <v>1.188733251336898E-2</v>
      </c>
      <c r="E2" s="405" cm="1">
        <f t="array" aca="1" ref="E2:E16" ca="1">'Simulation of changes in soil C'!AJ90:AJ104</f>
        <v>1.0939189005237937E-2</v>
      </c>
    </row>
    <row r="3" spans="1:6" x14ac:dyDescent="0.25">
      <c r="A3" s="402">
        <v>40544</v>
      </c>
      <c r="B3" s="403">
        <v>0.85587096774193583</v>
      </c>
      <c r="C3" s="403">
        <v>78.439554282868485</v>
      </c>
      <c r="D3" s="404">
        <v>5.9403650338983073E-3</v>
      </c>
      <c r="E3" s="405">
        <f ca="1"/>
        <v>1.0913213013580281E-2</v>
      </c>
    </row>
    <row r="4" spans="1:6" x14ac:dyDescent="0.25">
      <c r="A4" s="402">
        <v>40575</v>
      </c>
      <c r="B4" s="403">
        <v>0.91042857142857181</v>
      </c>
      <c r="C4" s="403">
        <v>77.312634079068317</v>
      </c>
      <c r="D4" s="404">
        <v>3.0168735159235671E-3</v>
      </c>
      <c r="E4" s="405">
        <f ca="1"/>
        <v>1.2035022153891184E-2</v>
      </c>
    </row>
    <row r="5" spans="1:6" x14ac:dyDescent="0.25">
      <c r="A5" s="402">
        <v>40603</v>
      </c>
      <c r="B5" s="403">
        <v>1.7499333333333336</v>
      </c>
      <c r="C5" s="403">
        <v>89.127050621045186</v>
      </c>
      <c r="D5" s="404">
        <v>5.0912326475095757E-3</v>
      </c>
      <c r="E5" s="405">
        <f ca="1"/>
        <v>1.1351591150603468E-2</v>
      </c>
    </row>
    <row r="6" spans="1:6" x14ac:dyDescent="0.25">
      <c r="A6" s="402">
        <v>40634</v>
      </c>
      <c r="B6" s="403">
        <v>5.3144</v>
      </c>
      <c r="C6" s="403">
        <v>88.517400984298064</v>
      </c>
      <c r="D6" s="404">
        <v>9.9116633320312526E-3</v>
      </c>
      <c r="E6" s="405">
        <f ca="1"/>
        <v>1.6076461244234341E-2</v>
      </c>
    </row>
    <row r="7" spans="1:6" x14ac:dyDescent="0.25">
      <c r="A7" s="402">
        <v>40664</v>
      </c>
      <c r="B7" s="403">
        <v>12.662516129032257</v>
      </c>
      <c r="C7" s="403">
        <v>89.413014608233681</v>
      </c>
      <c r="D7" s="404">
        <v>1.2806890154639178E-2</v>
      </c>
      <c r="E7" s="405">
        <f ca="1"/>
        <v>2.3803197699200362E-2</v>
      </c>
    </row>
    <row r="8" spans="1:6" x14ac:dyDescent="0.25">
      <c r="A8" s="402">
        <v>40695</v>
      </c>
      <c r="B8" s="403">
        <v>17.952400000000004</v>
      </c>
      <c r="C8" s="403">
        <v>83.948488098886401</v>
      </c>
      <c r="D8" s="404">
        <v>2.5162375333333362E-2</v>
      </c>
      <c r="E8" s="405">
        <f ca="1"/>
        <v>3.1469770201466574E-2</v>
      </c>
    </row>
    <row r="9" spans="1:6" x14ac:dyDescent="0.25">
      <c r="A9" s="402">
        <v>40725</v>
      </c>
      <c r="B9" s="403">
        <v>21.363032258064525</v>
      </c>
      <c r="C9" s="403">
        <v>73.679575814389409</v>
      </c>
      <c r="D9" s="404">
        <v>4.1956499143126137E-2</v>
      </c>
      <c r="E9" s="405">
        <f ca="1"/>
        <v>4.0529948002009375E-2</v>
      </c>
    </row>
    <row r="10" spans="1:6" x14ac:dyDescent="0.25">
      <c r="A10" s="402">
        <v>40756</v>
      </c>
      <c r="B10" s="403">
        <v>21.84690322580645</v>
      </c>
      <c r="C10" s="403">
        <v>71.917724933598876</v>
      </c>
      <c r="D10" s="404">
        <v>3.7147251514469411E-2</v>
      </c>
      <c r="E10" s="405">
        <f ca="1"/>
        <v>4.3783167991721106E-2</v>
      </c>
    </row>
    <row r="11" spans="1:6" x14ac:dyDescent="0.25">
      <c r="A11" s="402">
        <v>40787</v>
      </c>
      <c r="B11" s="403">
        <v>19.915099999999999</v>
      </c>
      <c r="C11" s="403">
        <v>90.121120170480822</v>
      </c>
      <c r="D11" s="404">
        <v>3.2283902696793022E-2</v>
      </c>
      <c r="E11" s="405">
        <f ca="1"/>
        <v>3.3443848387063602E-2</v>
      </c>
    </row>
    <row r="12" spans="1:6" x14ac:dyDescent="0.25">
      <c r="A12" s="402">
        <v>40817</v>
      </c>
      <c r="B12" s="403">
        <v>16.404967741935486</v>
      </c>
      <c r="C12" s="403">
        <v>93.270963763991602</v>
      </c>
      <c r="D12" s="404">
        <v>2.712073870292887E-2</v>
      </c>
      <c r="E12" s="405">
        <f ca="1"/>
        <v>3.0988506118351244E-2</v>
      </c>
    </row>
    <row r="13" spans="1:6" x14ac:dyDescent="0.25">
      <c r="A13" s="402">
        <v>40848</v>
      </c>
      <c r="B13" s="403">
        <v>8.5982333333333347</v>
      </c>
      <c r="C13" s="403">
        <v>93.768190396309464</v>
      </c>
      <c r="D13" s="404">
        <v>1.6002617991452976E-2</v>
      </c>
      <c r="E13" s="405">
        <f ca="1"/>
        <v>2.477702036401519E-2</v>
      </c>
    </row>
    <row r="14" spans="1:6" x14ac:dyDescent="0.25">
      <c r="A14" s="402">
        <v>40878</v>
      </c>
      <c r="B14" s="403">
        <v>5.8543548387096775</v>
      </c>
      <c r="C14" s="403">
        <v>92.353978821555827</v>
      </c>
      <c r="D14" s="404">
        <v>1.1305754110921506E-2</v>
      </c>
      <c r="E14" s="403">
        <f ca="1"/>
        <v>2.2812950449356828E-2</v>
      </c>
      <c r="F14" s="368"/>
    </row>
    <row r="15" spans="1:6" x14ac:dyDescent="0.25">
      <c r="A15" s="402">
        <v>40909</v>
      </c>
      <c r="B15" s="403">
        <v>2.2624333333333326</v>
      </c>
      <c r="C15" s="403">
        <v>87.461548542671366</v>
      </c>
      <c r="D15" s="404">
        <v>7.630475498098855E-3</v>
      </c>
      <c r="E15" s="403">
        <f ca="1"/>
        <v>2.0114710190043406E-2</v>
      </c>
      <c r="F15" s="368"/>
    </row>
    <row r="16" spans="1:6" x14ac:dyDescent="0.25">
      <c r="A16" s="402">
        <v>40940</v>
      </c>
      <c r="B16" s="403">
        <v>1.5363448275862068</v>
      </c>
      <c r="C16" s="403">
        <v>89.651029216467379</v>
      </c>
      <c r="D16" s="404">
        <v>4.9927471086956589E-3</v>
      </c>
      <c r="E16" s="403">
        <f ca="1"/>
        <v>1.8793037942167468E-2</v>
      </c>
      <c r="F16" s="368"/>
    </row>
    <row r="17" spans="2:6" x14ac:dyDescent="0.25">
      <c r="B17" s="368"/>
      <c r="C17" s="368"/>
      <c r="D17" s="368"/>
      <c r="E17" s="368"/>
      <c r="F17" s="368"/>
    </row>
    <row r="18" spans="2:6" x14ac:dyDescent="0.25">
      <c r="B18" s="368"/>
      <c r="C18" s="368"/>
      <c r="D18" s="368"/>
      <c r="E18" s="368"/>
      <c r="F18" s="368"/>
    </row>
    <row r="19" spans="2:6" x14ac:dyDescent="0.25">
      <c r="B19" s="368"/>
      <c r="C19" s="368"/>
      <c r="D19" s="368"/>
      <c r="E19" s="368"/>
      <c r="F19" s="368"/>
    </row>
    <row r="20" spans="2:6" x14ac:dyDescent="0.25">
      <c r="B20" s="368"/>
      <c r="C20" s="368"/>
      <c r="D20" s="368"/>
      <c r="E20" s="368"/>
      <c r="F20" s="368"/>
    </row>
    <row r="21" spans="2:6" x14ac:dyDescent="0.25">
      <c r="B21" s="368"/>
      <c r="C21" s="368"/>
      <c r="D21" s="368"/>
      <c r="E21" s="368"/>
      <c r="F21" s="368"/>
    </row>
    <row r="22" spans="2:6" x14ac:dyDescent="0.25">
      <c r="B22" s="368"/>
      <c r="C22" s="368"/>
      <c r="D22" s="368"/>
      <c r="E22" s="368"/>
      <c r="F22" s="368"/>
    </row>
    <row r="23" spans="2:6" x14ac:dyDescent="0.25">
      <c r="B23" s="368"/>
      <c r="C23" s="368"/>
      <c r="D23" s="368"/>
      <c r="E23" s="368"/>
      <c r="F23" s="368"/>
    </row>
    <row r="24" spans="2:6" x14ac:dyDescent="0.25">
      <c r="B24" s="368"/>
      <c r="C24" s="368"/>
      <c r="D24" s="368"/>
      <c r="E24" s="368"/>
      <c r="F24" s="368"/>
    </row>
    <row r="25" spans="2:6" x14ac:dyDescent="0.25">
      <c r="B25" s="368"/>
      <c r="C25" s="368"/>
      <c r="D25" s="368"/>
      <c r="E25" s="368"/>
      <c r="F25" s="368"/>
    </row>
  </sheetData>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DF50E-F00F-4E61-93DC-0F75AAF98DF6}">
  <sheetPr codeName="Sheet5">
    <tabColor rgb="FFFFFF00"/>
  </sheetPr>
  <dimension ref="B1:AE33"/>
  <sheetViews>
    <sheetView topLeftCell="F1" workbookViewId="0">
      <selection activeCell="O3" sqref="O3:P22"/>
    </sheetView>
  </sheetViews>
  <sheetFormatPr defaultColWidth="9.140625" defaultRowHeight="15" x14ac:dyDescent="0.25"/>
  <cols>
    <col min="1" max="1" width="9.140625" style="1"/>
    <col min="2" max="2" width="41.42578125" style="1" bestFit="1" customWidth="1"/>
    <col min="3" max="31" width="15.7109375" style="1" customWidth="1"/>
    <col min="32" max="16384" width="9.140625" style="1"/>
  </cols>
  <sheetData>
    <row r="1" spans="2:31" ht="15.75" thickBot="1" x14ac:dyDescent="0.3"/>
    <row r="2" spans="2:31" ht="30.75" thickBot="1" x14ac:dyDescent="0.3">
      <c r="B2" s="66" t="s">
        <v>89</v>
      </c>
      <c r="C2" s="446" t="s">
        <v>90</v>
      </c>
      <c r="D2" s="447"/>
      <c r="E2" s="447"/>
      <c r="F2" s="447"/>
      <c r="G2" s="447"/>
      <c r="H2" s="447"/>
      <c r="I2" s="447"/>
      <c r="J2" s="447"/>
      <c r="K2" s="447"/>
      <c r="L2" s="447"/>
      <c r="M2" s="447"/>
      <c r="N2" s="447"/>
      <c r="O2" s="447"/>
      <c r="P2" s="447"/>
      <c r="Q2" s="447"/>
      <c r="R2" s="447"/>
      <c r="S2" s="447"/>
      <c r="T2" s="447"/>
      <c r="U2" s="447"/>
      <c r="V2" s="447"/>
      <c r="W2" s="447"/>
      <c r="X2" s="447"/>
      <c r="Y2" s="447"/>
      <c r="Z2" s="447"/>
      <c r="AA2" s="447"/>
      <c r="AB2" s="447"/>
      <c r="AC2" s="447"/>
      <c r="AD2" s="447"/>
      <c r="AE2" s="448"/>
    </row>
    <row r="3" spans="2:31" ht="45" x14ac:dyDescent="0.25">
      <c r="B3" s="67" t="s">
        <v>33</v>
      </c>
      <c r="C3" s="171" t="s">
        <v>34</v>
      </c>
      <c r="D3" s="68" t="s">
        <v>86</v>
      </c>
      <c r="E3" s="69" t="s">
        <v>35</v>
      </c>
      <c r="F3" s="69" t="s">
        <v>93</v>
      </c>
      <c r="G3" s="69" t="s">
        <v>87</v>
      </c>
      <c r="H3" s="69" t="s">
        <v>87</v>
      </c>
      <c r="I3" s="69" t="s">
        <v>88</v>
      </c>
      <c r="J3" s="69" t="s">
        <v>96</v>
      </c>
      <c r="K3" s="69" t="s">
        <v>91</v>
      </c>
      <c r="L3" s="69" t="s">
        <v>92</v>
      </c>
      <c r="M3" s="69" t="s">
        <v>95</v>
      </c>
      <c r="N3" s="69" t="s">
        <v>94</v>
      </c>
      <c r="O3" s="69" t="s">
        <v>147</v>
      </c>
      <c r="P3" s="69" t="s">
        <v>148</v>
      </c>
      <c r="Q3" s="69"/>
      <c r="R3" s="69"/>
      <c r="S3" s="69"/>
      <c r="T3" s="69"/>
      <c r="U3" s="69"/>
      <c r="V3" s="69"/>
      <c r="W3" s="69"/>
      <c r="X3" s="69"/>
      <c r="Y3" s="69"/>
      <c r="Z3" s="69"/>
      <c r="AA3" s="69"/>
      <c r="AB3" s="69"/>
      <c r="AC3" s="69"/>
      <c r="AD3" s="69"/>
      <c r="AE3" s="187"/>
    </row>
    <row r="4" spans="2:31" ht="17.25" x14ac:dyDescent="0.25">
      <c r="B4" s="70" t="s">
        <v>36</v>
      </c>
      <c r="C4" s="71">
        <v>0</v>
      </c>
      <c r="D4" s="71">
        <v>0.67</v>
      </c>
      <c r="E4" s="72">
        <v>0.25</v>
      </c>
      <c r="F4" s="72">
        <v>1.44</v>
      </c>
      <c r="G4" s="72">
        <v>1.44</v>
      </c>
      <c r="H4" s="72">
        <v>1.44</v>
      </c>
      <c r="I4" s="72">
        <v>1.44</v>
      </c>
      <c r="J4" s="72">
        <v>1.44</v>
      </c>
      <c r="K4" s="72">
        <v>1.44</v>
      </c>
      <c r="L4" s="72">
        <v>1.44</v>
      </c>
      <c r="M4" s="72">
        <v>1.44</v>
      </c>
      <c r="N4" s="72">
        <v>1.44</v>
      </c>
      <c r="O4" s="72">
        <v>0.25</v>
      </c>
      <c r="P4" s="72">
        <v>0.25</v>
      </c>
      <c r="Q4" s="72"/>
      <c r="R4" s="72"/>
      <c r="S4" s="72"/>
      <c r="T4" s="72"/>
      <c r="U4" s="72"/>
      <c r="V4" s="72"/>
      <c r="W4" s="72"/>
      <c r="X4" s="72"/>
      <c r="Y4" s="72"/>
      <c r="Z4" s="72"/>
      <c r="AA4" s="72"/>
      <c r="AB4" s="72"/>
      <c r="AC4" s="72"/>
      <c r="AD4" s="72"/>
      <c r="AE4" s="74"/>
    </row>
    <row r="5" spans="2:31" x14ac:dyDescent="0.25">
      <c r="B5" s="75" t="s">
        <v>37</v>
      </c>
      <c r="C5" s="45">
        <v>0.5</v>
      </c>
      <c r="D5" s="45">
        <v>0.5</v>
      </c>
      <c r="E5" s="45">
        <v>0.5</v>
      </c>
      <c r="F5" s="45">
        <v>0.5</v>
      </c>
      <c r="G5" s="45">
        <v>0.5</v>
      </c>
      <c r="H5" s="45">
        <v>0.5</v>
      </c>
      <c r="I5" s="45">
        <v>0.5</v>
      </c>
      <c r="J5" s="45">
        <v>0.5</v>
      </c>
      <c r="K5" s="45">
        <v>0.5</v>
      </c>
      <c r="L5" s="45">
        <v>0.5</v>
      </c>
      <c r="M5" s="45">
        <v>0.5</v>
      </c>
      <c r="N5" s="45">
        <v>0.5</v>
      </c>
      <c r="O5" s="45"/>
      <c r="P5" s="45"/>
      <c r="Q5" s="45"/>
      <c r="R5" s="45"/>
      <c r="S5" s="45"/>
      <c r="T5" s="45"/>
      <c r="U5" s="45"/>
      <c r="V5" s="45"/>
      <c r="W5" s="45"/>
      <c r="X5" s="45"/>
      <c r="Y5" s="45"/>
      <c r="Z5" s="45"/>
      <c r="AA5" s="45"/>
      <c r="AB5" s="45"/>
      <c r="AC5" s="45"/>
      <c r="AD5" s="45"/>
      <c r="AE5" s="78"/>
    </row>
    <row r="6" spans="2:31" x14ac:dyDescent="0.25">
      <c r="B6" s="79" t="s">
        <v>38</v>
      </c>
      <c r="C6" s="80">
        <v>0.2</v>
      </c>
      <c r="D6" s="80">
        <v>0.2</v>
      </c>
      <c r="E6" s="80">
        <v>0.2</v>
      </c>
      <c r="F6" s="80">
        <v>0.2</v>
      </c>
      <c r="G6" s="80">
        <v>0.2</v>
      </c>
      <c r="H6" s="80">
        <v>0.2</v>
      </c>
      <c r="I6" s="80">
        <v>0.2</v>
      </c>
      <c r="J6" s="80">
        <v>0.2</v>
      </c>
      <c r="K6" s="80">
        <v>0.2</v>
      </c>
      <c r="L6" s="80">
        <v>0.2</v>
      </c>
      <c r="M6" s="80">
        <v>0.2</v>
      </c>
      <c r="N6" s="80">
        <v>0.2</v>
      </c>
      <c r="O6" s="80"/>
      <c r="P6" s="80"/>
      <c r="Q6" s="80"/>
      <c r="R6" s="80"/>
      <c r="S6" s="80"/>
      <c r="T6" s="80"/>
      <c r="U6" s="80"/>
      <c r="V6" s="80"/>
      <c r="W6" s="80"/>
      <c r="X6" s="80"/>
      <c r="Y6" s="80"/>
      <c r="Z6" s="80"/>
      <c r="AA6" s="80"/>
      <c r="AB6" s="80"/>
      <c r="AC6" s="80"/>
      <c r="AD6" s="80"/>
      <c r="AE6" s="81"/>
    </row>
    <row r="7" spans="2:31" x14ac:dyDescent="0.25">
      <c r="B7" s="75" t="s">
        <v>39</v>
      </c>
      <c r="C7" s="82"/>
      <c r="D7" s="46">
        <v>1</v>
      </c>
      <c r="E7" s="46">
        <v>1</v>
      </c>
      <c r="F7" s="46">
        <f ca="1">IF(ISNA(MATCH(F3,'Inputs - Crops and manures'!$D$4:$D$9,0)),1,MAX(OFFSET(SowDate,MATCH(F3,'Inputs - Crops and manures'!$D$4:$D$9,0),0),1))</f>
        <v>1</v>
      </c>
      <c r="G7" s="46">
        <f ca="1">IF(ISNA(MATCH(G3,'Inputs - Crops and manures'!$D$4:$D$9,0)),1,MAX(OFFSET(SowDate,MATCH(G3,'Inputs - Crops and manures'!$D$4:$D$9,0),0),1))</f>
        <v>1</v>
      </c>
      <c r="H7" s="46">
        <f ca="1">IF(ISNA(MATCH(H3,'Inputs - Crops and manures'!$D$4:$D$9,0)),1,MAX(OFFSET(SowDate,MATCH(H3,'Inputs - Crops and manures'!$D$4:$D$9,0),0),1))</f>
        <v>1</v>
      </c>
      <c r="I7" s="46">
        <f ca="1">IF(ISNA(MATCH(I3,'Inputs - Crops and manures'!$D$4:$D$9,0)),1,MAX(OFFSET(SowDate,MATCH(I3,'Inputs - Crops and manures'!$D$4:$D$9,0),0),1))</f>
        <v>1</v>
      </c>
      <c r="J7" s="46">
        <f ca="1">IF(ISNA(MATCH(J3,'Inputs - Crops and manures'!$D$4:$D$9,0)),1,MAX(OFFSET(SowDate,MATCH(J3,'Inputs - Crops and manures'!$D$4:$D$9,0),0),1))</f>
        <v>1</v>
      </c>
      <c r="K7" s="46">
        <f ca="1">IF(ISNA(MATCH(K3,'Inputs - Crops and manures'!$D$4:$D$9,0)),1,MAX(OFFSET(SowDate,MATCH(K3,'Inputs - Crops and manures'!$D$4:$D$9,0),0),1))</f>
        <v>1</v>
      </c>
      <c r="L7" s="46">
        <f ca="1">IF(ISNA(MATCH(L3,'Inputs - Crops and manures'!$D$4:$D$9,0)),1,MAX(OFFSET(SowDate,MATCH(L3,'Inputs - Crops and manures'!$D$4:$D$9,0),0),1))</f>
        <v>1</v>
      </c>
      <c r="M7" s="46">
        <f ca="1">IF(ISNA(MATCH(M3,'Inputs - Crops and manures'!$D$4:$D$9,0)),1,MAX(OFFSET(SowDate,MATCH(M3,'Inputs - Crops and manures'!$D$4:$D$9,0),0),1))</f>
        <v>1</v>
      </c>
      <c r="N7" s="46">
        <f ca="1">IF(ISNA(MATCH(N3,'Inputs - Crops and manures'!$D$4:$D$9,0)),1,MAX(OFFSET(SowDate,MATCH(N3,'Inputs - Crops and manures'!$D$4:$D$9,0),0),1))</f>
        <v>1</v>
      </c>
      <c r="O7" s="188"/>
      <c r="P7" s="188"/>
      <c r="Q7" s="188"/>
      <c r="R7" s="188"/>
      <c r="S7" s="188"/>
      <c r="T7" s="188"/>
      <c r="U7" s="188"/>
      <c r="V7" s="188"/>
      <c r="W7" s="188"/>
      <c r="X7" s="188"/>
      <c r="Y7" s="188"/>
      <c r="Z7" s="188"/>
      <c r="AA7" s="188"/>
      <c r="AB7" s="188"/>
      <c r="AC7" s="188"/>
      <c r="AD7" s="188"/>
      <c r="AE7" s="83"/>
    </row>
    <row r="8" spans="2:31" x14ac:dyDescent="0.25">
      <c r="B8" s="75" t="s">
        <v>40</v>
      </c>
      <c r="C8" s="82"/>
      <c r="D8" s="46">
        <v>12</v>
      </c>
      <c r="E8" s="46">
        <v>12</v>
      </c>
      <c r="F8" s="46">
        <f ca="1">IF(ISNA(MATCH(F3,'Inputs - Crops and manures'!$D$4:$D$9,0)),12,MAX(OFFSET(HarvDate,MATCH(F3,'Inputs - Crops and manures'!$D$4:$D$9,0),0),12))</f>
        <v>12</v>
      </c>
      <c r="G8" s="46">
        <f ca="1">IF(ISNA(MATCH(G3,'Inputs - Crops and manures'!$D$4:$D$9,0)),12,IF(OFFSET(HarvDate,MATCH(G3,'Inputs - Crops and manures'!$D$4:$D$9,0),0)&lt;1,12,OFFSET(HarvDate,MATCH(G3,'Inputs - Crops and manures'!$D$4:$D$9,0),0)))</f>
        <v>12</v>
      </c>
      <c r="H8" s="46">
        <f ca="1">IF(ISNA(MATCH(H3,'Inputs - Crops and manures'!$D$4:$D$9,0)),12,IF(OFFSET(HarvDate,MATCH(H3,'Inputs - Crops and manures'!$D$4:$D$9,0),0)&lt;1,12,OFFSET(HarvDate,MATCH(H3,'Inputs - Crops and manures'!$D$4:$D$9,0),0)))</f>
        <v>12</v>
      </c>
      <c r="I8" s="46">
        <f ca="1">IF(ISNA(MATCH(I3,'Inputs - Crops and manures'!$D$4:$D$9,0)),12,IF(OFFSET(HarvDate,MATCH(I3,'Inputs - Crops and manures'!$D$4:$D$9,0),0)&lt;1,12,OFFSET(HarvDate,MATCH(I3,'Inputs - Crops and manures'!$D$4:$D$9,0),0)))</f>
        <v>12</v>
      </c>
      <c r="J8" s="46">
        <f ca="1">IF(ISNA(MATCH(J3,'Inputs - Crops and manures'!$D$4:$D$9,0)),12,IF(OFFSET(HarvDate,MATCH(J3,'Inputs - Crops and manures'!$D$4:$D$9,0),0)&lt;1,12,OFFSET(HarvDate,MATCH(J3,'Inputs - Crops and manures'!$D$4:$D$9,0),0)))</f>
        <v>12</v>
      </c>
      <c r="K8" s="46">
        <f ca="1">IF(ISNA(MATCH(K3,'Inputs - Crops and manures'!$D$4:$D$9,0)),12,IF(OFFSET(HarvDate,MATCH(K3,'Inputs - Crops and manures'!$D$4:$D$9,0),0)&lt;1,12,OFFSET(HarvDate,MATCH(K3,'Inputs - Crops and manures'!$D$4:$D$9,0),0)))</f>
        <v>12</v>
      </c>
      <c r="L8" s="46">
        <f ca="1">IF(ISNA(MATCH(L3,'Inputs - Crops and manures'!$D$4:$D$9,0)),12,IF(OFFSET(HarvDate,MATCH(L3,'Inputs - Crops and manures'!$D$4:$D$9,0),0)&lt;1,12,OFFSET(HarvDate,MATCH(L3,'Inputs - Crops and manures'!$D$4:$D$9,0),0)))</f>
        <v>12</v>
      </c>
      <c r="M8" s="46">
        <f ca="1">IF(ISNA(MATCH(M3,'Inputs - Crops and manures'!$D$4:$D$9,0)),12,IF(OFFSET(HarvDate,MATCH(M3,'Inputs - Crops and manures'!$D$4:$D$9,0),0)&lt;1,12,OFFSET(HarvDate,MATCH(M3,'Inputs - Crops and manures'!$D$4:$D$9,0),0)))</f>
        <v>12</v>
      </c>
      <c r="N8" s="46">
        <f ca="1">IF(ISNA(MATCH(N3,'Inputs - Crops and manures'!$D$4:$D$9,0)),12,IF(OFFSET(HarvDate,MATCH(N3,'Inputs - Crops and manures'!$D$4:$D$9,0),0)&lt;1,12,OFFSET(HarvDate,MATCH(N3,'Inputs - Crops and manures'!$D$4:$D$9,0),0)))</f>
        <v>12</v>
      </c>
      <c r="O8" s="188"/>
      <c r="P8" s="188"/>
      <c r="Q8" s="188"/>
      <c r="R8" s="188"/>
      <c r="S8" s="188"/>
      <c r="T8" s="188"/>
      <c r="U8" s="188"/>
      <c r="V8" s="188"/>
      <c r="W8" s="188"/>
      <c r="X8" s="188"/>
      <c r="Y8" s="188"/>
      <c r="Z8" s="188"/>
      <c r="AA8" s="188"/>
      <c r="AB8" s="188"/>
      <c r="AC8" s="188"/>
      <c r="AD8" s="188"/>
      <c r="AE8" s="83"/>
    </row>
    <row r="9" spans="2:31" ht="18.75" x14ac:dyDescent="0.35">
      <c r="B9" s="75" t="s">
        <v>41</v>
      </c>
      <c r="C9" s="84"/>
      <c r="D9" s="189" t="s">
        <v>42</v>
      </c>
      <c r="E9" s="189" t="s">
        <v>42</v>
      </c>
      <c r="F9" s="189" t="s">
        <v>43</v>
      </c>
      <c r="G9" s="189" t="s">
        <v>43</v>
      </c>
      <c r="H9" s="189" t="s">
        <v>43</v>
      </c>
      <c r="I9" s="189" t="s">
        <v>43</v>
      </c>
      <c r="J9" s="189" t="s">
        <v>43</v>
      </c>
      <c r="K9" s="189" t="s">
        <v>43</v>
      </c>
      <c r="L9" s="189" t="s">
        <v>43</v>
      </c>
      <c r="M9" s="189" t="s">
        <v>43</v>
      </c>
      <c r="N9" s="189" t="s">
        <v>43</v>
      </c>
      <c r="O9" s="189"/>
      <c r="P9" s="189"/>
      <c r="Q9" s="189"/>
      <c r="R9" s="189"/>
      <c r="S9" s="189"/>
      <c r="T9" s="189"/>
      <c r="U9" s="189"/>
      <c r="V9" s="189"/>
      <c r="W9" s="189"/>
      <c r="X9" s="189"/>
      <c r="Y9" s="189"/>
      <c r="Z9" s="189"/>
      <c r="AA9" s="189"/>
      <c r="AB9" s="189"/>
      <c r="AC9" s="189"/>
      <c r="AD9" s="189"/>
      <c r="AE9" s="85"/>
    </row>
    <row r="10" spans="2:31" x14ac:dyDescent="0.25">
      <c r="B10" s="75">
        <v>1</v>
      </c>
      <c r="C10" s="73">
        <f t="shared" ref="C10:C21" si="0">IF(C$8&lt;C$7,IF($B10&gt;=C$7,EXP(-$N$25*(C$8+12-$B10+1)),IF($B10&lt;=C$8,EXP(-$N$25*(C$8-$B10+1)),0)),IF($B10&gt;C$8,0,IF($B10&lt;C$7,0,EXP(-$N$25*(C$8-$B10+1)))))</f>
        <v>0</v>
      </c>
      <c r="D10" s="72">
        <v>1</v>
      </c>
      <c r="E10" s="72">
        <v>1</v>
      </c>
      <c r="F10" s="72">
        <f t="shared" ref="F10:F21" ca="1" si="1">IF(F$8&lt;F$7,IF($B10&gt;=F$7,EXP(-$N$25*(F$8+12-$B10+1)),IF($B10&lt;=F$8,EXP(-$N$25*(F$8-$B10+1)),0)),IF($B10&gt;F$8,0,IF($B10&lt;F$7,0,EXP(-$N$25*(F$8-$B10+1)))))</f>
        <v>7.4658580837667985E-4</v>
      </c>
      <c r="G10" s="72">
        <f t="shared" ref="G10:N21" ca="1" si="2">IF(G$8&lt;G$7,IF($B10&gt;=G$7,EXP(-$N$25*(G$8+12-$B10+1)),IF($B10&lt;=G$8,EXP(-$N$25*(G$8-$B10+1)),0)),IF($B10&gt;G$8,0,IF($B10&lt;G$7,0,EXP(-$N$25*(G$8-$B10+1)))))</f>
        <v>7.4658580837667985E-4</v>
      </c>
      <c r="H10" s="72">
        <f t="shared" ca="1" si="2"/>
        <v>7.4658580837667985E-4</v>
      </c>
      <c r="I10" s="72">
        <f t="shared" ca="1" si="2"/>
        <v>7.4658580837667985E-4</v>
      </c>
      <c r="J10" s="72">
        <f t="shared" ca="1" si="2"/>
        <v>7.4658580837667985E-4</v>
      </c>
      <c r="K10" s="72">
        <f t="shared" ca="1" si="2"/>
        <v>7.4658580837667985E-4</v>
      </c>
      <c r="L10" s="72">
        <f t="shared" ca="1" si="2"/>
        <v>7.4658580837667985E-4</v>
      </c>
      <c r="M10" s="72">
        <f t="shared" ca="1" si="2"/>
        <v>7.4658580837667985E-4</v>
      </c>
      <c r="N10" s="72">
        <f t="shared" ca="1" si="2"/>
        <v>7.4658580837667985E-4</v>
      </c>
      <c r="O10" s="72">
        <v>1</v>
      </c>
      <c r="P10" s="72">
        <v>1</v>
      </c>
      <c r="Q10" s="72"/>
      <c r="R10" s="72"/>
      <c r="S10" s="72"/>
      <c r="T10" s="72"/>
      <c r="U10" s="72"/>
      <c r="V10" s="72"/>
      <c r="W10" s="72"/>
      <c r="X10" s="72"/>
      <c r="Y10" s="72"/>
      <c r="Z10" s="72"/>
      <c r="AA10" s="72"/>
      <c r="AB10" s="72"/>
      <c r="AC10" s="72"/>
      <c r="AD10" s="72"/>
      <c r="AE10" s="74"/>
    </row>
    <row r="11" spans="2:31" x14ac:dyDescent="0.25">
      <c r="B11" s="75">
        <v>2</v>
      </c>
      <c r="C11" s="76">
        <f t="shared" si="0"/>
        <v>0</v>
      </c>
      <c r="D11" s="45">
        <v>1</v>
      </c>
      <c r="E11" s="45">
        <v>1</v>
      </c>
      <c r="F11" s="45">
        <f t="shared" ca="1" si="1"/>
        <v>1.3603680375478939E-3</v>
      </c>
      <c r="G11" s="45">
        <f t="shared" ca="1" si="2"/>
        <v>1.3603680375478939E-3</v>
      </c>
      <c r="H11" s="45">
        <f t="shared" ca="1" si="2"/>
        <v>1.3603680375478939E-3</v>
      </c>
      <c r="I11" s="45">
        <f t="shared" ca="1" si="2"/>
        <v>1.3603680375478939E-3</v>
      </c>
      <c r="J11" s="45">
        <f t="shared" ca="1" si="2"/>
        <v>1.3603680375478939E-3</v>
      </c>
      <c r="K11" s="45">
        <f t="shared" ca="1" si="2"/>
        <v>1.3603680375478939E-3</v>
      </c>
      <c r="L11" s="45">
        <f t="shared" ca="1" si="2"/>
        <v>1.3603680375478939E-3</v>
      </c>
      <c r="M11" s="45">
        <f t="shared" ca="1" si="2"/>
        <v>1.3603680375478939E-3</v>
      </c>
      <c r="N11" s="45">
        <f t="shared" ca="1" si="2"/>
        <v>1.3603680375478939E-3</v>
      </c>
      <c r="O11" s="45">
        <v>1</v>
      </c>
      <c r="P11" s="45">
        <v>1</v>
      </c>
      <c r="Q11" s="45"/>
      <c r="R11" s="45"/>
      <c r="S11" s="45"/>
      <c r="T11" s="45"/>
      <c r="U11" s="45"/>
      <c r="V11" s="45"/>
      <c r="W11" s="45"/>
      <c r="X11" s="45"/>
      <c r="Y11" s="45"/>
      <c r="Z11" s="45"/>
      <c r="AA11" s="45"/>
      <c r="AB11" s="45"/>
      <c r="AC11" s="45"/>
      <c r="AD11" s="45"/>
      <c r="AE11" s="78"/>
    </row>
    <row r="12" spans="2:31" x14ac:dyDescent="0.25">
      <c r="B12" s="75">
        <v>3</v>
      </c>
      <c r="C12" s="76">
        <f t="shared" si="0"/>
        <v>0</v>
      </c>
      <c r="D12" s="45">
        <v>1</v>
      </c>
      <c r="E12" s="45">
        <v>1</v>
      </c>
      <c r="F12" s="45">
        <f t="shared" ca="1" si="1"/>
        <v>2.4787521766663585E-3</v>
      </c>
      <c r="G12" s="45">
        <f t="shared" ca="1" si="2"/>
        <v>2.4787521766663585E-3</v>
      </c>
      <c r="H12" s="45">
        <f t="shared" ca="1" si="2"/>
        <v>2.4787521766663585E-3</v>
      </c>
      <c r="I12" s="45">
        <f t="shared" ca="1" si="2"/>
        <v>2.4787521766663585E-3</v>
      </c>
      <c r="J12" s="45">
        <f t="shared" ca="1" si="2"/>
        <v>2.4787521766663585E-3</v>
      </c>
      <c r="K12" s="45">
        <f t="shared" ca="1" si="2"/>
        <v>2.4787521766663585E-3</v>
      </c>
      <c r="L12" s="45">
        <f t="shared" ca="1" si="2"/>
        <v>2.4787521766663585E-3</v>
      </c>
      <c r="M12" s="45">
        <f t="shared" ca="1" si="2"/>
        <v>2.4787521766663585E-3</v>
      </c>
      <c r="N12" s="45">
        <f t="shared" ca="1" si="2"/>
        <v>2.4787521766663585E-3</v>
      </c>
      <c r="O12" s="45">
        <v>1</v>
      </c>
      <c r="P12" s="45">
        <v>1</v>
      </c>
      <c r="Q12" s="45"/>
      <c r="R12" s="45"/>
      <c r="S12" s="45"/>
      <c r="T12" s="45"/>
      <c r="U12" s="45"/>
      <c r="V12" s="45"/>
      <c r="W12" s="45"/>
      <c r="X12" s="45"/>
      <c r="Y12" s="45"/>
      <c r="Z12" s="45"/>
      <c r="AA12" s="45"/>
      <c r="AB12" s="45"/>
      <c r="AC12" s="45"/>
      <c r="AD12" s="45"/>
      <c r="AE12" s="78"/>
    </row>
    <row r="13" spans="2:31" x14ac:dyDescent="0.25">
      <c r="B13" s="75">
        <v>4</v>
      </c>
      <c r="C13" s="76">
        <f t="shared" si="0"/>
        <v>0</v>
      </c>
      <c r="D13" s="45">
        <v>1</v>
      </c>
      <c r="E13" s="45">
        <v>1</v>
      </c>
      <c r="F13" s="45">
        <f t="shared" ca="1" si="1"/>
        <v>4.5165809426126703E-3</v>
      </c>
      <c r="G13" s="45">
        <f t="shared" ca="1" si="2"/>
        <v>4.5165809426126703E-3</v>
      </c>
      <c r="H13" s="45">
        <f t="shared" ca="1" si="2"/>
        <v>4.5165809426126703E-3</v>
      </c>
      <c r="I13" s="45">
        <f t="shared" ca="1" si="2"/>
        <v>4.5165809426126703E-3</v>
      </c>
      <c r="J13" s="45">
        <f t="shared" ca="1" si="2"/>
        <v>4.5165809426126703E-3</v>
      </c>
      <c r="K13" s="45">
        <f t="shared" ca="1" si="2"/>
        <v>4.5165809426126703E-3</v>
      </c>
      <c r="L13" s="45">
        <f t="shared" ca="1" si="2"/>
        <v>4.5165809426126703E-3</v>
      </c>
      <c r="M13" s="45">
        <f t="shared" ca="1" si="2"/>
        <v>4.5165809426126703E-3</v>
      </c>
      <c r="N13" s="45">
        <f t="shared" ca="1" si="2"/>
        <v>4.5165809426126703E-3</v>
      </c>
      <c r="O13" s="45">
        <v>1</v>
      </c>
      <c r="P13" s="45">
        <v>1</v>
      </c>
      <c r="Q13" s="45"/>
      <c r="R13" s="45"/>
      <c r="S13" s="45"/>
      <c r="T13" s="45"/>
      <c r="U13" s="45"/>
      <c r="V13" s="45"/>
      <c r="W13" s="45"/>
      <c r="X13" s="45"/>
      <c r="Y13" s="45"/>
      <c r="Z13" s="45"/>
      <c r="AA13" s="45"/>
      <c r="AB13" s="45"/>
      <c r="AC13" s="45"/>
      <c r="AD13" s="45"/>
      <c r="AE13" s="78"/>
    </row>
    <row r="14" spans="2:31" x14ac:dyDescent="0.25">
      <c r="B14" s="75">
        <v>5</v>
      </c>
      <c r="C14" s="76">
        <f t="shared" si="0"/>
        <v>0</v>
      </c>
      <c r="D14" s="45">
        <v>1</v>
      </c>
      <c r="E14" s="45">
        <v>1</v>
      </c>
      <c r="F14" s="45">
        <f t="shared" ca="1" si="1"/>
        <v>8.2297470490200302E-3</v>
      </c>
      <c r="G14" s="45">
        <f t="shared" ca="1" si="2"/>
        <v>8.2297470490200302E-3</v>
      </c>
      <c r="H14" s="45">
        <f t="shared" ca="1" si="2"/>
        <v>8.2297470490200302E-3</v>
      </c>
      <c r="I14" s="45">
        <f t="shared" ca="1" si="2"/>
        <v>8.2297470490200302E-3</v>
      </c>
      <c r="J14" s="45">
        <f t="shared" ca="1" si="2"/>
        <v>8.2297470490200302E-3</v>
      </c>
      <c r="K14" s="45">
        <f t="shared" ca="1" si="2"/>
        <v>8.2297470490200302E-3</v>
      </c>
      <c r="L14" s="45">
        <f t="shared" ca="1" si="2"/>
        <v>8.2297470490200302E-3</v>
      </c>
      <c r="M14" s="45">
        <f t="shared" ca="1" si="2"/>
        <v>8.2297470490200302E-3</v>
      </c>
      <c r="N14" s="45">
        <f t="shared" ca="1" si="2"/>
        <v>8.2297470490200302E-3</v>
      </c>
      <c r="O14" s="45">
        <v>1</v>
      </c>
      <c r="P14" s="45">
        <v>1</v>
      </c>
      <c r="Q14" s="45"/>
      <c r="R14" s="45"/>
      <c r="S14" s="45"/>
      <c r="T14" s="45"/>
      <c r="U14" s="45"/>
      <c r="V14" s="45"/>
      <c r="W14" s="45"/>
      <c r="X14" s="45"/>
      <c r="Y14" s="45"/>
      <c r="Z14" s="45"/>
      <c r="AA14" s="45"/>
      <c r="AB14" s="45"/>
      <c r="AC14" s="45"/>
      <c r="AD14" s="45"/>
      <c r="AE14" s="78"/>
    </row>
    <row r="15" spans="2:31" x14ac:dyDescent="0.25">
      <c r="B15" s="75">
        <v>6</v>
      </c>
      <c r="C15" s="76">
        <f t="shared" si="0"/>
        <v>0</v>
      </c>
      <c r="D15" s="45">
        <v>1</v>
      </c>
      <c r="E15" s="45">
        <v>1</v>
      </c>
      <c r="F15" s="45">
        <f t="shared" ca="1" si="1"/>
        <v>1.4995576820477703E-2</v>
      </c>
      <c r="G15" s="45">
        <f t="shared" ca="1" si="2"/>
        <v>1.4995576820477703E-2</v>
      </c>
      <c r="H15" s="45">
        <f t="shared" ca="1" si="2"/>
        <v>1.4995576820477703E-2</v>
      </c>
      <c r="I15" s="45">
        <f t="shared" ca="1" si="2"/>
        <v>1.4995576820477703E-2</v>
      </c>
      <c r="J15" s="45">
        <f t="shared" ca="1" si="2"/>
        <v>1.4995576820477703E-2</v>
      </c>
      <c r="K15" s="45">
        <f t="shared" ca="1" si="2"/>
        <v>1.4995576820477703E-2</v>
      </c>
      <c r="L15" s="45">
        <f t="shared" ca="1" si="2"/>
        <v>1.4995576820477703E-2</v>
      </c>
      <c r="M15" s="45">
        <f t="shared" ca="1" si="2"/>
        <v>1.4995576820477703E-2</v>
      </c>
      <c r="N15" s="45">
        <f t="shared" ca="1" si="2"/>
        <v>1.4995576820477703E-2</v>
      </c>
      <c r="O15" s="45">
        <v>1</v>
      </c>
      <c r="P15" s="45">
        <v>1</v>
      </c>
      <c r="Q15" s="45"/>
      <c r="R15" s="45"/>
      <c r="S15" s="45"/>
      <c r="T15" s="45"/>
      <c r="U15" s="45"/>
      <c r="V15" s="45"/>
      <c r="W15" s="45"/>
      <c r="X15" s="45"/>
      <c r="Y15" s="45"/>
      <c r="Z15" s="45"/>
      <c r="AA15" s="45"/>
      <c r="AB15" s="45"/>
      <c r="AC15" s="45"/>
      <c r="AD15" s="45"/>
      <c r="AE15" s="78"/>
    </row>
    <row r="16" spans="2:31" x14ac:dyDescent="0.25">
      <c r="B16" s="75">
        <v>7</v>
      </c>
      <c r="C16" s="76">
        <f t="shared" si="0"/>
        <v>0</v>
      </c>
      <c r="D16" s="45">
        <v>1</v>
      </c>
      <c r="E16" s="45">
        <v>1</v>
      </c>
      <c r="F16" s="45">
        <f t="shared" ca="1" si="1"/>
        <v>2.7323722447292569E-2</v>
      </c>
      <c r="G16" s="45">
        <f t="shared" ca="1" si="2"/>
        <v>2.7323722447292569E-2</v>
      </c>
      <c r="H16" s="45">
        <f t="shared" ca="1" si="2"/>
        <v>2.7323722447292569E-2</v>
      </c>
      <c r="I16" s="45">
        <f t="shared" ca="1" si="2"/>
        <v>2.7323722447292569E-2</v>
      </c>
      <c r="J16" s="45">
        <f t="shared" ca="1" si="2"/>
        <v>2.7323722447292569E-2</v>
      </c>
      <c r="K16" s="45">
        <f t="shared" ca="1" si="2"/>
        <v>2.7323722447292569E-2</v>
      </c>
      <c r="L16" s="45">
        <f t="shared" ca="1" si="2"/>
        <v>2.7323722447292569E-2</v>
      </c>
      <c r="M16" s="45">
        <f t="shared" ca="1" si="2"/>
        <v>2.7323722447292569E-2</v>
      </c>
      <c r="N16" s="45">
        <f t="shared" ca="1" si="2"/>
        <v>2.7323722447292569E-2</v>
      </c>
      <c r="O16" s="45">
        <v>1</v>
      </c>
      <c r="P16" s="45">
        <v>1</v>
      </c>
      <c r="Q16" s="45"/>
      <c r="R16" s="45"/>
      <c r="S16" s="45"/>
      <c r="T16" s="45"/>
      <c r="U16" s="45"/>
      <c r="V16" s="45"/>
      <c r="W16" s="45"/>
      <c r="X16" s="45"/>
      <c r="Y16" s="45"/>
      <c r="Z16" s="45"/>
      <c r="AA16" s="45"/>
      <c r="AB16" s="45"/>
      <c r="AC16" s="45"/>
      <c r="AD16" s="45"/>
      <c r="AE16" s="78"/>
    </row>
    <row r="17" spans="2:31" x14ac:dyDescent="0.25">
      <c r="B17" s="75">
        <v>8</v>
      </c>
      <c r="C17" s="76">
        <f t="shared" si="0"/>
        <v>0</v>
      </c>
      <c r="D17" s="45">
        <v>1</v>
      </c>
      <c r="E17" s="45">
        <v>1</v>
      </c>
      <c r="F17" s="45">
        <f t="shared" ca="1" si="1"/>
        <v>4.9787068367863944E-2</v>
      </c>
      <c r="G17" s="45">
        <f t="shared" ca="1" si="2"/>
        <v>4.9787068367863944E-2</v>
      </c>
      <c r="H17" s="45">
        <f t="shared" ca="1" si="2"/>
        <v>4.9787068367863944E-2</v>
      </c>
      <c r="I17" s="45">
        <f t="shared" ca="1" si="2"/>
        <v>4.9787068367863944E-2</v>
      </c>
      <c r="J17" s="45">
        <f t="shared" ca="1" si="2"/>
        <v>4.9787068367863944E-2</v>
      </c>
      <c r="K17" s="45">
        <f t="shared" ca="1" si="2"/>
        <v>4.9787068367863944E-2</v>
      </c>
      <c r="L17" s="45">
        <f t="shared" ca="1" si="2"/>
        <v>4.9787068367863944E-2</v>
      </c>
      <c r="M17" s="45">
        <f t="shared" ca="1" si="2"/>
        <v>4.9787068367863944E-2</v>
      </c>
      <c r="N17" s="45">
        <f t="shared" ca="1" si="2"/>
        <v>4.9787068367863944E-2</v>
      </c>
      <c r="O17" s="45">
        <v>1</v>
      </c>
      <c r="P17" s="45">
        <v>1</v>
      </c>
      <c r="Q17" s="45"/>
      <c r="R17" s="45"/>
      <c r="S17" s="45"/>
      <c r="T17" s="45"/>
      <c r="U17" s="45"/>
      <c r="V17" s="45"/>
      <c r="W17" s="45"/>
      <c r="X17" s="45"/>
      <c r="Y17" s="45"/>
      <c r="Z17" s="45"/>
      <c r="AA17" s="45"/>
      <c r="AB17" s="45"/>
      <c r="AC17" s="45"/>
      <c r="AD17" s="45"/>
      <c r="AE17" s="78"/>
    </row>
    <row r="18" spans="2:31" x14ac:dyDescent="0.25">
      <c r="B18" s="75">
        <v>9</v>
      </c>
      <c r="C18" s="76">
        <f t="shared" si="0"/>
        <v>0</v>
      </c>
      <c r="D18" s="45">
        <v>1</v>
      </c>
      <c r="E18" s="45">
        <v>1</v>
      </c>
      <c r="F18" s="45">
        <f t="shared" ca="1" si="1"/>
        <v>9.0717953289412512E-2</v>
      </c>
      <c r="G18" s="45">
        <f t="shared" ca="1" si="2"/>
        <v>9.0717953289412512E-2</v>
      </c>
      <c r="H18" s="45">
        <f t="shared" ca="1" si="2"/>
        <v>9.0717953289412512E-2</v>
      </c>
      <c r="I18" s="45">
        <f t="shared" ca="1" si="2"/>
        <v>9.0717953289412512E-2</v>
      </c>
      <c r="J18" s="45">
        <f t="shared" ca="1" si="2"/>
        <v>9.0717953289412512E-2</v>
      </c>
      <c r="K18" s="45">
        <f t="shared" ca="1" si="2"/>
        <v>9.0717953289412512E-2</v>
      </c>
      <c r="L18" s="45">
        <f t="shared" ca="1" si="2"/>
        <v>9.0717953289412512E-2</v>
      </c>
      <c r="M18" s="45">
        <f t="shared" ca="1" si="2"/>
        <v>9.0717953289412512E-2</v>
      </c>
      <c r="N18" s="45">
        <f t="shared" ca="1" si="2"/>
        <v>9.0717953289412512E-2</v>
      </c>
      <c r="O18" s="45">
        <v>1</v>
      </c>
      <c r="P18" s="45">
        <v>1</v>
      </c>
      <c r="Q18" s="45"/>
      <c r="R18" s="45"/>
      <c r="S18" s="45"/>
      <c r="T18" s="45"/>
      <c r="U18" s="45"/>
      <c r="V18" s="45"/>
      <c r="W18" s="45"/>
      <c r="X18" s="45"/>
      <c r="Y18" s="45"/>
      <c r="Z18" s="45"/>
      <c r="AA18" s="45"/>
      <c r="AB18" s="45"/>
      <c r="AC18" s="45"/>
      <c r="AD18" s="45"/>
      <c r="AE18" s="78"/>
    </row>
    <row r="19" spans="2:31" x14ac:dyDescent="0.25">
      <c r="B19" s="75">
        <v>10</v>
      </c>
      <c r="C19" s="76">
        <f t="shared" si="0"/>
        <v>0</v>
      </c>
      <c r="D19" s="45">
        <v>1</v>
      </c>
      <c r="E19" s="45">
        <v>1</v>
      </c>
      <c r="F19" s="45">
        <f t="shared" ca="1" si="1"/>
        <v>0.16529888822158656</v>
      </c>
      <c r="G19" s="45">
        <f t="shared" ca="1" si="2"/>
        <v>0.16529888822158656</v>
      </c>
      <c r="H19" s="45">
        <f t="shared" ca="1" si="2"/>
        <v>0.16529888822158656</v>
      </c>
      <c r="I19" s="45">
        <f t="shared" ca="1" si="2"/>
        <v>0.16529888822158656</v>
      </c>
      <c r="J19" s="45">
        <f t="shared" ca="1" si="2"/>
        <v>0.16529888822158656</v>
      </c>
      <c r="K19" s="45">
        <f t="shared" ca="1" si="2"/>
        <v>0.16529888822158656</v>
      </c>
      <c r="L19" s="45">
        <f t="shared" ca="1" si="2"/>
        <v>0.16529888822158656</v>
      </c>
      <c r="M19" s="45">
        <f t="shared" ca="1" si="2"/>
        <v>0.16529888822158656</v>
      </c>
      <c r="N19" s="45">
        <f t="shared" ca="1" si="2"/>
        <v>0.16529888822158656</v>
      </c>
      <c r="O19" s="45">
        <v>1</v>
      </c>
      <c r="P19" s="45">
        <v>1</v>
      </c>
      <c r="Q19" s="45"/>
      <c r="R19" s="45"/>
      <c r="S19" s="45"/>
      <c r="T19" s="45"/>
      <c r="U19" s="45"/>
      <c r="V19" s="45"/>
      <c r="W19" s="45"/>
      <c r="X19" s="45"/>
      <c r="Y19" s="45"/>
      <c r="Z19" s="45"/>
      <c r="AA19" s="45"/>
      <c r="AB19" s="45"/>
      <c r="AC19" s="45"/>
      <c r="AD19" s="45"/>
      <c r="AE19" s="78"/>
    </row>
    <row r="20" spans="2:31" x14ac:dyDescent="0.25">
      <c r="B20" s="75">
        <v>11</v>
      </c>
      <c r="C20" s="76">
        <f t="shared" si="0"/>
        <v>0</v>
      </c>
      <c r="D20" s="45">
        <v>1</v>
      </c>
      <c r="E20" s="45">
        <v>1</v>
      </c>
      <c r="F20" s="45">
        <f t="shared" ca="1" si="1"/>
        <v>0.30119421191220214</v>
      </c>
      <c r="G20" s="45">
        <f t="shared" ca="1" si="2"/>
        <v>0.30119421191220214</v>
      </c>
      <c r="H20" s="45">
        <f t="shared" ca="1" si="2"/>
        <v>0.30119421191220214</v>
      </c>
      <c r="I20" s="45">
        <f t="shared" ca="1" si="2"/>
        <v>0.30119421191220214</v>
      </c>
      <c r="J20" s="45">
        <f t="shared" ca="1" si="2"/>
        <v>0.30119421191220214</v>
      </c>
      <c r="K20" s="45">
        <f t="shared" ca="1" si="2"/>
        <v>0.30119421191220214</v>
      </c>
      <c r="L20" s="45">
        <f t="shared" ca="1" si="2"/>
        <v>0.30119421191220214</v>
      </c>
      <c r="M20" s="45">
        <f t="shared" ca="1" si="2"/>
        <v>0.30119421191220214</v>
      </c>
      <c r="N20" s="45">
        <f t="shared" ca="1" si="2"/>
        <v>0.30119421191220214</v>
      </c>
      <c r="O20" s="45">
        <v>1</v>
      </c>
      <c r="P20" s="45">
        <v>1</v>
      </c>
      <c r="Q20" s="45"/>
      <c r="R20" s="45"/>
      <c r="S20" s="45"/>
      <c r="T20" s="45"/>
      <c r="U20" s="45"/>
      <c r="V20" s="45"/>
      <c r="W20" s="45"/>
      <c r="X20" s="45"/>
      <c r="Y20" s="45"/>
      <c r="Z20" s="45"/>
      <c r="AA20" s="45"/>
      <c r="AB20" s="45"/>
      <c r="AC20" s="45"/>
      <c r="AD20" s="45"/>
      <c r="AE20" s="78"/>
    </row>
    <row r="21" spans="2:31" x14ac:dyDescent="0.25">
      <c r="B21" s="79">
        <v>12</v>
      </c>
      <c r="C21" s="86">
        <f t="shared" si="0"/>
        <v>0</v>
      </c>
      <c r="D21" s="23">
        <v>1</v>
      </c>
      <c r="E21" s="23">
        <v>1</v>
      </c>
      <c r="F21" s="23">
        <f t="shared" ca="1" si="1"/>
        <v>0.54881163609402639</v>
      </c>
      <c r="G21" s="23">
        <f t="shared" ca="1" si="2"/>
        <v>0.54881163609402639</v>
      </c>
      <c r="H21" s="23">
        <f t="shared" ca="1" si="2"/>
        <v>0.54881163609402639</v>
      </c>
      <c r="I21" s="23">
        <f t="shared" ca="1" si="2"/>
        <v>0.54881163609402639</v>
      </c>
      <c r="J21" s="23">
        <f t="shared" ca="1" si="2"/>
        <v>0.54881163609402639</v>
      </c>
      <c r="K21" s="23">
        <f t="shared" ca="1" si="2"/>
        <v>0.54881163609402639</v>
      </c>
      <c r="L21" s="23">
        <f t="shared" ca="1" si="2"/>
        <v>0.54881163609402639</v>
      </c>
      <c r="M21" s="23">
        <f t="shared" ca="1" si="2"/>
        <v>0.54881163609402639</v>
      </c>
      <c r="N21" s="23">
        <f t="shared" ca="1" si="2"/>
        <v>0.54881163609402639</v>
      </c>
      <c r="O21" s="23">
        <v>1</v>
      </c>
      <c r="P21" s="23">
        <v>1</v>
      </c>
      <c r="Q21" s="23"/>
      <c r="R21" s="23"/>
      <c r="S21" s="23"/>
      <c r="T21" s="23"/>
      <c r="U21" s="23"/>
      <c r="V21" s="23"/>
      <c r="W21" s="23"/>
      <c r="X21" s="23"/>
      <c r="Y21" s="23"/>
      <c r="Z21" s="23"/>
      <c r="AA21" s="23"/>
      <c r="AB21" s="23"/>
      <c r="AC21" s="23"/>
      <c r="AD21" s="23"/>
      <c r="AE21" s="87"/>
    </row>
    <row r="22" spans="2:31" x14ac:dyDescent="0.25">
      <c r="B22" s="346" t="s">
        <v>139</v>
      </c>
      <c r="C22" s="45">
        <f>SUM(C10:C21)</f>
        <v>0</v>
      </c>
      <c r="D22" s="45">
        <f t="shared" ref="D22:N22" si="3">SUM(D10:D21)</f>
        <v>12</v>
      </c>
      <c r="E22" s="45">
        <f t="shared" si="3"/>
        <v>12</v>
      </c>
      <c r="F22" s="45">
        <f t="shared" ca="1" si="3"/>
        <v>1.2154610911670853</v>
      </c>
      <c r="G22" s="45">
        <f t="shared" ca="1" si="3"/>
        <v>1.2154610911670853</v>
      </c>
      <c r="H22" s="45">
        <f t="shared" ca="1" si="3"/>
        <v>1.2154610911670853</v>
      </c>
      <c r="I22" s="45">
        <f t="shared" ca="1" si="3"/>
        <v>1.2154610911670853</v>
      </c>
      <c r="J22" s="45">
        <f t="shared" ca="1" si="3"/>
        <v>1.2154610911670853</v>
      </c>
      <c r="K22" s="45">
        <f t="shared" ca="1" si="3"/>
        <v>1.2154610911670853</v>
      </c>
      <c r="L22" s="45">
        <f t="shared" ca="1" si="3"/>
        <v>1.2154610911670853</v>
      </c>
      <c r="M22" s="45">
        <f t="shared" ca="1" si="3"/>
        <v>1.2154610911670853</v>
      </c>
      <c r="N22" s="45">
        <f t="shared" ca="1" si="3"/>
        <v>1.2154610911670853</v>
      </c>
      <c r="O22" s="45">
        <f t="shared" ref="O22:P22" si="4">SUM(O10:O21)</f>
        <v>12</v>
      </c>
      <c r="P22" s="45">
        <f t="shared" si="4"/>
        <v>12</v>
      </c>
      <c r="Q22" s="45"/>
      <c r="R22" s="45"/>
      <c r="S22" s="45"/>
      <c r="T22" s="45"/>
      <c r="U22" s="45"/>
      <c r="V22" s="45"/>
      <c r="W22" s="45"/>
      <c r="X22" s="45"/>
      <c r="Y22" s="45"/>
      <c r="Z22" s="45"/>
      <c r="AA22" s="45"/>
      <c r="AB22" s="45"/>
      <c r="AC22" s="45"/>
      <c r="AD22" s="45"/>
      <c r="AE22" s="78"/>
    </row>
    <row r="23" spans="2:31" ht="17.25" x14ac:dyDescent="0.25">
      <c r="B23" s="88" t="s">
        <v>44</v>
      </c>
      <c r="C23" s="89"/>
      <c r="D23" s="89"/>
      <c r="E23" s="72"/>
      <c r="F23" s="72"/>
      <c r="G23" s="72"/>
      <c r="H23" s="72"/>
      <c r="I23" s="72"/>
      <c r="J23" s="72"/>
      <c r="K23" s="72"/>
      <c r="L23" s="72"/>
      <c r="M23" s="72"/>
      <c r="N23" s="72"/>
      <c r="O23" s="72"/>
      <c r="P23" s="72"/>
      <c r="Q23" s="72"/>
      <c r="R23" s="72"/>
      <c r="S23" s="72"/>
      <c r="T23" s="72"/>
      <c r="U23" s="72"/>
      <c r="V23" s="72"/>
      <c r="W23" s="72"/>
      <c r="X23" s="72"/>
      <c r="Y23" s="72"/>
      <c r="Z23" s="72"/>
      <c r="AA23" s="72"/>
      <c r="AB23" s="72"/>
      <c r="AC23" s="72"/>
      <c r="AD23" s="72"/>
      <c r="AE23" s="74"/>
    </row>
    <row r="24" spans="2:31" ht="17.25" x14ac:dyDescent="0.25">
      <c r="B24" s="90" t="s">
        <v>45</v>
      </c>
      <c r="C24" s="190"/>
      <c r="D24" s="190"/>
      <c r="E24" s="45"/>
      <c r="F24" s="45"/>
      <c r="G24" s="45"/>
      <c r="H24" s="45"/>
      <c r="I24" s="45"/>
      <c r="J24" s="45"/>
      <c r="K24" s="45"/>
      <c r="L24" s="45"/>
      <c r="M24" s="45"/>
      <c r="N24" s="45"/>
      <c r="O24" s="45"/>
      <c r="P24" s="45"/>
      <c r="Q24" s="45"/>
      <c r="R24" s="45"/>
      <c r="S24" s="45"/>
      <c r="T24" s="45"/>
      <c r="U24" s="45"/>
      <c r="V24" s="45"/>
      <c r="W24" s="45"/>
      <c r="X24" s="45"/>
      <c r="Y24" s="45"/>
      <c r="Z24" s="45"/>
      <c r="AA24" s="45"/>
      <c r="AB24" s="45"/>
      <c r="AC24" s="45"/>
      <c r="AD24" s="45"/>
      <c r="AE24" s="78"/>
    </row>
    <row r="25" spans="2:31" ht="18" thickBot="1" x14ac:dyDescent="0.3">
      <c r="B25" s="191" t="s">
        <v>46</v>
      </c>
      <c r="C25" s="192"/>
      <c r="D25" s="192"/>
      <c r="E25" s="192"/>
      <c r="F25" s="193"/>
      <c r="G25" s="193"/>
      <c r="H25" s="193"/>
      <c r="I25" s="193"/>
      <c r="J25" s="194" t="s">
        <v>47</v>
      </c>
      <c r="K25" s="193"/>
      <c r="L25" s="193"/>
      <c r="M25" s="193"/>
      <c r="N25" s="92">
        <f>0.15*4</f>
        <v>0.6</v>
      </c>
      <c r="O25" s="92"/>
      <c r="P25" s="92"/>
      <c r="Q25" s="92"/>
      <c r="R25" s="92"/>
      <c r="S25" s="92"/>
      <c r="T25" s="92"/>
      <c r="U25" s="92"/>
      <c r="V25" s="92"/>
      <c r="W25" s="92"/>
      <c r="X25" s="92"/>
      <c r="Y25" s="92"/>
      <c r="Z25" s="92"/>
      <c r="AA25" s="92"/>
      <c r="AB25" s="92"/>
      <c r="AC25" s="92"/>
      <c r="AD25" s="92"/>
      <c r="AE25" s="93"/>
    </row>
    <row r="28" spans="2:31" ht="19.5" thickBot="1" x14ac:dyDescent="0.35">
      <c r="B28" s="176" t="s">
        <v>106</v>
      </c>
      <c r="C28" s="177"/>
      <c r="D28" s="177"/>
      <c r="E28" s="177"/>
      <c r="F28" s="177"/>
    </row>
    <row r="29" spans="2:31" ht="15.75" x14ac:dyDescent="0.25">
      <c r="B29" s="182" t="s">
        <v>107</v>
      </c>
      <c r="C29" s="183" t="s">
        <v>117</v>
      </c>
      <c r="D29" s="183" t="s">
        <v>108</v>
      </c>
      <c r="E29" s="183" t="s">
        <v>109</v>
      </c>
      <c r="F29" s="183" t="s">
        <v>110</v>
      </c>
      <c r="G29" s="183"/>
      <c r="H29" s="183"/>
      <c r="I29" s="183"/>
      <c r="J29" s="183"/>
      <c r="K29" s="183"/>
      <c r="L29" s="183"/>
      <c r="M29" s="183"/>
      <c r="N29" s="183"/>
      <c r="O29" s="183"/>
      <c r="P29" s="183"/>
      <c r="Q29" s="183"/>
      <c r="R29" s="183"/>
      <c r="S29" s="183"/>
      <c r="T29" s="183"/>
      <c r="U29" s="183"/>
      <c r="V29" s="183"/>
      <c r="W29" s="183"/>
      <c r="X29" s="183"/>
      <c r="Y29" s="183"/>
      <c r="Z29" s="183"/>
      <c r="AA29" s="183"/>
      <c r="AB29" s="183"/>
      <c r="AC29" s="183"/>
      <c r="AD29" s="183"/>
      <c r="AE29" s="184"/>
    </row>
    <row r="30" spans="2:31" x14ac:dyDescent="0.25">
      <c r="B30" s="195" t="s">
        <v>111</v>
      </c>
      <c r="C30" s="198">
        <v>31.45</v>
      </c>
      <c r="D30" s="206">
        <v>1</v>
      </c>
      <c r="E30" s="206">
        <v>1</v>
      </c>
      <c r="F30" s="45">
        <v>32</v>
      </c>
      <c r="G30" s="196"/>
      <c r="H30" s="196"/>
      <c r="I30" s="196"/>
      <c r="J30" s="196"/>
      <c r="K30" s="196"/>
      <c r="L30" s="196"/>
      <c r="M30" s="196"/>
      <c r="N30" s="196"/>
      <c r="O30" s="196"/>
      <c r="P30" s="196"/>
      <c r="Q30" s="196"/>
      <c r="R30" s="196"/>
      <c r="S30" s="196"/>
      <c r="T30" s="196"/>
      <c r="U30" s="196"/>
      <c r="V30" s="196"/>
      <c r="W30" s="196"/>
      <c r="X30" s="196"/>
      <c r="Y30" s="196"/>
      <c r="Z30" s="196"/>
      <c r="AA30" s="196"/>
      <c r="AB30" s="196"/>
      <c r="AC30" s="196"/>
      <c r="AD30" s="196"/>
      <c r="AE30" s="197"/>
    </row>
    <row r="31" spans="2:31" x14ac:dyDescent="0.25">
      <c r="B31" s="195" t="s">
        <v>112</v>
      </c>
      <c r="C31" s="199">
        <v>0</v>
      </c>
      <c r="D31" s="185">
        <v>0</v>
      </c>
      <c r="E31" s="185">
        <v>0</v>
      </c>
      <c r="F31" s="185">
        <v>0.5</v>
      </c>
      <c r="G31" s="185"/>
      <c r="H31" s="185"/>
      <c r="I31" s="185"/>
      <c r="J31" s="185"/>
      <c r="K31" s="185"/>
      <c r="L31" s="185"/>
      <c r="M31" s="185"/>
      <c r="N31" s="185"/>
      <c r="O31" s="185"/>
      <c r="P31" s="185"/>
      <c r="Q31" s="185"/>
      <c r="R31" s="185"/>
      <c r="S31" s="185"/>
      <c r="T31" s="185"/>
      <c r="U31" s="185"/>
      <c r="V31" s="185"/>
      <c r="W31" s="185"/>
      <c r="X31" s="185"/>
      <c r="Y31" s="185"/>
      <c r="Z31" s="185"/>
      <c r="AA31" s="185"/>
      <c r="AB31" s="185"/>
      <c r="AC31" s="185"/>
      <c r="AD31" s="185"/>
      <c r="AE31" s="186"/>
    </row>
    <row r="32" spans="2:31" x14ac:dyDescent="0.25">
      <c r="B32" s="195" t="s">
        <v>113</v>
      </c>
      <c r="C32" s="199">
        <v>0.47399999999999998</v>
      </c>
      <c r="D32" s="185">
        <v>0.5</v>
      </c>
      <c r="E32" s="185">
        <v>0.5</v>
      </c>
      <c r="F32" s="185">
        <v>0.47</v>
      </c>
      <c r="G32" s="185"/>
      <c r="H32" s="185"/>
      <c r="I32" s="185"/>
      <c r="J32" s="185"/>
      <c r="K32" s="185"/>
      <c r="L32" s="185"/>
      <c r="M32" s="185"/>
      <c r="N32" s="185"/>
      <c r="O32" s="185"/>
      <c r="P32" s="185"/>
      <c r="Q32" s="185"/>
      <c r="R32" s="185"/>
      <c r="S32" s="185"/>
      <c r="T32" s="185"/>
      <c r="U32" s="185"/>
      <c r="V32" s="185"/>
      <c r="W32" s="185"/>
      <c r="X32" s="185"/>
      <c r="Y32" s="185"/>
      <c r="Z32" s="185"/>
      <c r="AA32" s="185"/>
      <c r="AB32" s="185"/>
      <c r="AC32" s="185"/>
      <c r="AD32" s="185"/>
      <c r="AE32" s="186"/>
    </row>
    <row r="33" spans="2:31" ht="15.75" thickBot="1" x14ac:dyDescent="0.3">
      <c r="B33" s="339" t="s">
        <v>137</v>
      </c>
      <c r="C33" s="340">
        <v>0.2</v>
      </c>
      <c r="D33" s="341">
        <v>0.5</v>
      </c>
      <c r="E33" s="341">
        <v>0.5</v>
      </c>
      <c r="F33" s="341">
        <v>0.5</v>
      </c>
      <c r="G33" s="337"/>
      <c r="H33" s="337"/>
      <c r="I33" s="337"/>
      <c r="J33" s="337"/>
      <c r="K33" s="337"/>
      <c r="L33" s="337"/>
      <c r="M33" s="337"/>
      <c r="N33" s="337"/>
      <c r="O33" s="337"/>
      <c r="P33" s="337"/>
      <c r="Q33" s="337"/>
      <c r="R33" s="337"/>
      <c r="S33" s="337"/>
      <c r="T33" s="337"/>
      <c r="U33" s="337"/>
      <c r="V33" s="337"/>
      <c r="W33" s="337"/>
      <c r="X33" s="337"/>
      <c r="Y33" s="337"/>
      <c r="Z33" s="337"/>
      <c r="AA33" s="337"/>
      <c r="AB33" s="337"/>
      <c r="AC33" s="337"/>
      <c r="AD33" s="337"/>
      <c r="AE33" s="338"/>
    </row>
  </sheetData>
  <mergeCells count="1">
    <mergeCell ref="C2:AE2"/>
  </mergeCells>
  <conditionalFormatting sqref="AC10:AD22">
    <cfRule type="cellIs" dxfId="4" priority="3" operator="greaterThan">
      <formula>0</formula>
    </cfRule>
  </conditionalFormatting>
  <conditionalFormatting sqref="C10:N22">
    <cfRule type="cellIs" dxfId="3" priority="7" operator="greaterThan">
      <formula>0</formula>
    </cfRule>
  </conditionalFormatting>
  <conditionalFormatting sqref="Q10:AB22 AE10:AE22">
    <cfRule type="cellIs" dxfId="2" priority="4" operator="greaterThan">
      <formula>0</formula>
    </cfRule>
  </conditionalFormatting>
  <conditionalFormatting sqref="O10:O22">
    <cfRule type="cellIs" dxfId="1" priority="2" operator="greaterThan">
      <formula>0</formula>
    </cfRule>
  </conditionalFormatting>
  <conditionalFormatting sqref="P10:P22">
    <cfRule type="cellIs" dxfId="0" priority="1" operator="greaterThan">
      <formula>0</formula>
    </cfRule>
  </conditionalFormatting>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A97BE4-F0C4-4F29-80B5-524D67C89CA1}">
  <sheetPr codeName="Sheet6">
    <tabColor rgb="FFFFFF00"/>
  </sheetPr>
  <dimension ref="B1:Q244"/>
  <sheetViews>
    <sheetView topLeftCell="A2" zoomScale="115" zoomScaleNormal="115" workbookViewId="0">
      <selection activeCell="E4" sqref="E4"/>
    </sheetView>
  </sheetViews>
  <sheetFormatPr defaultColWidth="8.85546875" defaultRowHeight="15" x14ac:dyDescent="0.25"/>
  <cols>
    <col min="1" max="1" width="0.85546875" style="136" customWidth="1"/>
    <col min="2" max="2" width="9.28515625" style="136" customWidth="1"/>
    <col min="3" max="3" width="5.85546875" style="136" customWidth="1"/>
    <col min="4" max="4" width="15.140625" style="169" customWidth="1"/>
    <col min="5" max="5" width="8.140625" style="136" bestFit="1" customWidth="1"/>
    <col min="6" max="6" width="11.7109375" style="136" bestFit="1" customWidth="1"/>
    <col min="7" max="7" width="11.28515625" style="136" customWidth="1"/>
    <col min="8" max="8" width="12.28515625" style="136" customWidth="1"/>
    <col min="9" max="10" width="9.5703125" style="136" customWidth="1"/>
    <col min="11" max="11" width="9.42578125" style="136" bestFit="1" customWidth="1"/>
    <col min="12" max="12" width="4.5703125" style="136" bestFit="1" customWidth="1"/>
    <col min="13" max="13" width="18.140625" style="136" customWidth="1"/>
    <col min="14" max="16384" width="8.85546875" style="136"/>
  </cols>
  <sheetData>
    <row r="1" spans="2:13" s="132" customFormat="1" ht="3.75" customHeight="1" x14ac:dyDescent="0.25">
      <c r="B1" s="133"/>
      <c r="C1" s="134"/>
      <c r="D1" s="135"/>
      <c r="E1" s="133"/>
      <c r="F1" s="133"/>
      <c r="G1" s="133"/>
      <c r="H1" s="133"/>
      <c r="I1" s="133"/>
      <c r="J1" s="133"/>
      <c r="K1" s="133"/>
      <c r="L1" s="133"/>
    </row>
    <row r="2" spans="2:13" s="132" customFormat="1" ht="249.95" customHeight="1" x14ac:dyDescent="0.25">
      <c r="B2" s="133"/>
      <c r="C2" s="134"/>
      <c r="D2" s="135"/>
      <c r="E2" s="133"/>
      <c r="F2" s="133"/>
      <c r="G2" s="133"/>
      <c r="H2" s="133"/>
      <c r="I2" s="133"/>
      <c r="J2" s="133"/>
      <c r="K2" s="133"/>
      <c r="L2" s="133"/>
    </row>
    <row r="3" spans="2:13" x14ac:dyDescent="0.25">
      <c r="B3" s="137"/>
      <c r="C3" s="138"/>
      <c r="D3" s="138"/>
      <c r="E3" s="138"/>
      <c r="F3" s="139" t="s">
        <v>68</v>
      </c>
      <c r="G3" s="140">
        <f>Latitude</f>
        <v>50.05</v>
      </c>
      <c r="H3" s="139" t="s">
        <v>69</v>
      </c>
      <c r="I3" s="141">
        <f>INT(AVERAGE(G3))</f>
        <v>50</v>
      </c>
      <c r="J3" s="139" t="s">
        <v>70</v>
      </c>
      <c r="K3" s="141">
        <f>(G3-(10*INT(G3)/10))*60</f>
        <v>2.9999999999998295</v>
      </c>
      <c r="L3" s="139"/>
      <c r="M3" s="142"/>
    </row>
    <row r="4" spans="2:13" ht="62.25" customHeight="1" x14ac:dyDescent="0.25">
      <c r="B4" s="143" t="s">
        <v>49</v>
      </c>
      <c r="C4" s="143" t="s">
        <v>41</v>
      </c>
      <c r="D4" s="144" t="s">
        <v>71</v>
      </c>
      <c r="E4" s="145" t="s">
        <v>72</v>
      </c>
      <c r="F4" s="144" t="s">
        <v>73</v>
      </c>
      <c r="G4" s="144" t="s">
        <v>74</v>
      </c>
      <c r="H4" s="144" t="s">
        <v>75</v>
      </c>
      <c r="I4" s="144" t="s">
        <v>76</v>
      </c>
      <c r="J4" s="144" t="s">
        <v>77</v>
      </c>
      <c r="K4" s="144" t="s">
        <v>78</v>
      </c>
      <c r="L4" s="146" t="s">
        <v>79</v>
      </c>
      <c r="M4" s="147" t="s">
        <v>80</v>
      </c>
    </row>
    <row r="5" spans="2:13" x14ac:dyDescent="0.25">
      <c r="B5" s="148">
        <v>-6</v>
      </c>
      <c r="C5" s="148">
        <v>1</v>
      </c>
      <c r="D5" s="149">
        <f ca="1">OFFSET('Inputs - Weather'!$E$19,C5,B5+6+1)</f>
        <v>-1.95</v>
      </c>
      <c r="E5" s="96">
        <f ca="1">OFFSET('Inputs - Weather'!$E$5,C5,B5+6+1)</f>
        <v>126.56</v>
      </c>
      <c r="F5" s="71">
        <f>DAY(EOMONTH(CONCATENATE("1/",C5,"/01"),0))</f>
        <v>31</v>
      </c>
      <c r="G5" s="71">
        <f>IF(C5=1,F5,F5+G4)</f>
        <v>31</v>
      </c>
      <c r="H5" s="96">
        <f>-23.44*COS(RADIANS((360/365)*(INT(F5/2)+10)))</f>
        <v>-21.30268541923795</v>
      </c>
      <c r="I5" s="72">
        <f t="shared" ref="I5:I16" si="0">((12*60)+8+(H5/6.3)*I$3)/60</f>
        <v>9.3155178016881006</v>
      </c>
      <c r="J5" s="72">
        <f ca="1">IF(D5&gt;0,POWER(D5/5,1.514),0)</f>
        <v>0</v>
      </c>
      <c r="K5" s="96">
        <f ca="1">SUM(J5:J16)</f>
        <v>39.257258371399331</v>
      </c>
      <c r="L5" s="149">
        <f ca="1">(0.000000675*K5*K5*K5)-(0.0000771*K5*K5)+(0.01792*K5)+0.49239</f>
        <v>1.1178966924203715</v>
      </c>
      <c r="M5" s="150">
        <f ca="1">IF(D5&gt;0,(F5/30)*(I5/12)*16*POWER((10*D5/K5),L5),0)</f>
        <v>0</v>
      </c>
    </row>
    <row r="6" spans="2:13" x14ac:dyDescent="0.25">
      <c r="B6" s="82">
        <f>IF(C6=1,B5+1,B5)</f>
        <v>-6</v>
      </c>
      <c r="C6" s="82">
        <f>IF(C5&lt;12,C5+1,1)</f>
        <v>2</v>
      </c>
      <c r="D6" s="151">
        <f ca="1">OFFSET('Inputs - Weather'!$E$19,C6,B6+6+1)</f>
        <v>-3.96</v>
      </c>
      <c r="E6" s="46">
        <f ca="1">OFFSET('Inputs - Weather'!$E$5,C6,B6+6+1)</f>
        <v>47.46</v>
      </c>
      <c r="F6" s="91">
        <f t="shared" ref="F6:F69" si="1">DAY(EOMONTH(CONCATENATE("1/",C6,"/01"),0))</f>
        <v>28</v>
      </c>
      <c r="G6" s="91">
        <f t="shared" ref="G6:G16" si="2">IF(C6=1,F6,F6+G5)</f>
        <v>59</v>
      </c>
      <c r="H6" s="46">
        <f>-23.44*COS(RADIANS(360/365*(INT(F6/2)+G5+10)))</f>
        <v>-13.695949189848957</v>
      </c>
      <c r="I6" s="45">
        <f t="shared" si="0"/>
        <v>10.321699842612571</v>
      </c>
      <c r="J6" s="45">
        <f ca="1">IF(D6&gt;0,POWER(D6/5,1.514),0)</f>
        <v>0</v>
      </c>
      <c r="K6" s="46">
        <f ca="1">K5</f>
        <v>39.257258371399331</v>
      </c>
      <c r="L6" s="151">
        <f t="shared" ref="L6:L16" ca="1" si="3">(0.000000675*K6*K6*K6)-(0.0000771*K6*K6)+(0.01792*K6)+0.49239</f>
        <v>1.1178966924203715</v>
      </c>
      <c r="M6" s="152">
        <f t="shared" ref="M6:M69" ca="1" si="4">IF(D6&gt;0,(F6/30)*(I6/12)*16*POWER((10*D6/K6),L6),0)</f>
        <v>0</v>
      </c>
    </row>
    <row r="7" spans="2:13" x14ac:dyDescent="0.25">
      <c r="B7" s="82">
        <f t="shared" ref="B7:B16" si="5">IF(C7=1,B6+1,B6)</f>
        <v>-6</v>
      </c>
      <c r="C7" s="82">
        <f t="shared" ref="C7:C70" si="6">IF(C6&lt;12,C6+1,1)</f>
        <v>3</v>
      </c>
      <c r="D7" s="151">
        <f ca="1">OFFSET('Inputs - Weather'!$E$19,C7,B7+6+1)</f>
        <v>-0.17</v>
      </c>
      <c r="E7" s="46">
        <f ca="1">OFFSET('Inputs - Weather'!$E$5,C7,B7+6+1)</f>
        <v>21.09</v>
      </c>
      <c r="F7" s="91">
        <f t="shared" si="1"/>
        <v>31</v>
      </c>
      <c r="G7" s="91">
        <f t="shared" si="2"/>
        <v>90</v>
      </c>
      <c r="H7" s="46">
        <f t="shared" ref="H7:H16" si="7">-23.44*COS(RADIANS(360/365*(INT(F7/2)+G6+10)))</f>
        <v>-2.9177939455063431</v>
      </c>
      <c r="I7" s="45">
        <f t="shared" si="0"/>
        <v>11.747381753239901</v>
      </c>
      <c r="J7" s="45">
        <f t="shared" ref="J7:J16" ca="1" si="8">IF(D7&gt;0,POWER(D7/5,1.514),0)</f>
        <v>0</v>
      </c>
      <c r="K7" s="46">
        <f t="shared" ref="K7:K70" ca="1" si="9">K6</f>
        <v>39.257258371399331</v>
      </c>
      <c r="L7" s="151">
        <f t="shared" ca="1" si="3"/>
        <v>1.1178966924203715</v>
      </c>
      <c r="M7" s="152">
        <f t="shared" ca="1" si="4"/>
        <v>0</v>
      </c>
    </row>
    <row r="8" spans="2:13" x14ac:dyDescent="0.25">
      <c r="B8" s="82">
        <f t="shared" si="5"/>
        <v>-6</v>
      </c>
      <c r="C8" s="82">
        <f t="shared" si="6"/>
        <v>4</v>
      </c>
      <c r="D8" s="151">
        <f ca="1">OFFSET('Inputs - Weather'!$E$19,C8,B8+6+1)</f>
        <v>7.19</v>
      </c>
      <c r="E8" s="46">
        <f ca="1">OFFSET('Inputs - Weather'!$E$5,C8,B8+6+1)</f>
        <v>79.099999999999994</v>
      </c>
      <c r="F8" s="91">
        <f t="shared" si="1"/>
        <v>30</v>
      </c>
      <c r="G8" s="91">
        <f t="shared" si="2"/>
        <v>120</v>
      </c>
      <c r="H8" s="46">
        <f t="shared" si="7"/>
        <v>9.3184035667831076</v>
      </c>
      <c r="I8" s="45">
        <f t="shared" si="0"/>
        <v>13.365926397722633</v>
      </c>
      <c r="J8" s="45">
        <f t="shared" ca="1" si="8"/>
        <v>1.7331931082816145</v>
      </c>
      <c r="K8" s="46">
        <f t="shared" ca="1" si="9"/>
        <v>39.257258371399331</v>
      </c>
      <c r="L8" s="151">
        <f t="shared" ca="1" si="3"/>
        <v>1.1178966924203715</v>
      </c>
      <c r="M8" s="152">
        <f t="shared" ca="1" si="4"/>
        <v>35.053471041987549</v>
      </c>
    </row>
    <row r="9" spans="2:13" x14ac:dyDescent="0.25">
      <c r="B9" s="82">
        <f t="shared" si="5"/>
        <v>-6</v>
      </c>
      <c r="C9" s="82">
        <f t="shared" si="6"/>
        <v>5</v>
      </c>
      <c r="D9" s="151">
        <f ca="1">OFFSET('Inputs - Weather'!$E$19,C9,B9+6+1)</f>
        <v>12.4</v>
      </c>
      <c r="E9" s="46">
        <f ca="1">OFFSET('Inputs - Weather'!$E$5,C9,B9+6+1)</f>
        <v>163.47999999999999</v>
      </c>
      <c r="F9" s="91">
        <f t="shared" si="1"/>
        <v>31</v>
      </c>
      <c r="G9" s="91">
        <f t="shared" si="2"/>
        <v>151</v>
      </c>
      <c r="H9" s="46">
        <f t="shared" si="7"/>
        <v>18.723388500456394</v>
      </c>
      <c r="I9" s="45">
        <f t="shared" si="0"/>
        <v>14.609972023869894</v>
      </c>
      <c r="J9" s="45">
        <f t="shared" ca="1" si="8"/>
        <v>3.9554859367530266</v>
      </c>
      <c r="K9" s="46">
        <f t="shared" ca="1" si="9"/>
        <v>39.257258371399331</v>
      </c>
      <c r="L9" s="151">
        <f t="shared" ca="1" si="3"/>
        <v>1.1178966924203715</v>
      </c>
      <c r="M9" s="152">
        <f t="shared" ca="1" si="4"/>
        <v>72.814836627264711</v>
      </c>
    </row>
    <row r="10" spans="2:13" x14ac:dyDescent="0.25">
      <c r="B10" s="82">
        <f t="shared" si="5"/>
        <v>-6</v>
      </c>
      <c r="C10" s="82">
        <f t="shared" si="6"/>
        <v>6</v>
      </c>
      <c r="D10" s="151">
        <f ca="1">OFFSET('Inputs - Weather'!$E$19,C10,B10+6+1)</f>
        <v>18.09</v>
      </c>
      <c r="E10" s="46">
        <f ca="1">OFFSET('Inputs - Weather'!$E$5,C10,B10+6+1)</f>
        <v>189.84</v>
      </c>
      <c r="F10" s="91">
        <f t="shared" si="1"/>
        <v>30</v>
      </c>
      <c r="G10" s="91">
        <f t="shared" si="2"/>
        <v>181</v>
      </c>
      <c r="H10" s="46">
        <f t="shared" si="7"/>
        <v>23.293419845424015</v>
      </c>
      <c r="I10" s="45">
        <f t="shared" si="0"/>
        <v>15.214473524526987</v>
      </c>
      <c r="J10" s="45">
        <f t="shared" ca="1" si="8"/>
        <v>7.0068271428677544</v>
      </c>
      <c r="K10" s="46">
        <f t="shared" ca="1" si="9"/>
        <v>39.257258371399331</v>
      </c>
      <c r="L10" s="151">
        <f t="shared" ca="1" si="3"/>
        <v>1.1178966924203715</v>
      </c>
      <c r="M10" s="152">
        <f t="shared" ca="1" si="4"/>
        <v>111.92855946108594</v>
      </c>
    </row>
    <row r="11" spans="2:13" x14ac:dyDescent="0.25">
      <c r="B11" s="82">
        <f t="shared" si="5"/>
        <v>-6</v>
      </c>
      <c r="C11" s="82">
        <f t="shared" si="6"/>
        <v>7</v>
      </c>
      <c r="D11" s="151">
        <f ca="1">OFFSET('Inputs - Weather'!$E$19,C11,B11+6+1)</f>
        <v>21.94</v>
      </c>
      <c r="E11" s="46">
        <f ca="1">OFFSET('Inputs - Weather'!$E$5,C11,B11+6+1)</f>
        <v>73.83</v>
      </c>
      <c r="F11" s="91">
        <f t="shared" si="1"/>
        <v>31</v>
      </c>
      <c r="G11" s="91">
        <f t="shared" si="2"/>
        <v>212</v>
      </c>
      <c r="H11" s="46">
        <f t="shared" si="7"/>
        <v>21.54806313020423</v>
      </c>
      <c r="I11" s="45">
        <f t="shared" si="0"/>
        <v>14.983606234153998</v>
      </c>
      <c r="J11" s="45">
        <f t="shared" ca="1" si="8"/>
        <v>9.3840791249273732</v>
      </c>
      <c r="K11" s="46">
        <f t="shared" ca="1" si="9"/>
        <v>39.257258371399331</v>
      </c>
      <c r="L11" s="151">
        <f t="shared" ca="1" si="3"/>
        <v>1.1178966924203715</v>
      </c>
      <c r="M11" s="152">
        <f t="shared" ca="1" si="4"/>
        <v>141.32478911488704</v>
      </c>
    </row>
    <row r="12" spans="2:13" x14ac:dyDescent="0.25">
      <c r="B12" s="82">
        <f t="shared" si="5"/>
        <v>-6</v>
      </c>
      <c r="C12" s="82">
        <f t="shared" si="6"/>
        <v>8</v>
      </c>
      <c r="D12" s="151">
        <f ca="1">OFFSET('Inputs - Weather'!$E$19,C12,B12+6+1)</f>
        <v>19.68</v>
      </c>
      <c r="E12" s="46">
        <f ca="1">OFFSET('Inputs - Weather'!$E$5,C12,B12+6+1)</f>
        <v>100.2</v>
      </c>
      <c r="F12" s="91">
        <f t="shared" si="1"/>
        <v>31</v>
      </c>
      <c r="G12" s="91">
        <f t="shared" si="2"/>
        <v>243</v>
      </c>
      <c r="H12" s="46">
        <f t="shared" si="7"/>
        <v>13.859168267602277</v>
      </c>
      <c r="I12" s="45">
        <f t="shared" si="0"/>
        <v>13.966556649153741</v>
      </c>
      <c r="J12" s="45">
        <f t="shared" ca="1" si="8"/>
        <v>7.9600061979559502</v>
      </c>
      <c r="K12" s="46">
        <f t="shared" ca="1" si="9"/>
        <v>39.257258371399331</v>
      </c>
      <c r="L12" s="151">
        <f t="shared" ca="1" si="3"/>
        <v>1.1178966924203715</v>
      </c>
      <c r="M12" s="152">
        <f t="shared" ca="1" si="4"/>
        <v>116.65778594736385</v>
      </c>
    </row>
    <row r="13" spans="2:13" x14ac:dyDescent="0.25">
      <c r="B13" s="82">
        <f t="shared" si="5"/>
        <v>-6</v>
      </c>
      <c r="C13" s="82">
        <f t="shared" si="6"/>
        <v>9</v>
      </c>
      <c r="D13" s="151">
        <f ca="1">OFFSET('Inputs - Weather'!$E$19,C13,B13+6+1)</f>
        <v>15.25</v>
      </c>
      <c r="E13" s="46">
        <f ca="1">OFFSET('Inputs - Weather'!$E$5,C13,B13+6+1)</f>
        <v>68.55</v>
      </c>
      <c r="F13" s="91">
        <f t="shared" si="1"/>
        <v>30</v>
      </c>
      <c r="G13" s="91">
        <f t="shared" si="2"/>
        <v>273</v>
      </c>
      <c r="H13" s="46">
        <f t="shared" si="7"/>
        <v>2.3163440518985223</v>
      </c>
      <c r="I13" s="45">
        <f t="shared" si="0"/>
        <v>12.439728049192926</v>
      </c>
      <c r="J13" s="45">
        <f t="shared" ca="1" si="8"/>
        <v>5.4104072549133342</v>
      </c>
      <c r="K13" s="46">
        <f t="shared" ca="1" si="9"/>
        <v>39.257258371399331</v>
      </c>
      <c r="L13" s="151">
        <f t="shared" ca="1" si="3"/>
        <v>1.1178966924203715</v>
      </c>
      <c r="M13" s="152">
        <f t="shared" ca="1" si="4"/>
        <v>75.610463679396176</v>
      </c>
    </row>
    <row r="14" spans="2:13" x14ac:dyDescent="0.25">
      <c r="B14" s="82">
        <f t="shared" si="5"/>
        <v>-6</v>
      </c>
      <c r="C14" s="82">
        <f t="shared" si="6"/>
        <v>10</v>
      </c>
      <c r="D14" s="151">
        <f ca="1">OFFSET('Inputs - Weather'!$E$19,C14,B14+6+1)</f>
        <v>9.0500000000000007</v>
      </c>
      <c r="E14" s="46">
        <f ca="1">OFFSET('Inputs - Weather'!$E$5,C14,B14+6+1)</f>
        <v>163.47999999999999</v>
      </c>
      <c r="F14" s="91">
        <f t="shared" si="1"/>
        <v>31</v>
      </c>
      <c r="G14" s="91">
        <f t="shared" si="2"/>
        <v>304</v>
      </c>
      <c r="H14" s="46">
        <f t="shared" si="7"/>
        <v>-9.5031790727583374</v>
      </c>
      <c r="I14" s="45">
        <f t="shared" si="0"/>
        <v>10.876299064449956</v>
      </c>
      <c r="J14" s="45">
        <f t="shared" ca="1" si="8"/>
        <v>2.4554175880585394</v>
      </c>
      <c r="K14" s="46">
        <f t="shared" ca="1" si="9"/>
        <v>39.257258371399331</v>
      </c>
      <c r="L14" s="151">
        <f t="shared" ca="1" si="3"/>
        <v>1.1178966924203715</v>
      </c>
      <c r="M14" s="152">
        <f t="shared" ca="1" si="4"/>
        <v>38.12004750506788</v>
      </c>
    </row>
    <row r="15" spans="2:13" x14ac:dyDescent="0.25">
      <c r="B15" s="82">
        <f t="shared" si="5"/>
        <v>-6</v>
      </c>
      <c r="C15" s="82">
        <f t="shared" si="6"/>
        <v>11</v>
      </c>
      <c r="D15" s="151">
        <f ca="1">OFFSET('Inputs - Weather'!$E$19,C15,B15+6+1)</f>
        <v>5.85</v>
      </c>
      <c r="E15" s="46">
        <f ca="1">OFFSET('Inputs - Weather'!$E$5,C15,B15+6+1)</f>
        <v>116.02</v>
      </c>
      <c r="F15" s="91">
        <f t="shared" si="1"/>
        <v>30</v>
      </c>
      <c r="G15" s="91">
        <f t="shared" si="2"/>
        <v>334</v>
      </c>
      <c r="H15" s="46">
        <f t="shared" si="7"/>
        <v>-19.081240431832619</v>
      </c>
      <c r="I15" s="45">
        <f t="shared" si="0"/>
        <v>9.6093597312390706</v>
      </c>
      <c r="J15" s="45">
        <f t="shared" ca="1" si="8"/>
        <v>1.2683332991546585</v>
      </c>
      <c r="K15" s="46">
        <f t="shared" ca="1" si="9"/>
        <v>39.257258371399331</v>
      </c>
      <c r="L15" s="151">
        <f t="shared" ca="1" si="3"/>
        <v>1.1178966924203715</v>
      </c>
      <c r="M15" s="152">
        <f t="shared" ca="1" si="4"/>
        <v>20.012116742832166</v>
      </c>
    </row>
    <row r="16" spans="2:13" x14ac:dyDescent="0.25">
      <c r="B16" s="82">
        <f t="shared" si="5"/>
        <v>-6</v>
      </c>
      <c r="C16" s="82">
        <f t="shared" si="6"/>
        <v>12</v>
      </c>
      <c r="D16" s="151">
        <f ca="1">OFFSET('Inputs - Weather'!$E$19,C16,B16+6+1)</f>
        <v>0.97</v>
      </c>
      <c r="E16" s="46">
        <f ca="1">OFFSET('Inputs - Weather'!$E$5,C16,B16+6+1)</f>
        <v>52.73</v>
      </c>
      <c r="F16" s="91">
        <f t="shared" si="1"/>
        <v>31</v>
      </c>
      <c r="G16" s="91">
        <f t="shared" si="2"/>
        <v>365</v>
      </c>
      <c r="H16" s="46">
        <f t="shared" si="7"/>
        <v>-23.315084018726054</v>
      </c>
      <c r="I16" s="45">
        <f t="shared" si="0"/>
        <v>9.0493275107505209</v>
      </c>
      <c r="J16" s="45">
        <f t="shared" ca="1" si="8"/>
        <v>8.3508718487079026E-2</v>
      </c>
      <c r="K16" s="46">
        <f t="shared" ca="1" si="9"/>
        <v>39.257258371399331</v>
      </c>
      <c r="L16" s="151">
        <f t="shared" ca="1" si="3"/>
        <v>1.1178966924203715</v>
      </c>
      <c r="M16" s="152">
        <f t="shared" ca="1" si="4"/>
        <v>2.6125612540950649</v>
      </c>
    </row>
    <row r="17" spans="2:13" x14ac:dyDescent="0.25">
      <c r="B17" s="148">
        <f>IF(C17=1,B16+1,B16)</f>
        <v>-5</v>
      </c>
      <c r="C17" s="148">
        <f t="shared" si="6"/>
        <v>1</v>
      </c>
      <c r="D17" s="149">
        <f ca="1">OFFSET('Inputs - Weather'!$E$19,C17,B17+6+1)</f>
        <v>-4.0999999999999996</v>
      </c>
      <c r="E17" s="96">
        <f ca="1">OFFSET('Inputs - Weather'!$E$5,C17,B17+6+1)</f>
        <v>89.65</v>
      </c>
      <c r="F17" s="71">
        <f t="shared" si="1"/>
        <v>31</v>
      </c>
      <c r="G17" s="71">
        <f>IF(C17=1,F17,F17+G16)</f>
        <v>31</v>
      </c>
      <c r="H17" s="96">
        <f>-23.44*COS(RADIANS(360/365*(INT(F17/2)+G16+10)))</f>
        <v>-21.302685419237953</v>
      </c>
      <c r="I17" s="72">
        <f>((12*60)+8+(H17/6.3)*I$3)/60</f>
        <v>9.3155178016881006</v>
      </c>
      <c r="J17" s="72">
        <f ca="1">IF(D17&gt;0,POWER(D17/5,1.514),0)</f>
        <v>0</v>
      </c>
      <c r="K17" s="96">
        <f ca="1">SUM(J17:J28)</f>
        <v>41.251458215233583</v>
      </c>
      <c r="L17" s="149">
        <f ca="1">(0.000000675*K17*K17*K17)-(0.0000771*K17*K17)+(0.01792*K17)+0.49239</f>
        <v>1.147799292517317</v>
      </c>
      <c r="M17" s="150">
        <f t="shared" ca="1" si="4"/>
        <v>0</v>
      </c>
    </row>
    <row r="18" spans="2:13" x14ac:dyDescent="0.25">
      <c r="B18" s="82">
        <f t="shared" ref="B18:B81" si="10">IF(C18=1,B17+1,B17)</f>
        <v>-5</v>
      </c>
      <c r="C18" s="82">
        <f t="shared" si="6"/>
        <v>2</v>
      </c>
      <c r="D18" s="151">
        <f ca="1">OFFSET('Inputs - Weather'!$E$19,C18,B18+6+1)</f>
        <v>-8.4600000000000009</v>
      </c>
      <c r="E18" s="46">
        <f ca="1">OFFSET('Inputs - Weather'!$E$5,C18,B18+6+1)</f>
        <v>58.01</v>
      </c>
      <c r="F18" s="91">
        <f t="shared" si="1"/>
        <v>28</v>
      </c>
      <c r="G18" s="91">
        <f t="shared" ref="G18:G81" si="11">IF(C18=1,F18,F18+G17)</f>
        <v>59</v>
      </c>
      <c r="H18" s="46">
        <f t="shared" ref="H18:H81" si="12">-23.44*COS(RADIANS(360/365*(INT(F18/2)+G17+10)))</f>
        <v>-13.695949189848957</v>
      </c>
      <c r="I18" s="45">
        <f t="shared" ref="I18:I81" si="13">((12*60)+8+(H18/6.3)*I$3)/60</f>
        <v>10.321699842612571</v>
      </c>
      <c r="J18" s="45">
        <f t="shared" ref="J18:J81" ca="1" si="14">IF(D18&gt;0,POWER(D18/5,1.514),0)</f>
        <v>0</v>
      </c>
      <c r="K18" s="46">
        <f t="shared" ca="1" si="9"/>
        <v>41.251458215233583</v>
      </c>
      <c r="L18" s="151">
        <f t="shared" ref="L18:L81" ca="1" si="15">(0.000000675*K18*K18*K18)-(0.0000771*K18*K18)+(0.01792*K18)+0.49239</f>
        <v>1.147799292517317</v>
      </c>
      <c r="M18" s="152">
        <f t="shared" ca="1" si="4"/>
        <v>0</v>
      </c>
    </row>
    <row r="19" spans="2:13" x14ac:dyDescent="0.25">
      <c r="B19" s="82">
        <f t="shared" si="10"/>
        <v>-5</v>
      </c>
      <c r="C19" s="82">
        <f t="shared" si="6"/>
        <v>3</v>
      </c>
      <c r="D19" s="151">
        <f ca="1">OFFSET('Inputs - Weather'!$E$19,C19,B19+6+1)</f>
        <v>-1.99</v>
      </c>
      <c r="E19" s="46">
        <f ca="1">OFFSET('Inputs - Weather'!$E$5,C19,B19+6+1)</f>
        <v>105.47</v>
      </c>
      <c r="F19" s="91">
        <f t="shared" si="1"/>
        <v>31</v>
      </c>
      <c r="G19" s="91">
        <f t="shared" si="11"/>
        <v>90</v>
      </c>
      <c r="H19" s="46">
        <f t="shared" si="12"/>
        <v>-2.9177939455063431</v>
      </c>
      <c r="I19" s="45">
        <f t="shared" si="13"/>
        <v>11.747381753239901</v>
      </c>
      <c r="J19" s="45">
        <f t="shared" ca="1" si="14"/>
        <v>0</v>
      </c>
      <c r="K19" s="46">
        <f t="shared" ca="1" si="9"/>
        <v>41.251458215233583</v>
      </c>
      <c r="L19" s="151">
        <f t="shared" ca="1" si="15"/>
        <v>1.147799292517317</v>
      </c>
      <c r="M19" s="152">
        <f t="shared" ca="1" si="4"/>
        <v>0</v>
      </c>
    </row>
    <row r="20" spans="2:13" x14ac:dyDescent="0.25">
      <c r="B20" s="82">
        <f t="shared" si="10"/>
        <v>-5</v>
      </c>
      <c r="C20" s="82">
        <f t="shared" si="6"/>
        <v>4</v>
      </c>
      <c r="D20" s="151">
        <f ca="1">OFFSET('Inputs - Weather'!$E$19,C20,B20+6+1)</f>
        <v>4.6900000000000004</v>
      </c>
      <c r="E20" s="46">
        <f ca="1">OFFSET('Inputs - Weather'!$E$5,C20,B20+6+1)</f>
        <v>179.3</v>
      </c>
      <c r="F20" s="91">
        <f t="shared" si="1"/>
        <v>30</v>
      </c>
      <c r="G20" s="91">
        <f t="shared" si="11"/>
        <v>120</v>
      </c>
      <c r="H20" s="46">
        <f t="shared" si="12"/>
        <v>9.3184035667831076</v>
      </c>
      <c r="I20" s="45">
        <f t="shared" si="13"/>
        <v>13.365926397722633</v>
      </c>
      <c r="J20" s="45">
        <f t="shared" ca="1" si="14"/>
        <v>0.90764307253500109</v>
      </c>
      <c r="K20" s="46">
        <f t="shared" ca="1" si="9"/>
        <v>41.251458215233583</v>
      </c>
      <c r="L20" s="151">
        <f t="shared" ca="1" si="15"/>
        <v>1.147799292517317</v>
      </c>
      <c r="M20" s="152">
        <f t="shared" ca="1" si="4"/>
        <v>20.649460845796945</v>
      </c>
    </row>
    <row r="21" spans="2:13" x14ac:dyDescent="0.25">
      <c r="B21" s="82">
        <f t="shared" si="10"/>
        <v>-5</v>
      </c>
      <c r="C21" s="82">
        <f t="shared" si="6"/>
        <v>5</v>
      </c>
      <c r="D21" s="151">
        <f ca="1">OFFSET('Inputs - Weather'!$E$19,C21,B21+6+1)</f>
        <v>13.84</v>
      </c>
      <c r="E21" s="46">
        <f ca="1">OFFSET('Inputs - Weather'!$E$5,C21,B21+6+1)</f>
        <v>84.38</v>
      </c>
      <c r="F21" s="91">
        <f t="shared" si="1"/>
        <v>31</v>
      </c>
      <c r="G21" s="91">
        <f t="shared" si="11"/>
        <v>151</v>
      </c>
      <c r="H21" s="46">
        <f t="shared" si="12"/>
        <v>18.723388500456394</v>
      </c>
      <c r="I21" s="45">
        <f t="shared" si="13"/>
        <v>14.609972023869894</v>
      </c>
      <c r="J21" s="45">
        <f t="shared" ca="1" si="14"/>
        <v>4.6713182257121071</v>
      </c>
      <c r="K21" s="46">
        <f t="shared" ca="1" si="9"/>
        <v>41.251458215233583</v>
      </c>
      <c r="L21" s="151">
        <f t="shared" ca="1" si="15"/>
        <v>1.147799292517317</v>
      </c>
      <c r="M21" s="152">
        <f t="shared" ca="1" si="4"/>
        <v>80.764955446756559</v>
      </c>
    </row>
    <row r="22" spans="2:13" x14ac:dyDescent="0.25">
      <c r="B22" s="82">
        <f t="shared" si="10"/>
        <v>-5</v>
      </c>
      <c r="C22" s="82">
        <f t="shared" si="6"/>
        <v>6</v>
      </c>
      <c r="D22" s="151">
        <f ca="1">OFFSET('Inputs - Weather'!$E$19,C22,B22+6+1)</f>
        <v>18.27</v>
      </c>
      <c r="E22" s="46">
        <f ca="1">OFFSET('Inputs - Weather'!$E$5,C22,B22+6+1)</f>
        <v>79.099999999999994</v>
      </c>
      <c r="F22" s="91">
        <f t="shared" si="1"/>
        <v>30</v>
      </c>
      <c r="G22" s="91">
        <f t="shared" si="11"/>
        <v>181</v>
      </c>
      <c r="H22" s="46">
        <f t="shared" si="12"/>
        <v>23.293419845424015</v>
      </c>
      <c r="I22" s="45">
        <f t="shared" si="13"/>
        <v>15.214473524526987</v>
      </c>
      <c r="J22" s="45">
        <f t="shared" ca="1" si="14"/>
        <v>7.112652222590425</v>
      </c>
      <c r="K22" s="46">
        <f t="shared" ca="1" si="9"/>
        <v>41.251458215233583</v>
      </c>
      <c r="L22" s="151">
        <f t="shared" ca="1" si="15"/>
        <v>1.147799292517317</v>
      </c>
      <c r="M22" s="152">
        <f t="shared" ca="1" si="4"/>
        <v>111.94829364326033</v>
      </c>
    </row>
    <row r="23" spans="2:13" x14ac:dyDescent="0.25">
      <c r="B23" s="82">
        <f t="shared" si="10"/>
        <v>-5</v>
      </c>
      <c r="C23" s="82">
        <f t="shared" si="6"/>
        <v>7</v>
      </c>
      <c r="D23" s="151">
        <f ca="1">OFFSET('Inputs - Weather'!$E$19,C23,B23+6+1)</f>
        <v>20.399999999999999</v>
      </c>
      <c r="E23" s="46">
        <f ca="1">OFFSET('Inputs - Weather'!$E$5,C23,B23+6+1)</f>
        <v>116.02</v>
      </c>
      <c r="F23" s="91">
        <f t="shared" si="1"/>
        <v>31</v>
      </c>
      <c r="G23" s="91">
        <f t="shared" si="11"/>
        <v>212</v>
      </c>
      <c r="H23" s="46">
        <f t="shared" si="12"/>
        <v>21.54806313020423</v>
      </c>
      <c r="I23" s="45">
        <f t="shared" si="13"/>
        <v>14.983606234153998</v>
      </c>
      <c r="J23" s="45">
        <f t="shared" ca="1" si="14"/>
        <v>8.4050342386890975</v>
      </c>
      <c r="K23" s="46">
        <f t="shared" ca="1" si="9"/>
        <v>41.251458215233583</v>
      </c>
      <c r="L23" s="151">
        <f t="shared" ca="1" si="15"/>
        <v>1.147799292517317</v>
      </c>
      <c r="M23" s="152">
        <f t="shared" ca="1" si="4"/>
        <v>129.29666038474068</v>
      </c>
    </row>
    <row r="24" spans="2:13" x14ac:dyDescent="0.25">
      <c r="B24" s="82">
        <f t="shared" si="10"/>
        <v>-5</v>
      </c>
      <c r="C24" s="82">
        <f t="shared" si="6"/>
        <v>8</v>
      </c>
      <c r="D24" s="151">
        <f ca="1">OFFSET('Inputs - Weather'!$E$19,C24,B24+6+1)</f>
        <v>21.16</v>
      </c>
      <c r="E24" s="46">
        <f ca="1">OFFSET('Inputs - Weather'!$E$5,C24,B24+6+1)</f>
        <v>47.46</v>
      </c>
      <c r="F24" s="91">
        <f t="shared" si="1"/>
        <v>31</v>
      </c>
      <c r="G24" s="91">
        <f t="shared" si="11"/>
        <v>243</v>
      </c>
      <c r="H24" s="46">
        <f t="shared" si="12"/>
        <v>13.859168267602277</v>
      </c>
      <c r="I24" s="45">
        <f t="shared" si="13"/>
        <v>13.966556649153741</v>
      </c>
      <c r="J24" s="45">
        <f t="shared" ca="1" si="14"/>
        <v>8.8836231622659305</v>
      </c>
      <c r="K24" s="46">
        <f t="shared" ca="1" si="9"/>
        <v>41.251458215233583</v>
      </c>
      <c r="L24" s="151">
        <f t="shared" ca="1" si="15"/>
        <v>1.147799292517317</v>
      </c>
      <c r="M24" s="152">
        <f t="shared" ca="1" si="4"/>
        <v>125.6879562574406</v>
      </c>
    </row>
    <row r="25" spans="2:13" x14ac:dyDescent="0.25">
      <c r="B25" s="82">
        <f t="shared" si="10"/>
        <v>-5</v>
      </c>
      <c r="C25" s="82">
        <f t="shared" si="6"/>
        <v>9</v>
      </c>
      <c r="D25" s="151">
        <f ca="1">OFFSET('Inputs - Weather'!$E$19,C25,B25+6+1)</f>
        <v>17.71</v>
      </c>
      <c r="E25" s="46">
        <f ca="1">OFFSET('Inputs - Weather'!$E$5,C25,B25+6+1)</f>
        <v>68.55</v>
      </c>
      <c r="F25" s="91">
        <f t="shared" si="1"/>
        <v>30</v>
      </c>
      <c r="G25" s="91">
        <f t="shared" si="11"/>
        <v>273</v>
      </c>
      <c r="H25" s="46">
        <f t="shared" si="12"/>
        <v>2.3163440518985223</v>
      </c>
      <c r="I25" s="45">
        <f t="shared" si="13"/>
        <v>12.439728049192926</v>
      </c>
      <c r="J25" s="45">
        <f t="shared" ca="1" si="14"/>
        <v>6.7851947140095126</v>
      </c>
      <c r="K25" s="46">
        <f t="shared" ca="1" si="9"/>
        <v>41.251458215233583</v>
      </c>
      <c r="L25" s="151">
        <f t="shared" ca="1" si="15"/>
        <v>1.147799292517317</v>
      </c>
      <c r="M25" s="152">
        <f t="shared" ca="1" si="4"/>
        <v>88.318809246870529</v>
      </c>
    </row>
    <row r="26" spans="2:13" x14ac:dyDescent="0.25">
      <c r="B26" s="82">
        <f t="shared" si="10"/>
        <v>-5</v>
      </c>
      <c r="C26" s="82">
        <f t="shared" si="6"/>
        <v>10</v>
      </c>
      <c r="D26" s="151">
        <f ca="1">OFFSET('Inputs - Weather'!$E$19,C26,B26+6+1)</f>
        <v>12.9</v>
      </c>
      <c r="E26" s="46">
        <f ca="1">OFFSET('Inputs - Weather'!$E$5,C26,B26+6+1)</f>
        <v>110.74</v>
      </c>
      <c r="F26" s="91">
        <f t="shared" si="1"/>
        <v>31</v>
      </c>
      <c r="G26" s="91">
        <f t="shared" si="11"/>
        <v>304</v>
      </c>
      <c r="H26" s="46">
        <f t="shared" si="12"/>
        <v>-9.5031790727583374</v>
      </c>
      <c r="I26" s="45">
        <f t="shared" si="13"/>
        <v>10.876299064449956</v>
      </c>
      <c r="J26" s="45">
        <f t="shared" ca="1" si="14"/>
        <v>4.1994482599666512</v>
      </c>
      <c r="K26" s="46">
        <f t="shared" ca="1" si="9"/>
        <v>41.251458215233583</v>
      </c>
      <c r="L26" s="151">
        <f t="shared" ca="1" si="15"/>
        <v>1.147799292517317</v>
      </c>
      <c r="M26" s="152">
        <f t="shared" ca="1" si="4"/>
        <v>55.4617541278703</v>
      </c>
    </row>
    <row r="27" spans="2:13" x14ac:dyDescent="0.25">
      <c r="B27" s="82">
        <f t="shared" si="10"/>
        <v>-5</v>
      </c>
      <c r="C27" s="82">
        <f t="shared" si="6"/>
        <v>11</v>
      </c>
      <c r="D27" s="151">
        <f ca="1">OFFSET('Inputs - Weather'!$E$19,C27,B27+6+1)</f>
        <v>2.19</v>
      </c>
      <c r="E27" s="46">
        <f ca="1">OFFSET('Inputs - Weather'!$E$5,C27,B27+6+1)</f>
        <v>89.65</v>
      </c>
      <c r="F27" s="91">
        <f t="shared" si="1"/>
        <v>30</v>
      </c>
      <c r="G27" s="91">
        <f t="shared" si="11"/>
        <v>334</v>
      </c>
      <c r="H27" s="46">
        <f t="shared" si="12"/>
        <v>-19.081240431832619</v>
      </c>
      <c r="I27" s="45">
        <f t="shared" si="13"/>
        <v>9.6093597312390706</v>
      </c>
      <c r="J27" s="45">
        <f t="shared" ca="1" si="14"/>
        <v>0.28654431946485648</v>
      </c>
      <c r="K27" s="46">
        <f t="shared" ca="1" si="9"/>
        <v>41.251458215233583</v>
      </c>
      <c r="L27" s="151">
        <f t="shared" ca="1" si="15"/>
        <v>1.147799292517317</v>
      </c>
      <c r="M27" s="152">
        <f t="shared" ca="1" si="4"/>
        <v>6.1943237941804092</v>
      </c>
    </row>
    <row r="28" spans="2:13" x14ac:dyDescent="0.25">
      <c r="B28" s="82">
        <f t="shared" si="10"/>
        <v>-5</v>
      </c>
      <c r="C28" s="82">
        <f t="shared" si="6"/>
        <v>12</v>
      </c>
      <c r="D28" s="151">
        <f ca="1">OFFSET('Inputs - Weather'!$E$19,C28,B28+6+1)</f>
        <v>-4.0199999999999996</v>
      </c>
      <c r="E28" s="46">
        <f ca="1">OFFSET('Inputs - Weather'!$E$5,C28,B28+6+1)</f>
        <v>110.74</v>
      </c>
      <c r="F28" s="91">
        <f t="shared" si="1"/>
        <v>31</v>
      </c>
      <c r="G28" s="91">
        <f t="shared" si="11"/>
        <v>365</v>
      </c>
      <c r="H28" s="46">
        <f t="shared" si="12"/>
        <v>-23.315084018726054</v>
      </c>
      <c r="I28" s="45">
        <f t="shared" si="13"/>
        <v>9.0493275107505209</v>
      </c>
      <c r="J28" s="45">
        <f t="shared" ca="1" si="14"/>
        <v>0</v>
      </c>
      <c r="K28" s="46">
        <f t="shared" ca="1" si="9"/>
        <v>41.251458215233583</v>
      </c>
      <c r="L28" s="151">
        <f t="shared" ca="1" si="15"/>
        <v>1.147799292517317</v>
      </c>
      <c r="M28" s="152">
        <f t="shared" ca="1" si="4"/>
        <v>0</v>
      </c>
    </row>
    <row r="29" spans="2:13" x14ac:dyDescent="0.25">
      <c r="B29" s="148">
        <f t="shared" si="10"/>
        <v>-4</v>
      </c>
      <c r="C29" s="148">
        <f t="shared" si="6"/>
        <v>1</v>
      </c>
      <c r="D29" s="149">
        <f ca="1">OFFSET('Inputs - Weather'!$E$19,C29,B29+6+1)</f>
        <v>-4.2</v>
      </c>
      <c r="E29" s="96">
        <f ca="1">OFFSET('Inputs - Weather'!$E$5,C29,B29+6+1)</f>
        <v>58.01</v>
      </c>
      <c r="F29" s="71">
        <f t="shared" si="1"/>
        <v>31</v>
      </c>
      <c r="G29" s="71">
        <f t="shared" si="11"/>
        <v>31</v>
      </c>
      <c r="H29" s="96">
        <f t="shared" si="12"/>
        <v>-21.302685419237953</v>
      </c>
      <c r="I29" s="72">
        <f t="shared" si="13"/>
        <v>9.3155178016881006</v>
      </c>
      <c r="J29" s="72">
        <f t="shared" ca="1" si="14"/>
        <v>0</v>
      </c>
      <c r="K29" s="96">
        <f ca="1">SUM(J29:J40)</f>
        <v>38.462013456570368</v>
      </c>
      <c r="L29" s="149">
        <f t="shared" ca="1" si="15"/>
        <v>1.1059792751898412</v>
      </c>
      <c r="M29" s="150">
        <f t="shared" ca="1" si="4"/>
        <v>0</v>
      </c>
    </row>
    <row r="30" spans="2:13" x14ac:dyDescent="0.25">
      <c r="B30" s="82">
        <f t="shared" si="10"/>
        <v>-4</v>
      </c>
      <c r="C30" s="82">
        <f t="shared" si="6"/>
        <v>2</v>
      </c>
      <c r="D30" s="151">
        <f ca="1">OFFSET('Inputs - Weather'!$E$19,C30,B30+6+1)</f>
        <v>-4.58</v>
      </c>
      <c r="E30" s="46">
        <f ca="1">OFFSET('Inputs - Weather'!$E$5,C30,B30+6+1)</f>
        <v>232.03</v>
      </c>
      <c r="F30" s="91">
        <f t="shared" si="1"/>
        <v>28</v>
      </c>
      <c r="G30" s="91">
        <f t="shared" si="11"/>
        <v>59</v>
      </c>
      <c r="H30" s="46">
        <f t="shared" si="12"/>
        <v>-13.695949189848957</v>
      </c>
      <c r="I30" s="45">
        <f t="shared" si="13"/>
        <v>10.321699842612571</v>
      </c>
      <c r="J30" s="45">
        <f t="shared" ca="1" si="14"/>
        <v>0</v>
      </c>
      <c r="K30" s="46">
        <f t="shared" ca="1" si="9"/>
        <v>38.462013456570368</v>
      </c>
      <c r="L30" s="151">
        <f t="shared" ca="1" si="15"/>
        <v>1.1059792751898412</v>
      </c>
      <c r="M30" s="152">
        <f t="shared" ca="1" si="4"/>
        <v>0</v>
      </c>
    </row>
    <row r="31" spans="2:13" x14ac:dyDescent="0.25">
      <c r="B31" s="82">
        <f t="shared" si="10"/>
        <v>-4</v>
      </c>
      <c r="C31" s="82">
        <f t="shared" si="6"/>
        <v>3</v>
      </c>
      <c r="D31" s="151">
        <f ca="1">OFFSET('Inputs - Weather'!$E$19,C31,B31+6+1)</f>
        <v>-0.72</v>
      </c>
      <c r="E31" s="46">
        <f ca="1">OFFSET('Inputs - Weather'!$E$5,C31,B31+6+1)</f>
        <v>131.84</v>
      </c>
      <c r="F31" s="91">
        <f t="shared" si="1"/>
        <v>31</v>
      </c>
      <c r="G31" s="91">
        <f t="shared" si="11"/>
        <v>90</v>
      </c>
      <c r="H31" s="46">
        <f t="shared" si="12"/>
        <v>-2.9177939455063431</v>
      </c>
      <c r="I31" s="45">
        <f t="shared" si="13"/>
        <v>11.747381753239901</v>
      </c>
      <c r="J31" s="45">
        <f t="shared" ca="1" si="14"/>
        <v>0</v>
      </c>
      <c r="K31" s="46">
        <f t="shared" ca="1" si="9"/>
        <v>38.462013456570368</v>
      </c>
      <c r="L31" s="151">
        <f t="shared" ca="1" si="15"/>
        <v>1.1059792751898412</v>
      </c>
      <c r="M31" s="152">
        <f t="shared" ca="1" si="4"/>
        <v>0</v>
      </c>
    </row>
    <row r="32" spans="2:13" x14ac:dyDescent="0.25">
      <c r="B32" s="82">
        <f t="shared" si="10"/>
        <v>-4</v>
      </c>
      <c r="C32" s="82">
        <f t="shared" si="6"/>
        <v>4</v>
      </c>
      <c r="D32" s="151">
        <f ca="1">OFFSET('Inputs - Weather'!$E$19,C32,B32+6+1)</f>
        <v>7.8</v>
      </c>
      <c r="E32" s="46">
        <f ca="1">OFFSET('Inputs - Weather'!$E$5,C32,B32+6+1)</f>
        <v>94.92</v>
      </c>
      <c r="F32" s="91">
        <f t="shared" si="1"/>
        <v>30</v>
      </c>
      <c r="G32" s="91">
        <f t="shared" si="11"/>
        <v>120</v>
      </c>
      <c r="H32" s="46">
        <f t="shared" si="12"/>
        <v>9.3184035667831076</v>
      </c>
      <c r="I32" s="45">
        <f t="shared" si="13"/>
        <v>13.365926397722633</v>
      </c>
      <c r="J32" s="45">
        <f t="shared" ca="1" si="14"/>
        <v>1.9606074199916739</v>
      </c>
      <c r="K32" s="46">
        <f t="shared" ca="1" si="9"/>
        <v>38.462013456570368</v>
      </c>
      <c r="L32" s="151">
        <f t="shared" ca="1" si="15"/>
        <v>1.1059792751898412</v>
      </c>
      <c r="M32" s="152">
        <f t="shared" ca="1" si="4"/>
        <v>38.953156840403736</v>
      </c>
    </row>
    <row r="33" spans="2:13" x14ac:dyDescent="0.25">
      <c r="B33" s="82">
        <f t="shared" si="10"/>
        <v>-4</v>
      </c>
      <c r="C33" s="82">
        <f t="shared" si="6"/>
        <v>5</v>
      </c>
      <c r="D33" s="151">
        <f ca="1">OFFSET('Inputs - Weather'!$E$19,C33,B33+6+1)</f>
        <v>11.54</v>
      </c>
      <c r="E33" s="46">
        <f ca="1">OFFSET('Inputs - Weather'!$E$5,C33,B33+6+1)</f>
        <v>42.19</v>
      </c>
      <c r="F33" s="91">
        <f t="shared" si="1"/>
        <v>31</v>
      </c>
      <c r="G33" s="91">
        <f t="shared" si="11"/>
        <v>151</v>
      </c>
      <c r="H33" s="46">
        <f t="shared" si="12"/>
        <v>18.723388500456394</v>
      </c>
      <c r="I33" s="45">
        <f t="shared" si="13"/>
        <v>14.609972023869894</v>
      </c>
      <c r="J33" s="45">
        <f t="shared" ca="1" si="14"/>
        <v>3.5476356298952272</v>
      </c>
      <c r="K33" s="46">
        <f t="shared" ca="1" si="9"/>
        <v>38.462013456570368</v>
      </c>
      <c r="L33" s="151">
        <f t="shared" ca="1" si="15"/>
        <v>1.1059792751898412</v>
      </c>
      <c r="M33" s="152">
        <f t="shared" ca="1" si="4"/>
        <v>67.853598729514104</v>
      </c>
    </row>
    <row r="34" spans="2:13" x14ac:dyDescent="0.25">
      <c r="B34" s="82">
        <f t="shared" si="10"/>
        <v>-4</v>
      </c>
      <c r="C34" s="82">
        <f t="shared" si="6"/>
        <v>6</v>
      </c>
      <c r="D34" s="151">
        <f ca="1">OFFSET('Inputs - Weather'!$E$19,C34,B34+6+1)</f>
        <v>19.190000000000001</v>
      </c>
      <c r="E34" s="46">
        <f ca="1">OFFSET('Inputs - Weather'!$E$5,C34,B34+6+1)</f>
        <v>121.29</v>
      </c>
      <c r="F34" s="91">
        <f t="shared" si="1"/>
        <v>30</v>
      </c>
      <c r="G34" s="91">
        <f t="shared" si="11"/>
        <v>181</v>
      </c>
      <c r="H34" s="46">
        <f t="shared" si="12"/>
        <v>23.293419845424015</v>
      </c>
      <c r="I34" s="45">
        <f t="shared" si="13"/>
        <v>15.214473524526987</v>
      </c>
      <c r="J34" s="45">
        <f t="shared" ca="1" si="14"/>
        <v>7.6618725794404332</v>
      </c>
      <c r="K34" s="46">
        <f t="shared" ca="1" si="9"/>
        <v>38.462013456570368</v>
      </c>
      <c r="L34" s="151">
        <f t="shared" ca="1" si="15"/>
        <v>1.1059792751898412</v>
      </c>
      <c r="M34" s="152">
        <f t="shared" ca="1" si="4"/>
        <v>120.0097998790901</v>
      </c>
    </row>
    <row r="35" spans="2:13" x14ac:dyDescent="0.25">
      <c r="B35" s="82">
        <f t="shared" si="10"/>
        <v>-4</v>
      </c>
      <c r="C35" s="82">
        <f t="shared" si="6"/>
        <v>7</v>
      </c>
      <c r="D35" s="151">
        <f ca="1">OFFSET('Inputs - Weather'!$E$19,C35,B35+6+1)</f>
        <v>21.64</v>
      </c>
      <c r="E35" s="46">
        <f ca="1">OFFSET('Inputs - Weather'!$E$5,C35,B35+6+1)</f>
        <v>179.3</v>
      </c>
      <c r="F35" s="91">
        <f t="shared" si="1"/>
        <v>31</v>
      </c>
      <c r="G35" s="91">
        <f t="shared" si="11"/>
        <v>212</v>
      </c>
      <c r="H35" s="46">
        <f t="shared" si="12"/>
        <v>21.54806313020423</v>
      </c>
      <c r="I35" s="45">
        <f t="shared" si="13"/>
        <v>14.983606234153998</v>
      </c>
      <c r="J35" s="45">
        <f t="shared" ca="1" si="14"/>
        <v>9.1904949272700698</v>
      </c>
      <c r="K35" s="46">
        <f t="shared" ca="1" si="9"/>
        <v>38.462013456570368</v>
      </c>
      <c r="L35" s="151">
        <f t="shared" ca="1" si="15"/>
        <v>1.1059792751898412</v>
      </c>
      <c r="M35" s="152">
        <f t="shared" ca="1" si="4"/>
        <v>139.48551019993738</v>
      </c>
    </row>
    <row r="36" spans="2:13" x14ac:dyDescent="0.25">
      <c r="B36" s="82">
        <f t="shared" si="10"/>
        <v>-4</v>
      </c>
      <c r="C36" s="82">
        <f t="shared" si="6"/>
        <v>8</v>
      </c>
      <c r="D36" s="151">
        <f ca="1">OFFSET('Inputs - Weather'!$E$19,C36,B36+6+1)</f>
        <v>18.829999999999998</v>
      </c>
      <c r="E36" s="46">
        <f ca="1">OFFSET('Inputs - Weather'!$E$5,C36,B36+6+1)</f>
        <v>94.92</v>
      </c>
      <c r="F36" s="91">
        <f t="shared" si="1"/>
        <v>31</v>
      </c>
      <c r="G36" s="91">
        <f t="shared" si="11"/>
        <v>243</v>
      </c>
      <c r="H36" s="46">
        <f t="shared" si="12"/>
        <v>13.859168267602277</v>
      </c>
      <c r="I36" s="45">
        <f t="shared" si="13"/>
        <v>13.966556649153741</v>
      </c>
      <c r="J36" s="45">
        <f t="shared" ca="1" si="14"/>
        <v>7.4453102190629421</v>
      </c>
      <c r="K36" s="46">
        <f t="shared" ca="1" si="9"/>
        <v>38.462013456570368</v>
      </c>
      <c r="L36" s="151">
        <f t="shared" ca="1" si="15"/>
        <v>1.1059792751898412</v>
      </c>
      <c r="M36" s="152">
        <f t="shared" ca="1" si="4"/>
        <v>111.47905316413279</v>
      </c>
    </row>
    <row r="37" spans="2:13" x14ac:dyDescent="0.25">
      <c r="B37" s="82">
        <f t="shared" si="10"/>
        <v>-4</v>
      </c>
      <c r="C37" s="82">
        <f t="shared" si="6"/>
        <v>9</v>
      </c>
      <c r="D37" s="151">
        <f ca="1">OFFSET('Inputs - Weather'!$E$19,C37,B37+6+1)</f>
        <v>16.34</v>
      </c>
      <c r="E37" s="46">
        <f ca="1">OFFSET('Inputs - Weather'!$E$5,C37,B37+6+1)</f>
        <v>189.84</v>
      </c>
      <c r="F37" s="91">
        <f t="shared" si="1"/>
        <v>30</v>
      </c>
      <c r="G37" s="91">
        <f t="shared" si="11"/>
        <v>273</v>
      </c>
      <c r="H37" s="46">
        <f t="shared" si="12"/>
        <v>2.3163440518985223</v>
      </c>
      <c r="I37" s="45">
        <f t="shared" si="13"/>
        <v>12.439728049192926</v>
      </c>
      <c r="J37" s="45">
        <f t="shared" ca="1" si="14"/>
        <v>6.0065212858442489</v>
      </c>
      <c r="K37" s="46">
        <f t="shared" ca="1" si="9"/>
        <v>38.462013456570368</v>
      </c>
      <c r="L37" s="151">
        <f t="shared" ca="1" si="15"/>
        <v>1.1059792751898412</v>
      </c>
      <c r="M37" s="152">
        <f t="shared" ca="1" si="4"/>
        <v>82.138726209396708</v>
      </c>
    </row>
    <row r="38" spans="2:13" x14ac:dyDescent="0.25">
      <c r="B38" s="82">
        <f t="shared" si="10"/>
        <v>-4</v>
      </c>
      <c r="C38" s="82">
        <f t="shared" si="6"/>
        <v>10</v>
      </c>
      <c r="D38" s="151">
        <f ca="1">OFFSET('Inputs - Weather'!$E$19,C38,B38+6+1)</f>
        <v>8.58</v>
      </c>
      <c r="E38" s="46">
        <f ca="1">OFFSET('Inputs - Weather'!$E$5,C38,B38+6+1)</f>
        <v>84.38</v>
      </c>
      <c r="F38" s="91">
        <f t="shared" si="1"/>
        <v>31</v>
      </c>
      <c r="G38" s="91">
        <f t="shared" si="11"/>
        <v>304</v>
      </c>
      <c r="H38" s="46">
        <f t="shared" si="12"/>
        <v>-9.5031790727583374</v>
      </c>
      <c r="I38" s="45">
        <f t="shared" si="13"/>
        <v>10.876299064449956</v>
      </c>
      <c r="J38" s="45">
        <f t="shared" ca="1" si="14"/>
        <v>2.2649528583175709</v>
      </c>
      <c r="K38" s="46">
        <f t="shared" ca="1" si="9"/>
        <v>38.462013456570368</v>
      </c>
      <c r="L38" s="151">
        <f t="shared" ca="1" si="15"/>
        <v>1.1059792751898412</v>
      </c>
      <c r="M38" s="152">
        <f t="shared" ca="1" si="4"/>
        <v>36.395243230281594</v>
      </c>
    </row>
    <row r="39" spans="2:13" x14ac:dyDescent="0.25">
      <c r="B39" s="82">
        <f t="shared" si="10"/>
        <v>-4</v>
      </c>
      <c r="C39" s="82">
        <f t="shared" si="6"/>
        <v>11</v>
      </c>
      <c r="D39" s="151">
        <f ca="1">OFFSET('Inputs - Weather'!$E$19,C39,B39+6+1)</f>
        <v>2.66</v>
      </c>
      <c r="E39" s="46">
        <f ca="1">OFFSET('Inputs - Weather'!$E$5,C39,B39+6+1)</f>
        <v>89.65</v>
      </c>
      <c r="F39" s="91">
        <f t="shared" si="1"/>
        <v>30</v>
      </c>
      <c r="G39" s="91">
        <f t="shared" si="11"/>
        <v>334</v>
      </c>
      <c r="H39" s="46">
        <f t="shared" si="12"/>
        <v>-19.081240431832619</v>
      </c>
      <c r="I39" s="45">
        <f t="shared" si="13"/>
        <v>9.6093597312390706</v>
      </c>
      <c r="J39" s="45">
        <f t="shared" ca="1" si="14"/>
        <v>0.38461853674819763</v>
      </c>
      <c r="K39" s="46">
        <f t="shared" ca="1" si="9"/>
        <v>38.462013456570368</v>
      </c>
      <c r="L39" s="151">
        <f t="shared" ca="1" si="15"/>
        <v>1.1059792751898412</v>
      </c>
      <c r="M39" s="152">
        <f t="shared" ca="1" si="4"/>
        <v>8.5213850204680845</v>
      </c>
    </row>
    <row r="40" spans="2:13" x14ac:dyDescent="0.25">
      <c r="B40" s="82">
        <f t="shared" si="10"/>
        <v>-4</v>
      </c>
      <c r="C40" s="82">
        <f t="shared" si="6"/>
        <v>12</v>
      </c>
      <c r="D40" s="151">
        <f ca="1">OFFSET('Inputs - Weather'!$E$19,C40,B40+6+1)</f>
        <v>-3.03</v>
      </c>
      <c r="E40" s="46">
        <f ca="1">OFFSET('Inputs - Weather'!$E$5,C40,B40+6+1)</f>
        <v>174.02</v>
      </c>
      <c r="F40" s="91">
        <f t="shared" si="1"/>
        <v>31</v>
      </c>
      <c r="G40" s="91">
        <f t="shared" si="11"/>
        <v>365</v>
      </c>
      <c r="H40" s="46">
        <f t="shared" si="12"/>
        <v>-23.315084018726054</v>
      </c>
      <c r="I40" s="45">
        <f t="shared" si="13"/>
        <v>9.0493275107505209</v>
      </c>
      <c r="J40" s="45">
        <f t="shared" ca="1" si="14"/>
        <v>0</v>
      </c>
      <c r="K40" s="46">
        <f t="shared" ca="1" si="9"/>
        <v>38.462013456570368</v>
      </c>
      <c r="L40" s="151">
        <f t="shared" ca="1" si="15"/>
        <v>1.1059792751898412</v>
      </c>
      <c r="M40" s="152">
        <f t="shared" ca="1" si="4"/>
        <v>0</v>
      </c>
    </row>
    <row r="41" spans="2:13" x14ac:dyDescent="0.25">
      <c r="B41" s="148">
        <f t="shared" si="10"/>
        <v>-3</v>
      </c>
      <c r="C41" s="148">
        <f t="shared" si="6"/>
        <v>1</v>
      </c>
      <c r="D41" s="149">
        <f ca="1">OFFSET('Inputs - Weather'!$E$19,C41,B41+6+1)</f>
        <v>-9.67</v>
      </c>
      <c r="E41" s="96">
        <f ca="1">OFFSET('Inputs - Weather'!$E$5,C41,B41+6+1)</f>
        <v>73.83</v>
      </c>
      <c r="F41" s="71">
        <f t="shared" si="1"/>
        <v>31</v>
      </c>
      <c r="G41" s="71">
        <f t="shared" si="11"/>
        <v>31</v>
      </c>
      <c r="H41" s="96">
        <f t="shared" si="12"/>
        <v>-21.302685419237953</v>
      </c>
      <c r="I41" s="72">
        <f t="shared" si="13"/>
        <v>9.3155178016881006</v>
      </c>
      <c r="J41" s="72">
        <f t="shared" ca="1" si="14"/>
        <v>0</v>
      </c>
      <c r="K41" s="96">
        <f ca="1">SUM(J41:J52)</f>
        <v>37.068911428554074</v>
      </c>
      <c r="L41" s="149">
        <f t="shared" ca="1" si="15"/>
        <v>1.0851036284125233</v>
      </c>
      <c r="M41" s="150">
        <f t="shared" ca="1" si="4"/>
        <v>0</v>
      </c>
    </row>
    <row r="42" spans="2:13" x14ac:dyDescent="0.25">
      <c r="B42" s="82">
        <f t="shared" si="10"/>
        <v>-3</v>
      </c>
      <c r="C42" s="82">
        <f t="shared" si="6"/>
        <v>2</v>
      </c>
      <c r="D42" s="151">
        <f ca="1">OFFSET('Inputs - Weather'!$E$19,C42,B42+6+1)</f>
        <v>-4.32</v>
      </c>
      <c r="E42" s="46">
        <f ca="1">OFFSET('Inputs - Weather'!$E$5,C42,B42+6+1)</f>
        <v>36.909999999999997</v>
      </c>
      <c r="F42" s="91">
        <f t="shared" si="1"/>
        <v>28</v>
      </c>
      <c r="G42" s="91">
        <f t="shared" si="11"/>
        <v>59</v>
      </c>
      <c r="H42" s="46">
        <f t="shared" si="12"/>
        <v>-13.695949189848957</v>
      </c>
      <c r="I42" s="45">
        <f t="shared" si="13"/>
        <v>10.321699842612571</v>
      </c>
      <c r="J42" s="45">
        <f t="shared" ca="1" si="14"/>
        <v>0</v>
      </c>
      <c r="K42" s="46">
        <f t="shared" ca="1" si="9"/>
        <v>37.068911428554074</v>
      </c>
      <c r="L42" s="151">
        <f t="shared" ca="1" si="15"/>
        <v>1.0851036284125233</v>
      </c>
      <c r="M42" s="152">
        <f t="shared" ca="1" si="4"/>
        <v>0</v>
      </c>
    </row>
    <row r="43" spans="2:13" x14ac:dyDescent="0.25">
      <c r="B43" s="82">
        <f t="shared" si="10"/>
        <v>-3</v>
      </c>
      <c r="C43" s="82">
        <f t="shared" si="6"/>
        <v>3</v>
      </c>
      <c r="D43" s="151">
        <f ca="1">OFFSET('Inputs - Weather'!$E$19,C43,B43+6+1)</f>
        <v>0.35</v>
      </c>
      <c r="E43" s="46">
        <f ca="1">OFFSET('Inputs - Weather'!$E$5,C43,B43+6+1)</f>
        <v>63.28</v>
      </c>
      <c r="F43" s="91">
        <f t="shared" si="1"/>
        <v>31</v>
      </c>
      <c r="G43" s="91">
        <f t="shared" si="11"/>
        <v>90</v>
      </c>
      <c r="H43" s="46">
        <f t="shared" si="12"/>
        <v>-2.9177939455063431</v>
      </c>
      <c r="I43" s="45">
        <f t="shared" si="13"/>
        <v>11.747381753239901</v>
      </c>
      <c r="J43" s="45">
        <f t="shared" ca="1" si="14"/>
        <v>1.7843433743918169E-2</v>
      </c>
      <c r="K43" s="46">
        <f t="shared" ca="1" si="9"/>
        <v>37.068911428554074</v>
      </c>
      <c r="L43" s="151">
        <f t="shared" ca="1" si="15"/>
        <v>1.0851036284125233</v>
      </c>
      <c r="M43" s="152">
        <f t="shared" ca="1" si="4"/>
        <v>1.2501214428215039</v>
      </c>
    </row>
    <row r="44" spans="2:13" x14ac:dyDescent="0.25">
      <c r="B44" s="82">
        <f t="shared" si="10"/>
        <v>-3</v>
      </c>
      <c r="C44" s="82">
        <f t="shared" si="6"/>
        <v>4</v>
      </c>
      <c r="D44" s="151">
        <f ca="1">OFFSET('Inputs - Weather'!$E$19,C44,B44+6+1)</f>
        <v>7.48</v>
      </c>
      <c r="E44" s="46">
        <f ca="1">OFFSET('Inputs - Weather'!$E$5,C44,B44+6+1)</f>
        <v>79.099999999999994</v>
      </c>
      <c r="F44" s="91">
        <f t="shared" si="1"/>
        <v>30</v>
      </c>
      <c r="G44" s="91">
        <f t="shared" si="11"/>
        <v>120</v>
      </c>
      <c r="H44" s="46">
        <f t="shared" si="12"/>
        <v>9.3184035667831076</v>
      </c>
      <c r="I44" s="45">
        <f t="shared" si="13"/>
        <v>13.365926397722633</v>
      </c>
      <c r="J44" s="45">
        <f t="shared" ca="1" si="14"/>
        <v>1.8401212158716953</v>
      </c>
      <c r="K44" s="46">
        <f t="shared" ca="1" si="9"/>
        <v>37.068911428554074</v>
      </c>
      <c r="L44" s="151">
        <f t="shared" ca="1" si="15"/>
        <v>1.0851036284125233</v>
      </c>
      <c r="M44" s="152">
        <f t="shared" ca="1" si="4"/>
        <v>38.174816888199359</v>
      </c>
    </row>
    <row r="45" spans="2:13" x14ac:dyDescent="0.25">
      <c r="B45" s="82">
        <f t="shared" si="10"/>
        <v>-3</v>
      </c>
      <c r="C45" s="82">
        <f t="shared" si="6"/>
        <v>5</v>
      </c>
      <c r="D45" s="151">
        <f ca="1">OFFSET('Inputs - Weather'!$E$19,C45,B45+6+1)</f>
        <v>13.18</v>
      </c>
      <c r="E45" s="46">
        <f ca="1">OFFSET('Inputs - Weather'!$E$5,C45,B45+6+1)</f>
        <v>94.92</v>
      </c>
      <c r="F45" s="91">
        <f t="shared" si="1"/>
        <v>31</v>
      </c>
      <c r="G45" s="91">
        <f t="shared" si="11"/>
        <v>151</v>
      </c>
      <c r="H45" s="46">
        <f t="shared" si="12"/>
        <v>18.723388500456394</v>
      </c>
      <c r="I45" s="45">
        <f t="shared" si="13"/>
        <v>14.609972023869894</v>
      </c>
      <c r="J45" s="45">
        <f t="shared" ca="1" si="14"/>
        <v>4.3382177261641646</v>
      </c>
      <c r="K45" s="46">
        <f t="shared" ca="1" si="9"/>
        <v>37.068911428554074</v>
      </c>
      <c r="L45" s="151">
        <f t="shared" ca="1" si="15"/>
        <v>1.0851036284125233</v>
      </c>
      <c r="M45" s="152">
        <f t="shared" ca="1" si="4"/>
        <v>79.729345910322465</v>
      </c>
    </row>
    <row r="46" spans="2:13" x14ac:dyDescent="0.25">
      <c r="B46" s="82">
        <f t="shared" si="10"/>
        <v>-3</v>
      </c>
      <c r="C46" s="82">
        <f t="shared" si="6"/>
        <v>6</v>
      </c>
      <c r="D46" s="151">
        <f ca="1">OFFSET('Inputs - Weather'!$E$19,C46,B46+6+1)</f>
        <v>16.89</v>
      </c>
      <c r="E46" s="46">
        <f ca="1">OFFSET('Inputs - Weather'!$E$5,C46,B46+6+1)</f>
        <v>147.66</v>
      </c>
      <c r="F46" s="91">
        <f t="shared" si="1"/>
        <v>30</v>
      </c>
      <c r="G46" s="91">
        <f t="shared" si="11"/>
        <v>181</v>
      </c>
      <c r="H46" s="46">
        <f t="shared" si="12"/>
        <v>23.293419845424015</v>
      </c>
      <c r="I46" s="45">
        <f t="shared" si="13"/>
        <v>15.214473524526987</v>
      </c>
      <c r="J46" s="45">
        <f t="shared" ca="1" si="14"/>
        <v>6.3152522591868889</v>
      </c>
      <c r="K46" s="46">
        <f t="shared" ca="1" si="9"/>
        <v>37.068911428554074</v>
      </c>
      <c r="L46" s="151">
        <f t="shared" ca="1" si="15"/>
        <v>1.0851036284125233</v>
      </c>
      <c r="M46" s="152">
        <f t="shared" ca="1" si="4"/>
        <v>105.16383582075093</v>
      </c>
    </row>
    <row r="47" spans="2:13" x14ac:dyDescent="0.25">
      <c r="B47" s="82">
        <f t="shared" si="10"/>
        <v>-3</v>
      </c>
      <c r="C47" s="82">
        <f t="shared" si="6"/>
        <v>7</v>
      </c>
      <c r="D47" s="151">
        <f ca="1">OFFSET('Inputs - Weather'!$E$19,C47,B47+6+1)</f>
        <v>18.89</v>
      </c>
      <c r="E47" s="46">
        <f ca="1">OFFSET('Inputs - Weather'!$E$5,C47,B47+6+1)</f>
        <v>226.76</v>
      </c>
      <c r="F47" s="91">
        <f t="shared" si="1"/>
        <v>31</v>
      </c>
      <c r="G47" s="91">
        <f t="shared" si="11"/>
        <v>212</v>
      </c>
      <c r="H47" s="46">
        <f t="shared" si="12"/>
        <v>21.54806313020423</v>
      </c>
      <c r="I47" s="45">
        <f t="shared" si="13"/>
        <v>14.983606234153998</v>
      </c>
      <c r="J47" s="45">
        <f t="shared" ca="1" si="14"/>
        <v>7.4812574069045619</v>
      </c>
      <c r="K47" s="46">
        <f t="shared" ca="1" si="9"/>
        <v>37.068911428554074</v>
      </c>
      <c r="L47" s="151">
        <f t="shared" ca="1" si="15"/>
        <v>1.0851036284125233</v>
      </c>
      <c r="M47" s="152">
        <f t="shared" ca="1" si="4"/>
        <v>120.83835967549408</v>
      </c>
    </row>
    <row r="48" spans="2:13" x14ac:dyDescent="0.25">
      <c r="B48" s="82">
        <f t="shared" si="10"/>
        <v>-3</v>
      </c>
      <c r="C48" s="82">
        <f t="shared" si="6"/>
        <v>8</v>
      </c>
      <c r="D48" s="151">
        <f ca="1">OFFSET('Inputs - Weather'!$E$19,C48,B48+6+1)</f>
        <v>20.62</v>
      </c>
      <c r="E48" s="46">
        <f ca="1">OFFSET('Inputs - Weather'!$E$5,C48,B48+6+1)</f>
        <v>94.92</v>
      </c>
      <c r="F48" s="91">
        <f t="shared" si="1"/>
        <v>31</v>
      </c>
      <c r="G48" s="91">
        <f t="shared" si="11"/>
        <v>243</v>
      </c>
      <c r="H48" s="46">
        <f t="shared" si="12"/>
        <v>13.859168267602277</v>
      </c>
      <c r="I48" s="45">
        <f t="shared" si="13"/>
        <v>13.966556649153741</v>
      </c>
      <c r="J48" s="45">
        <f t="shared" ca="1" si="14"/>
        <v>8.5426467114441085</v>
      </c>
      <c r="K48" s="46">
        <f t="shared" ca="1" si="9"/>
        <v>37.068911428554074</v>
      </c>
      <c r="L48" s="151">
        <f t="shared" ca="1" si="15"/>
        <v>1.0851036284125233</v>
      </c>
      <c r="M48" s="152">
        <f t="shared" ca="1" si="4"/>
        <v>123.87203824073036</v>
      </c>
    </row>
    <row r="49" spans="2:13" x14ac:dyDescent="0.25">
      <c r="B49" s="82">
        <f t="shared" si="10"/>
        <v>-3</v>
      </c>
      <c r="C49" s="82">
        <f t="shared" si="6"/>
        <v>9</v>
      </c>
      <c r="D49" s="151">
        <f ca="1">OFFSET('Inputs - Weather'!$E$19,C49,B49+6+1)</f>
        <v>14.98</v>
      </c>
      <c r="E49" s="46">
        <f ca="1">OFFSET('Inputs - Weather'!$E$5,C49,B49+6+1)</f>
        <v>36.909999999999997</v>
      </c>
      <c r="F49" s="91">
        <f t="shared" si="1"/>
        <v>30</v>
      </c>
      <c r="G49" s="91">
        <f t="shared" si="11"/>
        <v>273</v>
      </c>
      <c r="H49" s="46">
        <f t="shared" si="12"/>
        <v>2.3163440518985223</v>
      </c>
      <c r="I49" s="45">
        <f t="shared" si="13"/>
        <v>12.439728049192926</v>
      </c>
      <c r="J49" s="45">
        <f t="shared" ca="1" si="14"/>
        <v>5.266041761270265</v>
      </c>
      <c r="K49" s="46">
        <f t="shared" ca="1" si="9"/>
        <v>37.068911428554074</v>
      </c>
      <c r="L49" s="151">
        <f t="shared" ca="1" si="15"/>
        <v>1.0851036284125233</v>
      </c>
      <c r="M49" s="152">
        <f t="shared" ca="1" si="4"/>
        <v>75.486123393012008</v>
      </c>
    </row>
    <row r="50" spans="2:13" x14ac:dyDescent="0.25">
      <c r="B50" s="82">
        <f t="shared" si="10"/>
        <v>-3</v>
      </c>
      <c r="C50" s="82">
        <f t="shared" si="6"/>
        <v>10</v>
      </c>
      <c r="D50" s="151">
        <f ca="1">OFFSET('Inputs - Weather'!$E$19,C50,B50+6+1)</f>
        <v>8.07</v>
      </c>
      <c r="E50" s="46">
        <f ca="1">OFFSET('Inputs - Weather'!$E$5,C50,B50+6+1)</f>
        <v>142.38</v>
      </c>
      <c r="F50" s="91">
        <f t="shared" si="1"/>
        <v>31</v>
      </c>
      <c r="G50" s="91">
        <f t="shared" si="11"/>
        <v>304</v>
      </c>
      <c r="H50" s="46">
        <f t="shared" si="12"/>
        <v>-9.5031790727583374</v>
      </c>
      <c r="I50" s="45">
        <f t="shared" si="13"/>
        <v>10.876299064449956</v>
      </c>
      <c r="J50" s="45">
        <f t="shared" ca="1" si="14"/>
        <v>2.0642673571830712</v>
      </c>
      <c r="K50" s="46">
        <f t="shared" ca="1" si="9"/>
        <v>37.068911428554074</v>
      </c>
      <c r="L50" s="151">
        <f t="shared" ca="1" si="15"/>
        <v>1.0851036284125233</v>
      </c>
      <c r="M50" s="152">
        <f t="shared" ca="1" si="4"/>
        <v>34.855991865277076</v>
      </c>
    </row>
    <row r="51" spans="2:13" x14ac:dyDescent="0.25">
      <c r="B51" s="82">
        <f t="shared" si="10"/>
        <v>-3</v>
      </c>
      <c r="C51" s="82">
        <f t="shared" si="6"/>
        <v>11</v>
      </c>
      <c r="D51" s="151">
        <f ca="1">OFFSET('Inputs - Weather'!$E$19,C51,B51+6+1)</f>
        <v>5.65</v>
      </c>
      <c r="E51" s="46">
        <f ca="1">OFFSET('Inputs - Weather'!$E$5,C51,B51+6+1)</f>
        <v>68.55</v>
      </c>
      <c r="F51" s="91">
        <f t="shared" si="1"/>
        <v>30</v>
      </c>
      <c r="G51" s="91">
        <f t="shared" si="11"/>
        <v>334</v>
      </c>
      <c r="H51" s="46">
        <f t="shared" si="12"/>
        <v>-19.081240431832619</v>
      </c>
      <c r="I51" s="45">
        <f t="shared" si="13"/>
        <v>9.6093597312390706</v>
      </c>
      <c r="J51" s="45">
        <f t="shared" ca="1" si="14"/>
        <v>1.2032635567854046</v>
      </c>
      <c r="K51" s="46">
        <f t="shared" ca="1" si="9"/>
        <v>37.068911428554074</v>
      </c>
      <c r="L51" s="151">
        <f t="shared" ca="1" si="15"/>
        <v>1.0851036284125233</v>
      </c>
      <c r="M51" s="152">
        <f t="shared" ca="1" si="4"/>
        <v>20.241796471937</v>
      </c>
    </row>
    <row r="52" spans="2:13" x14ac:dyDescent="0.25">
      <c r="B52" s="82">
        <f t="shared" si="10"/>
        <v>-3</v>
      </c>
      <c r="C52" s="82">
        <f t="shared" si="6"/>
        <v>12</v>
      </c>
      <c r="D52" s="151">
        <f ca="1">OFFSET('Inputs - Weather'!$E$19,C52,B52+6+1)</f>
        <v>-3.93</v>
      </c>
      <c r="E52" s="46">
        <f ca="1">OFFSET('Inputs - Weather'!$E$5,C52,B52+6+1)</f>
        <v>105.47</v>
      </c>
      <c r="F52" s="91">
        <f t="shared" si="1"/>
        <v>31</v>
      </c>
      <c r="G52" s="91">
        <f t="shared" si="11"/>
        <v>365</v>
      </c>
      <c r="H52" s="46">
        <f t="shared" si="12"/>
        <v>-23.315084018726054</v>
      </c>
      <c r="I52" s="45">
        <f t="shared" si="13"/>
        <v>9.0493275107505209</v>
      </c>
      <c r="J52" s="45">
        <f t="shared" ca="1" si="14"/>
        <v>0</v>
      </c>
      <c r="K52" s="46">
        <f t="shared" ca="1" si="9"/>
        <v>37.068911428554074</v>
      </c>
      <c r="L52" s="151">
        <f t="shared" ca="1" si="15"/>
        <v>1.0851036284125233</v>
      </c>
      <c r="M52" s="152">
        <f t="shared" ca="1" si="4"/>
        <v>0</v>
      </c>
    </row>
    <row r="53" spans="2:13" x14ac:dyDescent="0.25">
      <c r="B53" s="148">
        <f t="shared" si="10"/>
        <v>-2</v>
      </c>
      <c r="C53" s="148">
        <f t="shared" si="6"/>
        <v>1</v>
      </c>
      <c r="D53" s="149">
        <f ca="1">OFFSET('Inputs - Weather'!$E$19,C53,B53+6+1)</f>
        <v>-6.12</v>
      </c>
      <c r="E53" s="96">
        <f ca="1">OFFSET('Inputs - Weather'!$E$5,C53,B53+6+1)</f>
        <v>63.28</v>
      </c>
      <c r="F53" s="71">
        <f t="shared" si="1"/>
        <v>31</v>
      </c>
      <c r="G53" s="71">
        <f t="shared" si="11"/>
        <v>31</v>
      </c>
      <c r="H53" s="96">
        <f t="shared" si="12"/>
        <v>-21.302685419237953</v>
      </c>
      <c r="I53" s="72">
        <f t="shared" si="13"/>
        <v>9.3155178016881006</v>
      </c>
      <c r="J53" s="72">
        <f t="shared" ca="1" si="14"/>
        <v>0</v>
      </c>
      <c r="K53" s="96">
        <f ca="1">SUM(J53:J64)</f>
        <v>45.325840931887811</v>
      </c>
      <c r="L53" s="149">
        <f t="shared" ca="1" si="15"/>
        <v>1.2090875981628884</v>
      </c>
      <c r="M53" s="150">
        <f t="shared" ca="1" si="4"/>
        <v>0</v>
      </c>
    </row>
    <row r="54" spans="2:13" x14ac:dyDescent="0.25">
      <c r="B54" s="82">
        <f t="shared" si="10"/>
        <v>-2</v>
      </c>
      <c r="C54" s="82">
        <f t="shared" si="6"/>
        <v>2</v>
      </c>
      <c r="D54" s="151">
        <f ca="1">OFFSET('Inputs - Weather'!$E$19,C54,B54+6+1)</f>
        <v>-4.25</v>
      </c>
      <c r="E54" s="46">
        <f ca="1">OFFSET('Inputs - Weather'!$E$5,C54,B54+6+1)</f>
        <v>100.2</v>
      </c>
      <c r="F54" s="91">
        <f t="shared" si="1"/>
        <v>28</v>
      </c>
      <c r="G54" s="91">
        <f t="shared" si="11"/>
        <v>59</v>
      </c>
      <c r="H54" s="46">
        <f t="shared" si="12"/>
        <v>-13.695949189848957</v>
      </c>
      <c r="I54" s="45">
        <f t="shared" si="13"/>
        <v>10.321699842612571</v>
      </c>
      <c r="J54" s="45">
        <f t="shared" ca="1" si="14"/>
        <v>0</v>
      </c>
      <c r="K54" s="46">
        <f t="shared" ca="1" si="9"/>
        <v>45.325840931887811</v>
      </c>
      <c r="L54" s="151">
        <f t="shared" ca="1" si="15"/>
        <v>1.2090875981628884</v>
      </c>
      <c r="M54" s="152">
        <f t="shared" ca="1" si="4"/>
        <v>0</v>
      </c>
    </row>
    <row r="55" spans="2:13" x14ac:dyDescent="0.25">
      <c r="B55" s="82">
        <f t="shared" si="10"/>
        <v>-2</v>
      </c>
      <c r="C55" s="82">
        <f t="shared" si="6"/>
        <v>3</v>
      </c>
      <c r="D55" s="151">
        <f ca="1">OFFSET('Inputs - Weather'!$E$19,C55,B55+6+1)</f>
        <v>3.13</v>
      </c>
      <c r="E55" s="46">
        <f ca="1">OFFSET('Inputs - Weather'!$E$5,C55,B55+6+1)</f>
        <v>174.02</v>
      </c>
      <c r="F55" s="91">
        <f t="shared" si="1"/>
        <v>31</v>
      </c>
      <c r="G55" s="91">
        <f t="shared" si="11"/>
        <v>90</v>
      </c>
      <c r="H55" s="46">
        <f t="shared" si="12"/>
        <v>-2.9177939455063431</v>
      </c>
      <c r="I55" s="45">
        <f t="shared" si="13"/>
        <v>11.747381753239901</v>
      </c>
      <c r="J55" s="45">
        <f t="shared" ca="1" si="14"/>
        <v>0.49205487678276055</v>
      </c>
      <c r="K55" s="46">
        <f t="shared" ca="1" si="9"/>
        <v>45.325840931887811</v>
      </c>
      <c r="L55" s="151">
        <f t="shared" ca="1" si="15"/>
        <v>1.2090875981628884</v>
      </c>
      <c r="M55" s="152">
        <f t="shared" ca="1" si="4"/>
        <v>10.344205003091091</v>
      </c>
    </row>
    <row r="56" spans="2:13" x14ac:dyDescent="0.25">
      <c r="B56" s="82">
        <f t="shared" si="10"/>
        <v>-2</v>
      </c>
      <c r="C56" s="82">
        <f t="shared" si="6"/>
        <v>4</v>
      </c>
      <c r="D56" s="151">
        <f ca="1">OFFSET('Inputs - Weather'!$E$19,C56,B56+6+1)</f>
        <v>9.0399999999999991</v>
      </c>
      <c r="E56" s="46">
        <f ca="1">OFFSET('Inputs - Weather'!$E$5,C56,B56+6+1)</f>
        <v>31.64</v>
      </c>
      <c r="F56" s="91">
        <f t="shared" si="1"/>
        <v>30</v>
      </c>
      <c r="G56" s="91">
        <f t="shared" si="11"/>
        <v>120</v>
      </c>
      <c r="H56" s="46">
        <f t="shared" si="12"/>
        <v>9.3184035667831076</v>
      </c>
      <c r="I56" s="45">
        <f t="shared" si="13"/>
        <v>13.365926397722633</v>
      </c>
      <c r="J56" s="45">
        <f t="shared" ca="1" si="14"/>
        <v>2.4513110175051791</v>
      </c>
      <c r="K56" s="46">
        <f t="shared" ca="1" si="9"/>
        <v>45.325840931887811</v>
      </c>
      <c r="L56" s="151">
        <f t="shared" ca="1" si="15"/>
        <v>1.2090875981628884</v>
      </c>
      <c r="M56" s="152">
        <f t="shared" ca="1" si="4"/>
        <v>41.062892771145435</v>
      </c>
    </row>
    <row r="57" spans="2:13" x14ac:dyDescent="0.25">
      <c r="B57" s="82">
        <f t="shared" si="10"/>
        <v>-2</v>
      </c>
      <c r="C57" s="82">
        <f t="shared" si="6"/>
        <v>5</v>
      </c>
      <c r="D57" s="151">
        <f ca="1">OFFSET('Inputs - Weather'!$E$19,C57,B57+6+1)</f>
        <v>15.1</v>
      </c>
      <c r="E57" s="46">
        <f ca="1">OFFSET('Inputs - Weather'!$E$5,C57,B57+6+1)</f>
        <v>63.28</v>
      </c>
      <c r="F57" s="91">
        <f t="shared" si="1"/>
        <v>31</v>
      </c>
      <c r="G57" s="91">
        <f t="shared" si="11"/>
        <v>151</v>
      </c>
      <c r="H57" s="46">
        <f t="shared" si="12"/>
        <v>18.723388500456394</v>
      </c>
      <c r="I57" s="45">
        <f t="shared" si="13"/>
        <v>14.609972023869894</v>
      </c>
      <c r="J57" s="45">
        <f t="shared" ca="1" si="14"/>
        <v>5.330040532362065</v>
      </c>
      <c r="K57" s="46">
        <f t="shared" ca="1" si="9"/>
        <v>45.325840931887811</v>
      </c>
      <c r="L57" s="151">
        <f t="shared" ca="1" si="15"/>
        <v>1.2090875981628884</v>
      </c>
      <c r="M57" s="152">
        <f t="shared" ca="1" si="4"/>
        <v>86.245275459332561</v>
      </c>
    </row>
    <row r="58" spans="2:13" x14ac:dyDescent="0.25">
      <c r="B58" s="82">
        <f t="shared" si="10"/>
        <v>-2</v>
      </c>
      <c r="C58" s="82">
        <f t="shared" si="6"/>
        <v>6</v>
      </c>
      <c r="D58" s="151">
        <f ca="1">OFFSET('Inputs - Weather'!$E$19,C58,B58+6+1)</f>
        <v>19.149999999999999</v>
      </c>
      <c r="E58" s="46">
        <f ca="1">OFFSET('Inputs - Weather'!$E$5,C58,B58+6+1)</f>
        <v>100.2</v>
      </c>
      <c r="F58" s="91">
        <f t="shared" si="1"/>
        <v>30</v>
      </c>
      <c r="G58" s="91">
        <f t="shared" si="11"/>
        <v>181</v>
      </c>
      <c r="H58" s="46">
        <f t="shared" si="12"/>
        <v>23.293419845424015</v>
      </c>
      <c r="I58" s="45">
        <f t="shared" si="13"/>
        <v>15.214473524526987</v>
      </c>
      <c r="J58" s="45">
        <f t="shared" ca="1" si="14"/>
        <v>7.6377061200861025</v>
      </c>
      <c r="K58" s="46">
        <f t="shared" ca="1" si="9"/>
        <v>45.325840931887811</v>
      </c>
      <c r="L58" s="151">
        <f t="shared" ca="1" si="15"/>
        <v>1.2090875981628884</v>
      </c>
      <c r="M58" s="152">
        <f t="shared" ca="1" si="4"/>
        <v>115.843156342048</v>
      </c>
    </row>
    <row r="59" spans="2:13" x14ac:dyDescent="0.25">
      <c r="B59" s="82">
        <f t="shared" si="10"/>
        <v>-2</v>
      </c>
      <c r="C59" s="82">
        <f t="shared" si="6"/>
        <v>7</v>
      </c>
      <c r="D59" s="151">
        <f ca="1">OFFSET('Inputs - Weather'!$E$19,C59,B59+6+1)</f>
        <v>23.25</v>
      </c>
      <c r="E59" s="46">
        <f ca="1">OFFSET('Inputs - Weather'!$E$5,C59,B59+6+1)</f>
        <v>73.83</v>
      </c>
      <c r="F59" s="91">
        <f t="shared" si="1"/>
        <v>31</v>
      </c>
      <c r="G59" s="91">
        <f t="shared" si="11"/>
        <v>212</v>
      </c>
      <c r="H59" s="46">
        <f t="shared" si="12"/>
        <v>21.54806313020423</v>
      </c>
      <c r="I59" s="45">
        <f t="shared" si="13"/>
        <v>14.983606234153998</v>
      </c>
      <c r="J59" s="45">
        <f t="shared" ca="1" si="14"/>
        <v>10.245278552862674</v>
      </c>
      <c r="K59" s="46">
        <f t="shared" ca="1" si="9"/>
        <v>45.325840931887811</v>
      </c>
      <c r="L59" s="151">
        <f t="shared" ca="1" si="15"/>
        <v>1.2090875981628884</v>
      </c>
      <c r="M59" s="152">
        <f t="shared" ca="1" si="4"/>
        <v>149.05307037815226</v>
      </c>
    </row>
    <row r="60" spans="2:13" x14ac:dyDescent="0.25">
      <c r="B60" s="82">
        <f t="shared" si="10"/>
        <v>-2</v>
      </c>
      <c r="C60" s="82">
        <f t="shared" si="6"/>
        <v>8</v>
      </c>
      <c r="D60" s="151">
        <f ca="1">OFFSET('Inputs - Weather'!$E$19,C60,B60+6+1)</f>
        <v>21.44</v>
      </c>
      <c r="E60" s="46">
        <f ca="1">OFFSET('Inputs - Weather'!$E$5,C60,B60+6+1)</f>
        <v>68.55</v>
      </c>
      <c r="F60" s="91">
        <f t="shared" si="1"/>
        <v>31</v>
      </c>
      <c r="G60" s="91">
        <f t="shared" si="11"/>
        <v>243</v>
      </c>
      <c r="H60" s="46">
        <f t="shared" si="12"/>
        <v>13.859168267602277</v>
      </c>
      <c r="I60" s="45">
        <f t="shared" si="13"/>
        <v>13.966556649153741</v>
      </c>
      <c r="J60" s="45">
        <f t="shared" ca="1" si="14"/>
        <v>9.0622018613844482</v>
      </c>
      <c r="K60" s="46">
        <f t="shared" ca="1" si="9"/>
        <v>45.325840931887811</v>
      </c>
      <c r="L60" s="151">
        <f t="shared" ca="1" si="15"/>
        <v>1.2090875981628884</v>
      </c>
      <c r="M60" s="152">
        <f t="shared" ca="1" si="4"/>
        <v>125.96684270998136</v>
      </c>
    </row>
    <row r="61" spans="2:13" x14ac:dyDescent="0.25">
      <c r="B61" s="82">
        <f t="shared" si="10"/>
        <v>-2</v>
      </c>
      <c r="C61" s="82">
        <f t="shared" si="6"/>
        <v>9</v>
      </c>
      <c r="D61" s="151">
        <f ca="1">OFFSET('Inputs - Weather'!$E$19,C61,B61+6+1)</f>
        <v>18.170000000000002</v>
      </c>
      <c r="E61" s="46">
        <f ca="1">OFFSET('Inputs - Weather'!$E$5,C61,B61+6+1)</f>
        <v>63.28</v>
      </c>
      <c r="F61" s="91">
        <f t="shared" si="1"/>
        <v>30</v>
      </c>
      <c r="G61" s="91">
        <f t="shared" si="11"/>
        <v>273</v>
      </c>
      <c r="H61" s="46">
        <f t="shared" si="12"/>
        <v>2.3163440518985223</v>
      </c>
      <c r="I61" s="45">
        <f t="shared" si="13"/>
        <v>12.439728049192926</v>
      </c>
      <c r="J61" s="45">
        <f t="shared" ca="1" si="14"/>
        <v>7.0537940172259521</v>
      </c>
      <c r="K61" s="46">
        <f t="shared" ca="1" si="9"/>
        <v>45.325840931887811</v>
      </c>
      <c r="L61" s="151">
        <f t="shared" ca="1" si="15"/>
        <v>1.2090875981628884</v>
      </c>
      <c r="M61" s="152">
        <f t="shared" ca="1" si="4"/>
        <v>88.88743931122373</v>
      </c>
    </row>
    <row r="62" spans="2:13" x14ac:dyDescent="0.25">
      <c r="B62" s="82">
        <f t="shared" si="10"/>
        <v>-2</v>
      </c>
      <c r="C62" s="82">
        <f t="shared" si="6"/>
        <v>10</v>
      </c>
      <c r="D62" s="151">
        <f ca="1">OFFSET('Inputs - Weather'!$E$19,C62,B62+6+1)</f>
        <v>9.44</v>
      </c>
      <c r="E62" s="46">
        <f ca="1">OFFSET('Inputs - Weather'!$E$5,C62,B62+6+1)</f>
        <v>163.47999999999999</v>
      </c>
      <c r="F62" s="91">
        <f t="shared" si="1"/>
        <v>31</v>
      </c>
      <c r="G62" s="91">
        <f t="shared" si="11"/>
        <v>304</v>
      </c>
      <c r="H62" s="46">
        <f t="shared" si="12"/>
        <v>-9.5031790727583374</v>
      </c>
      <c r="I62" s="45">
        <f t="shared" si="13"/>
        <v>10.876299064449956</v>
      </c>
      <c r="J62" s="45">
        <f t="shared" ca="1" si="14"/>
        <v>2.6173814057786013</v>
      </c>
      <c r="K62" s="46">
        <f t="shared" ca="1" si="9"/>
        <v>45.325840931887811</v>
      </c>
      <c r="L62" s="151">
        <f t="shared" ca="1" si="15"/>
        <v>1.2090875981628884</v>
      </c>
      <c r="M62" s="152">
        <f t="shared" ca="1" si="4"/>
        <v>36.383729274284093</v>
      </c>
    </row>
    <row r="63" spans="2:13" x14ac:dyDescent="0.25">
      <c r="B63" s="82">
        <f t="shared" si="10"/>
        <v>-2</v>
      </c>
      <c r="C63" s="82">
        <f t="shared" si="6"/>
        <v>11</v>
      </c>
      <c r="D63" s="151">
        <f ca="1">OFFSET('Inputs - Weather'!$E$19,C63,B63+6+1)</f>
        <v>2.89</v>
      </c>
      <c r="E63" s="46">
        <f ca="1">OFFSET('Inputs - Weather'!$E$5,C63,B63+6+1)</f>
        <v>84.38</v>
      </c>
      <c r="F63" s="91">
        <f t="shared" si="1"/>
        <v>30</v>
      </c>
      <c r="G63" s="91">
        <f t="shared" si="11"/>
        <v>334</v>
      </c>
      <c r="H63" s="46">
        <f t="shared" si="12"/>
        <v>-19.081240431832619</v>
      </c>
      <c r="I63" s="45">
        <f t="shared" si="13"/>
        <v>9.6093597312390706</v>
      </c>
      <c r="J63" s="45">
        <f t="shared" ca="1" si="14"/>
        <v>0.43607254790002714</v>
      </c>
      <c r="K63" s="46">
        <f t="shared" ca="1" si="9"/>
        <v>45.325840931887811</v>
      </c>
      <c r="L63" s="151">
        <f t="shared" ca="1" si="15"/>
        <v>1.2090875981628884</v>
      </c>
      <c r="M63" s="152">
        <f t="shared" ca="1" si="4"/>
        <v>7.4356579272152938</v>
      </c>
    </row>
    <row r="64" spans="2:13" x14ac:dyDescent="0.25">
      <c r="B64" s="82">
        <f t="shared" si="10"/>
        <v>-2</v>
      </c>
      <c r="C64" s="82">
        <f t="shared" si="6"/>
        <v>12</v>
      </c>
      <c r="D64" s="151">
        <f ca="1">OFFSET('Inputs - Weather'!$E$19,C64,B64+6+1)</f>
        <v>-4.5199999999999996</v>
      </c>
      <c r="E64" s="46">
        <f ca="1">OFFSET('Inputs - Weather'!$E$5,C64,B64+6+1)</f>
        <v>100.2</v>
      </c>
      <c r="F64" s="91">
        <f t="shared" si="1"/>
        <v>31</v>
      </c>
      <c r="G64" s="91">
        <f t="shared" si="11"/>
        <v>365</v>
      </c>
      <c r="H64" s="46">
        <f t="shared" si="12"/>
        <v>-23.315084018726054</v>
      </c>
      <c r="I64" s="45">
        <f t="shared" si="13"/>
        <v>9.0493275107505209</v>
      </c>
      <c r="J64" s="45">
        <f t="shared" ca="1" si="14"/>
        <v>0</v>
      </c>
      <c r="K64" s="46">
        <f t="shared" ca="1" si="9"/>
        <v>45.325840931887811</v>
      </c>
      <c r="L64" s="151">
        <f t="shared" ca="1" si="15"/>
        <v>1.2090875981628884</v>
      </c>
      <c r="M64" s="152">
        <f t="shared" ca="1" si="4"/>
        <v>0</v>
      </c>
    </row>
    <row r="65" spans="2:17" x14ac:dyDescent="0.25">
      <c r="B65" s="148">
        <f t="shared" si="10"/>
        <v>-1</v>
      </c>
      <c r="C65" s="148">
        <f t="shared" si="6"/>
        <v>1</v>
      </c>
      <c r="D65" s="149">
        <f ca="1">OFFSET('Inputs - Weather'!$E$19,C65,B65+6+1)</f>
        <v>-8.01</v>
      </c>
      <c r="E65" s="96">
        <f ca="1">OFFSET('Inputs - Weather'!$E$5,C65,B65+6+1)</f>
        <v>63.28</v>
      </c>
      <c r="F65" s="71">
        <f t="shared" si="1"/>
        <v>31</v>
      </c>
      <c r="G65" s="71">
        <f t="shared" si="11"/>
        <v>31</v>
      </c>
      <c r="H65" s="96">
        <f t="shared" si="12"/>
        <v>-21.302685419237953</v>
      </c>
      <c r="I65" s="72">
        <f t="shared" si="13"/>
        <v>9.3155178016881006</v>
      </c>
      <c r="J65" s="72">
        <f t="shared" ca="1" si="14"/>
        <v>0</v>
      </c>
      <c r="K65" s="96">
        <f ca="1">SUM(J65:J76)</f>
        <v>41.671341916878035</v>
      </c>
      <c r="L65" s="149">
        <f t="shared" ca="1" si="15"/>
        <v>1.1541008035867897</v>
      </c>
      <c r="M65" s="150">
        <f t="shared" ca="1" si="4"/>
        <v>0</v>
      </c>
    </row>
    <row r="66" spans="2:17" x14ac:dyDescent="0.25">
      <c r="B66" s="82">
        <f t="shared" si="10"/>
        <v>-1</v>
      </c>
      <c r="C66" s="82">
        <f t="shared" si="6"/>
        <v>2</v>
      </c>
      <c r="D66" s="151">
        <f ca="1">OFFSET('Inputs - Weather'!$E$19,C66,B66+6+1)</f>
        <v>-6.74</v>
      </c>
      <c r="E66" s="46">
        <f ca="1">OFFSET('Inputs - Weather'!$E$5,C66,B66+6+1)</f>
        <v>100.2</v>
      </c>
      <c r="F66" s="91">
        <f t="shared" si="1"/>
        <v>28</v>
      </c>
      <c r="G66" s="91">
        <f t="shared" si="11"/>
        <v>59</v>
      </c>
      <c r="H66" s="46">
        <f t="shared" si="12"/>
        <v>-13.695949189848957</v>
      </c>
      <c r="I66" s="45">
        <f t="shared" si="13"/>
        <v>10.321699842612571</v>
      </c>
      <c r="J66" s="45">
        <f t="shared" ca="1" si="14"/>
        <v>0</v>
      </c>
      <c r="K66" s="46">
        <f t="shared" ca="1" si="9"/>
        <v>41.671341916878035</v>
      </c>
      <c r="L66" s="151">
        <f t="shared" ca="1" si="15"/>
        <v>1.1541008035867897</v>
      </c>
      <c r="M66" s="152">
        <f t="shared" ca="1" si="4"/>
        <v>0</v>
      </c>
    </row>
    <row r="67" spans="2:17" x14ac:dyDescent="0.25">
      <c r="B67" s="82">
        <f t="shared" si="10"/>
        <v>-1</v>
      </c>
      <c r="C67" s="82">
        <f t="shared" si="6"/>
        <v>3</v>
      </c>
      <c r="D67" s="151">
        <f ca="1">OFFSET('Inputs - Weather'!$E$19,C67,B67+6+1)</f>
        <v>-0.57999999999999996</v>
      </c>
      <c r="E67" s="46">
        <f ca="1">OFFSET('Inputs - Weather'!$E$5,C67,B67+6+1)</f>
        <v>116.02</v>
      </c>
      <c r="F67" s="91">
        <f t="shared" si="1"/>
        <v>31</v>
      </c>
      <c r="G67" s="91">
        <f t="shared" si="11"/>
        <v>90</v>
      </c>
      <c r="H67" s="46">
        <f t="shared" si="12"/>
        <v>-2.9177939455063431</v>
      </c>
      <c r="I67" s="45">
        <f t="shared" si="13"/>
        <v>11.747381753239901</v>
      </c>
      <c r="J67" s="45">
        <f t="shared" ca="1" si="14"/>
        <v>0</v>
      </c>
      <c r="K67" s="46">
        <f t="shared" ca="1" si="9"/>
        <v>41.671341916878035</v>
      </c>
      <c r="L67" s="151">
        <f t="shared" ca="1" si="15"/>
        <v>1.1541008035867897</v>
      </c>
      <c r="M67" s="152">
        <f t="shared" ca="1" si="4"/>
        <v>0</v>
      </c>
    </row>
    <row r="68" spans="2:17" x14ac:dyDescent="0.25">
      <c r="B68" s="82">
        <f t="shared" si="10"/>
        <v>-1</v>
      </c>
      <c r="C68" s="82">
        <f t="shared" si="6"/>
        <v>4</v>
      </c>
      <c r="D68" s="151">
        <f ca="1">OFFSET('Inputs - Weather'!$E$19,C68,B68+6+1)</f>
        <v>7.18</v>
      </c>
      <c r="E68" s="46">
        <f ca="1">OFFSET('Inputs - Weather'!$E$5,C68,B68+6+1)</f>
        <v>126.56</v>
      </c>
      <c r="F68" s="91">
        <f t="shared" si="1"/>
        <v>30</v>
      </c>
      <c r="G68" s="91">
        <f t="shared" si="11"/>
        <v>120</v>
      </c>
      <c r="H68" s="46">
        <f t="shared" si="12"/>
        <v>9.3184035667831076</v>
      </c>
      <c r="I68" s="45">
        <f t="shared" si="13"/>
        <v>13.365926397722633</v>
      </c>
      <c r="J68" s="45">
        <f t="shared" ca="1" si="14"/>
        <v>1.7295448242619065</v>
      </c>
      <c r="K68" s="46">
        <f t="shared" ca="1" si="9"/>
        <v>41.671341916878035</v>
      </c>
      <c r="L68" s="151">
        <f t="shared" ca="1" si="15"/>
        <v>1.1541008035867897</v>
      </c>
      <c r="M68" s="152">
        <f t="shared" ca="1" si="4"/>
        <v>33.391564704021405</v>
      </c>
    </row>
    <row r="69" spans="2:17" x14ac:dyDescent="0.25">
      <c r="B69" s="82">
        <f t="shared" si="10"/>
        <v>-1</v>
      </c>
      <c r="C69" s="82">
        <f t="shared" si="6"/>
        <v>5</v>
      </c>
      <c r="D69" s="151">
        <f ca="1">OFFSET('Inputs - Weather'!$E$19,C69,B69+6+1)</f>
        <v>14.05</v>
      </c>
      <c r="E69" s="46">
        <f ca="1">OFFSET('Inputs - Weather'!$E$5,C69,B69+6+1)</f>
        <v>84.38</v>
      </c>
      <c r="F69" s="91">
        <f t="shared" si="1"/>
        <v>31</v>
      </c>
      <c r="G69" s="91">
        <f t="shared" si="11"/>
        <v>151</v>
      </c>
      <c r="H69" s="46">
        <f t="shared" si="12"/>
        <v>18.723388500456394</v>
      </c>
      <c r="I69" s="45">
        <f t="shared" si="13"/>
        <v>14.609972023869894</v>
      </c>
      <c r="J69" s="45">
        <f t="shared" ca="1" si="14"/>
        <v>4.7790477337950508</v>
      </c>
      <c r="K69" s="46">
        <f t="shared" ca="1" si="9"/>
        <v>41.671341916878035</v>
      </c>
      <c r="L69" s="151">
        <f t="shared" ca="1" si="15"/>
        <v>1.1541008035867897</v>
      </c>
      <c r="M69" s="152">
        <f t="shared" ca="1" si="4"/>
        <v>81.847946431392785</v>
      </c>
    </row>
    <row r="70" spans="2:17" x14ac:dyDescent="0.25">
      <c r="B70" s="82">
        <f t="shared" si="10"/>
        <v>-1</v>
      </c>
      <c r="C70" s="82">
        <f t="shared" si="6"/>
        <v>6</v>
      </c>
      <c r="D70" s="151">
        <f ca="1">OFFSET('Inputs - Weather'!$E$19,C70,B70+6+1)</f>
        <v>17.96</v>
      </c>
      <c r="E70" s="46">
        <f ca="1">OFFSET('Inputs - Weather'!$E$5,C70,B70+6+1)</f>
        <v>168.75</v>
      </c>
      <c r="F70" s="91">
        <f t="shared" ref="F70:F133" si="16">DAY(EOMONTH(CONCATENATE("1/",C70,"/01"),0))</f>
        <v>30</v>
      </c>
      <c r="G70" s="91">
        <f t="shared" si="11"/>
        <v>181</v>
      </c>
      <c r="H70" s="46">
        <f t="shared" si="12"/>
        <v>23.293419845424015</v>
      </c>
      <c r="I70" s="45">
        <f t="shared" si="13"/>
        <v>15.214473524526987</v>
      </c>
      <c r="J70" s="45">
        <f t="shared" ca="1" si="14"/>
        <v>6.930733513927521</v>
      </c>
      <c r="K70" s="46">
        <f t="shared" ca="1" si="9"/>
        <v>41.671341916878035</v>
      </c>
      <c r="L70" s="151">
        <f t="shared" ca="1" si="15"/>
        <v>1.1541008035867897</v>
      </c>
      <c r="M70" s="152">
        <f t="shared" ref="M70:M133" ca="1" si="17">IF(D70&gt;0,(F70/30)*(I70/12)*16*POWER((10*D70/K70),L70),0)</f>
        <v>109.50568616025745</v>
      </c>
    </row>
    <row r="71" spans="2:17" x14ac:dyDescent="0.25">
      <c r="B71" s="82">
        <f t="shared" si="10"/>
        <v>-1</v>
      </c>
      <c r="C71" s="82">
        <f t="shared" ref="C71:C124" si="18">IF(C70&lt;12,C70+1,1)</f>
        <v>7</v>
      </c>
      <c r="D71" s="151">
        <f ca="1">OFFSET('Inputs - Weather'!$E$19,C71,B71+6+1)</f>
        <v>21.89</v>
      </c>
      <c r="E71" s="46">
        <f ca="1">OFFSET('Inputs - Weather'!$E$5,C71,B71+6+1)</f>
        <v>52.73</v>
      </c>
      <c r="F71" s="91">
        <f t="shared" si="16"/>
        <v>31</v>
      </c>
      <c r="G71" s="91">
        <f t="shared" si="11"/>
        <v>212</v>
      </c>
      <c r="H71" s="46">
        <f t="shared" si="12"/>
        <v>21.54806313020423</v>
      </c>
      <c r="I71" s="45">
        <f t="shared" si="13"/>
        <v>14.983606234153998</v>
      </c>
      <c r="J71" s="45">
        <f t="shared" ca="1" si="14"/>
        <v>9.3517200283976578</v>
      </c>
      <c r="K71" s="46">
        <f t="shared" ref="K71:K124" ca="1" si="19">K70</f>
        <v>41.671341916878035</v>
      </c>
      <c r="L71" s="151">
        <f t="shared" ca="1" si="15"/>
        <v>1.1541008035867897</v>
      </c>
      <c r="M71" s="152">
        <f t="shared" ca="1" si="17"/>
        <v>140.02942220648777</v>
      </c>
    </row>
    <row r="72" spans="2:17" x14ac:dyDescent="0.25">
      <c r="B72" s="82">
        <f t="shared" si="10"/>
        <v>-1</v>
      </c>
      <c r="C72" s="82">
        <f t="shared" si="18"/>
        <v>8</v>
      </c>
      <c r="D72" s="151">
        <f ca="1">OFFSET('Inputs - Weather'!$E$19,C72,B72+6+1)</f>
        <v>20.350000000000001</v>
      </c>
      <c r="E72" s="46">
        <f ca="1">OFFSET('Inputs - Weather'!$E$5,C72,B72+6+1)</f>
        <v>258.39999999999998</v>
      </c>
      <c r="F72" s="91">
        <f t="shared" si="16"/>
        <v>31</v>
      </c>
      <c r="G72" s="91">
        <f t="shared" si="11"/>
        <v>243</v>
      </c>
      <c r="H72" s="46">
        <f t="shared" si="12"/>
        <v>13.859168267602277</v>
      </c>
      <c r="I72" s="45">
        <f t="shared" si="13"/>
        <v>13.966556649153741</v>
      </c>
      <c r="J72" s="45">
        <f t="shared" ca="1" si="14"/>
        <v>8.373864623469478</v>
      </c>
      <c r="K72" s="46">
        <f t="shared" ca="1" si="19"/>
        <v>41.671341916878035</v>
      </c>
      <c r="L72" s="151">
        <f t="shared" ca="1" si="15"/>
        <v>1.1541008035867897</v>
      </c>
      <c r="M72" s="152">
        <f t="shared" ca="1" si="17"/>
        <v>119.98551598897782</v>
      </c>
    </row>
    <row r="73" spans="2:17" x14ac:dyDescent="0.25">
      <c r="B73" s="82">
        <f t="shared" si="10"/>
        <v>-1</v>
      </c>
      <c r="C73" s="82">
        <f t="shared" si="18"/>
        <v>9</v>
      </c>
      <c r="D73" s="151">
        <f ca="1">OFFSET('Inputs - Weather'!$E$19,C73,B73+6+1)</f>
        <v>17.38</v>
      </c>
      <c r="E73" s="46">
        <f ca="1">OFFSET('Inputs - Weather'!$E$5,C73,B73+6+1)</f>
        <v>210.94</v>
      </c>
      <c r="F73" s="91">
        <f t="shared" si="16"/>
        <v>30</v>
      </c>
      <c r="G73" s="91">
        <f t="shared" si="11"/>
        <v>273</v>
      </c>
      <c r="H73" s="46">
        <f t="shared" si="12"/>
        <v>2.3163440518985223</v>
      </c>
      <c r="I73" s="45">
        <f t="shared" si="13"/>
        <v>12.439728049192926</v>
      </c>
      <c r="J73" s="45">
        <f t="shared" ca="1" si="14"/>
        <v>6.5946958181738831</v>
      </c>
      <c r="K73" s="46">
        <f t="shared" ca="1" si="19"/>
        <v>41.671341916878035</v>
      </c>
      <c r="L73" s="151">
        <f t="shared" ca="1" si="15"/>
        <v>1.1541008035867897</v>
      </c>
      <c r="M73" s="152">
        <f t="shared" ca="1" si="17"/>
        <v>86.205925852555339</v>
      </c>
    </row>
    <row r="74" spans="2:17" x14ac:dyDescent="0.25">
      <c r="B74" s="82">
        <f t="shared" si="10"/>
        <v>-1</v>
      </c>
      <c r="C74" s="82">
        <f t="shared" si="18"/>
        <v>10</v>
      </c>
      <c r="D74" s="151">
        <f ca="1">OFFSET('Inputs - Weather'!$E$19,C74,B74+6+1)</f>
        <v>9.61</v>
      </c>
      <c r="E74" s="46">
        <f ca="1">OFFSET('Inputs - Weather'!$E$5,C74,B74+6+1)</f>
        <v>142.38</v>
      </c>
      <c r="F74" s="91">
        <f t="shared" si="16"/>
        <v>31</v>
      </c>
      <c r="G74" s="91">
        <f t="shared" si="11"/>
        <v>304</v>
      </c>
      <c r="H74" s="46">
        <f t="shared" si="12"/>
        <v>-9.5031790727583374</v>
      </c>
      <c r="I74" s="45">
        <f t="shared" si="13"/>
        <v>10.876299064449956</v>
      </c>
      <c r="J74" s="45">
        <f t="shared" ca="1" si="14"/>
        <v>2.6890731871946065</v>
      </c>
      <c r="K74" s="46">
        <f t="shared" ca="1" si="19"/>
        <v>41.671341916878035</v>
      </c>
      <c r="L74" s="151">
        <f t="shared" ca="1" si="15"/>
        <v>1.1541008035867897</v>
      </c>
      <c r="M74" s="152">
        <f t="shared" ca="1" si="17"/>
        <v>39.306758212629511</v>
      </c>
    </row>
    <row r="75" spans="2:17" x14ac:dyDescent="0.25">
      <c r="B75" s="82">
        <f t="shared" si="10"/>
        <v>-1</v>
      </c>
      <c r="C75" s="82">
        <f t="shared" si="18"/>
        <v>11</v>
      </c>
      <c r="D75" s="151">
        <f ca="1">OFFSET('Inputs - Weather'!$E$19,C75,B75+6+1)</f>
        <v>5.71</v>
      </c>
      <c r="E75" s="46">
        <f ca="1">OFFSET('Inputs - Weather'!$E$5,C75,B75+6+1)</f>
        <v>73.83</v>
      </c>
      <c r="F75" s="91">
        <f t="shared" si="16"/>
        <v>30</v>
      </c>
      <c r="G75" s="91">
        <f t="shared" si="11"/>
        <v>334</v>
      </c>
      <c r="H75" s="46">
        <f t="shared" si="12"/>
        <v>-19.081240431832619</v>
      </c>
      <c r="I75" s="45">
        <f t="shared" si="13"/>
        <v>9.6093597312390706</v>
      </c>
      <c r="J75" s="45">
        <f t="shared" ca="1" si="14"/>
        <v>1.2226621876579311</v>
      </c>
      <c r="K75" s="46">
        <f t="shared" ca="1" si="19"/>
        <v>41.671341916878035</v>
      </c>
      <c r="L75" s="151">
        <f t="shared" ca="1" si="15"/>
        <v>1.1541008035867897</v>
      </c>
      <c r="M75" s="152">
        <f t="shared" ca="1" si="17"/>
        <v>18.42945906677128</v>
      </c>
    </row>
    <row r="76" spans="2:17" x14ac:dyDescent="0.25">
      <c r="B76" s="82">
        <f t="shared" si="10"/>
        <v>-1</v>
      </c>
      <c r="C76" s="82">
        <f t="shared" si="18"/>
        <v>12</v>
      </c>
      <c r="D76" s="151">
        <f ca="1">OFFSET('Inputs - Weather'!$E$19,C76,B76+6+1)</f>
        <v>-0.46</v>
      </c>
      <c r="E76" s="46">
        <f ca="1">OFFSET('Inputs - Weather'!$E$5,C76,B76+6+1)</f>
        <v>110.74</v>
      </c>
      <c r="F76" s="91">
        <f t="shared" si="16"/>
        <v>31</v>
      </c>
      <c r="G76" s="91">
        <f t="shared" si="11"/>
        <v>365</v>
      </c>
      <c r="H76" s="46">
        <f t="shared" si="12"/>
        <v>-23.315084018726054</v>
      </c>
      <c r="I76" s="45">
        <f t="shared" si="13"/>
        <v>9.0493275107505209</v>
      </c>
      <c r="J76" s="45">
        <f t="shared" ca="1" si="14"/>
        <v>0</v>
      </c>
      <c r="K76" s="46">
        <f t="shared" ca="1" si="19"/>
        <v>41.671341916878035</v>
      </c>
      <c r="L76" s="151">
        <f t="shared" ca="1" si="15"/>
        <v>1.1541008035867897</v>
      </c>
      <c r="M76" s="152">
        <f t="shared" ca="1" si="17"/>
        <v>0</v>
      </c>
    </row>
    <row r="77" spans="2:17" x14ac:dyDescent="0.25">
      <c r="B77" s="153">
        <f t="shared" si="10"/>
        <v>0</v>
      </c>
      <c r="C77" s="153">
        <f t="shared" si="18"/>
        <v>1</v>
      </c>
      <c r="D77" s="201">
        <f ca="1">OFFSET('Inputs - Weather'!E$48,C77,B77+1)</f>
        <v>-6.12</v>
      </c>
      <c r="E77" s="202">
        <f ca="1">OFFSET('Inputs - Weather'!E$34,C77,B77+1)</f>
        <v>-8.01</v>
      </c>
      <c r="F77" s="156">
        <f t="shared" si="16"/>
        <v>31</v>
      </c>
      <c r="G77" s="156">
        <f t="shared" si="11"/>
        <v>31</v>
      </c>
      <c r="H77" s="155">
        <f t="shared" si="12"/>
        <v>-21.302685419237953</v>
      </c>
      <c r="I77" s="157">
        <f t="shared" si="13"/>
        <v>9.3155178016881006</v>
      </c>
      <c r="J77" s="157">
        <f t="shared" ca="1" si="14"/>
        <v>0</v>
      </c>
      <c r="K77" s="155">
        <f ca="1">SUM(J77:J88)</f>
        <v>45.325840931887811</v>
      </c>
      <c r="L77" s="154">
        <f t="shared" ca="1" si="15"/>
        <v>1.2090875981628884</v>
      </c>
      <c r="M77" s="158">
        <f t="shared" ca="1" si="17"/>
        <v>0</v>
      </c>
      <c r="Q77" s="203"/>
    </row>
    <row r="78" spans="2:17" x14ac:dyDescent="0.25">
      <c r="B78" s="159">
        <f t="shared" si="10"/>
        <v>0</v>
      </c>
      <c r="C78" s="159">
        <f t="shared" si="18"/>
        <v>2</v>
      </c>
      <c r="D78" s="160">
        <f ca="1">OFFSET('Inputs - Weather'!E$48,C78,B78+1)</f>
        <v>-4.25</v>
      </c>
      <c r="E78" s="161">
        <f ca="1">OFFSET('Inputs - Weather'!E$34,C78,B78+1)</f>
        <v>-6.74</v>
      </c>
      <c r="F78" s="162">
        <f t="shared" si="16"/>
        <v>28</v>
      </c>
      <c r="G78" s="162">
        <f t="shared" si="11"/>
        <v>59</v>
      </c>
      <c r="H78" s="161">
        <f t="shared" si="12"/>
        <v>-13.695949189848957</v>
      </c>
      <c r="I78" s="163">
        <f t="shared" si="13"/>
        <v>10.321699842612571</v>
      </c>
      <c r="J78" s="163">
        <f t="shared" ca="1" si="14"/>
        <v>0</v>
      </c>
      <c r="K78" s="161">
        <f t="shared" ca="1" si="19"/>
        <v>45.325840931887811</v>
      </c>
      <c r="L78" s="160">
        <f t="shared" ca="1" si="15"/>
        <v>1.2090875981628884</v>
      </c>
      <c r="M78" s="164">
        <f t="shared" ca="1" si="17"/>
        <v>0</v>
      </c>
    </row>
    <row r="79" spans="2:17" x14ac:dyDescent="0.25">
      <c r="B79" s="159">
        <f t="shared" si="10"/>
        <v>0</v>
      </c>
      <c r="C79" s="159">
        <f t="shared" si="18"/>
        <v>3</v>
      </c>
      <c r="D79" s="160">
        <f ca="1">OFFSET('Inputs - Weather'!E$48,C79,B79+1)</f>
        <v>3.13</v>
      </c>
      <c r="E79" s="161">
        <f ca="1">OFFSET('Inputs - Weather'!E$34,C79,B79+1)</f>
        <v>-0.57999999999999996</v>
      </c>
      <c r="F79" s="162">
        <f t="shared" si="16"/>
        <v>31</v>
      </c>
      <c r="G79" s="162">
        <f t="shared" si="11"/>
        <v>90</v>
      </c>
      <c r="H79" s="161">
        <f t="shared" si="12"/>
        <v>-2.9177939455063431</v>
      </c>
      <c r="I79" s="163">
        <f t="shared" si="13"/>
        <v>11.747381753239901</v>
      </c>
      <c r="J79" s="163">
        <f t="shared" ca="1" si="14"/>
        <v>0.49205487678276055</v>
      </c>
      <c r="K79" s="161">
        <f t="shared" ca="1" si="19"/>
        <v>45.325840931887811</v>
      </c>
      <c r="L79" s="160">
        <f t="shared" ca="1" si="15"/>
        <v>1.2090875981628884</v>
      </c>
      <c r="M79" s="164">
        <f t="shared" ca="1" si="17"/>
        <v>10.344205003091091</v>
      </c>
    </row>
    <row r="80" spans="2:17" x14ac:dyDescent="0.25">
      <c r="B80" s="159">
        <f t="shared" si="10"/>
        <v>0</v>
      </c>
      <c r="C80" s="159">
        <f t="shared" si="18"/>
        <v>4</v>
      </c>
      <c r="D80" s="160">
        <f ca="1">OFFSET('Inputs - Weather'!E$48,C80,B80+1)</f>
        <v>9.0399999999999991</v>
      </c>
      <c r="E80" s="161">
        <f ca="1">OFFSET('Inputs - Weather'!E$34,C80,B80+1)</f>
        <v>7.18</v>
      </c>
      <c r="F80" s="162">
        <f t="shared" si="16"/>
        <v>30</v>
      </c>
      <c r="G80" s="162">
        <f t="shared" si="11"/>
        <v>120</v>
      </c>
      <c r="H80" s="161">
        <f t="shared" si="12"/>
        <v>9.3184035667831076</v>
      </c>
      <c r="I80" s="163">
        <f t="shared" si="13"/>
        <v>13.365926397722633</v>
      </c>
      <c r="J80" s="163">
        <f t="shared" ca="1" si="14"/>
        <v>2.4513110175051791</v>
      </c>
      <c r="K80" s="161">
        <f t="shared" ca="1" si="19"/>
        <v>45.325840931887811</v>
      </c>
      <c r="L80" s="160">
        <f t="shared" ca="1" si="15"/>
        <v>1.2090875981628884</v>
      </c>
      <c r="M80" s="164">
        <f t="shared" ca="1" si="17"/>
        <v>41.062892771145435</v>
      </c>
    </row>
    <row r="81" spans="2:13" x14ac:dyDescent="0.25">
      <c r="B81" s="159">
        <f t="shared" si="10"/>
        <v>0</v>
      </c>
      <c r="C81" s="159">
        <f t="shared" si="18"/>
        <v>5</v>
      </c>
      <c r="D81" s="160">
        <f ca="1">OFFSET('Inputs - Weather'!E$48,C81,B81+1)</f>
        <v>15.1</v>
      </c>
      <c r="E81" s="161">
        <f ca="1">OFFSET('Inputs - Weather'!E$34,C81,B81+1)</f>
        <v>14.05</v>
      </c>
      <c r="F81" s="162">
        <f t="shared" si="16"/>
        <v>31</v>
      </c>
      <c r="G81" s="162">
        <f t="shared" si="11"/>
        <v>151</v>
      </c>
      <c r="H81" s="161">
        <f t="shared" si="12"/>
        <v>18.723388500456394</v>
      </c>
      <c r="I81" s="163">
        <f t="shared" si="13"/>
        <v>14.609972023869894</v>
      </c>
      <c r="J81" s="163">
        <f t="shared" ca="1" si="14"/>
        <v>5.330040532362065</v>
      </c>
      <c r="K81" s="161">
        <f t="shared" ca="1" si="19"/>
        <v>45.325840931887811</v>
      </c>
      <c r="L81" s="160">
        <f t="shared" ca="1" si="15"/>
        <v>1.2090875981628884</v>
      </c>
      <c r="M81" s="164">
        <f t="shared" ca="1" si="17"/>
        <v>86.245275459332561</v>
      </c>
    </row>
    <row r="82" spans="2:13" x14ac:dyDescent="0.25">
      <c r="B82" s="159">
        <f t="shared" ref="B82:B125" si="20">IF(C82=1,B81+1,B81)</f>
        <v>0</v>
      </c>
      <c r="C82" s="159">
        <f t="shared" si="18"/>
        <v>6</v>
      </c>
      <c r="D82" s="160">
        <f ca="1">OFFSET('Inputs - Weather'!E$48,C82,B82+1)</f>
        <v>19.149999999999999</v>
      </c>
      <c r="E82" s="161">
        <f ca="1">OFFSET('Inputs - Weather'!E$34,C82,B82+1)</f>
        <v>17.96</v>
      </c>
      <c r="F82" s="162">
        <f t="shared" si="16"/>
        <v>30</v>
      </c>
      <c r="G82" s="162">
        <f t="shared" ref="G82:G124" si="21">IF(C82=1,F82,F82+G81)</f>
        <v>181</v>
      </c>
      <c r="H82" s="161">
        <f t="shared" ref="H82:H124" si="22">-23.44*COS(RADIANS(360/365*(INT(F82/2)+G81+10)))</f>
        <v>23.293419845424015</v>
      </c>
      <c r="I82" s="163">
        <f t="shared" ref="I82:I145" si="23">((12*60)+8+(H82/6.3)*I$3)/60</f>
        <v>15.214473524526987</v>
      </c>
      <c r="J82" s="163">
        <f t="shared" ref="J82:J124" ca="1" si="24">IF(D82&gt;0,POWER(D82/5,1.514),0)</f>
        <v>7.6377061200861025</v>
      </c>
      <c r="K82" s="161">
        <f t="shared" ca="1" si="19"/>
        <v>45.325840931887811</v>
      </c>
      <c r="L82" s="160">
        <f t="shared" ref="L82:L124" ca="1" si="25">(0.000000675*K82*K82*K82)-(0.0000771*K82*K82)+(0.01792*K82)+0.49239</f>
        <v>1.2090875981628884</v>
      </c>
      <c r="M82" s="164">
        <f t="shared" ca="1" si="17"/>
        <v>115.843156342048</v>
      </c>
    </row>
    <row r="83" spans="2:13" x14ac:dyDescent="0.25">
      <c r="B83" s="159">
        <f t="shared" si="20"/>
        <v>0</v>
      </c>
      <c r="C83" s="159">
        <f t="shared" si="18"/>
        <v>7</v>
      </c>
      <c r="D83" s="160">
        <f ca="1">OFFSET('Inputs - Weather'!E$48,C83,B83+1)</f>
        <v>23.25</v>
      </c>
      <c r="E83" s="161">
        <f ca="1">OFFSET('Inputs - Weather'!E$34,C83,B83+1)</f>
        <v>21.89</v>
      </c>
      <c r="F83" s="162">
        <f t="shared" si="16"/>
        <v>31</v>
      </c>
      <c r="G83" s="162">
        <f t="shared" si="21"/>
        <v>212</v>
      </c>
      <c r="H83" s="161">
        <f t="shared" si="22"/>
        <v>21.54806313020423</v>
      </c>
      <c r="I83" s="163">
        <f t="shared" si="23"/>
        <v>14.983606234153998</v>
      </c>
      <c r="J83" s="163">
        <f t="shared" ca="1" si="24"/>
        <v>10.245278552862674</v>
      </c>
      <c r="K83" s="161">
        <f t="shared" ca="1" si="19"/>
        <v>45.325840931887811</v>
      </c>
      <c r="L83" s="160">
        <f t="shared" ca="1" si="25"/>
        <v>1.2090875981628884</v>
      </c>
      <c r="M83" s="164">
        <f t="shared" ca="1" si="17"/>
        <v>149.05307037815226</v>
      </c>
    </row>
    <row r="84" spans="2:13" x14ac:dyDescent="0.25">
      <c r="B84" s="159">
        <f t="shared" si="20"/>
        <v>0</v>
      </c>
      <c r="C84" s="159">
        <f t="shared" si="18"/>
        <v>8</v>
      </c>
      <c r="D84" s="160">
        <f ca="1">OFFSET('Inputs - Weather'!E$48,C84,B84+1)</f>
        <v>21.44</v>
      </c>
      <c r="E84" s="161">
        <f ca="1">OFFSET('Inputs - Weather'!E$34,C84,B84+1)</f>
        <v>20.350000000000001</v>
      </c>
      <c r="F84" s="162">
        <f t="shared" si="16"/>
        <v>31</v>
      </c>
      <c r="G84" s="162">
        <f t="shared" si="21"/>
        <v>243</v>
      </c>
      <c r="H84" s="161">
        <f t="shared" si="22"/>
        <v>13.859168267602277</v>
      </c>
      <c r="I84" s="163">
        <f t="shared" si="23"/>
        <v>13.966556649153741</v>
      </c>
      <c r="J84" s="163">
        <f t="shared" ca="1" si="24"/>
        <v>9.0622018613844482</v>
      </c>
      <c r="K84" s="161">
        <f t="shared" ca="1" si="19"/>
        <v>45.325840931887811</v>
      </c>
      <c r="L84" s="160">
        <f t="shared" ca="1" si="25"/>
        <v>1.2090875981628884</v>
      </c>
      <c r="M84" s="164">
        <f t="shared" ca="1" si="17"/>
        <v>125.96684270998136</v>
      </c>
    </row>
    <row r="85" spans="2:13" x14ac:dyDescent="0.25">
      <c r="B85" s="159">
        <f t="shared" si="20"/>
        <v>0</v>
      </c>
      <c r="C85" s="159">
        <f t="shared" si="18"/>
        <v>9</v>
      </c>
      <c r="D85" s="160">
        <f ca="1">OFFSET('Inputs - Weather'!E$48,C85,B85+1)</f>
        <v>18.170000000000002</v>
      </c>
      <c r="E85" s="161">
        <f ca="1">OFFSET('Inputs - Weather'!E$34,C85,B85+1)</f>
        <v>17.38</v>
      </c>
      <c r="F85" s="162">
        <f t="shared" si="16"/>
        <v>30</v>
      </c>
      <c r="G85" s="162">
        <f t="shared" si="21"/>
        <v>273</v>
      </c>
      <c r="H85" s="161">
        <f t="shared" si="22"/>
        <v>2.3163440518985223</v>
      </c>
      <c r="I85" s="163">
        <f t="shared" si="23"/>
        <v>12.439728049192926</v>
      </c>
      <c r="J85" s="163">
        <f t="shared" ca="1" si="24"/>
        <v>7.0537940172259521</v>
      </c>
      <c r="K85" s="161">
        <f t="shared" ca="1" si="19"/>
        <v>45.325840931887811</v>
      </c>
      <c r="L85" s="160">
        <f t="shared" ca="1" si="25"/>
        <v>1.2090875981628884</v>
      </c>
      <c r="M85" s="164">
        <f t="shared" ca="1" si="17"/>
        <v>88.88743931122373</v>
      </c>
    </row>
    <row r="86" spans="2:13" x14ac:dyDescent="0.25">
      <c r="B86" s="159">
        <f t="shared" si="20"/>
        <v>0</v>
      </c>
      <c r="C86" s="159">
        <f t="shared" si="18"/>
        <v>10</v>
      </c>
      <c r="D86" s="160">
        <f ca="1">OFFSET('Inputs - Weather'!E$48,C86,B86+1)</f>
        <v>9.44</v>
      </c>
      <c r="E86" s="161">
        <f ca="1">OFFSET('Inputs - Weather'!E$34,C86,B86+1)</f>
        <v>9.61</v>
      </c>
      <c r="F86" s="162">
        <f t="shared" si="16"/>
        <v>31</v>
      </c>
      <c r="G86" s="162">
        <f t="shared" si="21"/>
        <v>304</v>
      </c>
      <c r="H86" s="161">
        <f t="shared" si="22"/>
        <v>-9.5031790727583374</v>
      </c>
      <c r="I86" s="163">
        <f t="shared" si="23"/>
        <v>10.876299064449956</v>
      </c>
      <c r="J86" s="163">
        <f t="shared" ca="1" si="24"/>
        <v>2.6173814057786013</v>
      </c>
      <c r="K86" s="161">
        <f t="shared" ca="1" si="19"/>
        <v>45.325840931887811</v>
      </c>
      <c r="L86" s="160">
        <f t="shared" ca="1" si="25"/>
        <v>1.2090875981628884</v>
      </c>
      <c r="M86" s="164">
        <f t="shared" ca="1" si="17"/>
        <v>36.383729274284093</v>
      </c>
    </row>
    <row r="87" spans="2:13" x14ac:dyDescent="0.25">
      <c r="B87" s="159">
        <f t="shared" si="20"/>
        <v>0</v>
      </c>
      <c r="C87" s="159">
        <f t="shared" si="18"/>
        <v>11</v>
      </c>
      <c r="D87" s="160">
        <f ca="1">OFFSET('Inputs - Weather'!E$48,C87,B87+1)</f>
        <v>2.89</v>
      </c>
      <c r="E87" s="161">
        <f ca="1">OFFSET('Inputs - Weather'!E$34,C87,B87+1)</f>
        <v>5.71</v>
      </c>
      <c r="F87" s="162">
        <f t="shared" si="16"/>
        <v>30</v>
      </c>
      <c r="G87" s="162">
        <f t="shared" si="21"/>
        <v>334</v>
      </c>
      <c r="H87" s="161">
        <f t="shared" si="22"/>
        <v>-19.081240431832619</v>
      </c>
      <c r="I87" s="163">
        <f t="shared" si="23"/>
        <v>9.6093597312390706</v>
      </c>
      <c r="J87" s="163">
        <f t="shared" ca="1" si="24"/>
        <v>0.43607254790002714</v>
      </c>
      <c r="K87" s="161">
        <f t="shared" ca="1" si="19"/>
        <v>45.325840931887811</v>
      </c>
      <c r="L87" s="160">
        <f t="shared" ca="1" si="25"/>
        <v>1.2090875981628884</v>
      </c>
      <c r="M87" s="164">
        <f t="shared" ca="1" si="17"/>
        <v>7.4356579272152938</v>
      </c>
    </row>
    <row r="88" spans="2:13" x14ac:dyDescent="0.25">
      <c r="B88" s="159">
        <f t="shared" si="20"/>
        <v>0</v>
      </c>
      <c r="C88" s="159">
        <f t="shared" si="18"/>
        <v>12</v>
      </c>
      <c r="D88" s="160">
        <f ca="1">OFFSET('Inputs - Weather'!E$48,C88,B88+1)</f>
        <v>-4.5199999999999996</v>
      </c>
      <c r="E88" s="161">
        <f ca="1">OFFSET('Inputs - Weather'!E$34,C88,B88+1)</f>
        <v>-0.46</v>
      </c>
      <c r="F88" s="162">
        <f t="shared" si="16"/>
        <v>31</v>
      </c>
      <c r="G88" s="162">
        <f t="shared" si="21"/>
        <v>365</v>
      </c>
      <c r="H88" s="161">
        <f t="shared" si="22"/>
        <v>-23.315084018726054</v>
      </c>
      <c r="I88" s="163">
        <f t="shared" si="23"/>
        <v>9.0493275107505209</v>
      </c>
      <c r="J88" s="163">
        <f t="shared" ca="1" si="24"/>
        <v>0</v>
      </c>
      <c r="K88" s="161">
        <f t="shared" ca="1" si="19"/>
        <v>45.325840931887811</v>
      </c>
      <c r="L88" s="160">
        <f t="shared" ca="1" si="25"/>
        <v>1.2090875981628884</v>
      </c>
      <c r="M88" s="164">
        <f t="shared" ca="1" si="17"/>
        <v>0</v>
      </c>
    </row>
    <row r="89" spans="2:13" x14ac:dyDescent="0.25">
      <c r="B89" s="148">
        <f t="shared" si="20"/>
        <v>1</v>
      </c>
      <c r="C89" s="148">
        <f t="shared" si="18"/>
        <v>1</v>
      </c>
      <c r="D89" s="149">
        <f ca="1">OFFSET('Inputs - Weather'!E$48,C89,B89+1)</f>
        <v>-8.01</v>
      </c>
      <c r="E89" s="96">
        <f ca="1">OFFSET('Inputs - Weather'!E$34,C89,B89+1)</f>
        <v>-3.44</v>
      </c>
      <c r="F89" s="71">
        <f t="shared" si="16"/>
        <v>31</v>
      </c>
      <c r="G89" s="71">
        <f t="shared" si="21"/>
        <v>31</v>
      </c>
      <c r="H89" s="96">
        <f t="shared" si="22"/>
        <v>-21.302685419237953</v>
      </c>
      <c r="I89" s="72">
        <f t="shared" si="23"/>
        <v>9.3155178016881006</v>
      </c>
      <c r="J89" s="72">
        <f t="shared" ca="1" si="24"/>
        <v>0</v>
      </c>
      <c r="K89" s="96">
        <f ca="1">SUM(J89:J100)</f>
        <v>41.671341916878035</v>
      </c>
      <c r="L89" s="149">
        <f t="shared" ca="1" si="25"/>
        <v>1.1541008035867897</v>
      </c>
      <c r="M89" s="150">
        <f t="shared" ca="1" si="17"/>
        <v>0</v>
      </c>
    </row>
    <row r="90" spans="2:13" x14ac:dyDescent="0.25">
      <c r="B90" s="82">
        <f t="shared" si="20"/>
        <v>1</v>
      </c>
      <c r="C90" s="82">
        <f t="shared" si="18"/>
        <v>2</v>
      </c>
      <c r="D90" s="151">
        <f ca="1">OFFSET('Inputs - Weather'!E$48,C90,B90+1)</f>
        <v>-6.74</v>
      </c>
      <c r="E90" s="46">
        <f ca="1">OFFSET('Inputs - Weather'!E$34,C90,B90+1)</f>
        <v>-1.65</v>
      </c>
      <c r="F90" s="91">
        <f t="shared" si="16"/>
        <v>28</v>
      </c>
      <c r="G90" s="91">
        <f t="shared" si="21"/>
        <v>59</v>
      </c>
      <c r="H90" s="46">
        <f t="shared" si="22"/>
        <v>-13.695949189848957</v>
      </c>
      <c r="I90" s="45">
        <f t="shared" si="23"/>
        <v>10.321699842612571</v>
      </c>
      <c r="J90" s="45">
        <f t="shared" ca="1" si="24"/>
        <v>0</v>
      </c>
      <c r="K90" s="46">
        <f t="shared" ca="1" si="19"/>
        <v>41.671341916878035</v>
      </c>
      <c r="L90" s="151">
        <f t="shared" ca="1" si="25"/>
        <v>1.1541008035867897</v>
      </c>
      <c r="M90" s="152">
        <f t="shared" ca="1" si="17"/>
        <v>0</v>
      </c>
    </row>
    <row r="91" spans="2:13" x14ac:dyDescent="0.25">
      <c r="B91" s="82">
        <f t="shared" si="20"/>
        <v>1</v>
      </c>
      <c r="C91" s="82">
        <f t="shared" si="18"/>
        <v>3</v>
      </c>
      <c r="D91" s="151">
        <f ca="1">OFFSET('Inputs - Weather'!E$48,C91,B91+1)</f>
        <v>-0.57999999999999996</v>
      </c>
      <c r="E91" s="46">
        <f ca="1">OFFSET('Inputs - Weather'!E$34,C91,B91+1)</f>
        <v>4.68</v>
      </c>
      <c r="F91" s="91">
        <f t="shared" si="16"/>
        <v>31</v>
      </c>
      <c r="G91" s="91">
        <f t="shared" si="21"/>
        <v>90</v>
      </c>
      <c r="H91" s="46">
        <f t="shared" si="22"/>
        <v>-2.9177939455063431</v>
      </c>
      <c r="I91" s="45">
        <f t="shared" si="23"/>
        <v>11.747381753239901</v>
      </c>
      <c r="J91" s="45">
        <f t="shared" ca="1" si="24"/>
        <v>0</v>
      </c>
      <c r="K91" s="46">
        <f t="shared" ca="1" si="19"/>
        <v>41.671341916878035</v>
      </c>
      <c r="L91" s="151">
        <f t="shared" ca="1" si="25"/>
        <v>1.1541008035867897</v>
      </c>
      <c r="M91" s="152">
        <f t="shared" ca="1" si="17"/>
        <v>0</v>
      </c>
    </row>
    <row r="92" spans="2:13" x14ac:dyDescent="0.25">
      <c r="B92" s="82">
        <f t="shared" si="20"/>
        <v>1</v>
      </c>
      <c r="C92" s="82">
        <f t="shared" si="18"/>
        <v>4</v>
      </c>
      <c r="D92" s="151">
        <f ca="1">OFFSET('Inputs - Weather'!E$48,C92,B92+1)</f>
        <v>7.18</v>
      </c>
      <c r="E92" s="46">
        <f ca="1">OFFSET('Inputs - Weather'!E$34,C92,B92+1)</f>
        <v>7.69</v>
      </c>
      <c r="F92" s="91">
        <f t="shared" si="16"/>
        <v>30</v>
      </c>
      <c r="G92" s="91">
        <f t="shared" si="21"/>
        <v>120</v>
      </c>
      <c r="H92" s="46">
        <f t="shared" si="22"/>
        <v>9.3184035667831076</v>
      </c>
      <c r="I92" s="45">
        <f t="shared" si="23"/>
        <v>13.365926397722633</v>
      </c>
      <c r="J92" s="45">
        <f t="shared" ca="1" si="24"/>
        <v>1.7295448242619065</v>
      </c>
      <c r="K92" s="46">
        <f t="shared" ca="1" si="19"/>
        <v>41.671341916878035</v>
      </c>
      <c r="L92" s="151">
        <f t="shared" ca="1" si="25"/>
        <v>1.1541008035867897</v>
      </c>
      <c r="M92" s="152">
        <f t="shared" ca="1" si="17"/>
        <v>33.391564704021405</v>
      </c>
    </row>
    <row r="93" spans="2:13" x14ac:dyDescent="0.25">
      <c r="B93" s="82">
        <f t="shared" si="20"/>
        <v>1</v>
      </c>
      <c r="C93" s="82">
        <f t="shared" si="18"/>
        <v>5</v>
      </c>
      <c r="D93" s="151">
        <f ca="1">OFFSET('Inputs - Weather'!E$48,C93,B93+1)</f>
        <v>14.05</v>
      </c>
      <c r="E93" s="46">
        <f ca="1">OFFSET('Inputs - Weather'!E$34,C93,B93+1)</f>
        <v>15.52</v>
      </c>
      <c r="F93" s="91">
        <f t="shared" si="16"/>
        <v>31</v>
      </c>
      <c r="G93" s="91">
        <f t="shared" si="21"/>
        <v>151</v>
      </c>
      <c r="H93" s="46">
        <f t="shared" si="22"/>
        <v>18.723388500456394</v>
      </c>
      <c r="I93" s="45">
        <f t="shared" si="23"/>
        <v>14.609972023869894</v>
      </c>
      <c r="J93" s="45">
        <f t="shared" ca="1" si="24"/>
        <v>4.7790477337950508</v>
      </c>
      <c r="K93" s="46">
        <f t="shared" ca="1" si="19"/>
        <v>41.671341916878035</v>
      </c>
      <c r="L93" s="151">
        <f t="shared" ca="1" si="25"/>
        <v>1.1541008035867897</v>
      </c>
      <c r="M93" s="152">
        <f t="shared" ca="1" si="17"/>
        <v>81.847946431392785</v>
      </c>
    </row>
    <row r="94" spans="2:13" x14ac:dyDescent="0.25">
      <c r="B94" s="82">
        <f t="shared" si="20"/>
        <v>1</v>
      </c>
      <c r="C94" s="82">
        <f t="shared" si="18"/>
        <v>6</v>
      </c>
      <c r="D94" s="151">
        <f ca="1">OFFSET('Inputs - Weather'!E$48,C94,B94+1)</f>
        <v>17.96</v>
      </c>
      <c r="E94" s="46">
        <f ca="1">OFFSET('Inputs - Weather'!E$34,C94,B94+1)</f>
        <v>17.8</v>
      </c>
      <c r="F94" s="91">
        <f t="shared" si="16"/>
        <v>30</v>
      </c>
      <c r="G94" s="91">
        <f t="shared" si="21"/>
        <v>181</v>
      </c>
      <c r="H94" s="46">
        <f t="shared" si="22"/>
        <v>23.293419845424015</v>
      </c>
      <c r="I94" s="45">
        <f t="shared" si="23"/>
        <v>15.214473524526987</v>
      </c>
      <c r="J94" s="45">
        <f t="shared" ca="1" si="24"/>
        <v>6.930733513927521</v>
      </c>
      <c r="K94" s="46">
        <f t="shared" ca="1" si="19"/>
        <v>41.671341916878035</v>
      </c>
      <c r="L94" s="151">
        <f t="shared" ca="1" si="25"/>
        <v>1.1541008035867897</v>
      </c>
      <c r="M94" s="152">
        <f t="shared" ca="1" si="17"/>
        <v>109.50568616025745</v>
      </c>
    </row>
    <row r="95" spans="2:13" x14ac:dyDescent="0.25">
      <c r="B95" s="82">
        <f t="shared" si="20"/>
        <v>1</v>
      </c>
      <c r="C95" s="82">
        <f t="shared" si="18"/>
        <v>7</v>
      </c>
      <c r="D95" s="151">
        <f ca="1">OFFSET('Inputs - Weather'!E$48,C95,B95+1)</f>
        <v>21.89</v>
      </c>
      <c r="E95" s="46">
        <f ca="1">OFFSET('Inputs - Weather'!E$34,C95,B95+1)</f>
        <v>22.99</v>
      </c>
      <c r="F95" s="91">
        <f t="shared" si="16"/>
        <v>31</v>
      </c>
      <c r="G95" s="91">
        <f t="shared" si="21"/>
        <v>212</v>
      </c>
      <c r="H95" s="46">
        <f t="shared" si="22"/>
        <v>21.54806313020423</v>
      </c>
      <c r="I95" s="45">
        <f t="shared" si="23"/>
        <v>14.983606234153998</v>
      </c>
      <c r="J95" s="45">
        <f t="shared" ca="1" si="24"/>
        <v>9.3517200283976578</v>
      </c>
      <c r="K95" s="46">
        <f t="shared" ca="1" si="19"/>
        <v>41.671341916878035</v>
      </c>
      <c r="L95" s="151">
        <f t="shared" ca="1" si="25"/>
        <v>1.1541008035867897</v>
      </c>
      <c r="M95" s="152">
        <f t="shared" ca="1" si="17"/>
        <v>140.02942220648777</v>
      </c>
    </row>
    <row r="96" spans="2:13" x14ac:dyDescent="0.25">
      <c r="B96" s="82">
        <f t="shared" si="20"/>
        <v>1</v>
      </c>
      <c r="C96" s="82">
        <f t="shared" si="18"/>
        <v>8</v>
      </c>
      <c r="D96" s="151">
        <f ca="1">OFFSET('Inputs - Weather'!E$48,C96,B96+1)</f>
        <v>20.350000000000001</v>
      </c>
      <c r="E96" s="46">
        <f ca="1">OFFSET('Inputs - Weather'!E$34,C96,B96+1)</f>
        <v>21.76</v>
      </c>
      <c r="F96" s="91">
        <f t="shared" si="16"/>
        <v>31</v>
      </c>
      <c r="G96" s="91">
        <f t="shared" si="21"/>
        <v>243</v>
      </c>
      <c r="H96" s="46">
        <f t="shared" si="22"/>
        <v>13.859168267602277</v>
      </c>
      <c r="I96" s="45">
        <f t="shared" si="23"/>
        <v>13.966556649153741</v>
      </c>
      <c r="J96" s="45">
        <f t="shared" ca="1" si="24"/>
        <v>8.373864623469478</v>
      </c>
      <c r="K96" s="46">
        <f t="shared" ca="1" si="19"/>
        <v>41.671341916878035</v>
      </c>
      <c r="L96" s="151">
        <f t="shared" ca="1" si="25"/>
        <v>1.1541008035867897</v>
      </c>
      <c r="M96" s="152">
        <f t="shared" ca="1" si="17"/>
        <v>119.98551598897782</v>
      </c>
    </row>
    <row r="97" spans="2:13" x14ac:dyDescent="0.25">
      <c r="B97" s="82">
        <f t="shared" si="20"/>
        <v>1</v>
      </c>
      <c r="C97" s="82">
        <f t="shared" si="18"/>
        <v>9</v>
      </c>
      <c r="D97" s="151">
        <f ca="1">OFFSET('Inputs - Weather'!E$48,C97,B97+1)</f>
        <v>17.38</v>
      </c>
      <c r="E97" s="46">
        <f ca="1">OFFSET('Inputs - Weather'!E$34,C97,B97+1)</f>
        <v>16.16</v>
      </c>
      <c r="F97" s="91">
        <f t="shared" si="16"/>
        <v>30</v>
      </c>
      <c r="G97" s="91">
        <f t="shared" si="21"/>
        <v>273</v>
      </c>
      <c r="H97" s="46">
        <f t="shared" si="22"/>
        <v>2.3163440518985223</v>
      </c>
      <c r="I97" s="45">
        <f t="shared" si="23"/>
        <v>12.439728049192926</v>
      </c>
      <c r="J97" s="45">
        <f t="shared" ca="1" si="24"/>
        <v>6.5946958181738831</v>
      </c>
      <c r="K97" s="46">
        <f t="shared" ca="1" si="19"/>
        <v>41.671341916878035</v>
      </c>
      <c r="L97" s="151">
        <f t="shared" ca="1" si="25"/>
        <v>1.1541008035867897</v>
      </c>
      <c r="M97" s="152">
        <f t="shared" ca="1" si="17"/>
        <v>86.205925852555339</v>
      </c>
    </row>
    <row r="98" spans="2:13" x14ac:dyDescent="0.25">
      <c r="B98" s="82">
        <f t="shared" si="20"/>
        <v>1</v>
      </c>
      <c r="C98" s="82">
        <f t="shared" si="18"/>
        <v>10</v>
      </c>
      <c r="D98" s="151">
        <f ca="1">OFFSET('Inputs - Weather'!E$48,C98,B98+1)</f>
        <v>9.61</v>
      </c>
      <c r="E98" s="46">
        <f ca="1">OFFSET('Inputs - Weather'!E$34,C98,B98+1)</f>
        <v>11.21</v>
      </c>
      <c r="F98" s="91">
        <f t="shared" si="16"/>
        <v>31</v>
      </c>
      <c r="G98" s="91">
        <f t="shared" si="21"/>
        <v>304</v>
      </c>
      <c r="H98" s="46">
        <f t="shared" si="22"/>
        <v>-9.5031790727583374</v>
      </c>
      <c r="I98" s="45">
        <f t="shared" si="23"/>
        <v>10.876299064449956</v>
      </c>
      <c r="J98" s="45">
        <f t="shared" ca="1" si="24"/>
        <v>2.6890731871946065</v>
      </c>
      <c r="K98" s="46">
        <f t="shared" ca="1" si="19"/>
        <v>41.671341916878035</v>
      </c>
      <c r="L98" s="151">
        <f t="shared" ca="1" si="25"/>
        <v>1.1541008035867897</v>
      </c>
      <c r="M98" s="152">
        <f t="shared" ca="1" si="17"/>
        <v>39.306758212629511</v>
      </c>
    </row>
    <row r="99" spans="2:13" x14ac:dyDescent="0.25">
      <c r="B99" s="82">
        <f t="shared" si="20"/>
        <v>1</v>
      </c>
      <c r="C99" s="82">
        <f t="shared" si="18"/>
        <v>11</v>
      </c>
      <c r="D99" s="151">
        <f ca="1">OFFSET('Inputs - Weather'!E$48,C99,B99+1)</f>
        <v>5.71</v>
      </c>
      <c r="E99" s="46">
        <f ca="1">OFFSET('Inputs - Weather'!E$34,C99,B99+1)</f>
        <v>1.8</v>
      </c>
      <c r="F99" s="91">
        <f t="shared" si="16"/>
        <v>30</v>
      </c>
      <c r="G99" s="91">
        <f t="shared" si="21"/>
        <v>334</v>
      </c>
      <c r="H99" s="46">
        <f t="shared" si="22"/>
        <v>-19.081240431832619</v>
      </c>
      <c r="I99" s="45">
        <f t="shared" si="23"/>
        <v>9.6093597312390706</v>
      </c>
      <c r="J99" s="45">
        <f t="shared" ca="1" si="24"/>
        <v>1.2226621876579311</v>
      </c>
      <c r="K99" s="46">
        <f t="shared" ca="1" si="19"/>
        <v>41.671341916878035</v>
      </c>
      <c r="L99" s="151">
        <f t="shared" ca="1" si="25"/>
        <v>1.1541008035867897</v>
      </c>
      <c r="M99" s="152">
        <f t="shared" ca="1" si="17"/>
        <v>18.42945906677128</v>
      </c>
    </row>
    <row r="100" spans="2:13" x14ac:dyDescent="0.25">
      <c r="B100" s="82">
        <f t="shared" si="20"/>
        <v>1</v>
      </c>
      <c r="C100" s="82">
        <f t="shared" si="18"/>
        <v>12</v>
      </c>
      <c r="D100" s="151">
        <f ca="1">OFFSET('Inputs - Weather'!E$48,C100,B100+1)</f>
        <v>-0.46</v>
      </c>
      <c r="E100" s="46">
        <f ca="1">OFFSET('Inputs - Weather'!E$34,C100,B100+1)</f>
        <v>-0.63</v>
      </c>
      <c r="F100" s="91">
        <f t="shared" si="16"/>
        <v>31</v>
      </c>
      <c r="G100" s="91">
        <f t="shared" si="21"/>
        <v>365</v>
      </c>
      <c r="H100" s="46">
        <f t="shared" si="22"/>
        <v>-23.315084018726054</v>
      </c>
      <c r="I100" s="45">
        <f t="shared" si="23"/>
        <v>9.0493275107505209</v>
      </c>
      <c r="J100" s="45">
        <f t="shared" ca="1" si="24"/>
        <v>0</v>
      </c>
      <c r="K100" s="46">
        <f t="shared" ca="1" si="19"/>
        <v>41.671341916878035</v>
      </c>
      <c r="L100" s="151">
        <f t="shared" ca="1" si="25"/>
        <v>1.1541008035867897</v>
      </c>
      <c r="M100" s="152">
        <f t="shared" ca="1" si="17"/>
        <v>0</v>
      </c>
    </row>
    <row r="101" spans="2:13" x14ac:dyDescent="0.25">
      <c r="B101" s="148">
        <f t="shared" si="20"/>
        <v>2</v>
      </c>
      <c r="C101" s="148">
        <f t="shared" si="18"/>
        <v>1</v>
      </c>
      <c r="D101" s="149">
        <f ca="1">OFFSET('Inputs - Weather'!E$48,C101,B101+1)</f>
        <v>-3.44</v>
      </c>
      <c r="E101" s="96">
        <f ca="1">OFFSET('Inputs - Weather'!E$34,C101,B101+1)</f>
        <v>-5.04</v>
      </c>
      <c r="F101" s="71">
        <f t="shared" si="16"/>
        <v>31</v>
      </c>
      <c r="G101" s="71">
        <f t="shared" si="21"/>
        <v>31</v>
      </c>
      <c r="H101" s="96">
        <f t="shared" si="22"/>
        <v>-21.302685419237953</v>
      </c>
      <c r="I101" s="72">
        <f t="shared" si="23"/>
        <v>9.3155178016881006</v>
      </c>
      <c r="J101" s="72">
        <f t="shared" ca="1" si="24"/>
        <v>0</v>
      </c>
      <c r="K101" s="96">
        <f ca="1">SUM(J101:J112)</f>
        <v>44.071991738651064</v>
      </c>
      <c r="L101" s="149">
        <f t="shared" ca="1" si="25"/>
        <v>1.1901875412660159</v>
      </c>
      <c r="M101" s="150">
        <f t="shared" ca="1" si="17"/>
        <v>0</v>
      </c>
    </row>
    <row r="102" spans="2:13" x14ac:dyDescent="0.25">
      <c r="B102" s="82">
        <f t="shared" si="20"/>
        <v>2</v>
      </c>
      <c r="C102" s="82">
        <f t="shared" si="18"/>
        <v>2</v>
      </c>
      <c r="D102" s="151">
        <f ca="1">OFFSET('Inputs - Weather'!E$48,C102,B102+1)</f>
        <v>-1.65</v>
      </c>
      <c r="E102" s="46">
        <f ca="1">OFFSET('Inputs - Weather'!E$34,C102,B102+1)</f>
        <v>-4.4400000000000004</v>
      </c>
      <c r="F102" s="91">
        <f t="shared" si="16"/>
        <v>28</v>
      </c>
      <c r="G102" s="91">
        <f t="shared" si="21"/>
        <v>59</v>
      </c>
      <c r="H102" s="46">
        <f t="shared" si="22"/>
        <v>-13.695949189848957</v>
      </c>
      <c r="I102" s="45">
        <f t="shared" si="23"/>
        <v>10.321699842612571</v>
      </c>
      <c r="J102" s="45">
        <f t="shared" ca="1" si="24"/>
        <v>0</v>
      </c>
      <c r="K102" s="46">
        <f t="shared" ca="1" si="19"/>
        <v>44.071991738651064</v>
      </c>
      <c r="L102" s="151">
        <f t="shared" ca="1" si="25"/>
        <v>1.1901875412660159</v>
      </c>
      <c r="M102" s="152">
        <f t="shared" ca="1" si="17"/>
        <v>0</v>
      </c>
    </row>
    <row r="103" spans="2:13" x14ac:dyDescent="0.25">
      <c r="B103" s="82">
        <f t="shared" si="20"/>
        <v>2</v>
      </c>
      <c r="C103" s="82">
        <f t="shared" si="18"/>
        <v>3</v>
      </c>
      <c r="D103" s="151">
        <f ca="1">OFFSET('Inputs - Weather'!E$48,C103,B103+1)</f>
        <v>4.68</v>
      </c>
      <c r="E103" s="46">
        <f ca="1">OFFSET('Inputs - Weather'!E$34,C103,B103+1)</f>
        <v>-0.82</v>
      </c>
      <c r="F103" s="91">
        <f t="shared" si="16"/>
        <v>31</v>
      </c>
      <c r="G103" s="91">
        <f t="shared" si="21"/>
        <v>90</v>
      </c>
      <c r="H103" s="46">
        <f t="shared" si="22"/>
        <v>-2.9177939455063431</v>
      </c>
      <c r="I103" s="45">
        <f t="shared" si="23"/>
        <v>11.747381753239901</v>
      </c>
      <c r="J103" s="45">
        <f t="shared" ca="1" si="24"/>
        <v>0.90471467522023186</v>
      </c>
      <c r="K103" s="46">
        <f t="shared" ca="1" si="19"/>
        <v>44.071991738651064</v>
      </c>
      <c r="L103" s="151">
        <f t="shared" ca="1" si="25"/>
        <v>1.1901875412660159</v>
      </c>
      <c r="M103" s="152">
        <f t="shared" ca="1" si="17"/>
        <v>17.384577001965777</v>
      </c>
    </row>
    <row r="104" spans="2:13" x14ac:dyDescent="0.25">
      <c r="B104" s="82">
        <f t="shared" si="20"/>
        <v>2</v>
      </c>
      <c r="C104" s="82">
        <f t="shared" si="18"/>
        <v>4</v>
      </c>
      <c r="D104" s="151">
        <f ca="1">OFFSET('Inputs - Weather'!E$48,C104,B104+1)</f>
        <v>7.69</v>
      </c>
      <c r="E104" s="46">
        <f ca="1">OFFSET('Inputs - Weather'!E$34,C104,B104+1)</f>
        <v>6.18</v>
      </c>
      <c r="F104" s="91">
        <f t="shared" si="16"/>
        <v>30</v>
      </c>
      <c r="G104" s="91">
        <f t="shared" si="21"/>
        <v>120</v>
      </c>
      <c r="H104" s="46">
        <f t="shared" si="22"/>
        <v>9.3184035667831076</v>
      </c>
      <c r="I104" s="45">
        <f t="shared" si="23"/>
        <v>13.365926397722633</v>
      </c>
      <c r="J104" s="45">
        <f t="shared" ca="1" si="24"/>
        <v>1.9188980074666762</v>
      </c>
      <c r="K104" s="46">
        <f t="shared" ca="1" si="19"/>
        <v>44.071991738651064</v>
      </c>
      <c r="L104" s="151">
        <f t="shared" ca="1" si="25"/>
        <v>1.1901875412660159</v>
      </c>
      <c r="M104" s="152">
        <f t="shared" ca="1" si="17"/>
        <v>34.568608660195082</v>
      </c>
    </row>
    <row r="105" spans="2:13" x14ac:dyDescent="0.25">
      <c r="B105" s="82">
        <f t="shared" si="20"/>
        <v>2</v>
      </c>
      <c r="C105" s="82">
        <f t="shared" si="18"/>
        <v>5</v>
      </c>
      <c r="D105" s="151">
        <f ca="1">OFFSET('Inputs - Weather'!E$48,C105,B105+1)</f>
        <v>15.52</v>
      </c>
      <c r="E105" s="46">
        <f ca="1">OFFSET('Inputs - Weather'!E$34,C105,B105+1)</f>
        <v>13.58</v>
      </c>
      <c r="F105" s="91">
        <f t="shared" si="16"/>
        <v>31</v>
      </c>
      <c r="G105" s="91">
        <f t="shared" si="21"/>
        <v>151</v>
      </c>
      <c r="H105" s="46">
        <f t="shared" si="22"/>
        <v>18.723388500456394</v>
      </c>
      <c r="I105" s="45">
        <f t="shared" si="23"/>
        <v>14.609972023869894</v>
      </c>
      <c r="J105" s="45">
        <f t="shared" ca="1" si="24"/>
        <v>5.5560925694085732</v>
      </c>
      <c r="K105" s="46">
        <f t="shared" ca="1" si="19"/>
        <v>44.071991738651064</v>
      </c>
      <c r="L105" s="151">
        <f t="shared" ca="1" si="25"/>
        <v>1.1901875412660159</v>
      </c>
      <c r="M105" s="152">
        <f t="shared" ca="1" si="17"/>
        <v>90.06139106270345</v>
      </c>
    </row>
    <row r="106" spans="2:13" x14ac:dyDescent="0.25">
      <c r="B106" s="82">
        <f t="shared" si="20"/>
        <v>2</v>
      </c>
      <c r="C106" s="82">
        <f t="shared" si="18"/>
        <v>6</v>
      </c>
      <c r="D106" s="151">
        <f ca="1">OFFSET('Inputs - Weather'!E$48,C106,B106+1)</f>
        <v>17.8</v>
      </c>
      <c r="E106" s="46">
        <f ca="1">OFFSET('Inputs - Weather'!E$34,C106,B106+1)</f>
        <v>18.37</v>
      </c>
      <c r="F106" s="91">
        <f t="shared" si="16"/>
        <v>30</v>
      </c>
      <c r="G106" s="91">
        <f t="shared" si="21"/>
        <v>181</v>
      </c>
      <c r="H106" s="46">
        <f t="shared" si="22"/>
        <v>23.293419845424015</v>
      </c>
      <c r="I106" s="45">
        <f t="shared" si="23"/>
        <v>15.214473524526987</v>
      </c>
      <c r="J106" s="45">
        <f t="shared" ca="1" si="24"/>
        <v>6.8374678445158557</v>
      </c>
      <c r="K106" s="46">
        <f t="shared" ca="1" si="19"/>
        <v>44.071991738651064</v>
      </c>
      <c r="L106" s="151">
        <f t="shared" ca="1" si="25"/>
        <v>1.1901875412660159</v>
      </c>
      <c r="M106" s="152">
        <f t="shared" ca="1" si="17"/>
        <v>106.84533858709305</v>
      </c>
    </row>
    <row r="107" spans="2:13" x14ac:dyDescent="0.25">
      <c r="B107" s="82">
        <f t="shared" si="20"/>
        <v>2</v>
      </c>
      <c r="C107" s="82">
        <f t="shared" si="18"/>
        <v>7</v>
      </c>
      <c r="D107" s="151">
        <f ca="1">OFFSET('Inputs - Weather'!E$48,C107,B107+1)</f>
        <v>22.99</v>
      </c>
      <c r="E107" s="46">
        <f ca="1">OFFSET('Inputs - Weather'!E$34,C107,B107+1)</f>
        <v>22.71</v>
      </c>
      <c r="F107" s="91">
        <f t="shared" si="16"/>
        <v>31</v>
      </c>
      <c r="G107" s="91">
        <f t="shared" si="21"/>
        <v>212</v>
      </c>
      <c r="H107" s="46">
        <f t="shared" si="22"/>
        <v>21.54806313020423</v>
      </c>
      <c r="I107" s="45">
        <f t="shared" si="23"/>
        <v>14.983606234153998</v>
      </c>
      <c r="J107" s="45">
        <f t="shared" ca="1" si="24"/>
        <v>10.072317703469869</v>
      </c>
      <c r="K107" s="46">
        <f t="shared" ca="1" si="19"/>
        <v>44.071991738651064</v>
      </c>
      <c r="L107" s="151">
        <f t="shared" ca="1" si="25"/>
        <v>1.1901875412660159</v>
      </c>
      <c r="M107" s="152">
        <f t="shared" ca="1" si="17"/>
        <v>147.43746454006248</v>
      </c>
    </row>
    <row r="108" spans="2:13" x14ac:dyDescent="0.25">
      <c r="B108" s="82">
        <f t="shared" si="20"/>
        <v>2</v>
      </c>
      <c r="C108" s="82">
        <f t="shared" si="18"/>
        <v>8</v>
      </c>
      <c r="D108" s="151">
        <f ca="1">OFFSET('Inputs - Weather'!E$48,C108,B108+1)</f>
        <v>21.76</v>
      </c>
      <c r="E108" s="46">
        <f ca="1">OFFSET('Inputs - Weather'!E$34,C108,B108+1)</f>
        <v>19.329999999999998</v>
      </c>
      <c r="F108" s="91">
        <f t="shared" si="16"/>
        <v>31</v>
      </c>
      <c r="G108" s="91">
        <f t="shared" si="21"/>
        <v>243</v>
      </c>
      <c r="H108" s="46">
        <f t="shared" si="22"/>
        <v>13.859168267602277</v>
      </c>
      <c r="I108" s="45">
        <f t="shared" si="23"/>
        <v>13.966556649153741</v>
      </c>
      <c r="J108" s="45">
        <f t="shared" ca="1" si="24"/>
        <v>9.2677641777586395</v>
      </c>
      <c r="K108" s="46">
        <f t="shared" ca="1" si="19"/>
        <v>44.071991738651064</v>
      </c>
      <c r="L108" s="151">
        <f t="shared" ca="1" si="25"/>
        <v>1.1901875412660159</v>
      </c>
      <c r="M108" s="152">
        <f t="shared" ca="1" si="17"/>
        <v>128.72386632301649</v>
      </c>
    </row>
    <row r="109" spans="2:13" x14ac:dyDescent="0.25">
      <c r="B109" s="82">
        <f t="shared" si="20"/>
        <v>2</v>
      </c>
      <c r="C109" s="82">
        <f t="shared" si="18"/>
        <v>9</v>
      </c>
      <c r="D109" s="151">
        <f ca="1">OFFSET('Inputs - Weather'!E$48,C109,B109+1)</f>
        <v>16.16</v>
      </c>
      <c r="E109" s="46">
        <f ca="1">OFFSET('Inputs - Weather'!E$34,C109,B109+1)</f>
        <v>15.36</v>
      </c>
      <c r="F109" s="91">
        <f t="shared" si="16"/>
        <v>30</v>
      </c>
      <c r="G109" s="91">
        <f t="shared" si="21"/>
        <v>273</v>
      </c>
      <c r="H109" s="46">
        <f t="shared" si="22"/>
        <v>2.3163440518985223</v>
      </c>
      <c r="I109" s="45">
        <f t="shared" si="23"/>
        <v>12.439728049192926</v>
      </c>
      <c r="J109" s="45">
        <f t="shared" ca="1" si="24"/>
        <v>5.9066280989094047</v>
      </c>
      <c r="K109" s="46">
        <f t="shared" ca="1" si="19"/>
        <v>44.071991738651064</v>
      </c>
      <c r="L109" s="151">
        <f t="shared" ca="1" si="25"/>
        <v>1.1901875412660159</v>
      </c>
      <c r="M109" s="152">
        <f t="shared" ca="1" si="17"/>
        <v>77.865858403484552</v>
      </c>
    </row>
    <row r="110" spans="2:13" x14ac:dyDescent="0.25">
      <c r="B110" s="82">
        <f t="shared" si="20"/>
        <v>2</v>
      </c>
      <c r="C110" s="82">
        <f t="shared" si="18"/>
        <v>10</v>
      </c>
      <c r="D110" s="151">
        <f ca="1">OFFSET('Inputs - Weather'!E$48,C110,B110+1)</f>
        <v>11.21</v>
      </c>
      <c r="E110" s="46">
        <f ca="1">OFFSET('Inputs - Weather'!E$34,C110,B110+1)</f>
        <v>10.24</v>
      </c>
      <c r="F110" s="91">
        <f t="shared" si="16"/>
        <v>31</v>
      </c>
      <c r="G110" s="91">
        <f t="shared" si="21"/>
        <v>304</v>
      </c>
      <c r="H110" s="46">
        <f t="shared" si="22"/>
        <v>-9.5031790727583374</v>
      </c>
      <c r="I110" s="45">
        <f t="shared" si="23"/>
        <v>10.876299064449956</v>
      </c>
      <c r="J110" s="45">
        <f t="shared" ca="1" si="24"/>
        <v>3.3951761456887883</v>
      </c>
      <c r="K110" s="46">
        <f t="shared" ca="1" si="19"/>
        <v>44.071991738651064</v>
      </c>
      <c r="L110" s="151">
        <f t="shared" ca="1" si="25"/>
        <v>1.1901875412660159</v>
      </c>
      <c r="M110" s="152">
        <f t="shared" ca="1" si="17"/>
        <v>45.521173159611457</v>
      </c>
    </row>
    <row r="111" spans="2:13" x14ac:dyDescent="0.25">
      <c r="B111" s="82">
        <f t="shared" si="20"/>
        <v>2</v>
      </c>
      <c r="C111" s="82">
        <f t="shared" si="18"/>
        <v>11</v>
      </c>
      <c r="D111" s="151">
        <f ca="1">OFFSET('Inputs - Weather'!E$48,C111,B111+1)</f>
        <v>1.8</v>
      </c>
      <c r="E111" s="46">
        <f ca="1">OFFSET('Inputs - Weather'!E$34,C111,B111+1)</f>
        <v>1.6</v>
      </c>
      <c r="F111" s="91">
        <f t="shared" si="16"/>
        <v>30</v>
      </c>
      <c r="G111" s="91">
        <f t="shared" si="21"/>
        <v>334</v>
      </c>
      <c r="H111" s="46">
        <f t="shared" si="22"/>
        <v>-19.081240431832619</v>
      </c>
      <c r="I111" s="45">
        <f t="shared" si="23"/>
        <v>9.6093597312390706</v>
      </c>
      <c r="J111" s="45">
        <f t="shared" ca="1" si="24"/>
        <v>0.21293251621302292</v>
      </c>
      <c r="K111" s="46">
        <f t="shared" ca="1" si="19"/>
        <v>44.071991738651064</v>
      </c>
      <c r="L111" s="151">
        <f t="shared" ca="1" si="25"/>
        <v>1.1901875412660159</v>
      </c>
      <c r="M111" s="152">
        <f t="shared" ca="1" si="17"/>
        <v>4.4134778332509157</v>
      </c>
    </row>
    <row r="112" spans="2:13" x14ac:dyDescent="0.25">
      <c r="B112" s="82">
        <f t="shared" si="20"/>
        <v>2</v>
      </c>
      <c r="C112" s="82">
        <f t="shared" si="18"/>
        <v>12</v>
      </c>
      <c r="D112" s="151">
        <f ca="1">OFFSET('Inputs - Weather'!E$48,C112,B112+1)</f>
        <v>-0.63</v>
      </c>
      <c r="E112" s="46">
        <f ca="1">OFFSET('Inputs - Weather'!E$34,C112,B112+1)</f>
        <v>-3.59</v>
      </c>
      <c r="F112" s="91">
        <f t="shared" si="16"/>
        <v>31</v>
      </c>
      <c r="G112" s="91">
        <f t="shared" si="21"/>
        <v>365</v>
      </c>
      <c r="H112" s="46">
        <f t="shared" si="22"/>
        <v>-23.315084018726054</v>
      </c>
      <c r="I112" s="45">
        <f t="shared" si="23"/>
        <v>9.0493275107505209</v>
      </c>
      <c r="J112" s="45">
        <f t="shared" ca="1" si="24"/>
        <v>0</v>
      </c>
      <c r="K112" s="46">
        <f t="shared" ca="1" si="19"/>
        <v>44.071991738651064</v>
      </c>
      <c r="L112" s="151">
        <f t="shared" ca="1" si="25"/>
        <v>1.1901875412660159</v>
      </c>
      <c r="M112" s="152">
        <f t="shared" ca="1" si="17"/>
        <v>0</v>
      </c>
    </row>
    <row r="113" spans="2:13" x14ac:dyDescent="0.25">
      <c r="B113" s="148">
        <f t="shared" si="20"/>
        <v>3</v>
      </c>
      <c r="C113" s="148">
        <f t="shared" si="18"/>
        <v>1</v>
      </c>
      <c r="D113" s="149">
        <f ca="1">OFFSET('Inputs - Weather'!E$48,C113,B113+1)</f>
        <v>-5.04</v>
      </c>
      <c r="E113" s="96">
        <f ca="1">OFFSET('Inputs - Weather'!E$34,C113,B113+1)</f>
        <v>-7.32</v>
      </c>
      <c r="F113" s="71">
        <f t="shared" si="16"/>
        <v>31</v>
      </c>
      <c r="G113" s="71">
        <f t="shared" si="21"/>
        <v>31</v>
      </c>
      <c r="H113" s="96">
        <f t="shared" si="22"/>
        <v>-21.302685419237953</v>
      </c>
      <c r="I113" s="72">
        <f t="shared" si="23"/>
        <v>9.3155178016881006</v>
      </c>
      <c r="J113" s="72">
        <f t="shared" ca="1" si="24"/>
        <v>0</v>
      </c>
      <c r="K113" s="96">
        <f ca="1">SUM(J113:J124)</f>
        <v>39.330997619301613</v>
      </c>
      <c r="L113" s="149">
        <f t="shared" ca="1" si="25"/>
        <v>1.1190018596993765</v>
      </c>
      <c r="M113" s="150">
        <f t="shared" ca="1" si="17"/>
        <v>0</v>
      </c>
    </row>
    <row r="114" spans="2:13" x14ac:dyDescent="0.25">
      <c r="B114" s="82">
        <f t="shared" si="20"/>
        <v>3</v>
      </c>
      <c r="C114" s="82">
        <f t="shared" si="18"/>
        <v>2</v>
      </c>
      <c r="D114" s="151">
        <f ca="1">OFFSET('Inputs - Weather'!E$48,C114,B114+1)</f>
        <v>-4.4400000000000004</v>
      </c>
      <c r="E114" s="46">
        <f ca="1">OFFSET('Inputs - Weather'!E$34,C114,B114+1)</f>
        <v>-7.56</v>
      </c>
      <c r="F114" s="91">
        <f t="shared" si="16"/>
        <v>28</v>
      </c>
      <c r="G114" s="91">
        <f t="shared" si="21"/>
        <v>59</v>
      </c>
      <c r="H114" s="46">
        <f t="shared" si="22"/>
        <v>-13.695949189848957</v>
      </c>
      <c r="I114" s="45">
        <f t="shared" si="23"/>
        <v>10.321699842612571</v>
      </c>
      <c r="J114" s="45">
        <f t="shared" ca="1" si="24"/>
        <v>0</v>
      </c>
      <c r="K114" s="46">
        <f t="shared" ca="1" si="19"/>
        <v>39.330997619301613</v>
      </c>
      <c r="L114" s="151">
        <f t="shared" ca="1" si="25"/>
        <v>1.1190018596993765</v>
      </c>
      <c r="M114" s="152">
        <f t="shared" ca="1" si="17"/>
        <v>0</v>
      </c>
    </row>
    <row r="115" spans="2:13" x14ac:dyDescent="0.25">
      <c r="B115" s="82">
        <f t="shared" si="20"/>
        <v>3</v>
      </c>
      <c r="C115" s="82">
        <f t="shared" si="18"/>
        <v>3</v>
      </c>
      <c r="D115" s="151">
        <f ca="1">OFFSET('Inputs - Weather'!E$48,C115,B115+1)</f>
        <v>-0.82</v>
      </c>
      <c r="E115" s="46">
        <f ca="1">OFFSET('Inputs - Weather'!E$34,C115,B115+1)</f>
        <v>-3.72</v>
      </c>
      <c r="F115" s="91">
        <f t="shared" si="16"/>
        <v>31</v>
      </c>
      <c r="G115" s="91">
        <f t="shared" si="21"/>
        <v>90</v>
      </c>
      <c r="H115" s="46">
        <f t="shared" si="22"/>
        <v>-2.9177939455063431</v>
      </c>
      <c r="I115" s="45">
        <f t="shared" si="23"/>
        <v>11.747381753239901</v>
      </c>
      <c r="J115" s="45">
        <f t="shared" ca="1" si="24"/>
        <v>0</v>
      </c>
      <c r="K115" s="46">
        <f t="shared" ca="1" si="19"/>
        <v>39.330997619301613</v>
      </c>
      <c r="L115" s="151">
        <f t="shared" ca="1" si="25"/>
        <v>1.1190018596993765</v>
      </c>
      <c r="M115" s="152">
        <f t="shared" ca="1" si="17"/>
        <v>0</v>
      </c>
    </row>
    <row r="116" spans="2:13" x14ac:dyDescent="0.25">
      <c r="B116" s="82">
        <f t="shared" si="20"/>
        <v>3</v>
      </c>
      <c r="C116" s="82">
        <f t="shared" si="18"/>
        <v>4</v>
      </c>
      <c r="D116" s="151">
        <f ca="1">OFFSET('Inputs - Weather'!E$48,C116,B116+1)</f>
        <v>6.18</v>
      </c>
      <c r="E116" s="46">
        <f ca="1">OFFSET('Inputs - Weather'!E$34,C116,B116+1)</f>
        <v>5.88</v>
      </c>
      <c r="F116" s="91">
        <f t="shared" si="16"/>
        <v>30</v>
      </c>
      <c r="G116" s="91">
        <f t="shared" si="21"/>
        <v>120</v>
      </c>
      <c r="H116" s="46">
        <f t="shared" si="22"/>
        <v>9.3184035667831076</v>
      </c>
      <c r="I116" s="45">
        <f t="shared" si="23"/>
        <v>13.365926397722633</v>
      </c>
      <c r="J116" s="45">
        <f t="shared" ca="1" si="24"/>
        <v>1.3782118024574956</v>
      </c>
      <c r="K116" s="46">
        <f t="shared" ca="1" si="19"/>
        <v>39.330997619301613</v>
      </c>
      <c r="L116" s="151">
        <f t="shared" ca="1" si="25"/>
        <v>1.1190018596993765</v>
      </c>
      <c r="M116" s="152">
        <f t="shared" ca="1" si="17"/>
        <v>29.549208174313272</v>
      </c>
    </row>
    <row r="117" spans="2:13" x14ac:dyDescent="0.25">
      <c r="B117" s="82">
        <f t="shared" si="20"/>
        <v>3</v>
      </c>
      <c r="C117" s="82">
        <f t="shared" si="18"/>
        <v>5</v>
      </c>
      <c r="D117" s="151">
        <f ca="1">OFFSET('Inputs - Weather'!E$48,C117,B117+1)</f>
        <v>13.58</v>
      </c>
      <c r="E117" s="46">
        <f ca="1">OFFSET('Inputs - Weather'!E$34,C117,B117+1)</f>
        <v>13.3</v>
      </c>
      <c r="F117" s="91">
        <f t="shared" si="16"/>
        <v>31</v>
      </c>
      <c r="G117" s="91">
        <f t="shared" si="21"/>
        <v>151</v>
      </c>
      <c r="H117" s="46">
        <f t="shared" si="22"/>
        <v>18.723388500456394</v>
      </c>
      <c r="I117" s="45">
        <f t="shared" si="23"/>
        <v>14.609972023869894</v>
      </c>
      <c r="J117" s="45">
        <f t="shared" ca="1" si="24"/>
        <v>4.5390991056356045</v>
      </c>
      <c r="K117" s="46">
        <f t="shared" ca="1" si="19"/>
        <v>39.330997619301613</v>
      </c>
      <c r="L117" s="151">
        <f t="shared" ca="1" si="25"/>
        <v>1.1190018596993765</v>
      </c>
      <c r="M117" s="152">
        <f t="shared" ca="1" si="17"/>
        <v>80.544516830746517</v>
      </c>
    </row>
    <row r="118" spans="2:13" x14ac:dyDescent="0.25">
      <c r="B118" s="82">
        <f t="shared" si="20"/>
        <v>3</v>
      </c>
      <c r="C118" s="82">
        <f t="shared" si="18"/>
        <v>6</v>
      </c>
      <c r="D118" s="151">
        <f ca="1">OFFSET('Inputs - Weather'!E$48,C118,B118+1)</f>
        <v>18.37</v>
      </c>
      <c r="E118" s="46">
        <f ca="1">OFFSET('Inputs - Weather'!E$34,C118,B118+1)</f>
        <v>18.579999999999998</v>
      </c>
      <c r="F118" s="91">
        <f t="shared" si="16"/>
        <v>30</v>
      </c>
      <c r="G118" s="91">
        <f t="shared" si="21"/>
        <v>181</v>
      </c>
      <c r="H118" s="46">
        <f t="shared" si="22"/>
        <v>23.293419845424015</v>
      </c>
      <c r="I118" s="45">
        <f t="shared" si="23"/>
        <v>15.214473524526987</v>
      </c>
      <c r="J118" s="45">
        <f t="shared" ca="1" si="24"/>
        <v>7.1716762507596643</v>
      </c>
      <c r="K118" s="46">
        <f t="shared" ca="1" si="19"/>
        <v>39.330997619301613</v>
      </c>
      <c r="L118" s="151">
        <f t="shared" ca="1" si="25"/>
        <v>1.1190018596993765</v>
      </c>
      <c r="M118" s="152">
        <f t="shared" ca="1" si="17"/>
        <v>113.82211030651411</v>
      </c>
    </row>
    <row r="119" spans="2:13" x14ac:dyDescent="0.25">
      <c r="B119" s="82">
        <f t="shared" si="20"/>
        <v>3</v>
      </c>
      <c r="C119" s="82">
        <f t="shared" si="18"/>
        <v>7</v>
      </c>
      <c r="D119" s="151">
        <f ca="1">OFFSET('Inputs - Weather'!E$48,C119,B119+1)</f>
        <v>22.71</v>
      </c>
      <c r="E119" s="46">
        <f ca="1">OFFSET('Inputs - Weather'!E$34,C119,B119+1)</f>
        <v>20.88</v>
      </c>
      <c r="F119" s="91">
        <f t="shared" si="16"/>
        <v>31</v>
      </c>
      <c r="G119" s="91">
        <f t="shared" si="21"/>
        <v>212</v>
      </c>
      <c r="H119" s="46">
        <f t="shared" si="22"/>
        <v>21.54806313020423</v>
      </c>
      <c r="I119" s="45">
        <f t="shared" si="23"/>
        <v>14.983606234153998</v>
      </c>
      <c r="J119" s="45">
        <f t="shared" ca="1" si="24"/>
        <v>9.8871734869474377</v>
      </c>
      <c r="K119" s="46">
        <f t="shared" ca="1" si="19"/>
        <v>39.330997619301613</v>
      </c>
      <c r="L119" s="151">
        <f t="shared" ca="1" si="25"/>
        <v>1.1190018596993765</v>
      </c>
      <c r="M119" s="152">
        <f t="shared" ca="1" si="17"/>
        <v>146.85728452078237</v>
      </c>
    </row>
    <row r="120" spans="2:13" x14ac:dyDescent="0.25">
      <c r="B120" s="82">
        <f t="shared" si="20"/>
        <v>3</v>
      </c>
      <c r="C120" s="82">
        <f t="shared" si="18"/>
        <v>8</v>
      </c>
      <c r="D120" s="151">
        <f ca="1">OFFSET('Inputs - Weather'!E$48,C120,B120+1)</f>
        <v>19.329999999999998</v>
      </c>
      <c r="E120" s="46">
        <f ca="1">OFFSET('Inputs - Weather'!E$34,C120,B120+1)</f>
        <v>19.38</v>
      </c>
      <c r="F120" s="91">
        <f t="shared" si="16"/>
        <v>31</v>
      </c>
      <c r="G120" s="91">
        <f t="shared" si="21"/>
        <v>243</v>
      </c>
      <c r="H120" s="46">
        <f t="shared" si="22"/>
        <v>13.859168267602277</v>
      </c>
      <c r="I120" s="45">
        <f t="shared" si="23"/>
        <v>13.966556649153741</v>
      </c>
      <c r="J120" s="45">
        <f t="shared" ca="1" si="24"/>
        <v>7.7466590222180454</v>
      </c>
      <c r="K120" s="46">
        <f t="shared" ca="1" si="19"/>
        <v>39.330997619301613</v>
      </c>
      <c r="L120" s="151">
        <f t="shared" ca="1" si="25"/>
        <v>1.1190018596993765</v>
      </c>
      <c r="M120" s="152">
        <f t="shared" ca="1" si="17"/>
        <v>114.30226351653141</v>
      </c>
    </row>
    <row r="121" spans="2:13" x14ac:dyDescent="0.25">
      <c r="B121" s="82">
        <f t="shared" si="20"/>
        <v>3</v>
      </c>
      <c r="C121" s="82">
        <f t="shared" si="18"/>
        <v>9</v>
      </c>
      <c r="D121" s="151">
        <f ca="1">OFFSET('Inputs - Weather'!E$48,C121,B121+1)</f>
        <v>15.36</v>
      </c>
      <c r="E121" s="46">
        <f ca="1">OFFSET('Inputs - Weather'!E$34,C121,B121+1)</f>
        <v>16.57</v>
      </c>
      <c r="F121" s="91">
        <f t="shared" si="16"/>
        <v>30</v>
      </c>
      <c r="G121" s="91">
        <f t="shared" si="21"/>
        <v>273</v>
      </c>
      <c r="H121" s="46">
        <f t="shared" si="22"/>
        <v>2.3163440518985223</v>
      </c>
      <c r="I121" s="45">
        <f t="shared" si="23"/>
        <v>12.439728049192926</v>
      </c>
      <c r="J121" s="45">
        <f t="shared" ca="1" si="24"/>
        <v>5.4696018526888652</v>
      </c>
      <c r="K121" s="46">
        <f t="shared" ca="1" si="19"/>
        <v>39.330997619301613</v>
      </c>
      <c r="L121" s="151">
        <f t="shared" ca="1" si="25"/>
        <v>1.1190018596993765</v>
      </c>
      <c r="M121" s="152">
        <f t="shared" ca="1" si="17"/>
        <v>76.17528199079841</v>
      </c>
    </row>
    <row r="122" spans="2:13" x14ac:dyDescent="0.25">
      <c r="B122" s="82">
        <f t="shared" si="20"/>
        <v>3</v>
      </c>
      <c r="C122" s="82">
        <f t="shared" si="18"/>
        <v>10</v>
      </c>
      <c r="D122" s="151">
        <f ca="1">OFFSET('Inputs - Weather'!E$48,C122,B122+1)</f>
        <v>10.24</v>
      </c>
      <c r="E122" s="46">
        <f ca="1">OFFSET('Inputs - Weather'!E$34,C122,B122+1)</f>
        <v>10.87</v>
      </c>
      <c r="F122" s="91">
        <f t="shared" si="16"/>
        <v>31</v>
      </c>
      <c r="G122" s="91">
        <f t="shared" si="21"/>
        <v>304</v>
      </c>
      <c r="H122" s="46">
        <f t="shared" si="22"/>
        <v>-9.5031790727583374</v>
      </c>
      <c r="I122" s="45">
        <f t="shared" si="23"/>
        <v>10.876299064449956</v>
      </c>
      <c r="J122" s="45">
        <f t="shared" ca="1" si="24"/>
        <v>2.9604214876239023</v>
      </c>
      <c r="K122" s="46">
        <f t="shared" ca="1" si="19"/>
        <v>39.330997619301613</v>
      </c>
      <c r="L122" s="151">
        <f t="shared" ca="1" si="25"/>
        <v>1.1190018596993765</v>
      </c>
      <c r="M122" s="152">
        <f t="shared" ca="1" si="17"/>
        <v>43.719815248971166</v>
      </c>
    </row>
    <row r="123" spans="2:13" x14ac:dyDescent="0.25">
      <c r="B123" s="82">
        <f t="shared" si="20"/>
        <v>3</v>
      </c>
      <c r="C123" s="82">
        <f t="shared" si="18"/>
        <v>11</v>
      </c>
      <c r="D123" s="151">
        <f ca="1">OFFSET('Inputs - Weather'!E$48,C123,B123+1)</f>
        <v>1.6</v>
      </c>
      <c r="E123" s="46">
        <f ca="1">OFFSET('Inputs - Weather'!E$34,C123,B123+1)</f>
        <v>1.4</v>
      </c>
      <c r="F123" s="91">
        <f t="shared" si="16"/>
        <v>30</v>
      </c>
      <c r="G123" s="91">
        <f t="shared" si="21"/>
        <v>334</v>
      </c>
      <c r="H123" s="46">
        <f t="shared" si="22"/>
        <v>-19.081240431832619</v>
      </c>
      <c r="I123" s="45">
        <f t="shared" si="23"/>
        <v>9.6093597312390706</v>
      </c>
      <c r="J123" s="45">
        <f t="shared" ca="1" si="24"/>
        <v>0.17815461097059138</v>
      </c>
      <c r="K123" s="46">
        <f t="shared" ca="1" si="19"/>
        <v>39.330997619301613</v>
      </c>
      <c r="L123" s="151">
        <f t="shared" ca="1" si="25"/>
        <v>1.1190018596993765</v>
      </c>
      <c r="M123" s="152">
        <f t="shared" ca="1" si="17"/>
        <v>4.6831093614077881</v>
      </c>
    </row>
    <row r="124" spans="2:13" x14ac:dyDescent="0.25">
      <c r="B124" s="82">
        <f t="shared" si="20"/>
        <v>3</v>
      </c>
      <c r="C124" s="82">
        <f t="shared" si="18"/>
        <v>12</v>
      </c>
      <c r="D124" s="151">
        <f ca="1">OFFSET('Inputs - Weather'!E$48,C124,B124+1)</f>
        <v>-3.59</v>
      </c>
      <c r="E124" s="46">
        <f ca="1">OFFSET('Inputs - Weather'!E$34,C124,B124+1)</f>
        <v>-1.78</v>
      </c>
      <c r="F124" s="91">
        <f t="shared" si="16"/>
        <v>31</v>
      </c>
      <c r="G124" s="91">
        <f t="shared" si="21"/>
        <v>365</v>
      </c>
      <c r="H124" s="46">
        <f t="shared" si="22"/>
        <v>-23.315084018726054</v>
      </c>
      <c r="I124" s="45">
        <f t="shared" si="23"/>
        <v>9.0493275107505209</v>
      </c>
      <c r="J124" s="45">
        <f t="shared" ca="1" si="24"/>
        <v>0</v>
      </c>
      <c r="K124" s="46">
        <f t="shared" ca="1" si="19"/>
        <v>39.330997619301613</v>
      </c>
      <c r="L124" s="151">
        <f t="shared" ca="1" si="25"/>
        <v>1.1190018596993765</v>
      </c>
      <c r="M124" s="152">
        <f t="shared" ca="1" si="17"/>
        <v>0</v>
      </c>
    </row>
    <row r="125" spans="2:13" x14ac:dyDescent="0.25">
      <c r="B125" s="200">
        <f t="shared" si="20"/>
        <v>4</v>
      </c>
      <c r="C125" s="148">
        <v>1</v>
      </c>
      <c r="D125" s="149">
        <f ca="1">OFFSET('Inputs - Weather'!E$48,C125,B125+1)</f>
        <v>-7.32</v>
      </c>
      <c r="E125" s="96">
        <f ca="1">OFFSET('Inputs - Weather'!E$34,C125,B125+1)</f>
        <v>-8.2799999999999994</v>
      </c>
      <c r="F125" s="71">
        <f t="shared" si="16"/>
        <v>31</v>
      </c>
      <c r="G125" s="71">
        <f>IF(C125=1,F125,F125+G4)</f>
        <v>31</v>
      </c>
      <c r="H125" s="96">
        <f>-23.44*COS(RADIANS((360/365)*(INT(F125/2)+10)))</f>
        <v>-21.30268541923795</v>
      </c>
      <c r="I125" s="72">
        <f t="shared" si="23"/>
        <v>9.3155178016881006</v>
      </c>
      <c r="J125" s="72">
        <f ca="1">IF(D125&gt;0,POWER(D125/5,1.514),0)</f>
        <v>0</v>
      </c>
      <c r="K125" s="96">
        <f ca="1">SUM(J125:J136)</f>
        <v>38.976812055893731</v>
      </c>
      <c r="L125" s="149">
        <f ca="1">(0.000000675*K125*K125*K125)-(0.0000771*K125*K125)+(0.01792*K125)+0.49239</f>
        <v>1.1136937262520716</v>
      </c>
      <c r="M125" s="150">
        <f t="shared" ca="1" si="17"/>
        <v>0</v>
      </c>
    </row>
    <row r="126" spans="2:13" x14ac:dyDescent="0.25">
      <c r="B126" s="82">
        <f>IF(C126=1,B125+1,B125)</f>
        <v>4</v>
      </c>
      <c r="C126" s="82">
        <f>IF(C125&lt;12,C125+1,1)</f>
        <v>2</v>
      </c>
      <c r="D126" s="151">
        <f ca="1">OFFSET('Inputs - Weather'!E$48,C126,B126+1)</f>
        <v>-7.56</v>
      </c>
      <c r="E126" s="46">
        <f ca="1">OFFSET('Inputs - Weather'!E$34,C126,B126+1)</f>
        <v>-13.02</v>
      </c>
      <c r="F126" s="91">
        <f t="shared" si="16"/>
        <v>28</v>
      </c>
      <c r="G126" s="91">
        <f t="shared" ref="G126:G136" si="26">IF(C126=1,F126,F126+G125)</f>
        <v>59</v>
      </c>
      <c r="H126" s="46">
        <f>-23.44*COS(RADIANS(360/365*(INT(F126/2)+G125+10)))</f>
        <v>-13.695949189848957</v>
      </c>
      <c r="I126" s="45">
        <f t="shared" si="23"/>
        <v>10.321699842612571</v>
      </c>
      <c r="J126" s="45">
        <f ca="1">IF(D126&gt;0,POWER(D126/5,1.514),0)</f>
        <v>0</v>
      </c>
      <c r="K126" s="46">
        <f ca="1">K125</f>
        <v>38.976812055893731</v>
      </c>
      <c r="L126" s="151">
        <f t="shared" ref="L126:L189" ca="1" si="27">(0.000000675*K126*K126*K126)-(0.0000771*K126*K126)+(0.01792*K126)+0.49239</f>
        <v>1.1136937262520716</v>
      </c>
      <c r="M126" s="152">
        <f t="shared" ca="1" si="17"/>
        <v>0</v>
      </c>
    </row>
    <row r="127" spans="2:13" x14ac:dyDescent="0.25">
      <c r="B127" s="82">
        <f t="shared" ref="B127:B137" si="28">IF(C127=1,B126+1,B126)</f>
        <v>4</v>
      </c>
      <c r="C127" s="82">
        <f t="shared" ref="C127:C136" si="29">IF(C126&lt;12,C126+1,1)</f>
        <v>3</v>
      </c>
      <c r="D127" s="151">
        <f ca="1">OFFSET('Inputs - Weather'!E$48,C127,B127+1)</f>
        <v>-3.72</v>
      </c>
      <c r="E127" s="46">
        <f ca="1">OFFSET('Inputs - Weather'!E$34,C127,B127+1)</f>
        <v>-3.52</v>
      </c>
      <c r="F127" s="91">
        <f t="shared" si="16"/>
        <v>31</v>
      </c>
      <c r="G127" s="91">
        <f t="shared" si="26"/>
        <v>90</v>
      </c>
      <c r="H127" s="46">
        <f t="shared" ref="H127:H136" si="30">-23.44*COS(RADIANS(360/365*(INT(F127/2)+G126+10)))</f>
        <v>-2.9177939455063431</v>
      </c>
      <c r="I127" s="45">
        <f t="shared" si="23"/>
        <v>11.747381753239901</v>
      </c>
      <c r="J127" s="45">
        <f t="shared" ref="J127:J136" ca="1" si="31">IF(D127&gt;0,POWER(D127/5,1.514),0)</f>
        <v>0</v>
      </c>
      <c r="K127" s="46">
        <f t="shared" ref="K127:K136" ca="1" si="32">K126</f>
        <v>38.976812055893731</v>
      </c>
      <c r="L127" s="151">
        <f t="shared" ca="1" si="27"/>
        <v>1.1136937262520716</v>
      </c>
      <c r="M127" s="152">
        <f t="shared" ca="1" si="17"/>
        <v>0</v>
      </c>
    </row>
    <row r="128" spans="2:13" x14ac:dyDescent="0.25">
      <c r="B128" s="82">
        <f t="shared" si="28"/>
        <v>4</v>
      </c>
      <c r="C128" s="82">
        <f t="shared" si="29"/>
        <v>4</v>
      </c>
      <c r="D128" s="151">
        <f ca="1">OFFSET('Inputs - Weather'!E$48,C128,B128+1)</f>
        <v>5.88</v>
      </c>
      <c r="E128" s="46">
        <f ca="1">OFFSET('Inputs - Weather'!E$34,C128,B128+1)</f>
        <v>6.08</v>
      </c>
      <c r="F128" s="91">
        <f t="shared" si="16"/>
        <v>30</v>
      </c>
      <c r="G128" s="91">
        <f t="shared" si="26"/>
        <v>120</v>
      </c>
      <c r="H128" s="46">
        <f t="shared" si="30"/>
        <v>9.3184035667831076</v>
      </c>
      <c r="I128" s="45">
        <f t="shared" si="23"/>
        <v>13.365926397722633</v>
      </c>
      <c r="J128" s="45">
        <f t="shared" ca="1" si="31"/>
        <v>1.27819373667337</v>
      </c>
      <c r="K128" s="46">
        <f t="shared" ca="1" si="32"/>
        <v>38.976812055893731</v>
      </c>
      <c r="L128" s="151">
        <f t="shared" ca="1" si="27"/>
        <v>1.1136937262520716</v>
      </c>
      <c r="M128" s="152">
        <f t="shared" ca="1" si="17"/>
        <v>28.171580754167064</v>
      </c>
    </row>
    <row r="129" spans="2:13" x14ac:dyDescent="0.25">
      <c r="B129" s="82">
        <f t="shared" si="28"/>
        <v>4</v>
      </c>
      <c r="C129" s="82">
        <f t="shared" si="29"/>
        <v>5</v>
      </c>
      <c r="D129" s="151">
        <f ca="1">OFFSET('Inputs - Weather'!E$48,C129,B129+1)</f>
        <v>13.3</v>
      </c>
      <c r="E129" s="46">
        <f ca="1">OFFSET('Inputs - Weather'!E$34,C129,B129+1)</f>
        <v>16.079999999999998</v>
      </c>
      <c r="F129" s="91">
        <f t="shared" si="16"/>
        <v>31</v>
      </c>
      <c r="G129" s="91">
        <f t="shared" si="26"/>
        <v>151</v>
      </c>
      <c r="H129" s="46">
        <f t="shared" si="30"/>
        <v>18.723388500456394</v>
      </c>
      <c r="I129" s="45">
        <f t="shared" si="23"/>
        <v>14.609972023869894</v>
      </c>
      <c r="J129" s="45">
        <f t="shared" ca="1" si="31"/>
        <v>4.3981577053305028</v>
      </c>
      <c r="K129" s="46">
        <f t="shared" ca="1" si="32"/>
        <v>38.976812055893731</v>
      </c>
      <c r="L129" s="151">
        <f t="shared" ca="1" si="27"/>
        <v>1.1136937262520716</v>
      </c>
      <c r="M129" s="152">
        <f t="shared" ca="1" si="17"/>
        <v>78.972847121647405</v>
      </c>
    </row>
    <row r="130" spans="2:13" x14ac:dyDescent="0.25">
      <c r="B130" s="82">
        <f t="shared" si="28"/>
        <v>4</v>
      </c>
      <c r="C130" s="82">
        <f t="shared" si="29"/>
        <v>6</v>
      </c>
      <c r="D130" s="151">
        <f ca="1">OFFSET('Inputs - Weather'!E$48,C130,B130+1)</f>
        <v>18.579999999999998</v>
      </c>
      <c r="E130" s="46">
        <f ca="1">OFFSET('Inputs - Weather'!E$34,C130,B130+1)</f>
        <v>17.399999999999999</v>
      </c>
      <c r="F130" s="91">
        <f t="shared" si="16"/>
        <v>30</v>
      </c>
      <c r="G130" s="91">
        <f t="shared" si="26"/>
        <v>181</v>
      </c>
      <c r="H130" s="46">
        <f t="shared" si="30"/>
        <v>23.293419845424015</v>
      </c>
      <c r="I130" s="45">
        <f t="shared" si="23"/>
        <v>15.214473524526987</v>
      </c>
      <c r="J130" s="45">
        <f t="shared" ca="1" si="31"/>
        <v>7.2961645131474961</v>
      </c>
      <c r="K130" s="46">
        <f t="shared" ca="1" si="32"/>
        <v>38.976812055893731</v>
      </c>
      <c r="L130" s="151">
        <f t="shared" ca="1" si="27"/>
        <v>1.1136937262520716</v>
      </c>
      <c r="M130" s="152">
        <f t="shared" ca="1" si="17"/>
        <v>115.49059643321731</v>
      </c>
    </row>
    <row r="131" spans="2:13" x14ac:dyDescent="0.25">
      <c r="B131" s="82">
        <f t="shared" si="28"/>
        <v>4</v>
      </c>
      <c r="C131" s="82">
        <f t="shared" si="29"/>
        <v>7</v>
      </c>
      <c r="D131" s="151">
        <f ca="1">OFFSET('Inputs - Weather'!E$48,C131,B131+1)</f>
        <v>20.88</v>
      </c>
      <c r="E131" s="46">
        <f ca="1">OFFSET('Inputs - Weather'!E$34,C131,B131+1)</f>
        <v>21.29</v>
      </c>
      <c r="F131" s="91">
        <f t="shared" si="16"/>
        <v>31</v>
      </c>
      <c r="G131" s="91">
        <f t="shared" si="26"/>
        <v>212</v>
      </c>
      <c r="H131" s="46">
        <f t="shared" si="30"/>
        <v>21.54806313020423</v>
      </c>
      <c r="I131" s="45">
        <f t="shared" si="23"/>
        <v>14.983606234153998</v>
      </c>
      <c r="J131" s="45">
        <f t="shared" ca="1" si="31"/>
        <v>8.7062549732956978</v>
      </c>
      <c r="K131" s="46">
        <f t="shared" ca="1" si="32"/>
        <v>38.976812055893731</v>
      </c>
      <c r="L131" s="151">
        <f t="shared" ca="1" si="27"/>
        <v>1.1136937262520716</v>
      </c>
      <c r="M131" s="152">
        <f t="shared" ca="1" si="17"/>
        <v>133.8424298870529</v>
      </c>
    </row>
    <row r="132" spans="2:13" x14ac:dyDescent="0.25">
      <c r="B132" s="82">
        <f t="shared" si="28"/>
        <v>4</v>
      </c>
      <c r="C132" s="82">
        <f t="shared" si="29"/>
        <v>8</v>
      </c>
      <c r="D132" s="151">
        <f ca="1">OFFSET('Inputs - Weather'!E$48,C132,B132+1)</f>
        <v>19.38</v>
      </c>
      <c r="E132" s="46">
        <f ca="1">OFFSET('Inputs - Weather'!E$34,C132,B132+1)</f>
        <v>21.81</v>
      </c>
      <c r="F132" s="91">
        <f t="shared" si="16"/>
        <v>31</v>
      </c>
      <c r="G132" s="91">
        <f t="shared" si="26"/>
        <v>243</v>
      </c>
      <c r="H132" s="46">
        <f t="shared" si="30"/>
        <v>13.859168267602277</v>
      </c>
      <c r="I132" s="45">
        <f t="shared" si="23"/>
        <v>13.966556649153741</v>
      </c>
      <c r="J132" s="45">
        <f t="shared" ca="1" si="31"/>
        <v>7.7770165887193325</v>
      </c>
      <c r="K132" s="46">
        <f t="shared" ca="1" si="32"/>
        <v>38.976812055893731</v>
      </c>
      <c r="L132" s="151">
        <f t="shared" ca="1" si="27"/>
        <v>1.1136937262520716</v>
      </c>
      <c r="M132" s="152">
        <f t="shared" ca="1" si="17"/>
        <v>114.81775651555186</v>
      </c>
    </row>
    <row r="133" spans="2:13" x14ac:dyDescent="0.25">
      <c r="B133" s="82">
        <f t="shared" si="28"/>
        <v>4</v>
      </c>
      <c r="C133" s="82">
        <f t="shared" si="29"/>
        <v>9</v>
      </c>
      <c r="D133" s="151">
        <f ca="1">OFFSET('Inputs - Weather'!E$48,C133,B133+1)</f>
        <v>16.57</v>
      </c>
      <c r="E133" s="46">
        <f ca="1">OFFSET('Inputs - Weather'!E$34,C133,B133+1)</f>
        <v>19.09</v>
      </c>
      <c r="F133" s="91">
        <f t="shared" si="16"/>
        <v>30</v>
      </c>
      <c r="G133" s="91">
        <f t="shared" si="26"/>
        <v>273</v>
      </c>
      <c r="H133" s="46">
        <f t="shared" si="30"/>
        <v>2.3163440518985223</v>
      </c>
      <c r="I133" s="45">
        <f t="shared" si="23"/>
        <v>12.439728049192926</v>
      </c>
      <c r="J133" s="45">
        <f t="shared" ca="1" si="31"/>
        <v>6.1349876270042509</v>
      </c>
      <c r="K133" s="46">
        <f t="shared" ca="1" si="32"/>
        <v>38.976812055893731</v>
      </c>
      <c r="L133" s="151">
        <f t="shared" ca="1" si="27"/>
        <v>1.1136937262520716</v>
      </c>
      <c r="M133" s="152">
        <f t="shared" ca="1" si="17"/>
        <v>83.123565634398503</v>
      </c>
    </row>
    <row r="134" spans="2:13" x14ac:dyDescent="0.25">
      <c r="B134" s="82">
        <f t="shared" si="28"/>
        <v>4</v>
      </c>
      <c r="C134" s="82">
        <f t="shared" si="29"/>
        <v>10</v>
      </c>
      <c r="D134" s="151">
        <f ca="1">OFFSET('Inputs - Weather'!E$48,C134,B134+1)</f>
        <v>10.87</v>
      </c>
      <c r="E134" s="46">
        <f ca="1">OFFSET('Inputs - Weather'!E$34,C134,B134+1)</f>
        <v>9.02</v>
      </c>
      <c r="F134" s="91">
        <f t="shared" ref="F134:F197" si="33">DAY(EOMONTH(CONCATENATE("1/",C134,"/01"),0))</f>
        <v>31</v>
      </c>
      <c r="G134" s="91">
        <f t="shared" si="26"/>
        <v>304</v>
      </c>
      <c r="H134" s="46">
        <f t="shared" si="30"/>
        <v>-9.5031790727583374</v>
      </c>
      <c r="I134" s="45">
        <f t="shared" si="23"/>
        <v>10.876299064449956</v>
      </c>
      <c r="J134" s="45">
        <f t="shared" ca="1" si="31"/>
        <v>3.2404919221068313</v>
      </c>
      <c r="K134" s="46">
        <f t="shared" ca="1" si="32"/>
        <v>38.976812055893731</v>
      </c>
      <c r="L134" s="151">
        <f t="shared" ca="1" si="27"/>
        <v>1.1136937262520716</v>
      </c>
      <c r="M134" s="152">
        <f t="shared" ref="M134:M197" ca="1" si="34">IF(D134&gt;0,(F134/30)*(I134/12)*16*POWER((10*D134/K134),L134),0)</f>
        <v>46.959706335750617</v>
      </c>
    </row>
    <row r="135" spans="2:13" x14ac:dyDescent="0.25">
      <c r="B135" s="82">
        <f t="shared" si="28"/>
        <v>4</v>
      </c>
      <c r="C135" s="82">
        <f t="shared" si="29"/>
        <v>11</v>
      </c>
      <c r="D135" s="151">
        <f ca="1">OFFSET('Inputs - Weather'!E$48,C135,B135+1)</f>
        <v>1.4</v>
      </c>
      <c r="E135" s="46">
        <f ca="1">OFFSET('Inputs - Weather'!E$34,C135,B135+1)</f>
        <v>5.62</v>
      </c>
      <c r="F135" s="91">
        <f t="shared" si="33"/>
        <v>30</v>
      </c>
      <c r="G135" s="91">
        <f t="shared" si="26"/>
        <v>334</v>
      </c>
      <c r="H135" s="46">
        <f t="shared" si="30"/>
        <v>-19.081240431832619</v>
      </c>
      <c r="I135" s="45">
        <f t="shared" si="23"/>
        <v>9.6093597312390706</v>
      </c>
      <c r="J135" s="45">
        <f t="shared" ca="1" si="31"/>
        <v>0.14554498961624557</v>
      </c>
      <c r="K135" s="46">
        <f t="shared" ca="1" si="32"/>
        <v>38.976812055893731</v>
      </c>
      <c r="L135" s="151">
        <f t="shared" ca="1" si="27"/>
        <v>1.1136937262520716</v>
      </c>
      <c r="M135" s="152">
        <f t="shared" ca="1" si="34"/>
        <v>4.0963568100579426</v>
      </c>
    </row>
    <row r="136" spans="2:13" x14ac:dyDescent="0.25">
      <c r="B136" s="82">
        <f t="shared" si="28"/>
        <v>4</v>
      </c>
      <c r="C136" s="82">
        <f t="shared" si="29"/>
        <v>12</v>
      </c>
      <c r="D136" s="151">
        <f ca="1">OFFSET('Inputs - Weather'!E$48,C136,B136+1)</f>
        <v>-1.78</v>
      </c>
      <c r="E136" s="46">
        <f ca="1">OFFSET('Inputs - Weather'!E$34,C136,B136+1)</f>
        <v>3.68</v>
      </c>
      <c r="F136" s="91">
        <f t="shared" si="33"/>
        <v>31</v>
      </c>
      <c r="G136" s="91">
        <f t="shared" si="26"/>
        <v>365</v>
      </c>
      <c r="H136" s="46">
        <f t="shared" si="30"/>
        <v>-23.315084018726054</v>
      </c>
      <c r="I136" s="45">
        <f t="shared" si="23"/>
        <v>9.0493275107505209</v>
      </c>
      <c r="J136" s="45">
        <f t="shared" ca="1" si="31"/>
        <v>0</v>
      </c>
      <c r="K136" s="46">
        <f t="shared" ca="1" si="32"/>
        <v>38.976812055893731</v>
      </c>
      <c r="L136" s="151">
        <f t="shared" ca="1" si="27"/>
        <v>1.1136937262520716</v>
      </c>
      <c r="M136" s="152">
        <f t="shared" ca="1" si="34"/>
        <v>0</v>
      </c>
    </row>
    <row r="137" spans="2:13" x14ac:dyDescent="0.25">
      <c r="B137" s="148">
        <f t="shared" si="28"/>
        <v>5</v>
      </c>
      <c r="C137" s="148">
        <v>1</v>
      </c>
      <c r="D137" s="149">
        <f ca="1">OFFSET('Inputs - Weather'!E$48,C137,B137+1)</f>
        <v>-8.2799999999999994</v>
      </c>
      <c r="E137" s="96">
        <f ca="1">OFFSET('Inputs - Weather'!E$34,C137,B137+1)</f>
        <v>-4.54</v>
      </c>
      <c r="F137" s="71">
        <f t="shared" si="33"/>
        <v>31</v>
      </c>
      <c r="G137" s="71">
        <f>IF(C137=1,F137,F137+G136)</f>
        <v>31</v>
      </c>
      <c r="H137" s="96">
        <f>-23.44*COS(RADIANS((360/365)*(INT(F137/2)+10)))</f>
        <v>-21.30268541923795</v>
      </c>
      <c r="I137" s="72">
        <f t="shared" si="23"/>
        <v>9.3155178016881006</v>
      </c>
      <c r="J137" s="72">
        <f ca="1">IF(D137&gt;0,POWER(D137/5,1.514),0)</f>
        <v>0</v>
      </c>
      <c r="K137" s="96">
        <f ca="1">SUM(J137:J148)</f>
        <v>43.946528003231265</v>
      </c>
      <c r="L137" s="149">
        <f ca="1">(0.000000675*K137*K137*K137)-(0.0000771*K137*K137)+(0.01792*K137)+0.49239</f>
        <v>1.1882985812133011</v>
      </c>
      <c r="M137" s="150">
        <f t="shared" ca="1" si="34"/>
        <v>0</v>
      </c>
    </row>
    <row r="138" spans="2:13" x14ac:dyDescent="0.25">
      <c r="B138" s="82">
        <f>IF(C138=1,B137+1,B137)</f>
        <v>5</v>
      </c>
      <c r="C138" s="82">
        <f>IF(C137&lt;12,C137+1,1)</f>
        <v>2</v>
      </c>
      <c r="D138" s="151">
        <f ca="1">OFFSET('Inputs - Weather'!E$48,C138,B138+1)</f>
        <v>-13.02</v>
      </c>
      <c r="E138" s="46">
        <f ca="1">OFFSET('Inputs - Weather'!E$34,C138,B138+1)</f>
        <v>-2.77</v>
      </c>
      <c r="F138" s="91">
        <f t="shared" si="33"/>
        <v>28</v>
      </c>
      <c r="G138" s="91">
        <f t="shared" ref="G138:G148" si="35">IF(C138=1,F138,F138+G137)</f>
        <v>59</v>
      </c>
      <c r="H138" s="46">
        <f>-23.44*COS(RADIANS(360/365*(INT(F138/2)+G137+10)))</f>
        <v>-13.695949189848957</v>
      </c>
      <c r="I138" s="45">
        <f t="shared" si="23"/>
        <v>10.321699842612571</v>
      </c>
      <c r="J138" s="45">
        <f t="shared" ref="J138:J148" ca="1" si="36">IF(D138&gt;0,POWER(D138/5,1.514),0)</f>
        <v>0</v>
      </c>
      <c r="K138" s="46">
        <f ca="1">K137</f>
        <v>43.946528003231265</v>
      </c>
      <c r="L138" s="151">
        <f t="shared" ca="1" si="27"/>
        <v>1.1882985812133011</v>
      </c>
      <c r="M138" s="152">
        <f t="shared" ca="1" si="34"/>
        <v>0</v>
      </c>
    </row>
    <row r="139" spans="2:13" x14ac:dyDescent="0.25">
      <c r="B139" s="82">
        <f t="shared" ref="B139:B149" si="37">IF(C139=1,B138+1,B138)</f>
        <v>5</v>
      </c>
      <c r="C139" s="82">
        <f t="shared" ref="C139:C148" si="38">IF(C138&lt;12,C138+1,1)</f>
        <v>3</v>
      </c>
      <c r="D139" s="151">
        <f ca="1">OFFSET('Inputs - Weather'!E$48,C139,B139+1)</f>
        <v>-3.52</v>
      </c>
      <c r="E139" s="46">
        <f ca="1">OFFSET('Inputs - Weather'!E$34,C139,B139+1)</f>
        <v>2.73</v>
      </c>
      <c r="F139" s="91">
        <f t="shared" si="33"/>
        <v>31</v>
      </c>
      <c r="G139" s="91">
        <f t="shared" si="35"/>
        <v>90</v>
      </c>
      <c r="H139" s="46">
        <f t="shared" ref="H139:H148" si="39">-23.44*COS(RADIANS(360/365*(INT(F139/2)+G138+10)))</f>
        <v>-2.9177939455063431</v>
      </c>
      <c r="I139" s="45">
        <f t="shared" si="23"/>
        <v>11.747381753239901</v>
      </c>
      <c r="J139" s="45">
        <f t="shared" ca="1" si="36"/>
        <v>0</v>
      </c>
      <c r="K139" s="46">
        <f t="shared" ref="K139:K148" ca="1" si="40">K138</f>
        <v>43.946528003231265</v>
      </c>
      <c r="L139" s="151">
        <f t="shared" ca="1" si="27"/>
        <v>1.1882985812133011</v>
      </c>
      <c r="M139" s="152">
        <f t="shared" ca="1" si="34"/>
        <v>0</v>
      </c>
    </row>
    <row r="140" spans="2:13" x14ac:dyDescent="0.25">
      <c r="B140" s="82">
        <f t="shared" si="37"/>
        <v>5</v>
      </c>
      <c r="C140" s="82">
        <f t="shared" si="38"/>
        <v>4</v>
      </c>
      <c r="D140" s="151">
        <f ca="1">OFFSET('Inputs - Weather'!E$48,C140,B140+1)</f>
        <v>6.08</v>
      </c>
      <c r="E140" s="46">
        <f ca="1">OFFSET('Inputs - Weather'!E$34,C140,B140+1)</f>
        <v>5.92</v>
      </c>
      <c r="F140" s="91">
        <f t="shared" si="33"/>
        <v>30</v>
      </c>
      <c r="G140" s="91">
        <f t="shared" si="35"/>
        <v>120</v>
      </c>
      <c r="H140" s="46">
        <f t="shared" si="39"/>
        <v>9.3184035667831076</v>
      </c>
      <c r="I140" s="45">
        <f t="shared" si="23"/>
        <v>13.365926397722633</v>
      </c>
      <c r="J140" s="45">
        <f t="shared" ca="1" si="36"/>
        <v>1.3445886237005211</v>
      </c>
      <c r="K140" s="46">
        <f t="shared" ca="1" si="40"/>
        <v>43.946528003231265</v>
      </c>
      <c r="L140" s="151">
        <f t="shared" ca="1" si="27"/>
        <v>1.1882985812133011</v>
      </c>
      <c r="M140" s="152">
        <f t="shared" ca="1" si="34"/>
        <v>26.20975488258048</v>
      </c>
    </row>
    <row r="141" spans="2:13" x14ac:dyDescent="0.25">
      <c r="B141" s="82">
        <f t="shared" si="37"/>
        <v>5</v>
      </c>
      <c r="C141" s="82">
        <f t="shared" si="38"/>
        <v>5</v>
      </c>
      <c r="D141" s="151">
        <f ca="1">OFFSET('Inputs - Weather'!E$48,C141,B141+1)</f>
        <v>16.079999999999998</v>
      </c>
      <c r="E141" s="46">
        <f ca="1">OFFSET('Inputs - Weather'!E$34,C141,B141+1)</f>
        <v>13.14</v>
      </c>
      <c r="F141" s="91">
        <f t="shared" si="33"/>
        <v>31</v>
      </c>
      <c r="G141" s="91">
        <f t="shared" si="35"/>
        <v>151</v>
      </c>
      <c r="H141" s="46">
        <f t="shared" si="39"/>
        <v>18.723388500456394</v>
      </c>
      <c r="I141" s="45">
        <f t="shared" si="23"/>
        <v>14.609972023869894</v>
      </c>
      <c r="J141" s="45">
        <f t="shared" ca="1" si="36"/>
        <v>5.8624139984658612</v>
      </c>
      <c r="K141" s="46">
        <f t="shared" ca="1" si="40"/>
        <v>43.946528003231265</v>
      </c>
      <c r="L141" s="151">
        <f t="shared" ca="1" si="27"/>
        <v>1.1882985812133011</v>
      </c>
      <c r="M141" s="152">
        <f t="shared" ca="1" si="34"/>
        <v>94.030815279918357</v>
      </c>
    </row>
    <row r="142" spans="2:13" x14ac:dyDescent="0.25">
      <c r="B142" s="82">
        <f t="shared" si="37"/>
        <v>5</v>
      </c>
      <c r="C142" s="82">
        <f t="shared" si="38"/>
        <v>6</v>
      </c>
      <c r="D142" s="151">
        <f ca="1">OFFSET('Inputs - Weather'!E$48,C142,B142+1)</f>
        <v>17.399999999999999</v>
      </c>
      <c r="E142" s="46">
        <f ca="1">OFFSET('Inputs - Weather'!E$34,C142,B142+1)</f>
        <v>18.75</v>
      </c>
      <c r="F142" s="91">
        <f t="shared" si="33"/>
        <v>30</v>
      </c>
      <c r="G142" s="91">
        <f t="shared" si="35"/>
        <v>181</v>
      </c>
      <c r="H142" s="46">
        <f t="shared" si="39"/>
        <v>23.293419845424015</v>
      </c>
      <c r="I142" s="45">
        <f t="shared" si="23"/>
        <v>15.214473524526987</v>
      </c>
      <c r="J142" s="45">
        <f t="shared" ca="1" si="36"/>
        <v>6.6061887085285447</v>
      </c>
      <c r="K142" s="46">
        <f t="shared" ca="1" si="40"/>
        <v>43.946528003231265</v>
      </c>
      <c r="L142" s="151">
        <f t="shared" ca="1" si="27"/>
        <v>1.1882985812133011</v>
      </c>
      <c r="M142" s="152">
        <f t="shared" ca="1" si="34"/>
        <v>104.07639088090619</v>
      </c>
    </row>
    <row r="143" spans="2:13" x14ac:dyDescent="0.25">
      <c r="B143" s="82">
        <f t="shared" si="37"/>
        <v>5</v>
      </c>
      <c r="C143" s="82">
        <f t="shared" si="38"/>
        <v>7</v>
      </c>
      <c r="D143" s="151">
        <f ca="1">OFFSET('Inputs - Weather'!E$48,C143,B143+1)</f>
        <v>21.29</v>
      </c>
      <c r="E143" s="46">
        <f ca="1">OFFSET('Inputs - Weather'!E$34,C143,B143+1)</f>
        <v>23.19</v>
      </c>
      <c r="F143" s="91">
        <f t="shared" si="33"/>
        <v>31</v>
      </c>
      <c r="G143" s="91">
        <f t="shared" si="35"/>
        <v>212</v>
      </c>
      <c r="H143" s="46">
        <f t="shared" si="39"/>
        <v>21.54806313020423</v>
      </c>
      <c r="I143" s="45">
        <f t="shared" si="23"/>
        <v>14.983606234153998</v>
      </c>
      <c r="J143" s="45">
        <f t="shared" ca="1" si="36"/>
        <v>8.9663846308596611</v>
      </c>
      <c r="K143" s="46">
        <f t="shared" ca="1" si="40"/>
        <v>43.946528003231265</v>
      </c>
      <c r="L143" s="151">
        <f t="shared" ca="1" si="27"/>
        <v>1.1882985812133011</v>
      </c>
      <c r="M143" s="152">
        <f t="shared" ca="1" si="34"/>
        <v>134.61034199042075</v>
      </c>
    </row>
    <row r="144" spans="2:13" x14ac:dyDescent="0.25">
      <c r="B144" s="82">
        <f t="shared" si="37"/>
        <v>5</v>
      </c>
      <c r="C144" s="82">
        <f t="shared" si="38"/>
        <v>8</v>
      </c>
      <c r="D144" s="151">
        <f ca="1">OFFSET('Inputs - Weather'!E$48,C144,B144+1)</f>
        <v>21.81</v>
      </c>
      <c r="E144" s="46">
        <f ca="1">OFFSET('Inputs - Weather'!E$34,C144,B144+1)</f>
        <v>22.75</v>
      </c>
      <c r="F144" s="91">
        <f t="shared" si="33"/>
        <v>31</v>
      </c>
      <c r="G144" s="91">
        <f t="shared" si="35"/>
        <v>243</v>
      </c>
      <c r="H144" s="46">
        <f t="shared" si="39"/>
        <v>13.859168267602277</v>
      </c>
      <c r="I144" s="45">
        <f t="shared" si="23"/>
        <v>13.966556649153741</v>
      </c>
      <c r="J144" s="45">
        <f t="shared" ca="1" si="36"/>
        <v>9.3000244670195649</v>
      </c>
      <c r="K144" s="46">
        <f t="shared" ca="1" si="40"/>
        <v>43.946528003231265</v>
      </c>
      <c r="L144" s="151">
        <f t="shared" ca="1" si="27"/>
        <v>1.1882985812133011</v>
      </c>
      <c r="M144" s="152">
        <f t="shared" ca="1" si="34"/>
        <v>129.1233537485391</v>
      </c>
    </row>
    <row r="145" spans="2:13" x14ac:dyDescent="0.25">
      <c r="B145" s="82">
        <f t="shared" si="37"/>
        <v>5</v>
      </c>
      <c r="C145" s="82">
        <f t="shared" si="38"/>
        <v>9</v>
      </c>
      <c r="D145" s="151">
        <f ca="1">OFFSET('Inputs - Weather'!E$48,C145,B145+1)</f>
        <v>19.09</v>
      </c>
      <c r="E145" s="46">
        <f ca="1">OFFSET('Inputs - Weather'!E$34,C145,B145+1)</f>
        <v>18.3</v>
      </c>
      <c r="F145" s="91">
        <f t="shared" si="33"/>
        <v>30</v>
      </c>
      <c r="G145" s="91">
        <f t="shared" si="35"/>
        <v>273</v>
      </c>
      <c r="H145" s="46">
        <f t="shared" si="39"/>
        <v>2.3163440518985223</v>
      </c>
      <c r="I145" s="45">
        <f t="shared" si="23"/>
        <v>12.439728049192926</v>
      </c>
      <c r="J145" s="45">
        <f t="shared" ca="1" si="36"/>
        <v>7.6015050616188011</v>
      </c>
      <c r="K145" s="46">
        <f t="shared" ca="1" si="40"/>
        <v>43.946528003231265</v>
      </c>
      <c r="L145" s="151">
        <f t="shared" ca="1" si="27"/>
        <v>1.1882985812133011</v>
      </c>
      <c r="M145" s="152">
        <f t="shared" ca="1" si="34"/>
        <v>95.004272510959325</v>
      </c>
    </row>
    <row r="146" spans="2:13" x14ac:dyDescent="0.25">
      <c r="B146" s="82">
        <f t="shared" si="37"/>
        <v>5</v>
      </c>
      <c r="C146" s="82">
        <f t="shared" si="38"/>
        <v>10</v>
      </c>
      <c r="D146" s="151">
        <f ca="1">OFFSET('Inputs - Weather'!E$48,C146,B146+1)</f>
        <v>9.02</v>
      </c>
      <c r="E146" s="46">
        <f ca="1">OFFSET('Inputs - Weather'!E$34,C146,B146+1)</f>
        <v>10.44</v>
      </c>
      <c r="F146" s="91">
        <f t="shared" si="33"/>
        <v>31</v>
      </c>
      <c r="G146" s="91">
        <f t="shared" si="35"/>
        <v>304</v>
      </c>
      <c r="H146" s="46">
        <f t="shared" si="39"/>
        <v>-9.5031790727583374</v>
      </c>
      <c r="I146" s="45">
        <f t="shared" ref="I146:I160" si="41">((12*60)+8+(H146/6.3)*I$3)/60</f>
        <v>10.876299064449956</v>
      </c>
      <c r="J146" s="45">
        <f t="shared" ca="1" si="36"/>
        <v>2.4431048804562567</v>
      </c>
      <c r="K146" s="46">
        <f t="shared" ca="1" si="40"/>
        <v>43.946528003231265</v>
      </c>
      <c r="L146" s="151">
        <f t="shared" ca="1" si="27"/>
        <v>1.1882985812133011</v>
      </c>
      <c r="M146" s="152">
        <f t="shared" ca="1" si="34"/>
        <v>35.21636579916354</v>
      </c>
    </row>
    <row r="147" spans="2:13" x14ac:dyDescent="0.25">
      <c r="B147" s="82">
        <f t="shared" si="37"/>
        <v>5</v>
      </c>
      <c r="C147" s="82">
        <f t="shared" si="38"/>
        <v>11</v>
      </c>
      <c r="D147" s="151">
        <f ca="1">OFFSET('Inputs - Weather'!E$48,C147,B147+1)</f>
        <v>5.62</v>
      </c>
      <c r="E147" s="46">
        <f ca="1">OFFSET('Inputs - Weather'!E$34,C147,B147+1)</f>
        <v>4.28</v>
      </c>
      <c r="F147" s="91">
        <f t="shared" si="33"/>
        <v>30</v>
      </c>
      <c r="G147" s="91">
        <f t="shared" si="35"/>
        <v>334</v>
      </c>
      <c r="H147" s="46">
        <f t="shared" si="39"/>
        <v>-19.081240431832619</v>
      </c>
      <c r="I147" s="45">
        <f t="shared" si="41"/>
        <v>9.6093597312390706</v>
      </c>
      <c r="J147" s="45">
        <f t="shared" ca="1" si="36"/>
        <v>1.1936038067073922</v>
      </c>
      <c r="K147" s="46">
        <f t="shared" ca="1" si="40"/>
        <v>43.946528003231265</v>
      </c>
      <c r="L147" s="151">
        <f t="shared" ca="1" si="27"/>
        <v>1.1882985812133011</v>
      </c>
      <c r="M147" s="152">
        <f t="shared" ca="1" si="34"/>
        <v>17.161586547773737</v>
      </c>
    </row>
    <row r="148" spans="2:13" x14ac:dyDescent="0.25">
      <c r="B148" s="82">
        <f t="shared" si="37"/>
        <v>5</v>
      </c>
      <c r="C148" s="82">
        <f t="shared" si="38"/>
        <v>12</v>
      </c>
      <c r="D148" s="151">
        <f ca="1">OFFSET('Inputs - Weather'!E$48,C148,B148+1)</f>
        <v>3.68</v>
      </c>
      <c r="E148" s="46">
        <f ca="1">OFFSET('Inputs - Weather'!E$34,C148,B148+1)</f>
        <v>-2.87</v>
      </c>
      <c r="F148" s="91">
        <f t="shared" si="33"/>
        <v>31</v>
      </c>
      <c r="G148" s="91">
        <f t="shared" si="35"/>
        <v>365</v>
      </c>
      <c r="H148" s="46">
        <f t="shared" si="39"/>
        <v>-23.315084018726054</v>
      </c>
      <c r="I148" s="45">
        <f t="shared" si="41"/>
        <v>9.0493275107505209</v>
      </c>
      <c r="J148" s="45">
        <f t="shared" ca="1" si="36"/>
        <v>0.6287138258746624</v>
      </c>
      <c r="K148" s="46">
        <f t="shared" ca="1" si="40"/>
        <v>43.946528003231265</v>
      </c>
      <c r="L148" s="151">
        <f t="shared" ca="1" si="27"/>
        <v>1.1882985812133011</v>
      </c>
      <c r="M148" s="152">
        <f t="shared" ca="1" si="34"/>
        <v>10.097300672281303</v>
      </c>
    </row>
    <row r="149" spans="2:13" x14ac:dyDescent="0.25">
      <c r="B149" s="153">
        <f t="shared" si="37"/>
        <v>6</v>
      </c>
      <c r="C149" s="153">
        <v>1</v>
      </c>
      <c r="D149" s="201">
        <f ca="1">D77</f>
        <v>-6.12</v>
      </c>
      <c r="E149" s="201">
        <f ca="1">E77</f>
        <v>-8.01</v>
      </c>
      <c r="F149" s="156">
        <f t="shared" si="33"/>
        <v>31</v>
      </c>
      <c r="G149" s="156">
        <f>IF(C149=1,F149,F149+G148)</f>
        <v>31</v>
      </c>
      <c r="H149" s="155">
        <f>-23.44*COS(RADIANS((360/365)*(INT(F149/2)+10)))</f>
        <v>-21.30268541923795</v>
      </c>
      <c r="I149" s="157">
        <f t="shared" si="41"/>
        <v>9.3155178016881006</v>
      </c>
      <c r="J149" s="157">
        <f ca="1">IF(D149&gt;0,POWER(D149/5,1.514),0)</f>
        <v>0</v>
      </c>
      <c r="K149" s="155">
        <f ca="1">SUM(J149:J160)</f>
        <v>45.325840931887811</v>
      </c>
      <c r="L149" s="154">
        <f ca="1">(0.000000675*K149*K149*K149)-(0.0000771*K149*K149)+(0.01792*K149)+0.49239</f>
        <v>1.2090875981628884</v>
      </c>
      <c r="M149" s="158">
        <f t="shared" ca="1" si="34"/>
        <v>0</v>
      </c>
    </row>
    <row r="150" spans="2:13" x14ac:dyDescent="0.25">
      <c r="B150" s="159">
        <f>IF(C150=1,B149+1,B149)</f>
        <v>6</v>
      </c>
      <c r="C150" s="159">
        <f>IF(C149&lt;12,C149+1,1)</f>
        <v>2</v>
      </c>
      <c r="D150" s="160">
        <f t="shared" ref="D150:E213" ca="1" si="42">D78</f>
        <v>-4.25</v>
      </c>
      <c r="E150" s="161">
        <f t="shared" ca="1" si="42"/>
        <v>-6.74</v>
      </c>
      <c r="F150" s="162">
        <f t="shared" si="33"/>
        <v>28</v>
      </c>
      <c r="G150" s="162">
        <f t="shared" ref="G150:G160" si="43">IF(C150=1,F150,F150+G149)</f>
        <v>59</v>
      </c>
      <c r="H150" s="161">
        <f>-23.44*COS(RADIANS(360/365*(INT(F150/2)+G149+10)))</f>
        <v>-13.695949189848957</v>
      </c>
      <c r="I150" s="163">
        <f t="shared" si="41"/>
        <v>10.321699842612571</v>
      </c>
      <c r="J150" s="163">
        <f t="shared" ref="J150:J160" ca="1" si="44">IF(D150&gt;0,POWER(D150/5,1.514),0)</f>
        <v>0</v>
      </c>
      <c r="K150" s="161">
        <f ca="1">K149</f>
        <v>45.325840931887811</v>
      </c>
      <c r="L150" s="160">
        <f t="shared" ca="1" si="27"/>
        <v>1.2090875981628884</v>
      </c>
      <c r="M150" s="164">
        <f t="shared" ca="1" si="34"/>
        <v>0</v>
      </c>
    </row>
    <row r="151" spans="2:13" x14ac:dyDescent="0.25">
      <c r="B151" s="159">
        <f t="shared" ref="B151:B161" si="45">IF(C151=1,B150+1,B150)</f>
        <v>6</v>
      </c>
      <c r="C151" s="159">
        <f t="shared" ref="C151:C160" si="46">IF(C150&lt;12,C150+1,1)</f>
        <v>3</v>
      </c>
      <c r="D151" s="160">
        <f t="shared" ca="1" si="42"/>
        <v>3.13</v>
      </c>
      <c r="E151" s="161">
        <f t="shared" ca="1" si="42"/>
        <v>-0.57999999999999996</v>
      </c>
      <c r="F151" s="162">
        <f t="shared" si="33"/>
        <v>31</v>
      </c>
      <c r="G151" s="162">
        <f t="shared" si="43"/>
        <v>90</v>
      </c>
      <c r="H151" s="161">
        <f t="shared" ref="H151:H160" si="47">-23.44*COS(RADIANS(360/365*(INT(F151/2)+G150+10)))</f>
        <v>-2.9177939455063431</v>
      </c>
      <c r="I151" s="163">
        <f t="shared" si="41"/>
        <v>11.747381753239901</v>
      </c>
      <c r="J151" s="163">
        <f t="shared" ca="1" si="44"/>
        <v>0.49205487678276055</v>
      </c>
      <c r="K151" s="161">
        <f t="shared" ref="K151:K160" ca="1" si="48">K150</f>
        <v>45.325840931887811</v>
      </c>
      <c r="L151" s="160">
        <f t="shared" ca="1" si="27"/>
        <v>1.2090875981628884</v>
      </c>
      <c r="M151" s="164">
        <f t="shared" ca="1" si="34"/>
        <v>10.344205003091091</v>
      </c>
    </row>
    <row r="152" spans="2:13" x14ac:dyDescent="0.25">
      <c r="B152" s="159">
        <f t="shared" si="45"/>
        <v>6</v>
      </c>
      <c r="C152" s="159">
        <f t="shared" si="46"/>
        <v>4</v>
      </c>
      <c r="D152" s="160">
        <f t="shared" ca="1" si="42"/>
        <v>9.0399999999999991</v>
      </c>
      <c r="E152" s="161">
        <f t="shared" ca="1" si="42"/>
        <v>7.18</v>
      </c>
      <c r="F152" s="162">
        <f t="shared" si="33"/>
        <v>30</v>
      </c>
      <c r="G152" s="162">
        <f t="shared" si="43"/>
        <v>120</v>
      </c>
      <c r="H152" s="161">
        <f t="shared" si="47"/>
        <v>9.3184035667831076</v>
      </c>
      <c r="I152" s="163">
        <f t="shared" si="41"/>
        <v>13.365926397722633</v>
      </c>
      <c r="J152" s="163">
        <f t="shared" ca="1" si="44"/>
        <v>2.4513110175051791</v>
      </c>
      <c r="K152" s="161">
        <f t="shared" ca="1" si="48"/>
        <v>45.325840931887811</v>
      </c>
      <c r="L152" s="160">
        <f t="shared" ca="1" si="27"/>
        <v>1.2090875981628884</v>
      </c>
      <c r="M152" s="164">
        <f t="shared" ca="1" si="34"/>
        <v>41.062892771145435</v>
      </c>
    </row>
    <row r="153" spans="2:13" x14ac:dyDescent="0.25">
      <c r="B153" s="159">
        <f t="shared" si="45"/>
        <v>6</v>
      </c>
      <c r="C153" s="159">
        <f t="shared" si="46"/>
        <v>5</v>
      </c>
      <c r="D153" s="160">
        <f t="shared" ca="1" si="42"/>
        <v>15.1</v>
      </c>
      <c r="E153" s="161">
        <f t="shared" ca="1" si="42"/>
        <v>14.05</v>
      </c>
      <c r="F153" s="162">
        <f t="shared" si="33"/>
        <v>31</v>
      </c>
      <c r="G153" s="162">
        <f t="shared" si="43"/>
        <v>151</v>
      </c>
      <c r="H153" s="161">
        <f t="shared" si="47"/>
        <v>18.723388500456394</v>
      </c>
      <c r="I153" s="163">
        <f t="shared" si="41"/>
        <v>14.609972023869894</v>
      </c>
      <c r="J153" s="163">
        <f t="shared" ca="1" si="44"/>
        <v>5.330040532362065</v>
      </c>
      <c r="K153" s="161">
        <f t="shared" ca="1" si="48"/>
        <v>45.325840931887811</v>
      </c>
      <c r="L153" s="160">
        <f t="shared" ca="1" si="27"/>
        <v>1.2090875981628884</v>
      </c>
      <c r="M153" s="164">
        <f t="shared" ca="1" si="34"/>
        <v>86.245275459332561</v>
      </c>
    </row>
    <row r="154" spans="2:13" x14ac:dyDescent="0.25">
      <c r="B154" s="159">
        <f t="shared" si="45"/>
        <v>6</v>
      </c>
      <c r="C154" s="159">
        <f t="shared" si="46"/>
        <v>6</v>
      </c>
      <c r="D154" s="160">
        <f t="shared" ca="1" si="42"/>
        <v>19.149999999999999</v>
      </c>
      <c r="E154" s="161">
        <f t="shared" ca="1" si="42"/>
        <v>17.96</v>
      </c>
      <c r="F154" s="162">
        <f t="shared" si="33"/>
        <v>30</v>
      </c>
      <c r="G154" s="162">
        <f t="shared" si="43"/>
        <v>181</v>
      </c>
      <c r="H154" s="161">
        <f t="shared" si="47"/>
        <v>23.293419845424015</v>
      </c>
      <c r="I154" s="163">
        <f t="shared" si="41"/>
        <v>15.214473524526987</v>
      </c>
      <c r="J154" s="163">
        <f t="shared" ca="1" si="44"/>
        <v>7.6377061200861025</v>
      </c>
      <c r="K154" s="161">
        <f t="shared" ca="1" si="48"/>
        <v>45.325840931887811</v>
      </c>
      <c r="L154" s="160">
        <f t="shared" ca="1" si="27"/>
        <v>1.2090875981628884</v>
      </c>
      <c r="M154" s="164">
        <f t="shared" ca="1" si="34"/>
        <v>115.843156342048</v>
      </c>
    </row>
    <row r="155" spans="2:13" x14ac:dyDescent="0.25">
      <c r="B155" s="159">
        <f t="shared" si="45"/>
        <v>6</v>
      </c>
      <c r="C155" s="159">
        <f t="shared" si="46"/>
        <v>7</v>
      </c>
      <c r="D155" s="160">
        <f t="shared" ca="1" si="42"/>
        <v>23.25</v>
      </c>
      <c r="E155" s="161">
        <f t="shared" ca="1" si="42"/>
        <v>21.89</v>
      </c>
      <c r="F155" s="162">
        <f t="shared" si="33"/>
        <v>31</v>
      </c>
      <c r="G155" s="162">
        <f t="shared" si="43"/>
        <v>212</v>
      </c>
      <c r="H155" s="161">
        <f t="shared" si="47"/>
        <v>21.54806313020423</v>
      </c>
      <c r="I155" s="163">
        <f t="shared" si="41"/>
        <v>14.983606234153998</v>
      </c>
      <c r="J155" s="163">
        <f t="shared" ca="1" si="44"/>
        <v>10.245278552862674</v>
      </c>
      <c r="K155" s="161">
        <f t="shared" ca="1" si="48"/>
        <v>45.325840931887811</v>
      </c>
      <c r="L155" s="160">
        <f t="shared" ca="1" si="27"/>
        <v>1.2090875981628884</v>
      </c>
      <c r="M155" s="164">
        <f t="shared" ca="1" si="34"/>
        <v>149.05307037815226</v>
      </c>
    </row>
    <row r="156" spans="2:13" x14ac:dyDescent="0.25">
      <c r="B156" s="159">
        <f t="shared" si="45"/>
        <v>6</v>
      </c>
      <c r="C156" s="159">
        <f t="shared" si="46"/>
        <v>8</v>
      </c>
      <c r="D156" s="160">
        <f t="shared" ca="1" si="42"/>
        <v>21.44</v>
      </c>
      <c r="E156" s="161">
        <f t="shared" ca="1" si="42"/>
        <v>20.350000000000001</v>
      </c>
      <c r="F156" s="162">
        <f t="shared" si="33"/>
        <v>31</v>
      </c>
      <c r="G156" s="162">
        <f t="shared" si="43"/>
        <v>243</v>
      </c>
      <c r="H156" s="161">
        <f t="shared" si="47"/>
        <v>13.859168267602277</v>
      </c>
      <c r="I156" s="163">
        <f t="shared" si="41"/>
        <v>13.966556649153741</v>
      </c>
      <c r="J156" s="163">
        <f t="shared" ca="1" si="44"/>
        <v>9.0622018613844482</v>
      </c>
      <c r="K156" s="161">
        <f t="shared" ca="1" si="48"/>
        <v>45.325840931887811</v>
      </c>
      <c r="L156" s="160">
        <f t="shared" ca="1" si="27"/>
        <v>1.2090875981628884</v>
      </c>
      <c r="M156" s="164">
        <f t="shared" ca="1" si="34"/>
        <v>125.96684270998136</v>
      </c>
    </row>
    <row r="157" spans="2:13" x14ac:dyDescent="0.25">
      <c r="B157" s="159">
        <f t="shared" si="45"/>
        <v>6</v>
      </c>
      <c r="C157" s="159">
        <f t="shared" si="46"/>
        <v>9</v>
      </c>
      <c r="D157" s="160">
        <f t="shared" ca="1" si="42"/>
        <v>18.170000000000002</v>
      </c>
      <c r="E157" s="161">
        <f t="shared" ca="1" si="42"/>
        <v>17.38</v>
      </c>
      <c r="F157" s="162">
        <f t="shared" si="33"/>
        <v>30</v>
      </c>
      <c r="G157" s="162">
        <f t="shared" si="43"/>
        <v>273</v>
      </c>
      <c r="H157" s="161">
        <f t="shared" si="47"/>
        <v>2.3163440518985223</v>
      </c>
      <c r="I157" s="163">
        <f t="shared" si="41"/>
        <v>12.439728049192926</v>
      </c>
      <c r="J157" s="163">
        <f t="shared" ca="1" si="44"/>
        <v>7.0537940172259521</v>
      </c>
      <c r="K157" s="161">
        <f t="shared" ca="1" si="48"/>
        <v>45.325840931887811</v>
      </c>
      <c r="L157" s="160">
        <f t="shared" ca="1" si="27"/>
        <v>1.2090875981628884</v>
      </c>
      <c r="M157" s="164">
        <f t="shared" ca="1" si="34"/>
        <v>88.88743931122373</v>
      </c>
    </row>
    <row r="158" spans="2:13" x14ac:dyDescent="0.25">
      <c r="B158" s="159">
        <f t="shared" si="45"/>
        <v>6</v>
      </c>
      <c r="C158" s="159">
        <f t="shared" si="46"/>
        <v>10</v>
      </c>
      <c r="D158" s="160">
        <f t="shared" ca="1" si="42"/>
        <v>9.44</v>
      </c>
      <c r="E158" s="161">
        <f t="shared" ca="1" si="42"/>
        <v>9.61</v>
      </c>
      <c r="F158" s="162">
        <f t="shared" si="33"/>
        <v>31</v>
      </c>
      <c r="G158" s="162">
        <f t="shared" si="43"/>
        <v>304</v>
      </c>
      <c r="H158" s="161">
        <f t="shared" si="47"/>
        <v>-9.5031790727583374</v>
      </c>
      <c r="I158" s="163">
        <f t="shared" si="41"/>
        <v>10.876299064449956</v>
      </c>
      <c r="J158" s="163">
        <f t="shared" ca="1" si="44"/>
        <v>2.6173814057786013</v>
      </c>
      <c r="K158" s="161">
        <f t="shared" ca="1" si="48"/>
        <v>45.325840931887811</v>
      </c>
      <c r="L158" s="160">
        <f t="shared" ca="1" si="27"/>
        <v>1.2090875981628884</v>
      </c>
      <c r="M158" s="164">
        <f t="shared" ca="1" si="34"/>
        <v>36.383729274284093</v>
      </c>
    </row>
    <row r="159" spans="2:13" x14ac:dyDescent="0.25">
      <c r="B159" s="159">
        <f t="shared" si="45"/>
        <v>6</v>
      </c>
      <c r="C159" s="159">
        <f t="shared" si="46"/>
        <v>11</v>
      </c>
      <c r="D159" s="160">
        <f t="shared" ca="1" si="42"/>
        <v>2.89</v>
      </c>
      <c r="E159" s="161">
        <f t="shared" ca="1" si="42"/>
        <v>5.71</v>
      </c>
      <c r="F159" s="162">
        <f t="shared" si="33"/>
        <v>30</v>
      </c>
      <c r="G159" s="162">
        <f t="shared" si="43"/>
        <v>334</v>
      </c>
      <c r="H159" s="161">
        <f t="shared" si="47"/>
        <v>-19.081240431832619</v>
      </c>
      <c r="I159" s="163">
        <f t="shared" si="41"/>
        <v>9.6093597312390706</v>
      </c>
      <c r="J159" s="163">
        <f t="shared" ca="1" si="44"/>
        <v>0.43607254790002714</v>
      </c>
      <c r="K159" s="161">
        <f t="shared" ca="1" si="48"/>
        <v>45.325840931887811</v>
      </c>
      <c r="L159" s="160">
        <f t="shared" ca="1" si="27"/>
        <v>1.2090875981628884</v>
      </c>
      <c r="M159" s="164">
        <f t="shared" ca="1" si="34"/>
        <v>7.4356579272152938</v>
      </c>
    </row>
    <row r="160" spans="2:13" x14ac:dyDescent="0.25">
      <c r="B160" s="159">
        <f t="shared" si="45"/>
        <v>6</v>
      </c>
      <c r="C160" s="159">
        <f t="shared" si="46"/>
        <v>12</v>
      </c>
      <c r="D160" s="160">
        <f t="shared" ca="1" si="42"/>
        <v>-4.5199999999999996</v>
      </c>
      <c r="E160" s="161">
        <f t="shared" ca="1" si="42"/>
        <v>-0.46</v>
      </c>
      <c r="F160" s="162">
        <f t="shared" si="33"/>
        <v>31</v>
      </c>
      <c r="G160" s="162">
        <f t="shared" si="43"/>
        <v>365</v>
      </c>
      <c r="H160" s="161">
        <f t="shared" si="47"/>
        <v>-23.315084018726054</v>
      </c>
      <c r="I160" s="163">
        <f t="shared" si="41"/>
        <v>9.0493275107505209</v>
      </c>
      <c r="J160" s="163">
        <f t="shared" ca="1" si="44"/>
        <v>0</v>
      </c>
      <c r="K160" s="161">
        <f t="shared" ca="1" si="48"/>
        <v>45.325840931887811</v>
      </c>
      <c r="L160" s="160">
        <f t="shared" ca="1" si="27"/>
        <v>1.2090875981628884</v>
      </c>
      <c r="M160" s="164">
        <f t="shared" ca="1" si="34"/>
        <v>0</v>
      </c>
    </row>
    <row r="161" spans="2:13" x14ac:dyDescent="0.25">
      <c r="B161" s="148">
        <f t="shared" si="45"/>
        <v>7</v>
      </c>
      <c r="C161" s="148">
        <v>1</v>
      </c>
      <c r="D161" s="149">
        <f t="shared" ca="1" si="42"/>
        <v>-8.01</v>
      </c>
      <c r="E161" s="96">
        <f t="shared" ca="1" si="42"/>
        <v>-3.44</v>
      </c>
      <c r="F161" s="71">
        <f t="shared" si="33"/>
        <v>31</v>
      </c>
      <c r="G161" s="71">
        <f>IF(C161=1,F161,F161+G160)</f>
        <v>31</v>
      </c>
      <c r="H161" s="96">
        <f>-23.44*COS(RADIANS((360/365)*(INT(F161/2)+10)))</f>
        <v>-21.30268541923795</v>
      </c>
      <c r="I161" s="72">
        <f>((12*60)+8+(H161/6.3)*I$3)/60</f>
        <v>9.3155178016881006</v>
      </c>
      <c r="J161" s="72">
        <f ca="1">IF(D161&gt;0,POWER(D161/5,1.514),0)</f>
        <v>0</v>
      </c>
      <c r="K161" s="96">
        <f ca="1">SUM(J161:J172)</f>
        <v>41.671341916878035</v>
      </c>
      <c r="L161" s="149">
        <f ca="1">(0.000000675*K161*K161*K161)-(0.0000771*K161*K161)+(0.01792*K161)+0.49239</f>
        <v>1.1541008035867897</v>
      </c>
      <c r="M161" s="150">
        <f t="shared" ca="1" si="34"/>
        <v>0</v>
      </c>
    </row>
    <row r="162" spans="2:13" x14ac:dyDescent="0.25">
      <c r="B162" s="82">
        <f>IF(C162=1,B161+1,B161)</f>
        <v>7</v>
      </c>
      <c r="C162" s="82">
        <f>IF(C161&lt;12,C161+1,1)</f>
        <v>2</v>
      </c>
      <c r="D162" s="151">
        <f t="shared" ca="1" si="42"/>
        <v>-6.74</v>
      </c>
      <c r="E162" s="46">
        <f t="shared" ca="1" si="42"/>
        <v>-1.65</v>
      </c>
      <c r="F162" s="91">
        <f t="shared" si="33"/>
        <v>28</v>
      </c>
      <c r="G162" s="91">
        <f t="shared" ref="G162:G172" si="49">IF(C162=1,F162,F162+G161)</f>
        <v>59</v>
      </c>
      <c r="H162" s="46">
        <f>-23.44*COS(RADIANS(360/365*(INT(F162/2)+G161+10)))</f>
        <v>-13.695949189848957</v>
      </c>
      <c r="I162" s="45">
        <f>((12*60)+8+(H162/6.3)*I$3)/60</f>
        <v>10.321699842612571</v>
      </c>
      <c r="J162" s="45">
        <f t="shared" ref="J162:J172" ca="1" si="50">IF(D162&gt;0,POWER(D162/5,1.514),0)</f>
        <v>0</v>
      </c>
      <c r="K162" s="46">
        <f ca="1">K161</f>
        <v>41.671341916878035</v>
      </c>
      <c r="L162" s="151">
        <f t="shared" ca="1" si="27"/>
        <v>1.1541008035867897</v>
      </c>
      <c r="M162" s="152">
        <f t="shared" ca="1" si="34"/>
        <v>0</v>
      </c>
    </row>
    <row r="163" spans="2:13" x14ac:dyDescent="0.25">
      <c r="B163" s="82">
        <f t="shared" ref="B163:B173" si="51">IF(C163=1,B162+1,B162)</f>
        <v>7</v>
      </c>
      <c r="C163" s="82">
        <f t="shared" ref="C163:C172" si="52">IF(C162&lt;12,C162+1,1)</f>
        <v>3</v>
      </c>
      <c r="D163" s="151">
        <f t="shared" ca="1" si="42"/>
        <v>-0.57999999999999996</v>
      </c>
      <c r="E163" s="46">
        <f t="shared" ca="1" si="42"/>
        <v>4.68</v>
      </c>
      <c r="F163" s="91">
        <f t="shared" si="33"/>
        <v>31</v>
      </c>
      <c r="G163" s="91">
        <f t="shared" si="49"/>
        <v>90</v>
      </c>
      <c r="H163" s="46">
        <f t="shared" ref="H163:H172" si="53">-23.44*COS(RADIANS(360/365*(INT(F163/2)+G162+10)))</f>
        <v>-2.9177939455063431</v>
      </c>
      <c r="I163" s="45">
        <f t="shared" ref="I163:I172" si="54">((12*60)+8+(H163/6.3)*I$3)/60</f>
        <v>11.747381753239901</v>
      </c>
      <c r="J163" s="45">
        <f t="shared" ca="1" si="50"/>
        <v>0</v>
      </c>
      <c r="K163" s="46">
        <f t="shared" ref="K163:K172" ca="1" si="55">K162</f>
        <v>41.671341916878035</v>
      </c>
      <c r="L163" s="151">
        <f t="shared" ca="1" si="27"/>
        <v>1.1541008035867897</v>
      </c>
      <c r="M163" s="152">
        <f t="shared" ca="1" si="34"/>
        <v>0</v>
      </c>
    </row>
    <row r="164" spans="2:13" x14ac:dyDescent="0.25">
      <c r="B164" s="82">
        <f t="shared" si="51"/>
        <v>7</v>
      </c>
      <c r="C164" s="82">
        <f t="shared" si="52"/>
        <v>4</v>
      </c>
      <c r="D164" s="151">
        <f t="shared" ca="1" si="42"/>
        <v>7.18</v>
      </c>
      <c r="E164" s="46">
        <f t="shared" ca="1" si="42"/>
        <v>7.69</v>
      </c>
      <c r="F164" s="91">
        <f t="shared" si="33"/>
        <v>30</v>
      </c>
      <c r="G164" s="91">
        <f t="shared" si="49"/>
        <v>120</v>
      </c>
      <c r="H164" s="46">
        <f t="shared" si="53"/>
        <v>9.3184035667831076</v>
      </c>
      <c r="I164" s="45">
        <f t="shared" si="54"/>
        <v>13.365926397722633</v>
      </c>
      <c r="J164" s="45">
        <f t="shared" ca="1" si="50"/>
        <v>1.7295448242619065</v>
      </c>
      <c r="K164" s="46">
        <f t="shared" ca="1" si="55"/>
        <v>41.671341916878035</v>
      </c>
      <c r="L164" s="151">
        <f t="shared" ca="1" si="27"/>
        <v>1.1541008035867897</v>
      </c>
      <c r="M164" s="152">
        <f t="shared" ca="1" si="34"/>
        <v>33.391564704021405</v>
      </c>
    </row>
    <row r="165" spans="2:13" x14ac:dyDescent="0.25">
      <c r="B165" s="82">
        <f t="shared" si="51"/>
        <v>7</v>
      </c>
      <c r="C165" s="82">
        <f t="shared" si="52"/>
        <v>5</v>
      </c>
      <c r="D165" s="151">
        <f t="shared" ca="1" si="42"/>
        <v>14.05</v>
      </c>
      <c r="E165" s="46">
        <f t="shared" ca="1" si="42"/>
        <v>15.52</v>
      </c>
      <c r="F165" s="91">
        <f t="shared" si="33"/>
        <v>31</v>
      </c>
      <c r="G165" s="91">
        <f t="shared" si="49"/>
        <v>151</v>
      </c>
      <c r="H165" s="46">
        <f t="shared" si="53"/>
        <v>18.723388500456394</v>
      </c>
      <c r="I165" s="45">
        <f t="shared" si="54"/>
        <v>14.609972023869894</v>
      </c>
      <c r="J165" s="45">
        <f t="shared" ca="1" si="50"/>
        <v>4.7790477337950508</v>
      </c>
      <c r="K165" s="46">
        <f t="shared" ca="1" si="55"/>
        <v>41.671341916878035</v>
      </c>
      <c r="L165" s="151">
        <f t="shared" ca="1" si="27"/>
        <v>1.1541008035867897</v>
      </c>
      <c r="M165" s="152">
        <f t="shared" ca="1" si="34"/>
        <v>81.847946431392785</v>
      </c>
    </row>
    <row r="166" spans="2:13" x14ac:dyDescent="0.25">
      <c r="B166" s="82">
        <f t="shared" si="51"/>
        <v>7</v>
      </c>
      <c r="C166" s="82">
        <f t="shared" si="52"/>
        <v>6</v>
      </c>
      <c r="D166" s="151">
        <f t="shared" ca="1" si="42"/>
        <v>17.96</v>
      </c>
      <c r="E166" s="46">
        <f t="shared" ca="1" si="42"/>
        <v>17.8</v>
      </c>
      <c r="F166" s="91">
        <f t="shared" si="33"/>
        <v>30</v>
      </c>
      <c r="G166" s="91">
        <f t="shared" si="49"/>
        <v>181</v>
      </c>
      <c r="H166" s="46">
        <f t="shared" si="53"/>
        <v>23.293419845424015</v>
      </c>
      <c r="I166" s="45">
        <f t="shared" si="54"/>
        <v>15.214473524526987</v>
      </c>
      <c r="J166" s="45">
        <f t="shared" ca="1" si="50"/>
        <v>6.930733513927521</v>
      </c>
      <c r="K166" s="46">
        <f t="shared" ca="1" si="55"/>
        <v>41.671341916878035</v>
      </c>
      <c r="L166" s="151">
        <f t="shared" ca="1" si="27"/>
        <v>1.1541008035867897</v>
      </c>
      <c r="M166" s="152">
        <f t="shared" ca="1" si="34"/>
        <v>109.50568616025745</v>
      </c>
    </row>
    <row r="167" spans="2:13" x14ac:dyDescent="0.25">
      <c r="B167" s="82">
        <f t="shared" si="51"/>
        <v>7</v>
      </c>
      <c r="C167" s="82">
        <f t="shared" si="52"/>
        <v>7</v>
      </c>
      <c r="D167" s="151">
        <f t="shared" ca="1" si="42"/>
        <v>21.89</v>
      </c>
      <c r="E167" s="46">
        <f t="shared" ca="1" si="42"/>
        <v>22.99</v>
      </c>
      <c r="F167" s="91">
        <f t="shared" si="33"/>
        <v>31</v>
      </c>
      <c r="G167" s="91">
        <f t="shared" si="49"/>
        <v>212</v>
      </c>
      <c r="H167" s="46">
        <f t="shared" si="53"/>
        <v>21.54806313020423</v>
      </c>
      <c r="I167" s="45">
        <f t="shared" si="54"/>
        <v>14.983606234153998</v>
      </c>
      <c r="J167" s="45">
        <f t="shared" ca="1" si="50"/>
        <v>9.3517200283976578</v>
      </c>
      <c r="K167" s="46">
        <f t="shared" ca="1" si="55"/>
        <v>41.671341916878035</v>
      </c>
      <c r="L167" s="151">
        <f t="shared" ca="1" si="27"/>
        <v>1.1541008035867897</v>
      </c>
      <c r="M167" s="152">
        <f t="shared" ca="1" si="34"/>
        <v>140.02942220648777</v>
      </c>
    </row>
    <row r="168" spans="2:13" x14ac:dyDescent="0.25">
      <c r="B168" s="82">
        <f t="shared" si="51"/>
        <v>7</v>
      </c>
      <c r="C168" s="82">
        <f t="shared" si="52"/>
        <v>8</v>
      </c>
      <c r="D168" s="151">
        <f t="shared" ca="1" si="42"/>
        <v>20.350000000000001</v>
      </c>
      <c r="E168" s="46">
        <f t="shared" ca="1" si="42"/>
        <v>21.76</v>
      </c>
      <c r="F168" s="91">
        <f t="shared" si="33"/>
        <v>31</v>
      </c>
      <c r="G168" s="91">
        <f t="shared" si="49"/>
        <v>243</v>
      </c>
      <c r="H168" s="46">
        <f t="shared" si="53"/>
        <v>13.859168267602277</v>
      </c>
      <c r="I168" s="45">
        <f t="shared" si="54"/>
        <v>13.966556649153741</v>
      </c>
      <c r="J168" s="45">
        <f t="shared" ca="1" si="50"/>
        <v>8.373864623469478</v>
      </c>
      <c r="K168" s="46">
        <f t="shared" ca="1" si="55"/>
        <v>41.671341916878035</v>
      </c>
      <c r="L168" s="151">
        <f t="shared" ca="1" si="27"/>
        <v>1.1541008035867897</v>
      </c>
      <c r="M168" s="152">
        <f t="shared" ca="1" si="34"/>
        <v>119.98551598897782</v>
      </c>
    </row>
    <row r="169" spans="2:13" x14ac:dyDescent="0.25">
      <c r="B169" s="82">
        <f t="shared" si="51"/>
        <v>7</v>
      </c>
      <c r="C169" s="82">
        <f t="shared" si="52"/>
        <v>9</v>
      </c>
      <c r="D169" s="151">
        <f t="shared" ca="1" si="42"/>
        <v>17.38</v>
      </c>
      <c r="E169" s="46">
        <f t="shared" ca="1" si="42"/>
        <v>16.16</v>
      </c>
      <c r="F169" s="91">
        <f t="shared" si="33"/>
        <v>30</v>
      </c>
      <c r="G169" s="91">
        <f t="shared" si="49"/>
        <v>273</v>
      </c>
      <c r="H169" s="46">
        <f t="shared" si="53"/>
        <v>2.3163440518985223</v>
      </c>
      <c r="I169" s="45">
        <f t="shared" si="54"/>
        <v>12.439728049192926</v>
      </c>
      <c r="J169" s="45">
        <f t="shared" ca="1" si="50"/>
        <v>6.5946958181738831</v>
      </c>
      <c r="K169" s="46">
        <f t="shared" ca="1" si="55"/>
        <v>41.671341916878035</v>
      </c>
      <c r="L169" s="151">
        <f t="shared" ca="1" si="27"/>
        <v>1.1541008035867897</v>
      </c>
      <c r="M169" s="152">
        <f t="shared" ca="1" si="34"/>
        <v>86.205925852555339</v>
      </c>
    </row>
    <row r="170" spans="2:13" x14ac:dyDescent="0.25">
      <c r="B170" s="82">
        <f t="shared" si="51"/>
        <v>7</v>
      </c>
      <c r="C170" s="82">
        <f t="shared" si="52"/>
        <v>10</v>
      </c>
      <c r="D170" s="151">
        <f t="shared" ca="1" si="42"/>
        <v>9.61</v>
      </c>
      <c r="E170" s="46">
        <f t="shared" ca="1" si="42"/>
        <v>11.21</v>
      </c>
      <c r="F170" s="91">
        <f t="shared" si="33"/>
        <v>31</v>
      </c>
      <c r="G170" s="91">
        <f t="shared" si="49"/>
        <v>304</v>
      </c>
      <c r="H170" s="46">
        <f t="shared" si="53"/>
        <v>-9.5031790727583374</v>
      </c>
      <c r="I170" s="45">
        <f t="shared" si="54"/>
        <v>10.876299064449956</v>
      </c>
      <c r="J170" s="45">
        <f t="shared" ca="1" si="50"/>
        <v>2.6890731871946065</v>
      </c>
      <c r="K170" s="46">
        <f t="shared" ca="1" si="55"/>
        <v>41.671341916878035</v>
      </c>
      <c r="L170" s="151">
        <f t="shared" ca="1" si="27"/>
        <v>1.1541008035867897</v>
      </c>
      <c r="M170" s="152">
        <f t="shared" ca="1" si="34"/>
        <v>39.306758212629511</v>
      </c>
    </row>
    <row r="171" spans="2:13" x14ac:dyDescent="0.25">
      <c r="B171" s="82">
        <f t="shared" si="51"/>
        <v>7</v>
      </c>
      <c r="C171" s="82">
        <f t="shared" si="52"/>
        <v>11</v>
      </c>
      <c r="D171" s="151">
        <f t="shared" ca="1" si="42"/>
        <v>5.71</v>
      </c>
      <c r="E171" s="46">
        <f t="shared" ca="1" si="42"/>
        <v>1.8</v>
      </c>
      <c r="F171" s="91">
        <f t="shared" si="33"/>
        <v>30</v>
      </c>
      <c r="G171" s="91">
        <f t="shared" si="49"/>
        <v>334</v>
      </c>
      <c r="H171" s="46">
        <f t="shared" si="53"/>
        <v>-19.081240431832619</v>
      </c>
      <c r="I171" s="45">
        <f t="shared" si="54"/>
        <v>9.6093597312390706</v>
      </c>
      <c r="J171" s="45">
        <f t="shared" ca="1" si="50"/>
        <v>1.2226621876579311</v>
      </c>
      <c r="K171" s="46">
        <f t="shared" ca="1" si="55"/>
        <v>41.671341916878035</v>
      </c>
      <c r="L171" s="151">
        <f t="shared" ca="1" si="27"/>
        <v>1.1541008035867897</v>
      </c>
      <c r="M171" s="152">
        <f t="shared" ca="1" si="34"/>
        <v>18.42945906677128</v>
      </c>
    </row>
    <row r="172" spans="2:13" x14ac:dyDescent="0.25">
      <c r="B172" s="82">
        <f t="shared" si="51"/>
        <v>7</v>
      </c>
      <c r="C172" s="82">
        <f t="shared" si="52"/>
        <v>12</v>
      </c>
      <c r="D172" s="151">
        <f t="shared" ca="1" si="42"/>
        <v>-0.46</v>
      </c>
      <c r="E172" s="46">
        <f t="shared" ca="1" si="42"/>
        <v>-0.63</v>
      </c>
      <c r="F172" s="91">
        <f t="shared" si="33"/>
        <v>31</v>
      </c>
      <c r="G172" s="91">
        <f t="shared" si="49"/>
        <v>365</v>
      </c>
      <c r="H172" s="46">
        <f t="shared" si="53"/>
        <v>-23.315084018726054</v>
      </c>
      <c r="I172" s="45">
        <f t="shared" si="54"/>
        <v>9.0493275107505209</v>
      </c>
      <c r="J172" s="45">
        <f t="shared" ca="1" si="50"/>
        <v>0</v>
      </c>
      <c r="K172" s="46">
        <f t="shared" ca="1" si="55"/>
        <v>41.671341916878035</v>
      </c>
      <c r="L172" s="151">
        <f t="shared" ca="1" si="27"/>
        <v>1.1541008035867897</v>
      </c>
      <c r="M172" s="152">
        <f t="shared" ca="1" si="34"/>
        <v>0</v>
      </c>
    </row>
    <row r="173" spans="2:13" x14ac:dyDescent="0.25">
      <c r="B173" s="148">
        <f t="shared" si="51"/>
        <v>8</v>
      </c>
      <c r="C173" s="148">
        <v>1</v>
      </c>
      <c r="D173" s="149">
        <f t="shared" ca="1" si="42"/>
        <v>-3.44</v>
      </c>
      <c r="E173" s="96">
        <f t="shared" ca="1" si="42"/>
        <v>-5.04</v>
      </c>
      <c r="F173" s="71">
        <f t="shared" si="33"/>
        <v>31</v>
      </c>
      <c r="G173" s="71">
        <f>IF(C173=1,F173,F173+G172)</f>
        <v>31</v>
      </c>
      <c r="H173" s="96">
        <f>-23.44*COS(RADIANS((360/365)*(INT(F173/2)+10)))</f>
        <v>-21.30268541923795</v>
      </c>
      <c r="I173" s="72">
        <f>((12*60)+8+(H173/6.3)*I$3)/60</f>
        <v>9.3155178016881006</v>
      </c>
      <c r="J173" s="72">
        <f ca="1">IF(D173&gt;0,POWER(D173/5,1.514),0)</f>
        <v>0</v>
      </c>
      <c r="K173" s="96">
        <f ca="1">SUM(J173:J184)</f>
        <v>44.071991738651064</v>
      </c>
      <c r="L173" s="149">
        <f ca="1">(0.000000675*K173*K173*K173)-(0.0000771*K173*K173)+(0.01792*K173)+0.49239</f>
        <v>1.1901875412660159</v>
      </c>
      <c r="M173" s="150">
        <f t="shared" ca="1" si="34"/>
        <v>0</v>
      </c>
    </row>
    <row r="174" spans="2:13" x14ac:dyDescent="0.25">
      <c r="B174" s="82">
        <f>IF(C174=1,B173+1,B173)</f>
        <v>8</v>
      </c>
      <c r="C174" s="82">
        <f>IF(C173&lt;12,C173+1,1)</f>
        <v>2</v>
      </c>
      <c r="D174" s="151">
        <f t="shared" ca="1" si="42"/>
        <v>-1.65</v>
      </c>
      <c r="E174" s="46">
        <f t="shared" ca="1" si="42"/>
        <v>-4.4400000000000004</v>
      </c>
      <c r="F174" s="91">
        <f t="shared" si="33"/>
        <v>28</v>
      </c>
      <c r="G174" s="91">
        <f t="shared" ref="G174:G184" si="56">IF(C174=1,F174,F174+G173)</f>
        <v>59</v>
      </c>
      <c r="H174" s="46">
        <f>-23.44*COS(RADIANS(360/365*(INT(F174/2)+G173+10)))</f>
        <v>-13.695949189848957</v>
      </c>
      <c r="I174" s="45">
        <f>((12*60)+8+(H174/6.3)*I$3)/60</f>
        <v>10.321699842612571</v>
      </c>
      <c r="J174" s="45">
        <f t="shared" ref="J174:J184" ca="1" si="57">IF(D174&gt;0,POWER(D174/5,1.514),0)</f>
        <v>0</v>
      </c>
      <c r="K174" s="46">
        <f ca="1">K173</f>
        <v>44.071991738651064</v>
      </c>
      <c r="L174" s="151">
        <f t="shared" ca="1" si="27"/>
        <v>1.1901875412660159</v>
      </c>
      <c r="M174" s="152">
        <f t="shared" ca="1" si="34"/>
        <v>0</v>
      </c>
    </row>
    <row r="175" spans="2:13" x14ac:dyDescent="0.25">
      <c r="B175" s="82">
        <f t="shared" ref="B175:B185" si="58">IF(C175=1,B174+1,B174)</f>
        <v>8</v>
      </c>
      <c r="C175" s="82">
        <f t="shared" ref="C175:C184" si="59">IF(C174&lt;12,C174+1,1)</f>
        <v>3</v>
      </c>
      <c r="D175" s="151">
        <f t="shared" ca="1" si="42"/>
        <v>4.68</v>
      </c>
      <c r="E175" s="46">
        <f t="shared" ca="1" si="42"/>
        <v>-0.82</v>
      </c>
      <c r="F175" s="91">
        <f t="shared" si="33"/>
        <v>31</v>
      </c>
      <c r="G175" s="91">
        <f t="shared" si="56"/>
        <v>90</v>
      </c>
      <c r="H175" s="46">
        <f t="shared" ref="H175:H184" si="60">-23.44*COS(RADIANS(360/365*(INT(F175/2)+G174+10)))</f>
        <v>-2.9177939455063431</v>
      </c>
      <c r="I175" s="45">
        <f t="shared" ref="I175:I184" si="61">((12*60)+8+(H175/6.3)*I$3)/60</f>
        <v>11.747381753239901</v>
      </c>
      <c r="J175" s="45">
        <f t="shared" ca="1" si="57"/>
        <v>0.90471467522023186</v>
      </c>
      <c r="K175" s="46">
        <f t="shared" ref="K175:K184" ca="1" si="62">K174</f>
        <v>44.071991738651064</v>
      </c>
      <c r="L175" s="151">
        <f t="shared" ca="1" si="27"/>
        <v>1.1901875412660159</v>
      </c>
      <c r="M175" s="152">
        <f t="shared" ca="1" si="34"/>
        <v>17.384577001965777</v>
      </c>
    </row>
    <row r="176" spans="2:13" x14ac:dyDescent="0.25">
      <c r="B176" s="82">
        <f t="shared" si="58"/>
        <v>8</v>
      </c>
      <c r="C176" s="82">
        <f t="shared" si="59"/>
        <v>4</v>
      </c>
      <c r="D176" s="151">
        <f t="shared" ca="1" si="42"/>
        <v>7.69</v>
      </c>
      <c r="E176" s="46">
        <f t="shared" ca="1" si="42"/>
        <v>6.18</v>
      </c>
      <c r="F176" s="91">
        <f t="shared" si="33"/>
        <v>30</v>
      </c>
      <c r="G176" s="91">
        <f t="shared" si="56"/>
        <v>120</v>
      </c>
      <c r="H176" s="46">
        <f t="shared" si="60"/>
        <v>9.3184035667831076</v>
      </c>
      <c r="I176" s="45">
        <f t="shared" si="61"/>
        <v>13.365926397722633</v>
      </c>
      <c r="J176" s="45">
        <f t="shared" ca="1" si="57"/>
        <v>1.9188980074666762</v>
      </c>
      <c r="K176" s="46">
        <f t="shared" ca="1" si="62"/>
        <v>44.071991738651064</v>
      </c>
      <c r="L176" s="151">
        <f t="shared" ca="1" si="27"/>
        <v>1.1901875412660159</v>
      </c>
      <c r="M176" s="152">
        <f t="shared" ca="1" si="34"/>
        <v>34.568608660195082</v>
      </c>
    </row>
    <row r="177" spans="2:13" x14ac:dyDescent="0.25">
      <c r="B177" s="82">
        <f t="shared" si="58"/>
        <v>8</v>
      </c>
      <c r="C177" s="82">
        <f t="shared" si="59"/>
        <v>5</v>
      </c>
      <c r="D177" s="151">
        <f t="shared" ca="1" si="42"/>
        <v>15.52</v>
      </c>
      <c r="E177" s="46">
        <f t="shared" ca="1" si="42"/>
        <v>13.58</v>
      </c>
      <c r="F177" s="91">
        <f t="shared" si="33"/>
        <v>31</v>
      </c>
      <c r="G177" s="91">
        <f t="shared" si="56"/>
        <v>151</v>
      </c>
      <c r="H177" s="46">
        <f t="shared" si="60"/>
        <v>18.723388500456394</v>
      </c>
      <c r="I177" s="45">
        <f t="shared" si="61"/>
        <v>14.609972023869894</v>
      </c>
      <c r="J177" s="45">
        <f t="shared" ca="1" si="57"/>
        <v>5.5560925694085732</v>
      </c>
      <c r="K177" s="46">
        <f t="shared" ca="1" si="62"/>
        <v>44.071991738651064</v>
      </c>
      <c r="L177" s="151">
        <f t="shared" ca="1" si="27"/>
        <v>1.1901875412660159</v>
      </c>
      <c r="M177" s="152">
        <f t="shared" ca="1" si="34"/>
        <v>90.06139106270345</v>
      </c>
    </row>
    <row r="178" spans="2:13" x14ac:dyDescent="0.25">
      <c r="B178" s="82">
        <f t="shared" si="58"/>
        <v>8</v>
      </c>
      <c r="C178" s="82">
        <f t="shared" si="59"/>
        <v>6</v>
      </c>
      <c r="D178" s="151">
        <f t="shared" ca="1" si="42"/>
        <v>17.8</v>
      </c>
      <c r="E178" s="46">
        <f t="shared" ca="1" si="42"/>
        <v>18.37</v>
      </c>
      <c r="F178" s="91">
        <f t="shared" si="33"/>
        <v>30</v>
      </c>
      <c r="G178" s="91">
        <f t="shared" si="56"/>
        <v>181</v>
      </c>
      <c r="H178" s="46">
        <f t="shared" si="60"/>
        <v>23.293419845424015</v>
      </c>
      <c r="I178" s="45">
        <f t="shared" si="61"/>
        <v>15.214473524526987</v>
      </c>
      <c r="J178" s="45">
        <f t="shared" ca="1" si="57"/>
        <v>6.8374678445158557</v>
      </c>
      <c r="K178" s="46">
        <f t="shared" ca="1" si="62"/>
        <v>44.071991738651064</v>
      </c>
      <c r="L178" s="151">
        <f t="shared" ca="1" si="27"/>
        <v>1.1901875412660159</v>
      </c>
      <c r="M178" s="152">
        <f t="shared" ca="1" si="34"/>
        <v>106.84533858709305</v>
      </c>
    </row>
    <row r="179" spans="2:13" x14ac:dyDescent="0.25">
      <c r="B179" s="82">
        <f t="shared" si="58"/>
        <v>8</v>
      </c>
      <c r="C179" s="82">
        <f t="shared" si="59"/>
        <v>7</v>
      </c>
      <c r="D179" s="151">
        <f t="shared" ca="1" si="42"/>
        <v>22.99</v>
      </c>
      <c r="E179" s="46">
        <f t="shared" ca="1" si="42"/>
        <v>22.71</v>
      </c>
      <c r="F179" s="91">
        <f t="shared" si="33"/>
        <v>31</v>
      </c>
      <c r="G179" s="91">
        <f t="shared" si="56"/>
        <v>212</v>
      </c>
      <c r="H179" s="46">
        <f t="shared" si="60"/>
        <v>21.54806313020423</v>
      </c>
      <c r="I179" s="45">
        <f t="shared" si="61"/>
        <v>14.983606234153998</v>
      </c>
      <c r="J179" s="45">
        <f t="shared" ca="1" si="57"/>
        <v>10.072317703469869</v>
      </c>
      <c r="K179" s="46">
        <f t="shared" ca="1" si="62"/>
        <v>44.071991738651064</v>
      </c>
      <c r="L179" s="151">
        <f t="shared" ca="1" si="27"/>
        <v>1.1901875412660159</v>
      </c>
      <c r="M179" s="152">
        <f t="shared" ca="1" si="34"/>
        <v>147.43746454006248</v>
      </c>
    </row>
    <row r="180" spans="2:13" x14ac:dyDescent="0.25">
      <c r="B180" s="82">
        <f t="shared" si="58"/>
        <v>8</v>
      </c>
      <c r="C180" s="82">
        <f t="shared" si="59"/>
        <v>8</v>
      </c>
      <c r="D180" s="151">
        <f t="shared" ca="1" si="42"/>
        <v>21.76</v>
      </c>
      <c r="E180" s="46">
        <f t="shared" ca="1" si="42"/>
        <v>19.329999999999998</v>
      </c>
      <c r="F180" s="91">
        <f t="shared" si="33"/>
        <v>31</v>
      </c>
      <c r="G180" s="91">
        <f t="shared" si="56"/>
        <v>243</v>
      </c>
      <c r="H180" s="46">
        <f t="shared" si="60"/>
        <v>13.859168267602277</v>
      </c>
      <c r="I180" s="45">
        <f t="shared" si="61"/>
        <v>13.966556649153741</v>
      </c>
      <c r="J180" s="45">
        <f t="shared" ca="1" si="57"/>
        <v>9.2677641777586395</v>
      </c>
      <c r="K180" s="46">
        <f t="shared" ca="1" si="62"/>
        <v>44.071991738651064</v>
      </c>
      <c r="L180" s="151">
        <f t="shared" ca="1" si="27"/>
        <v>1.1901875412660159</v>
      </c>
      <c r="M180" s="152">
        <f t="shared" ca="1" si="34"/>
        <v>128.72386632301649</v>
      </c>
    </row>
    <row r="181" spans="2:13" x14ac:dyDescent="0.25">
      <c r="B181" s="82">
        <f t="shared" si="58"/>
        <v>8</v>
      </c>
      <c r="C181" s="82">
        <f t="shared" si="59"/>
        <v>9</v>
      </c>
      <c r="D181" s="151">
        <f t="shared" ca="1" si="42"/>
        <v>16.16</v>
      </c>
      <c r="E181" s="46">
        <f t="shared" ca="1" si="42"/>
        <v>15.36</v>
      </c>
      <c r="F181" s="91">
        <f t="shared" si="33"/>
        <v>30</v>
      </c>
      <c r="G181" s="91">
        <f t="shared" si="56"/>
        <v>273</v>
      </c>
      <c r="H181" s="46">
        <f t="shared" si="60"/>
        <v>2.3163440518985223</v>
      </c>
      <c r="I181" s="45">
        <f t="shared" si="61"/>
        <v>12.439728049192926</v>
      </c>
      <c r="J181" s="45">
        <f t="shared" ca="1" si="57"/>
        <v>5.9066280989094047</v>
      </c>
      <c r="K181" s="46">
        <f t="shared" ca="1" si="62"/>
        <v>44.071991738651064</v>
      </c>
      <c r="L181" s="151">
        <f t="shared" ca="1" si="27"/>
        <v>1.1901875412660159</v>
      </c>
      <c r="M181" s="152">
        <f t="shared" ca="1" si="34"/>
        <v>77.865858403484552</v>
      </c>
    </row>
    <row r="182" spans="2:13" x14ac:dyDescent="0.25">
      <c r="B182" s="82">
        <f t="shared" si="58"/>
        <v>8</v>
      </c>
      <c r="C182" s="82">
        <f t="shared" si="59"/>
        <v>10</v>
      </c>
      <c r="D182" s="151">
        <f t="shared" ca="1" si="42"/>
        <v>11.21</v>
      </c>
      <c r="E182" s="46">
        <f t="shared" ca="1" si="42"/>
        <v>10.24</v>
      </c>
      <c r="F182" s="91">
        <f t="shared" si="33"/>
        <v>31</v>
      </c>
      <c r="G182" s="91">
        <f t="shared" si="56"/>
        <v>304</v>
      </c>
      <c r="H182" s="46">
        <f t="shared" si="60"/>
        <v>-9.5031790727583374</v>
      </c>
      <c r="I182" s="45">
        <f t="shared" si="61"/>
        <v>10.876299064449956</v>
      </c>
      <c r="J182" s="45">
        <f t="shared" ca="1" si="57"/>
        <v>3.3951761456887883</v>
      </c>
      <c r="K182" s="46">
        <f t="shared" ca="1" si="62"/>
        <v>44.071991738651064</v>
      </c>
      <c r="L182" s="151">
        <f t="shared" ca="1" si="27"/>
        <v>1.1901875412660159</v>
      </c>
      <c r="M182" s="152">
        <f t="shared" ca="1" si="34"/>
        <v>45.521173159611457</v>
      </c>
    </row>
    <row r="183" spans="2:13" x14ac:dyDescent="0.25">
      <c r="B183" s="82">
        <f t="shared" si="58"/>
        <v>8</v>
      </c>
      <c r="C183" s="82">
        <f t="shared" si="59"/>
        <v>11</v>
      </c>
      <c r="D183" s="151">
        <f t="shared" ca="1" si="42"/>
        <v>1.8</v>
      </c>
      <c r="E183" s="46">
        <f t="shared" ca="1" si="42"/>
        <v>1.6</v>
      </c>
      <c r="F183" s="91">
        <f t="shared" si="33"/>
        <v>30</v>
      </c>
      <c r="G183" s="91">
        <f t="shared" si="56"/>
        <v>334</v>
      </c>
      <c r="H183" s="46">
        <f t="shared" si="60"/>
        <v>-19.081240431832619</v>
      </c>
      <c r="I183" s="45">
        <f t="shared" si="61"/>
        <v>9.6093597312390706</v>
      </c>
      <c r="J183" s="45">
        <f t="shared" ca="1" si="57"/>
        <v>0.21293251621302292</v>
      </c>
      <c r="K183" s="46">
        <f t="shared" ca="1" si="62"/>
        <v>44.071991738651064</v>
      </c>
      <c r="L183" s="151">
        <f t="shared" ca="1" si="27"/>
        <v>1.1901875412660159</v>
      </c>
      <c r="M183" s="152">
        <f t="shared" ca="1" si="34"/>
        <v>4.4134778332509157</v>
      </c>
    </row>
    <row r="184" spans="2:13" x14ac:dyDescent="0.25">
      <c r="B184" s="82">
        <f t="shared" si="58"/>
        <v>8</v>
      </c>
      <c r="C184" s="82">
        <f t="shared" si="59"/>
        <v>12</v>
      </c>
      <c r="D184" s="151">
        <f t="shared" ca="1" si="42"/>
        <v>-0.63</v>
      </c>
      <c r="E184" s="46">
        <f t="shared" ca="1" si="42"/>
        <v>-3.59</v>
      </c>
      <c r="F184" s="91">
        <f t="shared" si="33"/>
        <v>31</v>
      </c>
      <c r="G184" s="91">
        <f t="shared" si="56"/>
        <v>365</v>
      </c>
      <c r="H184" s="46">
        <f t="shared" si="60"/>
        <v>-23.315084018726054</v>
      </c>
      <c r="I184" s="45">
        <f t="shared" si="61"/>
        <v>9.0493275107505209</v>
      </c>
      <c r="J184" s="45">
        <f t="shared" ca="1" si="57"/>
        <v>0</v>
      </c>
      <c r="K184" s="46">
        <f t="shared" ca="1" si="62"/>
        <v>44.071991738651064</v>
      </c>
      <c r="L184" s="151">
        <f t="shared" ca="1" si="27"/>
        <v>1.1901875412660159</v>
      </c>
      <c r="M184" s="152">
        <f t="shared" ca="1" si="34"/>
        <v>0</v>
      </c>
    </row>
    <row r="185" spans="2:13" x14ac:dyDescent="0.25">
      <c r="B185" s="148">
        <f t="shared" si="58"/>
        <v>9</v>
      </c>
      <c r="C185" s="148">
        <v>1</v>
      </c>
      <c r="D185" s="149">
        <f t="shared" ca="1" si="42"/>
        <v>-5.04</v>
      </c>
      <c r="E185" s="96">
        <f t="shared" ca="1" si="42"/>
        <v>-7.32</v>
      </c>
      <c r="F185" s="71">
        <f t="shared" si="33"/>
        <v>31</v>
      </c>
      <c r="G185" s="71">
        <f>IF(C185=1,F185,F185+G184)</f>
        <v>31</v>
      </c>
      <c r="H185" s="96">
        <f>-23.44*COS(RADIANS((360/365)*(INT(F185/2)+10)))</f>
        <v>-21.30268541923795</v>
      </c>
      <c r="I185" s="72">
        <f>((12*60)+8+(H185/6.3)*I$3)/60</f>
        <v>9.3155178016881006</v>
      </c>
      <c r="J185" s="72">
        <f ca="1">IF(D185&gt;0,POWER(D185/5,1.514),0)</f>
        <v>0</v>
      </c>
      <c r="K185" s="96">
        <f ca="1">SUM(J185:J196)</f>
        <v>39.330997619301613</v>
      </c>
      <c r="L185" s="149">
        <f ca="1">(0.000000675*K185*K185*K185)-(0.0000771*K185*K185)+(0.01792*K185)+0.49239</f>
        <v>1.1190018596993765</v>
      </c>
      <c r="M185" s="150">
        <f t="shared" ca="1" si="34"/>
        <v>0</v>
      </c>
    </row>
    <row r="186" spans="2:13" x14ac:dyDescent="0.25">
      <c r="B186" s="82">
        <f>IF(C186=1,B185+1,B185)</f>
        <v>9</v>
      </c>
      <c r="C186" s="82">
        <f>IF(C185&lt;12,C185+1,1)</f>
        <v>2</v>
      </c>
      <c r="D186" s="151">
        <f t="shared" ca="1" si="42"/>
        <v>-4.4400000000000004</v>
      </c>
      <c r="E186" s="46">
        <f t="shared" ca="1" si="42"/>
        <v>-7.56</v>
      </c>
      <c r="F186" s="91">
        <f t="shared" si="33"/>
        <v>28</v>
      </c>
      <c r="G186" s="91">
        <f t="shared" ref="G186:G196" si="63">IF(C186=1,F186,F186+G185)</f>
        <v>59</v>
      </c>
      <c r="H186" s="46">
        <f>-23.44*COS(RADIANS(360/365*(INT(F186/2)+G185+10)))</f>
        <v>-13.695949189848957</v>
      </c>
      <c r="I186" s="45">
        <f>((12*60)+8+(H186/6.3)*I$3)/60</f>
        <v>10.321699842612571</v>
      </c>
      <c r="J186" s="45">
        <f t="shared" ref="J186:J196" ca="1" si="64">IF(D186&gt;0,POWER(D186/5,1.514),0)</f>
        <v>0</v>
      </c>
      <c r="K186" s="46">
        <f ca="1">K185</f>
        <v>39.330997619301613</v>
      </c>
      <c r="L186" s="151">
        <f t="shared" ca="1" si="27"/>
        <v>1.1190018596993765</v>
      </c>
      <c r="M186" s="152">
        <f t="shared" ca="1" si="34"/>
        <v>0</v>
      </c>
    </row>
    <row r="187" spans="2:13" x14ac:dyDescent="0.25">
      <c r="B187" s="82">
        <f t="shared" ref="B187:B197" si="65">IF(C187=1,B186+1,B186)</f>
        <v>9</v>
      </c>
      <c r="C187" s="82">
        <f t="shared" ref="C187:C196" si="66">IF(C186&lt;12,C186+1,1)</f>
        <v>3</v>
      </c>
      <c r="D187" s="151">
        <f t="shared" ca="1" si="42"/>
        <v>-0.82</v>
      </c>
      <c r="E187" s="46">
        <f t="shared" ca="1" si="42"/>
        <v>-3.72</v>
      </c>
      <c r="F187" s="91">
        <f t="shared" si="33"/>
        <v>31</v>
      </c>
      <c r="G187" s="91">
        <f t="shared" si="63"/>
        <v>90</v>
      </c>
      <c r="H187" s="46">
        <f t="shared" ref="H187:H196" si="67">-23.44*COS(RADIANS(360/365*(INT(F187/2)+G186+10)))</f>
        <v>-2.9177939455063431</v>
      </c>
      <c r="I187" s="45">
        <f t="shared" ref="I187:I196" si="68">((12*60)+8+(H187/6.3)*I$3)/60</f>
        <v>11.747381753239901</v>
      </c>
      <c r="J187" s="45">
        <f t="shared" ca="1" si="64"/>
        <v>0</v>
      </c>
      <c r="K187" s="46">
        <f t="shared" ref="K187:K196" ca="1" si="69">K186</f>
        <v>39.330997619301613</v>
      </c>
      <c r="L187" s="151">
        <f t="shared" ca="1" si="27"/>
        <v>1.1190018596993765</v>
      </c>
      <c r="M187" s="152">
        <f t="shared" ca="1" si="34"/>
        <v>0</v>
      </c>
    </row>
    <row r="188" spans="2:13" x14ac:dyDescent="0.25">
      <c r="B188" s="82">
        <f t="shared" si="65"/>
        <v>9</v>
      </c>
      <c r="C188" s="82">
        <f t="shared" si="66"/>
        <v>4</v>
      </c>
      <c r="D188" s="151">
        <f t="shared" ca="1" si="42"/>
        <v>6.18</v>
      </c>
      <c r="E188" s="46">
        <f t="shared" ca="1" si="42"/>
        <v>5.88</v>
      </c>
      <c r="F188" s="91">
        <f t="shared" si="33"/>
        <v>30</v>
      </c>
      <c r="G188" s="91">
        <f t="shared" si="63"/>
        <v>120</v>
      </c>
      <c r="H188" s="46">
        <f t="shared" si="67"/>
        <v>9.3184035667831076</v>
      </c>
      <c r="I188" s="45">
        <f t="shared" si="68"/>
        <v>13.365926397722633</v>
      </c>
      <c r="J188" s="45">
        <f t="shared" ca="1" si="64"/>
        <v>1.3782118024574956</v>
      </c>
      <c r="K188" s="46">
        <f t="shared" ca="1" si="69"/>
        <v>39.330997619301613</v>
      </c>
      <c r="L188" s="151">
        <f t="shared" ca="1" si="27"/>
        <v>1.1190018596993765</v>
      </c>
      <c r="M188" s="152">
        <f t="shared" ca="1" si="34"/>
        <v>29.549208174313272</v>
      </c>
    </row>
    <row r="189" spans="2:13" x14ac:dyDescent="0.25">
      <c r="B189" s="82">
        <f t="shared" si="65"/>
        <v>9</v>
      </c>
      <c r="C189" s="82">
        <f t="shared" si="66"/>
        <v>5</v>
      </c>
      <c r="D189" s="151">
        <f t="shared" ca="1" si="42"/>
        <v>13.58</v>
      </c>
      <c r="E189" s="46">
        <f t="shared" ca="1" si="42"/>
        <v>13.3</v>
      </c>
      <c r="F189" s="91">
        <f t="shared" si="33"/>
        <v>31</v>
      </c>
      <c r="G189" s="91">
        <f t="shared" si="63"/>
        <v>151</v>
      </c>
      <c r="H189" s="46">
        <f t="shared" si="67"/>
        <v>18.723388500456394</v>
      </c>
      <c r="I189" s="45">
        <f t="shared" si="68"/>
        <v>14.609972023869894</v>
      </c>
      <c r="J189" s="45">
        <f t="shared" ca="1" si="64"/>
        <v>4.5390991056356045</v>
      </c>
      <c r="K189" s="46">
        <f t="shared" ca="1" si="69"/>
        <v>39.330997619301613</v>
      </c>
      <c r="L189" s="151">
        <f t="shared" ca="1" si="27"/>
        <v>1.1190018596993765</v>
      </c>
      <c r="M189" s="152">
        <f t="shared" ca="1" si="34"/>
        <v>80.544516830746517</v>
      </c>
    </row>
    <row r="190" spans="2:13" x14ac:dyDescent="0.25">
      <c r="B190" s="82">
        <f t="shared" si="65"/>
        <v>9</v>
      </c>
      <c r="C190" s="82">
        <f t="shared" si="66"/>
        <v>6</v>
      </c>
      <c r="D190" s="151">
        <f t="shared" ca="1" si="42"/>
        <v>18.37</v>
      </c>
      <c r="E190" s="46">
        <f t="shared" ca="1" si="42"/>
        <v>18.579999999999998</v>
      </c>
      <c r="F190" s="91">
        <f t="shared" si="33"/>
        <v>30</v>
      </c>
      <c r="G190" s="91">
        <f t="shared" si="63"/>
        <v>181</v>
      </c>
      <c r="H190" s="46">
        <f t="shared" si="67"/>
        <v>23.293419845424015</v>
      </c>
      <c r="I190" s="45">
        <f t="shared" si="68"/>
        <v>15.214473524526987</v>
      </c>
      <c r="J190" s="45">
        <f t="shared" ca="1" si="64"/>
        <v>7.1716762507596643</v>
      </c>
      <c r="K190" s="46">
        <f t="shared" ca="1" si="69"/>
        <v>39.330997619301613</v>
      </c>
      <c r="L190" s="151">
        <f t="shared" ref="L190:L196" ca="1" si="70">(0.000000675*K190*K190*K190)-(0.0000771*K190*K190)+(0.01792*K190)+0.49239</f>
        <v>1.1190018596993765</v>
      </c>
      <c r="M190" s="152">
        <f t="shared" ca="1" si="34"/>
        <v>113.82211030651411</v>
      </c>
    </row>
    <row r="191" spans="2:13" x14ac:dyDescent="0.25">
      <c r="B191" s="82">
        <f t="shared" si="65"/>
        <v>9</v>
      </c>
      <c r="C191" s="82">
        <f t="shared" si="66"/>
        <v>7</v>
      </c>
      <c r="D191" s="151">
        <f t="shared" ca="1" si="42"/>
        <v>22.71</v>
      </c>
      <c r="E191" s="46">
        <f t="shared" ca="1" si="42"/>
        <v>20.88</v>
      </c>
      <c r="F191" s="91">
        <f t="shared" si="33"/>
        <v>31</v>
      </c>
      <c r="G191" s="91">
        <f t="shared" si="63"/>
        <v>212</v>
      </c>
      <c r="H191" s="46">
        <f t="shared" si="67"/>
        <v>21.54806313020423</v>
      </c>
      <c r="I191" s="45">
        <f t="shared" si="68"/>
        <v>14.983606234153998</v>
      </c>
      <c r="J191" s="45">
        <f t="shared" ca="1" si="64"/>
        <v>9.8871734869474377</v>
      </c>
      <c r="K191" s="46">
        <f t="shared" ca="1" si="69"/>
        <v>39.330997619301613</v>
      </c>
      <c r="L191" s="151">
        <f t="shared" ca="1" si="70"/>
        <v>1.1190018596993765</v>
      </c>
      <c r="M191" s="152">
        <f t="shared" ca="1" si="34"/>
        <v>146.85728452078237</v>
      </c>
    </row>
    <row r="192" spans="2:13" x14ac:dyDescent="0.25">
      <c r="B192" s="82">
        <f t="shared" si="65"/>
        <v>9</v>
      </c>
      <c r="C192" s="82">
        <f t="shared" si="66"/>
        <v>8</v>
      </c>
      <c r="D192" s="151">
        <f t="shared" ca="1" si="42"/>
        <v>19.329999999999998</v>
      </c>
      <c r="E192" s="46">
        <f t="shared" ca="1" si="42"/>
        <v>19.38</v>
      </c>
      <c r="F192" s="91">
        <f t="shared" si="33"/>
        <v>31</v>
      </c>
      <c r="G192" s="91">
        <f t="shared" si="63"/>
        <v>243</v>
      </c>
      <c r="H192" s="46">
        <f t="shared" si="67"/>
        <v>13.859168267602277</v>
      </c>
      <c r="I192" s="45">
        <f t="shared" si="68"/>
        <v>13.966556649153741</v>
      </c>
      <c r="J192" s="45">
        <f t="shared" ca="1" si="64"/>
        <v>7.7466590222180454</v>
      </c>
      <c r="K192" s="46">
        <f t="shared" ca="1" si="69"/>
        <v>39.330997619301613</v>
      </c>
      <c r="L192" s="151">
        <f t="shared" ca="1" si="70"/>
        <v>1.1190018596993765</v>
      </c>
      <c r="M192" s="152">
        <f t="shared" ca="1" si="34"/>
        <v>114.30226351653141</v>
      </c>
    </row>
    <row r="193" spans="2:13" x14ac:dyDescent="0.25">
      <c r="B193" s="82">
        <f t="shared" si="65"/>
        <v>9</v>
      </c>
      <c r="C193" s="82">
        <f t="shared" si="66"/>
        <v>9</v>
      </c>
      <c r="D193" s="151">
        <f t="shared" ca="1" si="42"/>
        <v>15.36</v>
      </c>
      <c r="E193" s="46">
        <f t="shared" ca="1" si="42"/>
        <v>16.57</v>
      </c>
      <c r="F193" s="91">
        <f t="shared" si="33"/>
        <v>30</v>
      </c>
      <c r="G193" s="91">
        <f t="shared" si="63"/>
        <v>273</v>
      </c>
      <c r="H193" s="46">
        <f t="shared" si="67"/>
        <v>2.3163440518985223</v>
      </c>
      <c r="I193" s="45">
        <f t="shared" si="68"/>
        <v>12.439728049192926</v>
      </c>
      <c r="J193" s="45">
        <f t="shared" ca="1" si="64"/>
        <v>5.4696018526888652</v>
      </c>
      <c r="K193" s="46">
        <f t="shared" ca="1" si="69"/>
        <v>39.330997619301613</v>
      </c>
      <c r="L193" s="151">
        <f t="shared" ca="1" si="70"/>
        <v>1.1190018596993765</v>
      </c>
      <c r="M193" s="152">
        <f t="shared" ca="1" si="34"/>
        <v>76.17528199079841</v>
      </c>
    </row>
    <row r="194" spans="2:13" x14ac:dyDescent="0.25">
      <c r="B194" s="82">
        <f t="shared" si="65"/>
        <v>9</v>
      </c>
      <c r="C194" s="82">
        <f t="shared" si="66"/>
        <v>10</v>
      </c>
      <c r="D194" s="151">
        <f t="shared" ca="1" si="42"/>
        <v>10.24</v>
      </c>
      <c r="E194" s="46">
        <f t="shared" ca="1" si="42"/>
        <v>10.87</v>
      </c>
      <c r="F194" s="91">
        <f t="shared" si="33"/>
        <v>31</v>
      </c>
      <c r="G194" s="91">
        <f t="shared" si="63"/>
        <v>304</v>
      </c>
      <c r="H194" s="46">
        <f t="shared" si="67"/>
        <v>-9.5031790727583374</v>
      </c>
      <c r="I194" s="45">
        <f t="shared" si="68"/>
        <v>10.876299064449956</v>
      </c>
      <c r="J194" s="45">
        <f t="shared" ca="1" si="64"/>
        <v>2.9604214876239023</v>
      </c>
      <c r="K194" s="46">
        <f t="shared" ca="1" si="69"/>
        <v>39.330997619301613</v>
      </c>
      <c r="L194" s="151">
        <f t="shared" ca="1" si="70"/>
        <v>1.1190018596993765</v>
      </c>
      <c r="M194" s="152">
        <f t="shared" ca="1" si="34"/>
        <v>43.719815248971166</v>
      </c>
    </row>
    <row r="195" spans="2:13" x14ac:dyDescent="0.25">
      <c r="B195" s="82">
        <f t="shared" si="65"/>
        <v>9</v>
      </c>
      <c r="C195" s="82">
        <f t="shared" si="66"/>
        <v>11</v>
      </c>
      <c r="D195" s="151">
        <f t="shared" ca="1" si="42"/>
        <v>1.6</v>
      </c>
      <c r="E195" s="46">
        <f t="shared" ca="1" si="42"/>
        <v>1.4</v>
      </c>
      <c r="F195" s="91">
        <f t="shared" si="33"/>
        <v>30</v>
      </c>
      <c r="G195" s="91">
        <f t="shared" si="63"/>
        <v>334</v>
      </c>
      <c r="H195" s="46">
        <f t="shared" si="67"/>
        <v>-19.081240431832619</v>
      </c>
      <c r="I195" s="45">
        <f t="shared" si="68"/>
        <v>9.6093597312390706</v>
      </c>
      <c r="J195" s="45">
        <f t="shared" ca="1" si="64"/>
        <v>0.17815461097059138</v>
      </c>
      <c r="K195" s="46">
        <f t="shared" ca="1" si="69"/>
        <v>39.330997619301613</v>
      </c>
      <c r="L195" s="151">
        <f t="shared" ca="1" si="70"/>
        <v>1.1190018596993765</v>
      </c>
      <c r="M195" s="152">
        <f t="shared" ca="1" si="34"/>
        <v>4.6831093614077881</v>
      </c>
    </row>
    <row r="196" spans="2:13" x14ac:dyDescent="0.25">
      <c r="B196" s="82">
        <f t="shared" si="65"/>
        <v>9</v>
      </c>
      <c r="C196" s="82">
        <f t="shared" si="66"/>
        <v>12</v>
      </c>
      <c r="D196" s="151">
        <f t="shared" ca="1" si="42"/>
        <v>-3.59</v>
      </c>
      <c r="E196" s="46">
        <f t="shared" ca="1" si="42"/>
        <v>-1.78</v>
      </c>
      <c r="F196" s="91">
        <f t="shared" si="33"/>
        <v>31</v>
      </c>
      <c r="G196" s="91">
        <f t="shared" si="63"/>
        <v>365</v>
      </c>
      <c r="H196" s="46">
        <f t="shared" si="67"/>
        <v>-23.315084018726054</v>
      </c>
      <c r="I196" s="45">
        <f t="shared" si="68"/>
        <v>9.0493275107505209</v>
      </c>
      <c r="J196" s="45">
        <f t="shared" ca="1" si="64"/>
        <v>0</v>
      </c>
      <c r="K196" s="46">
        <f t="shared" ca="1" si="69"/>
        <v>39.330997619301613</v>
      </c>
      <c r="L196" s="151">
        <f t="shared" ca="1" si="70"/>
        <v>1.1190018596993765</v>
      </c>
      <c r="M196" s="152">
        <f t="shared" ca="1" si="34"/>
        <v>0</v>
      </c>
    </row>
    <row r="197" spans="2:13" x14ac:dyDescent="0.25">
      <c r="B197" s="148">
        <f t="shared" si="65"/>
        <v>10</v>
      </c>
      <c r="C197" s="148">
        <v>1</v>
      </c>
      <c r="D197" s="149">
        <f t="shared" ca="1" si="42"/>
        <v>-7.32</v>
      </c>
      <c r="E197" s="96">
        <f t="shared" ca="1" si="42"/>
        <v>-8.2799999999999994</v>
      </c>
      <c r="F197" s="71">
        <f t="shared" si="33"/>
        <v>31</v>
      </c>
      <c r="G197" s="71">
        <f>IF(C197=1,F197,F197+G196)</f>
        <v>31</v>
      </c>
      <c r="H197" s="96">
        <f>-23.44*COS(RADIANS((360/365)*(INT(F197/2)+10)))</f>
        <v>-21.30268541923795</v>
      </c>
      <c r="I197" s="72">
        <f>((12*60)+8+(H197/6.3)*I$3)/60</f>
        <v>9.3155178016881006</v>
      </c>
      <c r="J197" s="72">
        <f ca="1">IF(D197&gt;0,POWER(D197/5,1.514),0)</f>
        <v>0</v>
      </c>
      <c r="K197" s="96">
        <f ca="1">SUM(J197:J208)</f>
        <v>38.976812055893731</v>
      </c>
      <c r="L197" s="149">
        <f ca="1">(0.000000675*K197*K197*K197)-(0.0000771*K197*K197)+(0.01792*K197)+0.49239</f>
        <v>1.1136937262520716</v>
      </c>
      <c r="M197" s="150">
        <f t="shared" ca="1" si="34"/>
        <v>0</v>
      </c>
    </row>
    <row r="198" spans="2:13" x14ac:dyDescent="0.25">
      <c r="B198" s="82">
        <f>IF(C198=1,B197+1,B197)</f>
        <v>10</v>
      </c>
      <c r="C198" s="82">
        <f>IF(C197&lt;12,C197+1,1)</f>
        <v>2</v>
      </c>
      <c r="D198" s="151">
        <f t="shared" ca="1" si="42"/>
        <v>-7.56</v>
      </c>
      <c r="E198" s="46">
        <f t="shared" ca="1" si="42"/>
        <v>-13.02</v>
      </c>
      <c r="F198" s="91">
        <f t="shared" ref="F198:F244" si="71">DAY(EOMONTH(CONCATENATE("1/",C198,"/01"),0))</f>
        <v>28</v>
      </c>
      <c r="G198" s="91">
        <f t="shared" ref="G198:G208" si="72">IF(C198=1,F198,F198+G197)</f>
        <v>59</v>
      </c>
      <c r="H198" s="46">
        <f>-23.44*COS(RADIANS(360/365*(INT(F198/2)+G197+10)))</f>
        <v>-13.695949189848957</v>
      </c>
      <c r="I198" s="45">
        <f>((12*60)+8+(H198/6.3)*I$3)/60</f>
        <v>10.321699842612571</v>
      </c>
      <c r="J198" s="45">
        <f t="shared" ref="J198:J208" ca="1" si="73">IF(D198&gt;0,POWER(D198/5,1.514),0)</f>
        <v>0</v>
      </c>
      <c r="K198" s="46">
        <f ca="1">K197</f>
        <v>38.976812055893731</v>
      </c>
      <c r="L198" s="151">
        <f t="shared" ref="L198:L208" ca="1" si="74">(0.000000675*K198*K198*K198)-(0.0000771*K198*K198)+(0.01792*K198)+0.49239</f>
        <v>1.1136937262520716</v>
      </c>
      <c r="M198" s="152">
        <f t="shared" ref="M198:M244" ca="1" si="75">IF(D198&gt;0,(F198/30)*(I198/12)*16*POWER((10*D198/K198),L198),0)</f>
        <v>0</v>
      </c>
    </row>
    <row r="199" spans="2:13" x14ac:dyDescent="0.25">
      <c r="B199" s="82">
        <f t="shared" ref="B199:B209" si="76">IF(C199=1,B198+1,B198)</f>
        <v>10</v>
      </c>
      <c r="C199" s="82">
        <f t="shared" ref="C199:C208" si="77">IF(C198&lt;12,C198+1,1)</f>
        <v>3</v>
      </c>
      <c r="D199" s="151">
        <f t="shared" ca="1" si="42"/>
        <v>-3.72</v>
      </c>
      <c r="E199" s="46">
        <f t="shared" ca="1" si="42"/>
        <v>-3.52</v>
      </c>
      <c r="F199" s="91">
        <f t="shared" si="71"/>
        <v>31</v>
      </c>
      <c r="G199" s="91">
        <f t="shared" si="72"/>
        <v>90</v>
      </c>
      <c r="H199" s="46">
        <f t="shared" ref="H199:H208" si="78">-23.44*COS(RADIANS(360/365*(INT(F199/2)+G198+10)))</f>
        <v>-2.9177939455063431</v>
      </c>
      <c r="I199" s="45">
        <f t="shared" ref="I199:I208" si="79">((12*60)+8+(H199/6.3)*I$3)/60</f>
        <v>11.747381753239901</v>
      </c>
      <c r="J199" s="45">
        <f t="shared" ca="1" si="73"/>
        <v>0</v>
      </c>
      <c r="K199" s="46">
        <f t="shared" ref="K199:K208" ca="1" si="80">K198</f>
        <v>38.976812055893731</v>
      </c>
      <c r="L199" s="151">
        <f t="shared" ca="1" si="74"/>
        <v>1.1136937262520716</v>
      </c>
      <c r="M199" s="152">
        <f t="shared" ca="1" si="75"/>
        <v>0</v>
      </c>
    </row>
    <row r="200" spans="2:13" x14ac:dyDescent="0.25">
      <c r="B200" s="82">
        <f t="shared" si="76"/>
        <v>10</v>
      </c>
      <c r="C200" s="82">
        <f t="shared" si="77"/>
        <v>4</v>
      </c>
      <c r="D200" s="151">
        <f t="shared" ca="1" si="42"/>
        <v>5.88</v>
      </c>
      <c r="E200" s="46">
        <f t="shared" ca="1" si="42"/>
        <v>6.08</v>
      </c>
      <c r="F200" s="91">
        <f t="shared" si="71"/>
        <v>30</v>
      </c>
      <c r="G200" s="91">
        <f t="shared" si="72"/>
        <v>120</v>
      </c>
      <c r="H200" s="46">
        <f t="shared" si="78"/>
        <v>9.3184035667831076</v>
      </c>
      <c r="I200" s="45">
        <f t="shared" si="79"/>
        <v>13.365926397722633</v>
      </c>
      <c r="J200" s="45">
        <f t="shared" ca="1" si="73"/>
        <v>1.27819373667337</v>
      </c>
      <c r="K200" s="46">
        <f t="shared" ca="1" si="80"/>
        <v>38.976812055893731</v>
      </c>
      <c r="L200" s="151">
        <f t="shared" ca="1" si="74"/>
        <v>1.1136937262520716</v>
      </c>
      <c r="M200" s="152">
        <f t="shared" ca="1" si="75"/>
        <v>28.171580754167064</v>
      </c>
    </row>
    <row r="201" spans="2:13" x14ac:dyDescent="0.25">
      <c r="B201" s="82">
        <f t="shared" si="76"/>
        <v>10</v>
      </c>
      <c r="C201" s="82">
        <f t="shared" si="77"/>
        <v>5</v>
      </c>
      <c r="D201" s="151">
        <f t="shared" ca="1" si="42"/>
        <v>13.3</v>
      </c>
      <c r="E201" s="46">
        <f t="shared" ca="1" si="42"/>
        <v>16.079999999999998</v>
      </c>
      <c r="F201" s="91">
        <f t="shared" si="71"/>
        <v>31</v>
      </c>
      <c r="G201" s="91">
        <f t="shared" si="72"/>
        <v>151</v>
      </c>
      <c r="H201" s="46">
        <f t="shared" si="78"/>
        <v>18.723388500456394</v>
      </c>
      <c r="I201" s="45">
        <f t="shared" si="79"/>
        <v>14.609972023869894</v>
      </c>
      <c r="J201" s="45">
        <f t="shared" ca="1" si="73"/>
        <v>4.3981577053305028</v>
      </c>
      <c r="K201" s="46">
        <f t="shared" ca="1" si="80"/>
        <v>38.976812055893731</v>
      </c>
      <c r="L201" s="151">
        <f t="shared" ca="1" si="74"/>
        <v>1.1136937262520716</v>
      </c>
      <c r="M201" s="152">
        <f t="shared" ca="1" si="75"/>
        <v>78.972847121647405</v>
      </c>
    </row>
    <row r="202" spans="2:13" x14ac:dyDescent="0.25">
      <c r="B202" s="82">
        <f t="shared" si="76"/>
        <v>10</v>
      </c>
      <c r="C202" s="82">
        <f t="shared" si="77"/>
        <v>6</v>
      </c>
      <c r="D202" s="151">
        <f t="shared" ca="1" si="42"/>
        <v>18.579999999999998</v>
      </c>
      <c r="E202" s="46">
        <f t="shared" ca="1" si="42"/>
        <v>17.399999999999999</v>
      </c>
      <c r="F202" s="91">
        <f t="shared" si="71"/>
        <v>30</v>
      </c>
      <c r="G202" s="91">
        <f t="shared" si="72"/>
        <v>181</v>
      </c>
      <c r="H202" s="46">
        <f t="shared" si="78"/>
        <v>23.293419845424015</v>
      </c>
      <c r="I202" s="45">
        <f t="shared" si="79"/>
        <v>15.214473524526987</v>
      </c>
      <c r="J202" s="45">
        <f t="shared" ca="1" si="73"/>
        <v>7.2961645131474961</v>
      </c>
      <c r="K202" s="46">
        <f t="shared" ca="1" si="80"/>
        <v>38.976812055893731</v>
      </c>
      <c r="L202" s="151">
        <f t="shared" ca="1" si="74"/>
        <v>1.1136937262520716</v>
      </c>
      <c r="M202" s="152">
        <f t="shared" ca="1" si="75"/>
        <v>115.49059643321731</v>
      </c>
    </row>
    <row r="203" spans="2:13" x14ac:dyDescent="0.25">
      <c r="B203" s="82">
        <f t="shared" si="76"/>
        <v>10</v>
      </c>
      <c r="C203" s="82">
        <f t="shared" si="77"/>
        <v>7</v>
      </c>
      <c r="D203" s="151">
        <f t="shared" ca="1" si="42"/>
        <v>20.88</v>
      </c>
      <c r="E203" s="46">
        <f t="shared" ca="1" si="42"/>
        <v>21.29</v>
      </c>
      <c r="F203" s="91">
        <f t="shared" si="71"/>
        <v>31</v>
      </c>
      <c r="G203" s="91">
        <f t="shared" si="72"/>
        <v>212</v>
      </c>
      <c r="H203" s="46">
        <f t="shared" si="78"/>
        <v>21.54806313020423</v>
      </c>
      <c r="I203" s="45">
        <f t="shared" si="79"/>
        <v>14.983606234153998</v>
      </c>
      <c r="J203" s="45">
        <f t="shared" ca="1" si="73"/>
        <v>8.7062549732956978</v>
      </c>
      <c r="K203" s="46">
        <f t="shared" ca="1" si="80"/>
        <v>38.976812055893731</v>
      </c>
      <c r="L203" s="151">
        <f t="shared" ca="1" si="74"/>
        <v>1.1136937262520716</v>
      </c>
      <c r="M203" s="152">
        <f t="shared" ca="1" si="75"/>
        <v>133.8424298870529</v>
      </c>
    </row>
    <row r="204" spans="2:13" x14ac:dyDescent="0.25">
      <c r="B204" s="82">
        <f t="shared" si="76"/>
        <v>10</v>
      </c>
      <c r="C204" s="82">
        <f t="shared" si="77"/>
        <v>8</v>
      </c>
      <c r="D204" s="151">
        <f t="shared" ca="1" si="42"/>
        <v>19.38</v>
      </c>
      <c r="E204" s="46">
        <f t="shared" ca="1" si="42"/>
        <v>21.81</v>
      </c>
      <c r="F204" s="91">
        <f t="shared" si="71"/>
        <v>31</v>
      </c>
      <c r="G204" s="91">
        <f t="shared" si="72"/>
        <v>243</v>
      </c>
      <c r="H204" s="46">
        <f t="shared" si="78"/>
        <v>13.859168267602277</v>
      </c>
      <c r="I204" s="45">
        <f t="shared" si="79"/>
        <v>13.966556649153741</v>
      </c>
      <c r="J204" s="45">
        <f t="shared" ca="1" si="73"/>
        <v>7.7770165887193325</v>
      </c>
      <c r="K204" s="46">
        <f t="shared" ca="1" si="80"/>
        <v>38.976812055893731</v>
      </c>
      <c r="L204" s="151">
        <f t="shared" ca="1" si="74"/>
        <v>1.1136937262520716</v>
      </c>
      <c r="M204" s="152">
        <f t="shared" ca="1" si="75"/>
        <v>114.81775651555186</v>
      </c>
    </row>
    <row r="205" spans="2:13" x14ac:dyDescent="0.25">
      <c r="B205" s="82">
        <f t="shared" si="76"/>
        <v>10</v>
      </c>
      <c r="C205" s="82">
        <f t="shared" si="77"/>
        <v>9</v>
      </c>
      <c r="D205" s="151">
        <f t="shared" ca="1" si="42"/>
        <v>16.57</v>
      </c>
      <c r="E205" s="46">
        <f t="shared" ca="1" si="42"/>
        <v>19.09</v>
      </c>
      <c r="F205" s="91">
        <f t="shared" si="71"/>
        <v>30</v>
      </c>
      <c r="G205" s="91">
        <f t="shared" si="72"/>
        <v>273</v>
      </c>
      <c r="H205" s="46">
        <f t="shared" si="78"/>
        <v>2.3163440518985223</v>
      </c>
      <c r="I205" s="45">
        <f t="shared" si="79"/>
        <v>12.439728049192926</v>
      </c>
      <c r="J205" s="45">
        <f t="shared" ca="1" si="73"/>
        <v>6.1349876270042509</v>
      </c>
      <c r="K205" s="46">
        <f t="shared" ca="1" si="80"/>
        <v>38.976812055893731</v>
      </c>
      <c r="L205" s="151">
        <f t="shared" ca="1" si="74"/>
        <v>1.1136937262520716</v>
      </c>
      <c r="M205" s="152">
        <f t="shared" ca="1" si="75"/>
        <v>83.123565634398503</v>
      </c>
    </row>
    <row r="206" spans="2:13" x14ac:dyDescent="0.25">
      <c r="B206" s="82">
        <f t="shared" si="76"/>
        <v>10</v>
      </c>
      <c r="C206" s="82">
        <f t="shared" si="77"/>
        <v>10</v>
      </c>
      <c r="D206" s="151">
        <f t="shared" ca="1" si="42"/>
        <v>10.87</v>
      </c>
      <c r="E206" s="46">
        <f t="shared" ca="1" si="42"/>
        <v>9.02</v>
      </c>
      <c r="F206" s="91">
        <f t="shared" si="71"/>
        <v>31</v>
      </c>
      <c r="G206" s="91">
        <f t="shared" si="72"/>
        <v>304</v>
      </c>
      <c r="H206" s="46">
        <f t="shared" si="78"/>
        <v>-9.5031790727583374</v>
      </c>
      <c r="I206" s="45">
        <f t="shared" si="79"/>
        <v>10.876299064449956</v>
      </c>
      <c r="J206" s="45">
        <f t="shared" ca="1" si="73"/>
        <v>3.2404919221068313</v>
      </c>
      <c r="K206" s="46">
        <f t="shared" ca="1" si="80"/>
        <v>38.976812055893731</v>
      </c>
      <c r="L206" s="151">
        <f t="shared" ca="1" si="74"/>
        <v>1.1136937262520716</v>
      </c>
      <c r="M206" s="152">
        <f t="shared" ca="1" si="75"/>
        <v>46.959706335750617</v>
      </c>
    </row>
    <row r="207" spans="2:13" x14ac:dyDescent="0.25">
      <c r="B207" s="82">
        <f t="shared" si="76"/>
        <v>10</v>
      </c>
      <c r="C207" s="82">
        <f t="shared" si="77"/>
        <v>11</v>
      </c>
      <c r="D207" s="151">
        <f t="shared" ca="1" si="42"/>
        <v>1.4</v>
      </c>
      <c r="E207" s="46">
        <f t="shared" ca="1" si="42"/>
        <v>5.62</v>
      </c>
      <c r="F207" s="91">
        <f t="shared" si="71"/>
        <v>30</v>
      </c>
      <c r="G207" s="91">
        <f t="shared" si="72"/>
        <v>334</v>
      </c>
      <c r="H207" s="46">
        <f t="shared" si="78"/>
        <v>-19.081240431832619</v>
      </c>
      <c r="I207" s="45">
        <f t="shared" si="79"/>
        <v>9.6093597312390706</v>
      </c>
      <c r="J207" s="45">
        <f t="shared" ca="1" si="73"/>
        <v>0.14554498961624557</v>
      </c>
      <c r="K207" s="46">
        <f t="shared" ca="1" si="80"/>
        <v>38.976812055893731</v>
      </c>
      <c r="L207" s="151">
        <f t="shared" ca="1" si="74"/>
        <v>1.1136937262520716</v>
      </c>
      <c r="M207" s="152">
        <f t="shared" ca="1" si="75"/>
        <v>4.0963568100579426</v>
      </c>
    </row>
    <row r="208" spans="2:13" x14ac:dyDescent="0.25">
      <c r="B208" s="82">
        <f t="shared" si="76"/>
        <v>10</v>
      </c>
      <c r="C208" s="82">
        <f t="shared" si="77"/>
        <v>12</v>
      </c>
      <c r="D208" s="151">
        <f t="shared" ca="1" si="42"/>
        <v>-1.78</v>
      </c>
      <c r="E208" s="46">
        <f t="shared" ca="1" si="42"/>
        <v>3.68</v>
      </c>
      <c r="F208" s="91">
        <f t="shared" si="71"/>
        <v>31</v>
      </c>
      <c r="G208" s="91">
        <f t="shared" si="72"/>
        <v>365</v>
      </c>
      <c r="H208" s="46">
        <f t="shared" si="78"/>
        <v>-23.315084018726054</v>
      </c>
      <c r="I208" s="45">
        <f t="shared" si="79"/>
        <v>9.0493275107505209</v>
      </c>
      <c r="J208" s="45">
        <f t="shared" ca="1" si="73"/>
        <v>0</v>
      </c>
      <c r="K208" s="46">
        <f t="shared" ca="1" si="80"/>
        <v>38.976812055893731</v>
      </c>
      <c r="L208" s="151">
        <f t="shared" ca="1" si="74"/>
        <v>1.1136937262520716</v>
      </c>
      <c r="M208" s="152">
        <f t="shared" ca="1" si="75"/>
        <v>0</v>
      </c>
    </row>
    <row r="209" spans="2:13" x14ac:dyDescent="0.25">
      <c r="B209" s="148">
        <f t="shared" si="76"/>
        <v>11</v>
      </c>
      <c r="C209" s="148">
        <v>1</v>
      </c>
      <c r="D209" s="149">
        <f t="shared" ca="1" si="42"/>
        <v>-8.2799999999999994</v>
      </c>
      <c r="E209" s="96">
        <f t="shared" ca="1" si="42"/>
        <v>-4.54</v>
      </c>
      <c r="F209" s="71">
        <f t="shared" si="71"/>
        <v>31</v>
      </c>
      <c r="G209" s="71">
        <f>IF(C209=1,F209,F209+G208)</f>
        <v>31</v>
      </c>
      <c r="H209" s="96">
        <f>-23.44*COS(RADIANS((360/365)*(INT(F209/2)+10)))</f>
        <v>-21.30268541923795</v>
      </c>
      <c r="I209" s="72">
        <f>((12*60)+8+(H209/6.3)*I$3)/60</f>
        <v>9.3155178016881006</v>
      </c>
      <c r="J209" s="72">
        <f ca="1">IF(D209&gt;0,POWER(D209/5,1.514),0)</f>
        <v>0</v>
      </c>
      <c r="K209" s="96">
        <f ca="1">SUM(J209:J220)</f>
        <v>43.946528003231265</v>
      </c>
      <c r="L209" s="149">
        <f ca="1">(0.000000675*K209*K209*K209)-(0.0000771*K209*K209)+(0.01792*K209)+0.49239</f>
        <v>1.1882985812133011</v>
      </c>
      <c r="M209" s="150">
        <f t="shared" ca="1" si="75"/>
        <v>0</v>
      </c>
    </row>
    <row r="210" spans="2:13" x14ac:dyDescent="0.25">
      <c r="B210" s="82">
        <f>IF(C210=1,B209+1,B209)</f>
        <v>11</v>
      </c>
      <c r="C210" s="82">
        <f>IF(C209&lt;12,C209+1,1)</f>
        <v>2</v>
      </c>
      <c r="D210" s="151">
        <f t="shared" ca="1" si="42"/>
        <v>-13.02</v>
      </c>
      <c r="E210" s="46">
        <f t="shared" ca="1" si="42"/>
        <v>-2.77</v>
      </c>
      <c r="F210" s="91">
        <f t="shared" si="71"/>
        <v>28</v>
      </c>
      <c r="G210" s="91">
        <f t="shared" ref="G210:G220" si="81">IF(C210=1,F210,F210+G209)</f>
        <v>59</v>
      </c>
      <c r="H210" s="46">
        <f>-23.44*COS(RADIANS(360/365*(INT(F210/2)+G209+10)))</f>
        <v>-13.695949189848957</v>
      </c>
      <c r="I210" s="45">
        <f>((12*60)+8+(H210/6.3)*I$3)/60</f>
        <v>10.321699842612571</v>
      </c>
      <c r="J210" s="45">
        <f t="shared" ref="J210:J220" ca="1" si="82">IF(D210&gt;0,POWER(D210/5,1.514),0)</f>
        <v>0</v>
      </c>
      <c r="K210" s="46">
        <f ca="1">K209</f>
        <v>43.946528003231265</v>
      </c>
      <c r="L210" s="151">
        <f t="shared" ref="L210:L220" ca="1" si="83">(0.000000675*K210*K210*K210)-(0.0000771*K210*K210)+(0.01792*K210)+0.49239</f>
        <v>1.1882985812133011</v>
      </c>
      <c r="M210" s="152">
        <f t="shared" ca="1" si="75"/>
        <v>0</v>
      </c>
    </row>
    <row r="211" spans="2:13" x14ac:dyDescent="0.25">
      <c r="B211" s="82">
        <f t="shared" ref="B211:B221" si="84">IF(C211=1,B210+1,B210)</f>
        <v>11</v>
      </c>
      <c r="C211" s="82">
        <f t="shared" ref="C211:C220" si="85">IF(C210&lt;12,C210+1,1)</f>
        <v>3</v>
      </c>
      <c r="D211" s="151">
        <f t="shared" ca="1" si="42"/>
        <v>-3.52</v>
      </c>
      <c r="E211" s="46">
        <f t="shared" ca="1" si="42"/>
        <v>2.73</v>
      </c>
      <c r="F211" s="91">
        <f t="shared" si="71"/>
        <v>31</v>
      </c>
      <c r="G211" s="91">
        <f t="shared" si="81"/>
        <v>90</v>
      </c>
      <c r="H211" s="46">
        <f t="shared" ref="H211:H220" si="86">-23.44*COS(RADIANS(360/365*(INT(F211/2)+G210+10)))</f>
        <v>-2.9177939455063431</v>
      </c>
      <c r="I211" s="45">
        <f t="shared" ref="I211:I220" si="87">((12*60)+8+(H211/6.3)*I$3)/60</f>
        <v>11.747381753239901</v>
      </c>
      <c r="J211" s="45">
        <f t="shared" ca="1" si="82"/>
        <v>0</v>
      </c>
      <c r="K211" s="46">
        <f t="shared" ref="K211:K220" ca="1" si="88">K210</f>
        <v>43.946528003231265</v>
      </c>
      <c r="L211" s="151">
        <f t="shared" ca="1" si="83"/>
        <v>1.1882985812133011</v>
      </c>
      <c r="M211" s="152">
        <f t="shared" ca="1" si="75"/>
        <v>0</v>
      </c>
    </row>
    <row r="212" spans="2:13" x14ac:dyDescent="0.25">
      <c r="B212" s="82">
        <f t="shared" si="84"/>
        <v>11</v>
      </c>
      <c r="C212" s="82">
        <f t="shared" si="85"/>
        <v>4</v>
      </c>
      <c r="D212" s="151">
        <f t="shared" ca="1" si="42"/>
        <v>6.08</v>
      </c>
      <c r="E212" s="46">
        <f t="shared" ca="1" si="42"/>
        <v>5.92</v>
      </c>
      <c r="F212" s="91">
        <f t="shared" si="71"/>
        <v>30</v>
      </c>
      <c r="G212" s="91">
        <f t="shared" si="81"/>
        <v>120</v>
      </c>
      <c r="H212" s="46">
        <f t="shared" si="86"/>
        <v>9.3184035667831076</v>
      </c>
      <c r="I212" s="45">
        <f t="shared" si="87"/>
        <v>13.365926397722633</v>
      </c>
      <c r="J212" s="45">
        <f t="shared" ca="1" si="82"/>
        <v>1.3445886237005211</v>
      </c>
      <c r="K212" s="46">
        <f t="shared" ca="1" si="88"/>
        <v>43.946528003231265</v>
      </c>
      <c r="L212" s="151">
        <f t="shared" ca="1" si="83"/>
        <v>1.1882985812133011</v>
      </c>
      <c r="M212" s="152">
        <f t="shared" ca="1" si="75"/>
        <v>26.20975488258048</v>
      </c>
    </row>
    <row r="213" spans="2:13" x14ac:dyDescent="0.25">
      <c r="B213" s="82">
        <f t="shared" si="84"/>
        <v>11</v>
      </c>
      <c r="C213" s="82">
        <f t="shared" si="85"/>
        <v>5</v>
      </c>
      <c r="D213" s="151">
        <f t="shared" ca="1" si="42"/>
        <v>16.079999999999998</v>
      </c>
      <c r="E213" s="46">
        <f t="shared" ca="1" si="42"/>
        <v>13.14</v>
      </c>
      <c r="F213" s="91">
        <f t="shared" si="71"/>
        <v>31</v>
      </c>
      <c r="G213" s="91">
        <f t="shared" si="81"/>
        <v>151</v>
      </c>
      <c r="H213" s="46">
        <f t="shared" si="86"/>
        <v>18.723388500456394</v>
      </c>
      <c r="I213" s="45">
        <f t="shared" si="87"/>
        <v>14.609972023869894</v>
      </c>
      <c r="J213" s="45">
        <f t="shared" ca="1" si="82"/>
        <v>5.8624139984658612</v>
      </c>
      <c r="K213" s="46">
        <f t="shared" ca="1" si="88"/>
        <v>43.946528003231265</v>
      </c>
      <c r="L213" s="151">
        <f t="shared" ca="1" si="83"/>
        <v>1.1882985812133011</v>
      </c>
      <c r="M213" s="152">
        <f t="shared" ca="1" si="75"/>
        <v>94.030815279918357</v>
      </c>
    </row>
    <row r="214" spans="2:13" x14ac:dyDescent="0.25">
      <c r="B214" s="82">
        <f t="shared" si="84"/>
        <v>11</v>
      </c>
      <c r="C214" s="82">
        <f t="shared" si="85"/>
        <v>6</v>
      </c>
      <c r="D214" s="151">
        <f t="shared" ref="D214:E244" ca="1" si="89">D142</f>
        <v>17.399999999999999</v>
      </c>
      <c r="E214" s="46">
        <f t="shared" ca="1" si="89"/>
        <v>18.75</v>
      </c>
      <c r="F214" s="91">
        <f t="shared" si="71"/>
        <v>30</v>
      </c>
      <c r="G214" s="91">
        <f t="shared" si="81"/>
        <v>181</v>
      </c>
      <c r="H214" s="46">
        <f t="shared" si="86"/>
        <v>23.293419845424015</v>
      </c>
      <c r="I214" s="45">
        <f t="shared" si="87"/>
        <v>15.214473524526987</v>
      </c>
      <c r="J214" s="45">
        <f t="shared" ca="1" si="82"/>
        <v>6.6061887085285447</v>
      </c>
      <c r="K214" s="46">
        <f t="shared" ca="1" si="88"/>
        <v>43.946528003231265</v>
      </c>
      <c r="L214" s="151">
        <f t="shared" ca="1" si="83"/>
        <v>1.1882985812133011</v>
      </c>
      <c r="M214" s="152">
        <f t="shared" ca="1" si="75"/>
        <v>104.07639088090619</v>
      </c>
    </row>
    <row r="215" spans="2:13" x14ac:dyDescent="0.25">
      <c r="B215" s="82">
        <f t="shared" si="84"/>
        <v>11</v>
      </c>
      <c r="C215" s="82">
        <f t="shared" si="85"/>
        <v>7</v>
      </c>
      <c r="D215" s="151">
        <f t="shared" ca="1" si="89"/>
        <v>21.29</v>
      </c>
      <c r="E215" s="46">
        <f t="shared" ca="1" si="89"/>
        <v>23.19</v>
      </c>
      <c r="F215" s="91">
        <f t="shared" si="71"/>
        <v>31</v>
      </c>
      <c r="G215" s="91">
        <f t="shared" si="81"/>
        <v>212</v>
      </c>
      <c r="H215" s="46">
        <f t="shared" si="86"/>
        <v>21.54806313020423</v>
      </c>
      <c r="I215" s="45">
        <f t="shared" si="87"/>
        <v>14.983606234153998</v>
      </c>
      <c r="J215" s="45">
        <f t="shared" ca="1" si="82"/>
        <v>8.9663846308596611</v>
      </c>
      <c r="K215" s="46">
        <f t="shared" ca="1" si="88"/>
        <v>43.946528003231265</v>
      </c>
      <c r="L215" s="151">
        <f t="shared" ca="1" si="83"/>
        <v>1.1882985812133011</v>
      </c>
      <c r="M215" s="152">
        <f t="shared" ca="1" si="75"/>
        <v>134.61034199042075</v>
      </c>
    </row>
    <row r="216" spans="2:13" x14ac:dyDescent="0.25">
      <c r="B216" s="82">
        <f t="shared" si="84"/>
        <v>11</v>
      </c>
      <c r="C216" s="82">
        <f t="shared" si="85"/>
        <v>8</v>
      </c>
      <c r="D216" s="151">
        <f t="shared" ca="1" si="89"/>
        <v>21.81</v>
      </c>
      <c r="E216" s="46">
        <f t="shared" ca="1" si="89"/>
        <v>22.75</v>
      </c>
      <c r="F216" s="91">
        <f t="shared" si="71"/>
        <v>31</v>
      </c>
      <c r="G216" s="91">
        <f t="shared" si="81"/>
        <v>243</v>
      </c>
      <c r="H216" s="46">
        <f t="shared" si="86"/>
        <v>13.859168267602277</v>
      </c>
      <c r="I216" s="45">
        <f t="shared" si="87"/>
        <v>13.966556649153741</v>
      </c>
      <c r="J216" s="45">
        <f t="shared" ca="1" si="82"/>
        <v>9.3000244670195649</v>
      </c>
      <c r="K216" s="46">
        <f t="shared" ca="1" si="88"/>
        <v>43.946528003231265</v>
      </c>
      <c r="L216" s="151">
        <f t="shared" ca="1" si="83"/>
        <v>1.1882985812133011</v>
      </c>
      <c r="M216" s="152">
        <f t="shared" ca="1" si="75"/>
        <v>129.1233537485391</v>
      </c>
    </row>
    <row r="217" spans="2:13" x14ac:dyDescent="0.25">
      <c r="B217" s="82">
        <f t="shared" si="84"/>
        <v>11</v>
      </c>
      <c r="C217" s="82">
        <f t="shared" si="85"/>
        <v>9</v>
      </c>
      <c r="D217" s="151">
        <f t="shared" ca="1" si="89"/>
        <v>19.09</v>
      </c>
      <c r="E217" s="46">
        <f t="shared" ca="1" si="89"/>
        <v>18.3</v>
      </c>
      <c r="F217" s="91">
        <f t="shared" si="71"/>
        <v>30</v>
      </c>
      <c r="G217" s="91">
        <f t="shared" si="81"/>
        <v>273</v>
      </c>
      <c r="H217" s="46">
        <f t="shared" si="86"/>
        <v>2.3163440518985223</v>
      </c>
      <c r="I217" s="45">
        <f t="shared" si="87"/>
        <v>12.439728049192926</v>
      </c>
      <c r="J217" s="45">
        <f t="shared" ca="1" si="82"/>
        <v>7.6015050616188011</v>
      </c>
      <c r="K217" s="46">
        <f t="shared" ca="1" si="88"/>
        <v>43.946528003231265</v>
      </c>
      <c r="L217" s="151">
        <f t="shared" ca="1" si="83"/>
        <v>1.1882985812133011</v>
      </c>
      <c r="M217" s="152">
        <f t="shared" ca="1" si="75"/>
        <v>95.004272510959325</v>
      </c>
    </row>
    <row r="218" spans="2:13" x14ac:dyDescent="0.25">
      <c r="B218" s="82">
        <f t="shared" si="84"/>
        <v>11</v>
      </c>
      <c r="C218" s="82">
        <f t="shared" si="85"/>
        <v>10</v>
      </c>
      <c r="D218" s="151">
        <f t="shared" ca="1" si="89"/>
        <v>9.02</v>
      </c>
      <c r="E218" s="46">
        <f t="shared" ca="1" si="89"/>
        <v>10.44</v>
      </c>
      <c r="F218" s="91">
        <f t="shared" si="71"/>
        <v>31</v>
      </c>
      <c r="G218" s="91">
        <f t="shared" si="81"/>
        <v>304</v>
      </c>
      <c r="H218" s="46">
        <f t="shared" si="86"/>
        <v>-9.5031790727583374</v>
      </c>
      <c r="I218" s="45">
        <f t="shared" si="87"/>
        <v>10.876299064449956</v>
      </c>
      <c r="J218" s="45">
        <f t="shared" ca="1" si="82"/>
        <v>2.4431048804562567</v>
      </c>
      <c r="K218" s="46">
        <f t="shared" ca="1" si="88"/>
        <v>43.946528003231265</v>
      </c>
      <c r="L218" s="151">
        <f t="shared" ca="1" si="83"/>
        <v>1.1882985812133011</v>
      </c>
      <c r="M218" s="152">
        <f t="shared" ca="1" si="75"/>
        <v>35.21636579916354</v>
      </c>
    </row>
    <row r="219" spans="2:13" x14ac:dyDescent="0.25">
      <c r="B219" s="82">
        <f t="shared" si="84"/>
        <v>11</v>
      </c>
      <c r="C219" s="82">
        <f t="shared" si="85"/>
        <v>11</v>
      </c>
      <c r="D219" s="151">
        <f t="shared" ca="1" si="89"/>
        <v>5.62</v>
      </c>
      <c r="E219" s="46">
        <f t="shared" ca="1" si="89"/>
        <v>4.28</v>
      </c>
      <c r="F219" s="91">
        <f t="shared" si="71"/>
        <v>30</v>
      </c>
      <c r="G219" s="91">
        <f t="shared" si="81"/>
        <v>334</v>
      </c>
      <c r="H219" s="46">
        <f t="shared" si="86"/>
        <v>-19.081240431832619</v>
      </c>
      <c r="I219" s="45">
        <f t="shared" si="87"/>
        <v>9.6093597312390706</v>
      </c>
      <c r="J219" s="45">
        <f t="shared" ca="1" si="82"/>
        <v>1.1936038067073922</v>
      </c>
      <c r="K219" s="46">
        <f t="shared" ca="1" si="88"/>
        <v>43.946528003231265</v>
      </c>
      <c r="L219" s="151">
        <f t="shared" ca="1" si="83"/>
        <v>1.1882985812133011</v>
      </c>
      <c r="M219" s="152">
        <f t="shared" ca="1" si="75"/>
        <v>17.161586547773737</v>
      </c>
    </row>
    <row r="220" spans="2:13" x14ac:dyDescent="0.25">
      <c r="B220" s="82">
        <f t="shared" si="84"/>
        <v>11</v>
      </c>
      <c r="C220" s="82">
        <f t="shared" si="85"/>
        <v>12</v>
      </c>
      <c r="D220" s="151">
        <f t="shared" ca="1" si="89"/>
        <v>3.68</v>
      </c>
      <c r="E220" s="46">
        <f t="shared" ca="1" si="89"/>
        <v>-2.87</v>
      </c>
      <c r="F220" s="91">
        <f t="shared" si="71"/>
        <v>31</v>
      </c>
      <c r="G220" s="91">
        <f t="shared" si="81"/>
        <v>365</v>
      </c>
      <c r="H220" s="46">
        <f t="shared" si="86"/>
        <v>-23.315084018726054</v>
      </c>
      <c r="I220" s="45">
        <f t="shared" si="87"/>
        <v>9.0493275107505209</v>
      </c>
      <c r="J220" s="45">
        <f t="shared" ca="1" si="82"/>
        <v>0.6287138258746624</v>
      </c>
      <c r="K220" s="46">
        <f t="shared" ca="1" si="88"/>
        <v>43.946528003231265</v>
      </c>
      <c r="L220" s="151">
        <f t="shared" ca="1" si="83"/>
        <v>1.1882985812133011</v>
      </c>
      <c r="M220" s="152">
        <f t="shared" ca="1" si="75"/>
        <v>10.097300672281303</v>
      </c>
    </row>
    <row r="221" spans="2:13" x14ac:dyDescent="0.25">
      <c r="B221" s="153">
        <f t="shared" si="84"/>
        <v>12</v>
      </c>
      <c r="C221" s="153">
        <v>1</v>
      </c>
      <c r="D221" s="154">
        <f t="shared" ca="1" si="89"/>
        <v>-6.12</v>
      </c>
      <c r="E221" s="155">
        <f t="shared" ca="1" si="89"/>
        <v>-8.01</v>
      </c>
      <c r="F221" s="156">
        <f t="shared" si="71"/>
        <v>31</v>
      </c>
      <c r="G221" s="156">
        <f>IF(C221=1,F221,F221+G220)</f>
        <v>31</v>
      </c>
      <c r="H221" s="155">
        <f>-23.44*COS(RADIANS((360/365)*(INT(F221/2)+10)))</f>
        <v>-21.30268541923795</v>
      </c>
      <c r="I221" s="157">
        <f>((12*60)+8+(H221/6.3)*I$3)/60</f>
        <v>9.3155178016881006</v>
      </c>
      <c r="J221" s="157">
        <f ca="1">IF(D221&gt;0,POWER(D221/5,1.514),0)</f>
        <v>0</v>
      </c>
      <c r="K221" s="155">
        <f ca="1">SUM(J221:J232)</f>
        <v>45.325840931887811</v>
      </c>
      <c r="L221" s="154">
        <f ca="1">(0.000000675*K221*K221*K221)-(0.0000771*K221*K221)+(0.01792*K221)+0.49239</f>
        <v>1.2090875981628884</v>
      </c>
      <c r="M221" s="158">
        <f t="shared" ca="1" si="75"/>
        <v>0</v>
      </c>
    </row>
    <row r="222" spans="2:13" x14ac:dyDescent="0.25">
      <c r="B222" s="159">
        <f>IF(C222=1,B221+1,B221)</f>
        <v>12</v>
      </c>
      <c r="C222" s="159">
        <f>IF(C221&lt;12,C221+1,1)</f>
        <v>2</v>
      </c>
      <c r="D222" s="160">
        <f t="shared" ca="1" si="89"/>
        <v>-4.25</v>
      </c>
      <c r="E222" s="161">
        <f t="shared" ca="1" si="89"/>
        <v>-6.74</v>
      </c>
      <c r="F222" s="162">
        <f t="shared" si="71"/>
        <v>28</v>
      </c>
      <c r="G222" s="162">
        <f t="shared" ref="G222:G232" si="90">IF(C222=1,F222,F222+G221)</f>
        <v>59</v>
      </c>
      <c r="H222" s="161">
        <f>-23.44*COS(RADIANS(360/365*(INT(F222/2)+G221+10)))</f>
        <v>-13.695949189848957</v>
      </c>
      <c r="I222" s="163">
        <f>((12*60)+8+(H222/6.3)*I$3)/60</f>
        <v>10.321699842612571</v>
      </c>
      <c r="J222" s="163">
        <f t="shared" ref="J222:J232" ca="1" si="91">IF(D222&gt;0,POWER(D222/5,1.514),0)</f>
        <v>0</v>
      </c>
      <c r="K222" s="161">
        <f ca="1">K221</f>
        <v>45.325840931887811</v>
      </c>
      <c r="L222" s="160">
        <f t="shared" ref="L222:L232" ca="1" si="92">(0.000000675*K222*K222*K222)-(0.0000771*K222*K222)+(0.01792*K222)+0.49239</f>
        <v>1.2090875981628884</v>
      </c>
      <c r="M222" s="164">
        <f t="shared" ca="1" si="75"/>
        <v>0</v>
      </c>
    </row>
    <row r="223" spans="2:13" x14ac:dyDescent="0.25">
      <c r="B223" s="159">
        <f t="shared" ref="B223:B233" si="93">IF(C223=1,B222+1,B222)</f>
        <v>12</v>
      </c>
      <c r="C223" s="159">
        <f t="shared" ref="C223:C232" si="94">IF(C222&lt;12,C222+1,1)</f>
        <v>3</v>
      </c>
      <c r="D223" s="160">
        <f t="shared" ca="1" si="89"/>
        <v>3.13</v>
      </c>
      <c r="E223" s="161">
        <f t="shared" ca="1" si="89"/>
        <v>-0.57999999999999996</v>
      </c>
      <c r="F223" s="162">
        <f t="shared" si="71"/>
        <v>31</v>
      </c>
      <c r="G223" s="162">
        <f t="shared" si="90"/>
        <v>90</v>
      </c>
      <c r="H223" s="161">
        <f t="shared" ref="H223:H232" si="95">-23.44*COS(RADIANS(360/365*(INT(F223/2)+G222+10)))</f>
        <v>-2.9177939455063431</v>
      </c>
      <c r="I223" s="163">
        <f t="shared" ref="I223:I232" si="96">((12*60)+8+(H223/6.3)*I$3)/60</f>
        <v>11.747381753239901</v>
      </c>
      <c r="J223" s="163">
        <f t="shared" ca="1" si="91"/>
        <v>0.49205487678276055</v>
      </c>
      <c r="K223" s="161">
        <f t="shared" ref="K223:K232" ca="1" si="97">K222</f>
        <v>45.325840931887811</v>
      </c>
      <c r="L223" s="160">
        <f t="shared" ca="1" si="92"/>
        <v>1.2090875981628884</v>
      </c>
      <c r="M223" s="164">
        <f t="shared" ca="1" si="75"/>
        <v>10.344205003091091</v>
      </c>
    </row>
    <row r="224" spans="2:13" x14ac:dyDescent="0.25">
      <c r="B224" s="159">
        <f t="shared" si="93"/>
        <v>12</v>
      </c>
      <c r="C224" s="159">
        <f t="shared" si="94"/>
        <v>4</v>
      </c>
      <c r="D224" s="160">
        <f t="shared" ca="1" si="89"/>
        <v>9.0399999999999991</v>
      </c>
      <c r="E224" s="161">
        <f t="shared" ca="1" si="89"/>
        <v>7.18</v>
      </c>
      <c r="F224" s="162">
        <f t="shared" si="71"/>
        <v>30</v>
      </c>
      <c r="G224" s="162">
        <f t="shared" si="90"/>
        <v>120</v>
      </c>
      <c r="H224" s="161">
        <f t="shared" si="95"/>
        <v>9.3184035667831076</v>
      </c>
      <c r="I224" s="163">
        <f t="shared" si="96"/>
        <v>13.365926397722633</v>
      </c>
      <c r="J224" s="163">
        <f t="shared" ca="1" si="91"/>
        <v>2.4513110175051791</v>
      </c>
      <c r="K224" s="161">
        <f t="shared" ca="1" si="97"/>
        <v>45.325840931887811</v>
      </c>
      <c r="L224" s="160">
        <f t="shared" ca="1" si="92"/>
        <v>1.2090875981628884</v>
      </c>
      <c r="M224" s="164">
        <f t="shared" ca="1" si="75"/>
        <v>41.062892771145435</v>
      </c>
    </row>
    <row r="225" spans="2:13" x14ac:dyDescent="0.25">
      <c r="B225" s="159">
        <f t="shared" si="93"/>
        <v>12</v>
      </c>
      <c r="C225" s="159">
        <f t="shared" si="94"/>
        <v>5</v>
      </c>
      <c r="D225" s="160">
        <f t="shared" ca="1" si="89"/>
        <v>15.1</v>
      </c>
      <c r="E225" s="161">
        <f t="shared" ca="1" si="89"/>
        <v>14.05</v>
      </c>
      <c r="F225" s="162">
        <f t="shared" si="71"/>
        <v>31</v>
      </c>
      <c r="G225" s="162">
        <f t="shared" si="90"/>
        <v>151</v>
      </c>
      <c r="H225" s="161">
        <f t="shared" si="95"/>
        <v>18.723388500456394</v>
      </c>
      <c r="I225" s="163">
        <f t="shared" si="96"/>
        <v>14.609972023869894</v>
      </c>
      <c r="J225" s="163">
        <f t="shared" ca="1" si="91"/>
        <v>5.330040532362065</v>
      </c>
      <c r="K225" s="161">
        <f t="shared" ca="1" si="97"/>
        <v>45.325840931887811</v>
      </c>
      <c r="L225" s="160">
        <f t="shared" ca="1" si="92"/>
        <v>1.2090875981628884</v>
      </c>
      <c r="M225" s="164">
        <f t="shared" ca="1" si="75"/>
        <v>86.245275459332561</v>
      </c>
    </row>
    <row r="226" spans="2:13" x14ac:dyDescent="0.25">
      <c r="B226" s="159">
        <f t="shared" si="93"/>
        <v>12</v>
      </c>
      <c r="C226" s="159">
        <f t="shared" si="94"/>
        <v>6</v>
      </c>
      <c r="D226" s="160">
        <f t="shared" ca="1" si="89"/>
        <v>19.149999999999999</v>
      </c>
      <c r="E226" s="161">
        <f t="shared" ca="1" si="89"/>
        <v>17.96</v>
      </c>
      <c r="F226" s="162">
        <f t="shared" si="71"/>
        <v>30</v>
      </c>
      <c r="G226" s="162">
        <f t="shared" si="90"/>
        <v>181</v>
      </c>
      <c r="H226" s="161">
        <f t="shared" si="95"/>
        <v>23.293419845424015</v>
      </c>
      <c r="I226" s="163">
        <f t="shared" si="96"/>
        <v>15.214473524526987</v>
      </c>
      <c r="J226" s="163">
        <f t="shared" ca="1" si="91"/>
        <v>7.6377061200861025</v>
      </c>
      <c r="K226" s="161">
        <f t="shared" ca="1" si="97"/>
        <v>45.325840931887811</v>
      </c>
      <c r="L226" s="160">
        <f t="shared" ca="1" si="92"/>
        <v>1.2090875981628884</v>
      </c>
      <c r="M226" s="164">
        <f t="shared" ca="1" si="75"/>
        <v>115.843156342048</v>
      </c>
    </row>
    <row r="227" spans="2:13" x14ac:dyDescent="0.25">
      <c r="B227" s="159">
        <f t="shared" si="93"/>
        <v>12</v>
      </c>
      <c r="C227" s="159">
        <f t="shared" si="94"/>
        <v>7</v>
      </c>
      <c r="D227" s="160">
        <f t="shared" ca="1" si="89"/>
        <v>23.25</v>
      </c>
      <c r="E227" s="161">
        <f t="shared" ca="1" si="89"/>
        <v>21.89</v>
      </c>
      <c r="F227" s="162">
        <f t="shared" si="71"/>
        <v>31</v>
      </c>
      <c r="G227" s="162">
        <f t="shared" si="90"/>
        <v>212</v>
      </c>
      <c r="H227" s="161">
        <f t="shared" si="95"/>
        <v>21.54806313020423</v>
      </c>
      <c r="I227" s="163">
        <f t="shared" si="96"/>
        <v>14.983606234153998</v>
      </c>
      <c r="J227" s="163">
        <f t="shared" ca="1" si="91"/>
        <v>10.245278552862674</v>
      </c>
      <c r="K227" s="161">
        <f t="shared" ca="1" si="97"/>
        <v>45.325840931887811</v>
      </c>
      <c r="L227" s="160">
        <f t="shared" ca="1" si="92"/>
        <v>1.2090875981628884</v>
      </c>
      <c r="M227" s="164">
        <f t="shared" ca="1" si="75"/>
        <v>149.05307037815226</v>
      </c>
    </row>
    <row r="228" spans="2:13" x14ac:dyDescent="0.25">
      <c r="B228" s="159">
        <f t="shared" si="93"/>
        <v>12</v>
      </c>
      <c r="C228" s="159">
        <f t="shared" si="94"/>
        <v>8</v>
      </c>
      <c r="D228" s="160">
        <f t="shared" ca="1" si="89"/>
        <v>21.44</v>
      </c>
      <c r="E228" s="161">
        <f t="shared" ca="1" si="89"/>
        <v>20.350000000000001</v>
      </c>
      <c r="F228" s="162">
        <f t="shared" si="71"/>
        <v>31</v>
      </c>
      <c r="G228" s="162">
        <f t="shared" si="90"/>
        <v>243</v>
      </c>
      <c r="H228" s="161">
        <f t="shared" si="95"/>
        <v>13.859168267602277</v>
      </c>
      <c r="I228" s="163">
        <f t="shared" si="96"/>
        <v>13.966556649153741</v>
      </c>
      <c r="J228" s="163">
        <f t="shared" ca="1" si="91"/>
        <v>9.0622018613844482</v>
      </c>
      <c r="K228" s="161">
        <f t="shared" ca="1" si="97"/>
        <v>45.325840931887811</v>
      </c>
      <c r="L228" s="160">
        <f t="shared" ca="1" si="92"/>
        <v>1.2090875981628884</v>
      </c>
      <c r="M228" s="164">
        <f t="shared" ca="1" si="75"/>
        <v>125.96684270998136</v>
      </c>
    </row>
    <row r="229" spans="2:13" x14ac:dyDescent="0.25">
      <c r="B229" s="159">
        <f t="shared" si="93"/>
        <v>12</v>
      </c>
      <c r="C229" s="159">
        <f t="shared" si="94"/>
        <v>9</v>
      </c>
      <c r="D229" s="160">
        <f t="shared" ca="1" si="89"/>
        <v>18.170000000000002</v>
      </c>
      <c r="E229" s="161">
        <f t="shared" ca="1" si="89"/>
        <v>17.38</v>
      </c>
      <c r="F229" s="162">
        <f t="shared" si="71"/>
        <v>30</v>
      </c>
      <c r="G229" s="162">
        <f t="shared" si="90"/>
        <v>273</v>
      </c>
      <c r="H229" s="161">
        <f t="shared" si="95"/>
        <v>2.3163440518985223</v>
      </c>
      <c r="I229" s="163">
        <f t="shared" si="96"/>
        <v>12.439728049192926</v>
      </c>
      <c r="J229" s="163">
        <f t="shared" ca="1" si="91"/>
        <v>7.0537940172259521</v>
      </c>
      <c r="K229" s="161">
        <f t="shared" ca="1" si="97"/>
        <v>45.325840931887811</v>
      </c>
      <c r="L229" s="160">
        <f t="shared" ca="1" si="92"/>
        <v>1.2090875981628884</v>
      </c>
      <c r="M229" s="164">
        <f t="shared" ca="1" si="75"/>
        <v>88.88743931122373</v>
      </c>
    </row>
    <row r="230" spans="2:13" x14ac:dyDescent="0.25">
      <c r="B230" s="159">
        <f t="shared" si="93"/>
        <v>12</v>
      </c>
      <c r="C230" s="159">
        <f t="shared" si="94"/>
        <v>10</v>
      </c>
      <c r="D230" s="160">
        <f t="shared" ca="1" si="89"/>
        <v>9.44</v>
      </c>
      <c r="E230" s="161">
        <f t="shared" ca="1" si="89"/>
        <v>9.61</v>
      </c>
      <c r="F230" s="162">
        <f t="shared" si="71"/>
        <v>31</v>
      </c>
      <c r="G230" s="162">
        <f t="shared" si="90"/>
        <v>304</v>
      </c>
      <c r="H230" s="161">
        <f t="shared" si="95"/>
        <v>-9.5031790727583374</v>
      </c>
      <c r="I230" s="163">
        <f t="shared" si="96"/>
        <v>10.876299064449956</v>
      </c>
      <c r="J230" s="163">
        <f t="shared" ca="1" si="91"/>
        <v>2.6173814057786013</v>
      </c>
      <c r="K230" s="161">
        <f t="shared" ca="1" si="97"/>
        <v>45.325840931887811</v>
      </c>
      <c r="L230" s="160">
        <f t="shared" ca="1" si="92"/>
        <v>1.2090875981628884</v>
      </c>
      <c r="M230" s="164">
        <f t="shared" ca="1" si="75"/>
        <v>36.383729274284093</v>
      </c>
    </row>
    <row r="231" spans="2:13" x14ac:dyDescent="0.25">
      <c r="B231" s="159">
        <f t="shared" si="93"/>
        <v>12</v>
      </c>
      <c r="C231" s="159">
        <f t="shared" si="94"/>
        <v>11</v>
      </c>
      <c r="D231" s="160">
        <f t="shared" ca="1" si="89"/>
        <v>2.89</v>
      </c>
      <c r="E231" s="161">
        <f t="shared" ca="1" si="89"/>
        <v>5.71</v>
      </c>
      <c r="F231" s="162">
        <f t="shared" si="71"/>
        <v>30</v>
      </c>
      <c r="G231" s="162">
        <f t="shared" si="90"/>
        <v>334</v>
      </c>
      <c r="H231" s="161">
        <f t="shared" si="95"/>
        <v>-19.081240431832619</v>
      </c>
      <c r="I231" s="163">
        <f t="shared" si="96"/>
        <v>9.6093597312390706</v>
      </c>
      <c r="J231" s="163">
        <f t="shared" ca="1" si="91"/>
        <v>0.43607254790002714</v>
      </c>
      <c r="K231" s="161">
        <f t="shared" ca="1" si="97"/>
        <v>45.325840931887811</v>
      </c>
      <c r="L231" s="160">
        <f t="shared" ca="1" si="92"/>
        <v>1.2090875981628884</v>
      </c>
      <c r="M231" s="164">
        <f t="shared" ca="1" si="75"/>
        <v>7.4356579272152938</v>
      </c>
    </row>
    <row r="232" spans="2:13" x14ac:dyDescent="0.25">
      <c r="B232" s="159">
        <f t="shared" si="93"/>
        <v>12</v>
      </c>
      <c r="C232" s="159">
        <f t="shared" si="94"/>
        <v>12</v>
      </c>
      <c r="D232" s="160">
        <f t="shared" ca="1" si="89"/>
        <v>-4.5199999999999996</v>
      </c>
      <c r="E232" s="161">
        <f t="shared" ca="1" si="89"/>
        <v>-0.46</v>
      </c>
      <c r="F232" s="162">
        <f t="shared" si="71"/>
        <v>31</v>
      </c>
      <c r="G232" s="162">
        <f t="shared" si="90"/>
        <v>365</v>
      </c>
      <c r="H232" s="161">
        <f t="shared" si="95"/>
        <v>-23.315084018726054</v>
      </c>
      <c r="I232" s="163">
        <f t="shared" si="96"/>
        <v>9.0493275107505209</v>
      </c>
      <c r="J232" s="163">
        <f t="shared" ca="1" si="91"/>
        <v>0</v>
      </c>
      <c r="K232" s="161">
        <f t="shared" ca="1" si="97"/>
        <v>45.325840931887811</v>
      </c>
      <c r="L232" s="160">
        <f t="shared" ca="1" si="92"/>
        <v>1.2090875981628884</v>
      </c>
      <c r="M232" s="164">
        <f t="shared" ca="1" si="75"/>
        <v>0</v>
      </c>
    </row>
    <row r="233" spans="2:13" x14ac:dyDescent="0.25">
      <c r="B233" s="148">
        <f t="shared" si="93"/>
        <v>13</v>
      </c>
      <c r="C233" s="148">
        <v>1</v>
      </c>
      <c r="D233" s="149">
        <f t="shared" ca="1" si="89"/>
        <v>-8.01</v>
      </c>
      <c r="E233" s="96">
        <f t="shared" ca="1" si="89"/>
        <v>-3.44</v>
      </c>
      <c r="F233" s="71">
        <f t="shared" si="71"/>
        <v>31</v>
      </c>
      <c r="G233" s="71">
        <f>IF(C233=1,F233,F233+G232)</f>
        <v>31</v>
      </c>
      <c r="H233" s="96">
        <f>-23.44*COS(RADIANS((360/365)*(INT(F233/2)+10)))</f>
        <v>-21.30268541923795</v>
      </c>
      <c r="I233" s="72">
        <f>((12*60)+8+(H233/6.3)*I$3)/60</f>
        <v>9.3155178016881006</v>
      </c>
      <c r="J233" s="72">
        <f ca="1">IF(D233&gt;0,POWER(D233/5,1.514),0)</f>
        <v>0</v>
      </c>
      <c r="K233" s="96">
        <f ca="1">SUM(J233:J244)</f>
        <v>41.671341916878035</v>
      </c>
      <c r="L233" s="149">
        <f ca="1">(0.000000675*K233*K233*K233)-(0.0000771*K233*K233)+(0.01792*K233)+0.49239</f>
        <v>1.1541008035867897</v>
      </c>
      <c r="M233" s="150">
        <f t="shared" ca="1" si="75"/>
        <v>0</v>
      </c>
    </row>
    <row r="234" spans="2:13" x14ac:dyDescent="0.25">
      <c r="B234" s="82">
        <f>IF(C234=1,B233+1,B233)</f>
        <v>13</v>
      </c>
      <c r="C234" s="82">
        <f>IF(C233&lt;12,C233+1,1)</f>
        <v>2</v>
      </c>
      <c r="D234" s="151">
        <f t="shared" ca="1" si="89"/>
        <v>-6.74</v>
      </c>
      <c r="E234" s="46">
        <f t="shared" ca="1" si="89"/>
        <v>-1.65</v>
      </c>
      <c r="F234" s="91">
        <f t="shared" si="71"/>
        <v>28</v>
      </c>
      <c r="G234" s="91">
        <f t="shared" ref="G234:G244" si="98">IF(C234=1,F234,F234+G233)</f>
        <v>59</v>
      </c>
      <c r="H234" s="46">
        <f>-23.44*COS(RADIANS(360/365*(INT(F234/2)+G233+10)))</f>
        <v>-13.695949189848957</v>
      </c>
      <c r="I234" s="45">
        <f>((12*60)+8+(H234/6.3)*I$3)/60</f>
        <v>10.321699842612571</v>
      </c>
      <c r="J234" s="45">
        <f t="shared" ref="J234:J244" ca="1" si="99">IF(D234&gt;0,POWER(D234/5,1.514),0)</f>
        <v>0</v>
      </c>
      <c r="K234" s="46">
        <f ca="1">K233</f>
        <v>41.671341916878035</v>
      </c>
      <c r="L234" s="151">
        <f t="shared" ref="L234:L244" ca="1" si="100">(0.000000675*K234*K234*K234)-(0.0000771*K234*K234)+(0.01792*K234)+0.49239</f>
        <v>1.1541008035867897</v>
      </c>
      <c r="M234" s="152">
        <f t="shared" ca="1" si="75"/>
        <v>0</v>
      </c>
    </row>
    <row r="235" spans="2:13" x14ac:dyDescent="0.25">
      <c r="B235" s="82">
        <f t="shared" ref="B235:B244" si="101">IF(C235=1,B234+1,B234)</f>
        <v>13</v>
      </c>
      <c r="C235" s="82">
        <f t="shared" ref="C235:C244" si="102">IF(C234&lt;12,C234+1,1)</f>
        <v>3</v>
      </c>
      <c r="D235" s="151">
        <f t="shared" ca="1" si="89"/>
        <v>-0.57999999999999996</v>
      </c>
      <c r="E235" s="46">
        <f t="shared" ca="1" si="89"/>
        <v>4.68</v>
      </c>
      <c r="F235" s="91">
        <f t="shared" si="71"/>
        <v>31</v>
      </c>
      <c r="G235" s="91">
        <f t="shared" si="98"/>
        <v>90</v>
      </c>
      <c r="H235" s="46">
        <f t="shared" ref="H235:H244" si="103">-23.44*COS(RADIANS(360/365*(INT(F235/2)+G234+10)))</f>
        <v>-2.9177939455063431</v>
      </c>
      <c r="I235" s="45">
        <f t="shared" ref="I235:I244" si="104">((12*60)+8+(H235/6.3)*I$3)/60</f>
        <v>11.747381753239901</v>
      </c>
      <c r="J235" s="45">
        <f t="shared" ca="1" si="99"/>
        <v>0</v>
      </c>
      <c r="K235" s="46">
        <f t="shared" ref="K235:K244" ca="1" si="105">K234</f>
        <v>41.671341916878035</v>
      </c>
      <c r="L235" s="151">
        <f t="shared" ca="1" si="100"/>
        <v>1.1541008035867897</v>
      </c>
      <c r="M235" s="152">
        <f t="shared" ca="1" si="75"/>
        <v>0</v>
      </c>
    </row>
    <row r="236" spans="2:13" x14ac:dyDescent="0.25">
      <c r="B236" s="82">
        <f t="shared" si="101"/>
        <v>13</v>
      </c>
      <c r="C236" s="82">
        <f t="shared" si="102"/>
        <v>4</v>
      </c>
      <c r="D236" s="151">
        <f t="shared" ca="1" si="89"/>
        <v>7.18</v>
      </c>
      <c r="E236" s="46">
        <f t="shared" ca="1" si="89"/>
        <v>7.69</v>
      </c>
      <c r="F236" s="91">
        <f t="shared" si="71"/>
        <v>30</v>
      </c>
      <c r="G236" s="91">
        <f t="shared" si="98"/>
        <v>120</v>
      </c>
      <c r="H236" s="46">
        <f t="shared" si="103"/>
        <v>9.3184035667831076</v>
      </c>
      <c r="I236" s="45">
        <f t="shared" si="104"/>
        <v>13.365926397722633</v>
      </c>
      <c r="J236" s="45">
        <f t="shared" ca="1" si="99"/>
        <v>1.7295448242619065</v>
      </c>
      <c r="K236" s="46">
        <f t="shared" ca="1" si="105"/>
        <v>41.671341916878035</v>
      </c>
      <c r="L236" s="151">
        <f t="shared" ca="1" si="100"/>
        <v>1.1541008035867897</v>
      </c>
      <c r="M236" s="152">
        <f t="shared" ca="1" si="75"/>
        <v>33.391564704021405</v>
      </c>
    </row>
    <row r="237" spans="2:13" x14ac:dyDescent="0.25">
      <c r="B237" s="82">
        <f t="shared" si="101"/>
        <v>13</v>
      </c>
      <c r="C237" s="82">
        <f t="shared" si="102"/>
        <v>5</v>
      </c>
      <c r="D237" s="151">
        <f t="shared" ca="1" si="89"/>
        <v>14.05</v>
      </c>
      <c r="E237" s="46">
        <f t="shared" ca="1" si="89"/>
        <v>15.52</v>
      </c>
      <c r="F237" s="91">
        <f t="shared" si="71"/>
        <v>31</v>
      </c>
      <c r="G237" s="91">
        <f t="shared" si="98"/>
        <v>151</v>
      </c>
      <c r="H237" s="46">
        <f t="shared" si="103"/>
        <v>18.723388500456394</v>
      </c>
      <c r="I237" s="45">
        <f t="shared" si="104"/>
        <v>14.609972023869894</v>
      </c>
      <c r="J237" s="45">
        <f t="shared" ca="1" si="99"/>
        <v>4.7790477337950508</v>
      </c>
      <c r="K237" s="46">
        <f t="shared" ca="1" si="105"/>
        <v>41.671341916878035</v>
      </c>
      <c r="L237" s="151">
        <f t="shared" ca="1" si="100"/>
        <v>1.1541008035867897</v>
      </c>
      <c r="M237" s="152">
        <f t="shared" ca="1" si="75"/>
        <v>81.847946431392785</v>
      </c>
    </row>
    <row r="238" spans="2:13" x14ac:dyDescent="0.25">
      <c r="B238" s="82">
        <f t="shared" si="101"/>
        <v>13</v>
      </c>
      <c r="C238" s="82">
        <f t="shared" si="102"/>
        <v>6</v>
      </c>
      <c r="D238" s="151">
        <f t="shared" ca="1" si="89"/>
        <v>17.96</v>
      </c>
      <c r="E238" s="46">
        <f t="shared" ca="1" si="89"/>
        <v>17.8</v>
      </c>
      <c r="F238" s="91">
        <f t="shared" si="71"/>
        <v>30</v>
      </c>
      <c r="G238" s="91">
        <f t="shared" si="98"/>
        <v>181</v>
      </c>
      <c r="H238" s="46">
        <f t="shared" si="103"/>
        <v>23.293419845424015</v>
      </c>
      <c r="I238" s="45">
        <f t="shared" si="104"/>
        <v>15.214473524526987</v>
      </c>
      <c r="J238" s="45">
        <f t="shared" ca="1" si="99"/>
        <v>6.930733513927521</v>
      </c>
      <c r="K238" s="46">
        <f t="shared" ca="1" si="105"/>
        <v>41.671341916878035</v>
      </c>
      <c r="L238" s="151">
        <f t="shared" ca="1" si="100"/>
        <v>1.1541008035867897</v>
      </c>
      <c r="M238" s="152">
        <f t="shared" ca="1" si="75"/>
        <v>109.50568616025745</v>
      </c>
    </row>
    <row r="239" spans="2:13" x14ac:dyDescent="0.25">
      <c r="B239" s="82">
        <f t="shared" si="101"/>
        <v>13</v>
      </c>
      <c r="C239" s="82">
        <f t="shared" si="102"/>
        <v>7</v>
      </c>
      <c r="D239" s="151">
        <f t="shared" ca="1" si="89"/>
        <v>21.89</v>
      </c>
      <c r="E239" s="46">
        <f t="shared" ca="1" si="89"/>
        <v>22.99</v>
      </c>
      <c r="F239" s="91">
        <f t="shared" si="71"/>
        <v>31</v>
      </c>
      <c r="G239" s="91">
        <f t="shared" si="98"/>
        <v>212</v>
      </c>
      <c r="H239" s="46">
        <f t="shared" si="103"/>
        <v>21.54806313020423</v>
      </c>
      <c r="I239" s="45">
        <f t="shared" si="104"/>
        <v>14.983606234153998</v>
      </c>
      <c r="J239" s="45">
        <f t="shared" ca="1" si="99"/>
        <v>9.3517200283976578</v>
      </c>
      <c r="K239" s="46">
        <f t="shared" ca="1" si="105"/>
        <v>41.671341916878035</v>
      </c>
      <c r="L239" s="151">
        <f t="shared" ca="1" si="100"/>
        <v>1.1541008035867897</v>
      </c>
      <c r="M239" s="152">
        <f t="shared" ca="1" si="75"/>
        <v>140.02942220648777</v>
      </c>
    </row>
    <row r="240" spans="2:13" x14ac:dyDescent="0.25">
      <c r="B240" s="82">
        <f t="shared" si="101"/>
        <v>13</v>
      </c>
      <c r="C240" s="82">
        <f t="shared" si="102"/>
        <v>8</v>
      </c>
      <c r="D240" s="151">
        <f t="shared" ca="1" si="89"/>
        <v>20.350000000000001</v>
      </c>
      <c r="E240" s="46">
        <f t="shared" ca="1" si="89"/>
        <v>21.76</v>
      </c>
      <c r="F240" s="91">
        <f t="shared" si="71"/>
        <v>31</v>
      </c>
      <c r="G240" s="91">
        <f t="shared" si="98"/>
        <v>243</v>
      </c>
      <c r="H240" s="46">
        <f t="shared" si="103"/>
        <v>13.859168267602277</v>
      </c>
      <c r="I240" s="45">
        <f t="shared" si="104"/>
        <v>13.966556649153741</v>
      </c>
      <c r="J240" s="45">
        <f t="shared" ca="1" si="99"/>
        <v>8.373864623469478</v>
      </c>
      <c r="K240" s="46">
        <f t="shared" ca="1" si="105"/>
        <v>41.671341916878035</v>
      </c>
      <c r="L240" s="151">
        <f t="shared" ca="1" si="100"/>
        <v>1.1541008035867897</v>
      </c>
      <c r="M240" s="152">
        <f t="shared" ca="1" si="75"/>
        <v>119.98551598897782</v>
      </c>
    </row>
    <row r="241" spans="2:13" x14ac:dyDescent="0.25">
      <c r="B241" s="82">
        <f t="shared" si="101"/>
        <v>13</v>
      </c>
      <c r="C241" s="82">
        <f t="shared" si="102"/>
        <v>9</v>
      </c>
      <c r="D241" s="151">
        <f t="shared" ca="1" si="89"/>
        <v>17.38</v>
      </c>
      <c r="E241" s="46">
        <f t="shared" ca="1" si="89"/>
        <v>16.16</v>
      </c>
      <c r="F241" s="91">
        <f t="shared" si="71"/>
        <v>30</v>
      </c>
      <c r="G241" s="91">
        <f t="shared" si="98"/>
        <v>273</v>
      </c>
      <c r="H241" s="46">
        <f t="shared" si="103"/>
        <v>2.3163440518985223</v>
      </c>
      <c r="I241" s="45">
        <f t="shared" si="104"/>
        <v>12.439728049192926</v>
      </c>
      <c r="J241" s="45">
        <f t="shared" ca="1" si="99"/>
        <v>6.5946958181738831</v>
      </c>
      <c r="K241" s="46">
        <f t="shared" ca="1" si="105"/>
        <v>41.671341916878035</v>
      </c>
      <c r="L241" s="151">
        <f t="shared" ca="1" si="100"/>
        <v>1.1541008035867897</v>
      </c>
      <c r="M241" s="152">
        <f t="shared" ca="1" si="75"/>
        <v>86.205925852555339</v>
      </c>
    </row>
    <row r="242" spans="2:13" x14ac:dyDescent="0.25">
      <c r="B242" s="82">
        <f t="shared" si="101"/>
        <v>13</v>
      </c>
      <c r="C242" s="82">
        <f t="shared" si="102"/>
        <v>10</v>
      </c>
      <c r="D242" s="151">
        <f t="shared" ca="1" si="89"/>
        <v>9.61</v>
      </c>
      <c r="E242" s="46">
        <f t="shared" ca="1" si="89"/>
        <v>11.21</v>
      </c>
      <c r="F242" s="91">
        <f t="shared" si="71"/>
        <v>31</v>
      </c>
      <c r="G242" s="91">
        <f t="shared" si="98"/>
        <v>304</v>
      </c>
      <c r="H242" s="46">
        <f t="shared" si="103"/>
        <v>-9.5031790727583374</v>
      </c>
      <c r="I242" s="45">
        <f t="shared" si="104"/>
        <v>10.876299064449956</v>
      </c>
      <c r="J242" s="45">
        <f t="shared" ca="1" si="99"/>
        <v>2.6890731871946065</v>
      </c>
      <c r="K242" s="46">
        <f t="shared" ca="1" si="105"/>
        <v>41.671341916878035</v>
      </c>
      <c r="L242" s="151">
        <f t="shared" ca="1" si="100"/>
        <v>1.1541008035867897</v>
      </c>
      <c r="M242" s="152">
        <f t="shared" ca="1" si="75"/>
        <v>39.306758212629511</v>
      </c>
    </row>
    <row r="243" spans="2:13" x14ac:dyDescent="0.25">
      <c r="B243" s="82">
        <f t="shared" si="101"/>
        <v>13</v>
      </c>
      <c r="C243" s="82">
        <f t="shared" si="102"/>
        <v>11</v>
      </c>
      <c r="D243" s="151">
        <f t="shared" ca="1" si="89"/>
        <v>5.71</v>
      </c>
      <c r="E243" s="46">
        <f t="shared" ca="1" si="89"/>
        <v>1.8</v>
      </c>
      <c r="F243" s="91">
        <f t="shared" si="71"/>
        <v>30</v>
      </c>
      <c r="G243" s="91">
        <f t="shared" si="98"/>
        <v>334</v>
      </c>
      <c r="H243" s="46">
        <f t="shared" si="103"/>
        <v>-19.081240431832619</v>
      </c>
      <c r="I243" s="45">
        <f t="shared" si="104"/>
        <v>9.6093597312390706</v>
      </c>
      <c r="J243" s="45">
        <f t="shared" ca="1" si="99"/>
        <v>1.2226621876579311</v>
      </c>
      <c r="K243" s="46">
        <f t="shared" ca="1" si="105"/>
        <v>41.671341916878035</v>
      </c>
      <c r="L243" s="151">
        <f t="shared" ca="1" si="100"/>
        <v>1.1541008035867897</v>
      </c>
      <c r="M243" s="152">
        <f t="shared" ca="1" si="75"/>
        <v>18.42945906677128</v>
      </c>
    </row>
    <row r="244" spans="2:13" x14ac:dyDescent="0.25">
      <c r="B244" s="165">
        <f t="shared" si="101"/>
        <v>13</v>
      </c>
      <c r="C244" s="165">
        <f t="shared" si="102"/>
        <v>12</v>
      </c>
      <c r="D244" s="166">
        <f t="shared" ca="1" si="89"/>
        <v>-0.46</v>
      </c>
      <c r="E244" s="65">
        <f t="shared" ca="1" si="89"/>
        <v>-0.63</v>
      </c>
      <c r="F244" s="167">
        <f t="shared" si="71"/>
        <v>31</v>
      </c>
      <c r="G244" s="167">
        <f t="shared" si="98"/>
        <v>365</v>
      </c>
      <c r="H244" s="65">
        <f t="shared" si="103"/>
        <v>-23.315084018726054</v>
      </c>
      <c r="I244" s="23">
        <f t="shared" si="104"/>
        <v>9.0493275107505209</v>
      </c>
      <c r="J244" s="23">
        <f t="shared" ca="1" si="99"/>
        <v>0</v>
      </c>
      <c r="K244" s="65">
        <f t="shared" ca="1" si="105"/>
        <v>41.671341916878035</v>
      </c>
      <c r="L244" s="166">
        <f t="shared" ca="1" si="100"/>
        <v>1.1541008035867897</v>
      </c>
      <c r="M244" s="168">
        <f t="shared" ca="1" si="75"/>
        <v>0</v>
      </c>
    </row>
  </sheetData>
  <pageMargins left="0.7" right="0.7" top="0.75" bottom="0.75" header="0.3" footer="0.3"/>
  <pageSetup paperSize="9" orientation="portrait" r:id="rId1"/>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6C1A48E-A150-4EAE-815E-DFDED17C875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52</vt:i4>
      </vt:variant>
    </vt:vector>
  </HeadingPairs>
  <TitlesOfParts>
    <vt:vector size="60" baseType="lpstr">
      <vt:lpstr>Inputs - Soil characterstics</vt:lpstr>
      <vt:lpstr>Inputs - Weather</vt:lpstr>
      <vt:lpstr>Inputs - Crops and manures</vt:lpstr>
      <vt:lpstr>Inputs - Soil C measurements</vt:lpstr>
      <vt:lpstr>Simulation of changes in soil C</vt:lpstr>
      <vt:lpstr>H2 Uptake</vt:lpstr>
      <vt:lpstr>Parameters</vt:lpstr>
      <vt:lpstr>Calc. Weather</vt:lpstr>
      <vt:lpstr>AirPressure</vt:lpstr>
      <vt:lpstr>BulkDensity</vt:lpstr>
      <vt:lpstr>'Simulation of changes in soil C'!CStock</vt:lpstr>
      <vt:lpstr>DPMtoRPM</vt:lpstr>
      <vt:lpstr>'Simulation of changes in soil C'!FC</vt:lpstr>
      <vt:lpstr>HarvDate</vt:lpstr>
      <vt:lpstr>'Simulation of changes in soil C'!kBIO</vt:lpstr>
      <vt:lpstr>'Simulation of changes in soil C'!kDPM</vt:lpstr>
      <vt:lpstr>'Simulation of changes in soil C'!kHUM</vt:lpstr>
      <vt:lpstr>'Simulation of changes in soil C'!kRPM</vt:lpstr>
      <vt:lpstr>LandUse</vt:lpstr>
      <vt:lpstr>LandUseTypes</vt:lpstr>
      <vt:lpstr>Latitude</vt:lpstr>
      <vt:lpstr>MeasC</vt:lpstr>
      <vt:lpstr>MeasMon</vt:lpstr>
      <vt:lpstr>OrgWasteTypes</vt:lpstr>
      <vt:lpstr>OW_DM</vt:lpstr>
      <vt:lpstr>OW_DPMtoHUM</vt:lpstr>
      <vt:lpstr>OW_pC</vt:lpstr>
      <vt:lpstr>OW_pIOM</vt:lpstr>
      <vt:lpstr>OW_Types</vt:lpstr>
      <vt:lpstr>OWAmount</vt:lpstr>
      <vt:lpstr>OWAmount2</vt:lpstr>
      <vt:lpstr>OWAppDate</vt:lpstr>
      <vt:lpstr>OWAppDate2</vt:lpstr>
      <vt:lpstr>OWType</vt:lpstr>
      <vt:lpstr>OWType2</vt:lpstr>
      <vt:lpstr>'Simulation of changes in soil C'!p_CO2</vt:lpstr>
      <vt:lpstr>'Simulation of changes in soil C'!pBIO</vt:lpstr>
      <vt:lpstr>PercentC</vt:lpstr>
      <vt:lpstr>PercentClay</vt:lpstr>
      <vt:lpstr>PercentSand</vt:lpstr>
      <vt:lpstr>PercentSilt</vt:lpstr>
      <vt:lpstr>PET</vt:lpstr>
      <vt:lpstr>'Simulation of changes in soil C'!pHUM</vt:lpstr>
      <vt:lpstr>'Simulation of changes in soil C'!PI</vt:lpstr>
      <vt:lpstr>'Simulation of changes in soil C'!PI_Def</vt:lpstr>
      <vt:lpstr>'Simulation of changes in soil C'!PI_DPMtoRPM</vt:lpstr>
      <vt:lpstr>PI_Month</vt:lpstr>
      <vt:lpstr>'Simulation of changes in soil C'!PWP</vt:lpstr>
      <vt:lpstr>Rainfall</vt:lpstr>
      <vt:lpstr>'Simulation of changes in soil C'!RM_PWP</vt:lpstr>
      <vt:lpstr>SoilDepth</vt:lpstr>
      <vt:lpstr>SoilpH</vt:lpstr>
      <vt:lpstr>SoilPores</vt:lpstr>
      <vt:lpstr>SoilSal</vt:lpstr>
      <vt:lpstr>SowDate</vt:lpstr>
      <vt:lpstr>Temperature</vt:lpstr>
      <vt:lpstr>TotDefPI</vt:lpstr>
      <vt:lpstr>'Simulation of changes in soil C'!Wat1bar</vt:lpstr>
      <vt:lpstr>WSAT</vt:lpstr>
      <vt:lpstr>Yield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Smith, Professor Jo.</dc:creator>
  <cp:lastModifiedBy>Karbin, Saeed</cp:lastModifiedBy>
  <dcterms:created xsi:type="dcterms:W3CDTF">2015-06-05T18:17:20Z</dcterms:created>
  <dcterms:modified xsi:type="dcterms:W3CDTF">2024-07-26T10:31:00Z</dcterms:modified>
</cp:coreProperties>
</file>